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uesholdings.sharepoint.com/sites/c3b2/Shared Documents/06-DC/01-MDL/"/>
    </mc:Choice>
  </mc:AlternateContent>
  <xr:revisionPtr revIDLastSave="1364" documentId="13_ncr:1_{A01A6F68-F3B8-4F2B-A33E-2C4C83F82018}" xr6:coauthVersionLast="47" xr6:coauthVersionMax="47" xr10:uidLastSave="{AC7CA6F3-88D3-403A-85DB-7CD806613C0A}"/>
  <bookViews>
    <workbookView xWindow="-98" yWindow="-98" windowWidth="19396" windowHeight="11475" tabRatio="602" firstSheet="1" activeTab="1" xr2:uid="{00000000-000D-0000-FFFF-FFFF00000000}"/>
  </bookViews>
  <sheets>
    <sheet name="Notes" sheetId="4" r:id="rId1"/>
    <sheet name="SubmittalLog" sheetId="1" r:id="rId2"/>
    <sheet name="Code" sheetId="3" r:id="rId3"/>
  </sheets>
  <externalReferences>
    <externalReference r:id="rId4"/>
  </externalReferences>
  <definedNames>
    <definedName name="_xlnm._FilterDatabase" localSheetId="1" hidden="1">SubmittalLog!$A$1:$T$240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N56" i="1" a="1"/>
  <c r="N56" i="1" s="1"/>
  <c r="L56" i="1"/>
  <c r="M56" i="1" s="1"/>
  <c r="J56" i="1"/>
  <c r="D56" i="1"/>
  <c r="D72" i="1"/>
  <c r="N72" i="1" a="1"/>
  <c r="N72" i="1" s="1"/>
  <c r="L72" i="1"/>
  <c r="M72" i="1" s="1"/>
  <c r="J72" i="1"/>
  <c r="L82" i="1"/>
  <c r="M82" i="1" s="1"/>
  <c r="N82" i="1" a="1"/>
  <c r="N82" i="1" s="1"/>
  <c r="J82" i="1"/>
  <c r="D82" i="1"/>
  <c r="B41" i="1" l="1"/>
  <c r="L22" i="1" l="1"/>
  <c r="M22" i="1" s="1"/>
  <c r="N22" i="1" a="1"/>
  <c r="N22" i="1" s="1"/>
  <c r="J22" i="1"/>
  <c r="D22" i="1"/>
  <c r="D23" i="1"/>
  <c r="B179" i="1" l="1"/>
  <c r="B169" i="1"/>
  <c r="B168" i="1"/>
  <c r="B167" i="1"/>
  <c r="B166" i="1"/>
  <c r="B165" i="1"/>
  <c r="B164" i="1"/>
  <c r="B163" i="1"/>
  <c r="B162" i="1"/>
  <c r="B161" i="1"/>
  <c r="B160" i="1"/>
  <c r="B93" i="1"/>
  <c r="B92" i="1"/>
  <c r="B9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7" i="1"/>
  <c r="B58" i="1"/>
  <c r="B59" i="1"/>
  <c r="B60" i="1"/>
  <c r="B61" i="1"/>
  <c r="B62" i="1"/>
  <c r="B63" i="1"/>
  <c r="B64" i="1"/>
  <c r="B65" i="1"/>
  <c r="B66" i="1"/>
  <c r="B67" i="1"/>
  <c r="B68" i="1"/>
  <c r="L78" i="1"/>
  <c r="N173" i="1" l="1" a="1"/>
  <c r="L173" i="1"/>
  <c r="M173" i="1" s="1"/>
  <c r="N179" i="1" a="1"/>
  <c r="L179" i="1"/>
  <c r="M179" i="1" s="1"/>
  <c r="N178" i="1" a="1"/>
  <c r="L178" i="1"/>
  <c r="M178" i="1" s="1"/>
  <c r="N177" i="1" a="1"/>
  <c r="L177" i="1"/>
  <c r="M177" i="1" s="1"/>
  <c r="N176" i="1" a="1"/>
  <c r="L176" i="1"/>
  <c r="M176" i="1" s="1"/>
  <c r="N175" i="1" a="1"/>
  <c r="L175" i="1"/>
  <c r="M175" i="1" s="1"/>
  <c r="N174" i="1" a="1"/>
  <c r="L174" i="1"/>
  <c r="M174" i="1" s="1"/>
  <c r="J179" i="1"/>
  <c r="J178" i="1"/>
  <c r="J177" i="1"/>
  <c r="J176" i="1"/>
  <c r="J175" i="1"/>
  <c r="J174" i="1"/>
  <c r="J173" i="1"/>
  <c r="N169" i="1" a="1"/>
  <c r="L169" i="1"/>
  <c r="M169" i="1" s="1"/>
  <c r="J169" i="1"/>
  <c r="N146" i="1" a="1"/>
  <c r="L146" i="1"/>
  <c r="M146" i="1" s="1"/>
  <c r="J146" i="1"/>
  <c r="D93" i="1"/>
  <c r="D86" i="1"/>
  <c r="D87" i="1"/>
  <c r="D88" i="1"/>
  <c r="D89" i="1"/>
  <c r="D90" i="1"/>
  <c r="D91" i="1"/>
  <c r="D92" i="1"/>
  <c r="N168" i="1" a="1"/>
  <c r="N167" i="1" a="1"/>
  <c r="N166" i="1" a="1"/>
  <c r="N165" i="1" a="1"/>
  <c r="N164" i="1" a="1"/>
  <c r="N163" i="1" a="1"/>
  <c r="N162" i="1" a="1"/>
  <c r="N161" i="1" a="1"/>
  <c r="N160" i="1" a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J160" i="1"/>
  <c r="J161" i="1"/>
  <c r="J162" i="1"/>
  <c r="J163" i="1"/>
  <c r="J164" i="1"/>
  <c r="J165" i="1"/>
  <c r="J166" i="1"/>
  <c r="J167" i="1"/>
  <c r="J168" i="1"/>
  <c r="N159" i="1" a="1"/>
  <c r="N158" i="1" a="1"/>
  <c r="L158" i="1"/>
  <c r="M158" i="1" s="1"/>
  <c r="L159" i="1"/>
  <c r="M159" i="1" s="1"/>
  <c r="N157" i="1" a="1"/>
  <c r="N156" i="1" a="1"/>
  <c r="N155" i="1" a="1"/>
  <c r="N154" i="1" a="1"/>
  <c r="N153" i="1" a="1"/>
  <c r="N152" i="1" a="1"/>
  <c r="N151" i="1" a="1"/>
  <c r="N150" i="1" a="1"/>
  <c r="N149" i="1" a="1"/>
  <c r="N148" i="1" a="1"/>
  <c r="N147" i="1" a="1"/>
  <c r="N145" i="1" a="1"/>
  <c r="N144" i="1" a="1"/>
  <c r="N143" i="1" a="1"/>
  <c r="N142" i="1" a="1"/>
  <c r="N141" i="1" a="1"/>
  <c r="N140" i="1" a="1"/>
  <c r="N139" i="1" a="1"/>
  <c r="N138" i="1" a="1"/>
  <c r="N137" i="1" a="1"/>
  <c r="N136" i="1" a="1"/>
  <c r="N135" i="1" a="1"/>
  <c r="N134" i="1" a="1"/>
  <c r="N133" i="1" a="1"/>
  <c r="N132" i="1" a="1"/>
  <c r="N131" i="1" a="1"/>
  <c r="N130" i="1" a="1"/>
  <c r="N129" i="1" a="1"/>
  <c r="N128" i="1" a="1"/>
  <c r="N127" i="1" a="1"/>
  <c r="N126" i="1" a="1"/>
  <c r="N125" i="1" a="1"/>
  <c r="N124" i="1" a="1"/>
  <c r="N123" i="1" a="1"/>
  <c r="N122" i="1" a="1"/>
  <c r="N121" i="1" a="1"/>
  <c r="N120" i="1" a="1"/>
  <c r="N119" i="1" a="1"/>
  <c r="N118" i="1" a="1"/>
  <c r="N117" i="1" a="1"/>
  <c r="N116" i="1" a="1"/>
  <c r="N115" i="1" a="1"/>
  <c r="N114" i="1" a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N113" i="1" a="1"/>
  <c r="L113" i="1"/>
  <c r="M113" i="1" s="1"/>
  <c r="N112" i="1" a="1"/>
  <c r="L112" i="1"/>
  <c r="M112" i="1" s="1"/>
  <c r="N111" i="1" a="1"/>
  <c r="L111" i="1"/>
  <c r="M111" i="1" s="1"/>
  <c r="N110" i="1" a="1"/>
  <c r="L110" i="1"/>
  <c r="M110" i="1" s="1"/>
  <c r="N109" i="1" a="1"/>
  <c r="L109" i="1"/>
  <c r="M109" i="1" s="1"/>
  <c r="N108" i="1" a="1"/>
  <c r="L108" i="1"/>
  <c r="M108" i="1" s="1"/>
  <c r="N107" i="1" a="1"/>
  <c r="L107" i="1"/>
  <c r="M107" i="1" s="1"/>
  <c r="N106" i="1" a="1"/>
  <c r="L106" i="1"/>
  <c r="M106" i="1" s="1"/>
  <c r="N105" i="1" a="1"/>
  <c r="L105" i="1"/>
  <c r="M105" i="1" s="1"/>
  <c r="N104" i="1" a="1"/>
  <c r="L104" i="1"/>
  <c r="M104" i="1" s="1"/>
  <c r="N103" i="1" a="1"/>
  <c r="L103" i="1"/>
  <c r="M103" i="1" s="1"/>
  <c r="N102" i="1" a="1"/>
  <c r="L102" i="1"/>
  <c r="M102" i="1" s="1"/>
  <c r="N101" i="1" a="1"/>
  <c r="L101" i="1"/>
  <c r="M101" i="1" s="1"/>
  <c r="N100" i="1" a="1"/>
  <c r="L100" i="1"/>
  <c r="M100" i="1" s="1"/>
  <c r="N99" i="1" a="1"/>
  <c r="L99" i="1"/>
  <c r="M99" i="1" s="1"/>
  <c r="N98" i="1" a="1"/>
  <c r="L98" i="1"/>
  <c r="M98" i="1" s="1"/>
  <c r="N97" i="1" a="1"/>
  <c r="L97" i="1"/>
  <c r="M97" i="1" s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D85" i="1"/>
  <c r="N93" i="1" a="1"/>
  <c r="L93" i="1"/>
  <c r="M93" i="1" s="1"/>
  <c r="N92" i="1" a="1"/>
  <c r="L92" i="1"/>
  <c r="M92" i="1" s="1"/>
  <c r="N91" i="1" a="1"/>
  <c r="L91" i="1"/>
  <c r="M91" i="1" s="1"/>
  <c r="N90" i="1" a="1"/>
  <c r="L90" i="1"/>
  <c r="M90" i="1" s="1"/>
  <c r="N89" i="1" a="1"/>
  <c r="L89" i="1"/>
  <c r="M89" i="1" s="1"/>
  <c r="N88" i="1" a="1"/>
  <c r="L88" i="1"/>
  <c r="M88" i="1" s="1"/>
  <c r="N87" i="1" a="1"/>
  <c r="L87" i="1"/>
  <c r="M87" i="1" s="1"/>
  <c r="N86" i="1" a="1"/>
  <c r="L86" i="1"/>
  <c r="M86" i="1" s="1"/>
  <c r="N85" i="1" a="1"/>
  <c r="L85" i="1"/>
  <c r="M85" i="1" s="1"/>
  <c r="J93" i="1"/>
  <c r="J92" i="1"/>
  <c r="J91" i="1"/>
  <c r="J90" i="1"/>
  <c r="J89" i="1"/>
  <c r="J88" i="1"/>
  <c r="J87" i="1"/>
  <c r="J86" i="1"/>
  <c r="J85" i="1"/>
  <c r="L73" i="1"/>
  <c r="M73" i="1" s="1"/>
  <c r="N73" i="1" a="1"/>
  <c r="L74" i="1"/>
  <c r="M74" i="1" s="1"/>
  <c r="N74" i="1" a="1"/>
  <c r="L75" i="1"/>
  <c r="M75" i="1" s="1"/>
  <c r="N75" i="1" a="1"/>
  <c r="L76" i="1"/>
  <c r="M76" i="1" s="1"/>
  <c r="N76" i="1" a="1"/>
  <c r="L77" i="1"/>
  <c r="M77" i="1" s="1"/>
  <c r="N77" i="1" a="1"/>
  <c r="M78" i="1"/>
  <c r="N78" i="1" a="1"/>
  <c r="L79" i="1"/>
  <c r="M79" i="1" s="1"/>
  <c r="N79" i="1" a="1"/>
  <c r="L80" i="1"/>
  <c r="M80" i="1" s="1"/>
  <c r="N80" i="1" a="1"/>
  <c r="L81" i="1"/>
  <c r="M81" i="1" s="1"/>
  <c r="N81" i="1" a="1"/>
  <c r="J73" i="1"/>
  <c r="J74" i="1"/>
  <c r="J75" i="1"/>
  <c r="J76" i="1"/>
  <c r="J77" i="1"/>
  <c r="J78" i="1"/>
  <c r="J79" i="1"/>
  <c r="J80" i="1"/>
  <c r="J81" i="1"/>
  <c r="L69" i="1"/>
  <c r="M69" i="1" s="1"/>
  <c r="N69" i="1" a="1"/>
  <c r="L70" i="1"/>
  <c r="M70" i="1" s="1"/>
  <c r="N70" i="1" a="1"/>
  <c r="L71" i="1"/>
  <c r="M71" i="1" s="1"/>
  <c r="N71" i="1" a="1"/>
  <c r="J69" i="1"/>
  <c r="J70" i="1"/>
  <c r="J71" i="1"/>
  <c r="L68" i="1"/>
  <c r="M68" i="1" s="1"/>
  <c r="N68" i="1" a="1"/>
  <c r="J68" i="1"/>
  <c r="L67" i="1"/>
  <c r="M67" i="1" s="1"/>
  <c r="N67" i="1" a="1"/>
  <c r="J67" i="1"/>
  <c r="N66" i="1" l="1" a="1"/>
  <c r="L66" i="1"/>
  <c r="M66" i="1" s="1"/>
  <c r="J66" i="1"/>
  <c r="L65" i="1"/>
  <c r="M65" i="1" s="1"/>
  <c r="N65" i="1" a="1"/>
  <c r="J65" i="1"/>
  <c r="L64" i="1"/>
  <c r="M64" i="1" s="1"/>
  <c r="N64" i="1" a="1"/>
  <c r="J64" i="1"/>
  <c r="L60" i="1"/>
  <c r="M60" i="1" s="1"/>
  <c r="N60" i="1" a="1"/>
  <c r="L61" i="1"/>
  <c r="M61" i="1" s="1"/>
  <c r="N61" i="1" a="1"/>
  <c r="L62" i="1"/>
  <c r="M62" i="1" s="1"/>
  <c r="N62" i="1" a="1"/>
  <c r="L63" i="1"/>
  <c r="M63" i="1" s="1"/>
  <c r="N63" i="1" a="1"/>
  <c r="J60" i="1"/>
  <c r="J61" i="1"/>
  <c r="J62" i="1"/>
  <c r="J63" i="1"/>
  <c r="L58" i="1"/>
  <c r="M58" i="1" s="1"/>
  <c r="N58" i="1" a="1"/>
  <c r="L59" i="1"/>
  <c r="M59" i="1" s="1"/>
  <c r="N59" i="1" a="1"/>
  <c r="J58" i="1"/>
  <c r="J59" i="1"/>
  <c r="L52" i="1"/>
  <c r="M52" i="1" s="1"/>
  <c r="N52" i="1" a="1"/>
  <c r="L53" i="1"/>
  <c r="M53" i="1" s="1"/>
  <c r="N53" i="1" a="1"/>
  <c r="L54" i="1"/>
  <c r="M54" i="1" s="1"/>
  <c r="N54" i="1" a="1"/>
  <c r="L55" i="1"/>
  <c r="M55" i="1" s="1"/>
  <c r="N55" i="1" a="1"/>
  <c r="L57" i="1"/>
  <c r="M57" i="1" s="1"/>
  <c r="N57" i="1" a="1"/>
  <c r="J57" i="1"/>
  <c r="J55" i="1"/>
  <c r="J54" i="1"/>
  <c r="J53" i="1"/>
  <c r="J52" i="1"/>
  <c r="L50" i="1"/>
  <c r="M50" i="1" s="1"/>
  <c r="N50" i="1" a="1"/>
  <c r="L51" i="1"/>
  <c r="M51" i="1" s="1"/>
  <c r="N51" i="1" a="1"/>
  <c r="J51" i="1"/>
  <c r="J50" i="1"/>
  <c r="L43" i="1"/>
  <c r="M43" i="1" s="1"/>
  <c r="N43" i="1" a="1"/>
  <c r="L44" i="1"/>
  <c r="M44" i="1" s="1"/>
  <c r="N44" i="1" a="1"/>
  <c r="L45" i="1"/>
  <c r="M45" i="1" s="1"/>
  <c r="N45" i="1" a="1"/>
  <c r="L46" i="1"/>
  <c r="M46" i="1" s="1"/>
  <c r="N46" i="1" a="1"/>
  <c r="L47" i="1"/>
  <c r="M47" i="1" s="1"/>
  <c r="N47" i="1" a="1"/>
  <c r="L48" i="1"/>
  <c r="M48" i="1" s="1"/>
  <c r="N48" i="1" a="1"/>
  <c r="L49" i="1"/>
  <c r="M49" i="1" s="1"/>
  <c r="N49" i="1" a="1"/>
  <c r="J43" i="1"/>
  <c r="J44" i="1"/>
  <c r="J45" i="1"/>
  <c r="J46" i="1"/>
  <c r="J47" i="1"/>
  <c r="J48" i="1"/>
  <c r="J49" i="1"/>
  <c r="N41" i="1" a="1"/>
  <c r="N42" i="1" a="1"/>
  <c r="L41" i="1"/>
  <c r="M41" i="1" s="1"/>
  <c r="L42" i="1"/>
  <c r="M42" i="1" s="1"/>
  <c r="J42" i="1"/>
  <c r="J41" i="1"/>
  <c r="L20" i="1"/>
  <c r="M20" i="1" s="1"/>
  <c r="N3" i="1" a="1"/>
  <c r="N4" i="1" a="1"/>
  <c r="N5" i="1" a="1"/>
  <c r="N6" i="1" a="1"/>
  <c r="N7" i="1" a="1"/>
  <c r="N8" i="1" a="1"/>
  <c r="N9" i="1" a="1"/>
  <c r="N10" i="1" a="1"/>
  <c r="N11" i="1" a="1"/>
  <c r="N12" i="1" a="1"/>
  <c r="N13" i="1" a="1"/>
  <c r="N14" i="1" a="1"/>
  <c r="N15" i="1" a="1"/>
  <c r="N16" i="1" a="1"/>
  <c r="N17" i="1" a="1"/>
  <c r="N18" i="1" a="1"/>
  <c r="N19" i="1" a="1"/>
  <c r="N20" i="1" a="1"/>
  <c r="N21" i="1" a="1"/>
  <c r="N23" i="1" a="1"/>
  <c r="N24" i="1" a="1"/>
  <c r="N25" i="1" a="1"/>
  <c r="N26" i="1" a="1"/>
  <c r="N27" i="1" a="1"/>
  <c r="N28" i="1" a="1"/>
  <c r="N29" i="1" a="1"/>
  <c r="N30" i="1" a="1"/>
  <c r="N31" i="1" a="1"/>
  <c r="N32" i="1" a="1"/>
  <c r="N33" i="1" a="1"/>
  <c r="N34" i="1" a="1"/>
  <c r="N35" i="1" a="1"/>
  <c r="N36" i="1" a="1"/>
  <c r="N37" i="1" a="1"/>
  <c r="N38" i="1" a="1"/>
  <c r="N39" i="1" a="1"/>
  <c r="N40" i="1" a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3" i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1" i="1"/>
  <c r="M21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3" i="1" l="1"/>
  <c r="M3" i="1" s="1"/>
  <c r="D58" i="1" l="1"/>
  <c r="D27" i="1"/>
  <c r="D35" i="1"/>
  <c r="D59" i="1"/>
  <c r="D4" i="1"/>
  <c r="D12" i="1"/>
  <c r="D20" i="1"/>
  <c r="D29" i="1"/>
  <c r="D37" i="1"/>
  <c r="D44" i="1"/>
  <c r="D52" i="1"/>
  <c r="D61" i="1"/>
  <c r="D14" i="1"/>
  <c r="D31" i="1"/>
  <c r="D46" i="1"/>
  <c r="D63" i="1"/>
  <c r="D15" i="1"/>
  <c r="D47" i="1"/>
  <c r="D16" i="1"/>
  <c r="D26" i="1"/>
  <c r="D50" i="1"/>
  <c r="D19" i="1"/>
  <c r="D43" i="1"/>
  <c r="D68" i="1"/>
  <c r="D25" i="1"/>
  <c r="D17" i="1"/>
  <c r="D48" i="1"/>
  <c r="D9" i="1"/>
  <c r="D41" i="1"/>
  <c r="D66" i="1"/>
  <c r="D18" i="1"/>
  <c r="D42" i="1"/>
  <c r="D67" i="1"/>
  <c r="D5" i="1"/>
  <c r="D13" i="1"/>
  <c r="D21" i="1"/>
  <c r="D30" i="1"/>
  <c r="D38" i="1"/>
  <c r="D45" i="1"/>
  <c r="D53" i="1"/>
  <c r="D64" i="1"/>
  <c r="D8" i="1"/>
  <c r="D57" i="1"/>
  <c r="D3" i="1"/>
  <c r="D10" i="1"/>
  <c r="D11" i="1"/>
  <c r="D36" i="1"/>
  <c r="D60" i="1"/>
  <c r="D55" i="1"/>
  <c r="D65" i="1"/>
  <c r="D62" i="1"/>
  <c r="D6" i="1"/>
  <c r="D39" i="1"/>
  <c r="D54" i="1"/>
  <c r="D7" i="1"/>
  <c r="D24" i="1"/>
  <c r="D32" i="1"/>
  <c r="D40" i="1"/>
  <c r="D33" i="1"/>
  <c r="D49" i="1"/>
  <c r="D28" i="1"/>
  <c r="D51" i="1"/>
  <c r="D34" i="1"/>
  <c r="D77" i="1"/>
  <c r="D71" i="1"/>
  <c r="D80" i="1"/>
  <c r="D74" i="1"/>
  <c r="D75" i="1"/>
  <c r="D81" i="1"/>
  <c r="D73" i="1"/>
  <c r="D76" i="1"/>
  <c r="D70" i="1"/>
  <c r="D69" i="1"/>
  <c r="D78" i="1"/>
  <c r="D79" i="1"/>
  <c r="N179" i="1"/>
  <c r="N178" i="1"/>
  <c r="N177" i="1"/>
  <c r="N176" i="1"/>
  <c r="N175" i="1"/>
  <c r="N174" i="1"/>
  <c r="N173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3" i="1"/>
  <c r="N92" i="1"/>
  <c r="N91" i="1"/>
  <c r="N90" i="1"/>
  <c r="N89" i="1"/>
  <c r="N88" i="1"/>
  <c r="N87" i="1"/>
  <c r="N86" i="1"/>
  <c r="N85" i="1"/>
  <c r="N81" i="1"/>
  <c r="N80" i="1"/>
  <c r="N79" i="1"/>
  <c r="N78" i="1"/>
  <c r="N77" i="1"/>
  <c r="N76" i="1"/>
  <c r="N75" i="1"/>
  <c r="N74" i="1"/>
  <c r="N73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<sst xmlns="http://schemas.openxmlformats.org/spreadsheetml/2006/main" count="1115" uniqueCount="524">
  <si>
    <t>Instructions to use MDL:</t>
  </si>
  <si>
    <t>R1</t>
  </si>
  <si>
    <t>This submittal log shall only be maintained by Document Control.</t>
  </si>
  <si>
    <t>R2</t>
  </si>
  <si>
    <t>Links between MDL and submittal log are fixed. Changing file location will need updates to formulas.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</si>
  <si>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</si>
  <si>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</si>
  <si>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</si>
  <si>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</si>
  <si>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</si>
  <si>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</si>
  <si>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</si>
  <si>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</si>
  <si>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</si>
  <si>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Notes from S.O.:</t>
  </si>
  <si>
    <t>1</t>
  </si>
  <si>
    <t>2</t>
  </si>
  <si>
    <t>SNo.</t>
  </si>
  <si>
    <t>Prolog No.</t>
  </si>
  <si>
    <t>Prolog Rev</t>
  </si>
  <si>
    <t>Prolog Subject</t>
  </si>
  <si>
    <t>Document No.</t>
  </si>
  <si>
    <t>Revision</t>
  </si>
  <si>
    <t>Submitted By</t>
  </si>
  <si>
    <t>Submission Date</t>
  </si>
  <si>
    <t>Review Period</t>
  </si>
  <si>
    <t>Target Return Date</t>
  </si>
  <si>
    <t>Actual Return Date</t>
  </si>
  <si>
    <t>Review Turnaround Days</t>
  </si>
  <si>
    <t>Review Delay Days</t>
  </si>
  <si>
    <t>Submission Status</t>
  </si>
  <si>
    <t>Approval Status</t>
  </si>
  <si>
    <t>Resubmission Required</t>
  </si>
  <si>
    <t>Notes</t>
  </si>
  <si>
    <t>ICA</t>
  </si>
  <si>
    <t>0028</t>
  </si>
  <si>
    <t>131236-WSW46-VI-I-0001</t>
  </si>
  <si>
    <t>0</t>
  </si>
  <si>
    <t>Ricky</t>
  </si>
  <si>
    <t>APP</t>
  </si>
  <si>
    <t>NO</t>
  </si>
  <si>
    <t>0031</t>
  </si>
  <si>
    <t>131236-WSW46-VI-I-0002</t>
  </si>
  <si>
    <t>AWC</t>
  </si>
  <si>
    <t>YES</t>
  </si>
  <si>
    <t>0037</t>
  </si>
  <si>
    <t>131236-WSW46-VI-I-0003</t>
  </si>
  <si>
    <t>0038</t>
  </si>
  <si>
    <t>131236-WSW46-VI-I-0004</t>
  </si>
  <si>
    <t>0040</t>
  </si>
  <si>
    <t>131236-WSW46-VI-I-0005</t>
  </si>
  <si>
    <t>0041</t>
  </si>
  <si>
    <t>131236-WSW46-VI-I-0006</t>
  </si>
  <si>
    <t>0046</t>
  </si>
  <si>
    <t>131236-WSW46-VI-I-0007</t>
  </si>
  <si>
    <t>0048</t>
  </si>
  <si>
    <t>131236-WSW46-VI-I-0008</t>
  </si>
  <si>
    <t>0050</t>
  </si>
  <si>
    <t>131236-WSW46-VI-I-0009</t>
  </si>
  <si>
    <t>0051</t>
  </si>
  <si>
    <t>131236-WSW46-VI-I-0010</t>
  </si>
  <si>
    <t>0055</t>
  </si>
  <si>
    <t>131236-WSW46-VI-I-0011</t>
  </si>
  <si>
    <t>0057</t>
  </si>
  <si>
    <t>131236-WSW46-VI-I-0012</t>
  </si>
  <si>
    <t>0063</t>
  </si>
  <si>
    <t>131236-WSW46-VI-I-0013</t>
  </si>
  <si>
    <t>0067</t>
  </si>
  <si>
    <t>131236-WSW46-VI-I-0014</t>
  </si>
  <si>
    <t>0102</t>
  </si>
  <si>
    <t>131236-WSW46-VI-I-0015</t>
  </si>
  <si>
    <t>0115</t>
  </si>
  <si>
    <t>131236-WSW46-VI-I-0016</t>
  </si>
  <si>
    <t>0151</t>
  </si>
  <si>
    <t>131236-WSW46-VI-I-0017</t>
  </si>
  <si>
    <t>0152</t>
  </si>
  <si>
    <t>131236-WSW46-VI-I-0018</t>
  </si>
  <si>
    <t>0159</t>
  </si>
  <si>
    <t>131236-WSW46-VI-I-0019</t>
  </si>
  <si>
    <t>131236-WSW46-VI-I-0020</t>
  </si>
  <si>
    <t>0033</t>
  </si>
  <si>
    <t>131236-WIL21-VI-I-0001</t>
  </si>
  <si>
    <t>0034</t>
  </si>
  <si>
    <t>131236-WIL21-VI-I-0002</t>
  </si>
  <si>
    <t>0035</t>
  </si>
  <si>
    <t>131236-WIL21-VI-I-0003</t>
  </si>
  <si>
    <t>0036</t>
  </si>
  <si>
    <t>131236-WIL21-VI-I-0004</t>
  </si>
  <si>
    <t>0061</t>
  </si>
  <si>
    <t>131236-WIL21-VI-I-0005</t>
  </si>
  <si>
    <t>0062</t>
  </si>
  <si>
    <t>131236-WIL21-VI-I-0006</t>
  </si>
  <si>
    <t>0072</t>
  </si>
  <si>
    <t>131236-WIL21-VI-I-0007</t>
  </si>
  <si>
    <t>0049</t>
  </si>
  <si>
    <t>131236-WIL22-VI-I-0001</t>
  </si>
  <si>
    <t>0078</t>
  </si>
  <si>
    <t>131236-WIL22-VI-I-0002</t>
  </si>
  <si>
    <t>0042</t>
  </si>
  <si>
    <t>131236-WIL23-VI-I-0001</t>
  </si>
  <si>
    <t>0043</t>
  </si>
  <si>
    <t>131236-WIL23-VI-I-0002</t>
  </si>
  <si>
    <t>0045</t>
  </si>
  <si>
    <t>131236-WIL23-VI-I-0003</t>
  </si>
  <si>
    <t>0047</t>
  </si>
  <si>
    <t>131236-WIL23-VI-I-0004</t>
  </si>
  <si>
    <t>0059</t>
  </si>
  <si>
    <t>131236-WIL23-VI-I-0005</t>
  </si>
  <si>
    <t>0060</t>
  </si>
  <si>
    <t>131236-WIL23-VI-I-0006</t>
  </si>
  <si>
    <t>0068</t>
  </si>
  <si>
    <t>131236-WIL23-VI-I-0007</t>
  </si>
  <si>
    <t>0069</t>
  </si>
  <si>
    <t>131236-WIL23-VI-I-0008</t>
  </si>
  <si>
    <t>REJ</t>
  </si>
  <si>
    <t>0039</t>
  </si>
  <si>
    <t>131236-WNS03-VI-I-0001</t>
  </si>
  <si>
    <t>0031-1</t>
  </si>
  <si>
    <t>0031-2</t>
  </si>
  <si>
    <t>0038-1</t>
  </si>
  <si>
    <t>0040-1</t>
  </si>
  <si>
    <t>0041-1</t>
  </si>
  <si>
    <t>0046-1</t>
  </si>
  <si>
    <t>0048-1</t>
  </si>
  <si>
    <t>0050-1</t>
  </si>
  <si>
    <t>0051-1</t>
  </si>
  <si>
    <t>0067-1</t>
  </si>
  <si>
    <t>0067-2</t>
  </si>
  <si>
    <t>0033-1</t>
  </si>
  <si>
    <t>0034-1</t>
  </si>
  <si>
    <t>0035-1</t>
  </si>
  <si>
    <t>0036-1</t>
  </si>
  <si>
    <t>0036-2</t>
  </si>
  <si>
    <t>0061-1</t>
  </si>
  <si>
    <t>0072-1</t>
  </si>
  <si>
    <t>0049-1</t>
  </si>
  <si>
    <t>0042-1</t>
  </si>
  <si>
    <t>0043-1</t>
  </si>
  <si>
    <t>0045-1</t>
  </si>
  <si>
    <t>0047-1</t>
  </si>
  <si>
    <t>0060-1</t>
  </si>
  <si>
    <t>0068-1</t>
  </si>
  <si>
    <t>0068-2</t>
  </si>
  <si>
    <t>0069-1</t>
  </si>
  <si>
    <t>0039-1</t>
  </si>
  <si>
    <t>0158</t>
  </si>
  <si>
    <t>131236-WSW46-SH-I-0001</t>
  </si>
  <si>
    <t>0171</t>
  </si>
  <si>
    <t>131236-WSW46-SH-I-0002</t>
  </si>
  <si>
    <t>0172</t>
  </si>
  <si>
    <t>131236-WSW46-SH-I-0003</t>
  </si>
  <si>
    <t>131236-WSW46-SH-I-0004</t>
  </si>
  <si>
    <t>0083</t>
  </si>
  <si>
    <t>131236-WIL21-DS-I-0001</t>
  </si>
  <si>
    <t>0084</t>
  </si>
  <si>
    <t>131236-WIL21-DS-I-0002</t>
  </si>
  <si>
    <t>0105</t>
  </si>
  <si>
    <t>131236-WIL21-DS-I-0003</t>
  </si>
  <si>
    <t>0106</t>
  </si>
  <si>
    <t>131236-WIL21-DS-I-0004</t>
  </si>
  <si>
    <t>NAP</t>
  </si>
  <si>
    <t>0116</t>
  </si>
  <si>
    <t>131236-WIL21-DS-I-0005</t>
  </si>
  <si>
    <t>0134</t>
  </si>
  <si>
    <t>131236-WIL23-DS-I-0001</t>
  </si>
  <si>
    <t>0104</t>
  </si>
  <si>
    <t>131236-WSW46-DS-I-0001</t>
  </si>
  <si>
    <t>0135</t>
  </si>
  <si>
    <t>131236-WSW46-DS-I-0002</t>
  </si>
  <si>
    <t>0131</t>
  </si>
  <si>
    <t>131236-WNS03-DR-I-7000</t>
  </si>
  <si>
    <t>131236-WIL21-DS-I-0006</t>
  </si>
  <si>
    <t>Electrical</t>
  </si>
  <si>
    <t>0094</t>
  </si>
  <si>
    <t>131236-WSW46-VI-E-0001</t>
  </si>
  <si>
    <t>Ammar</t>
  </si>
  <si>
    <t>0095</t>
  </si>
  <si>
    <t>131236-WSW46-VI-E-0002</t>
  </si>
  <si>
    <t>0101</t>
  </si>
  <si>
    <t>131236-WSW46-VI-E-0003</t>
  </si>
  <si>
    <t>0130</t>
  </si>
  <si>
    <t>131236-WSW46-VI-E-0004</t>
  </si>
  <si>
    <t>0133</t>
  </si>
  <si>
    <t>131236-WSW46-VI-E-0005</t>
  </si>
  <si>
    <t>0141</t>
  </si>
  <si>
    <t>131236-WSW46-VI-E-0006</t>
  </si>
  <si>
    <t>0094-1</t>
  </si>
  <si>
    <t>0095-1</t>
  </si>
  <si>
    <t>0101-1</t>
  </si>
  <si>
    <t>Mechanical</t>
  </si>
  <si>
    <t>0065</t>
  </si>
  <si>
    <t>Vendor Information For NDT Company Details &amp; Procedure (Ace Quality Testing &amp; Inspection Services Pte Ltd)</t>
  </si>
  <si>
    <t>131236-WIL00-VI-M-0001</t>
  </si>
  <si>
    <t>Dinesh</t>
  </si>
  <si>
    <t>0076</t>
  </si>
  <si>
    <t>Preliminary Design Submission For Design, Supply, Manufacturing, FAT, and Delivery Of Stainless Steel (SS316L) Pipes &amp; Fittings Vendor Information (RACCORTUBI SINGAPORE PTE LTD)</t>
  </si>
  <si>
    <t>131236-WIL00-VI-M-0002</t>
  </si>
  <si>
    <t>Fadhli Muiz</t>
  </si>
  <si>
    <t>0064</t>
  </si>
  <si>
    <t>Vendor Information For Intermediate Screen And Its Associated Dewatering Press (WAM Singapore BHM Pte Ltd)</t>
  </si>
  <si>
    <t>131236-WIL21-VI-M-0001</t>
  </si>
  <si>
    <t>Alan Siah</t>
  </si>
  <si>
    <t>0066</t>
  </si>
  <si>
    <t>Preliminary Design Submission For Design, Supply, Manufacturing, Factory Acceptance Test, Delivery, Supervision of Installation and Testing &amp; Commissioning Of Grit Classifier (WAM Singapore BHM Pte Ltd)</t>
  </si>
  <si>
    <t>131236-WIL21-VI-M-0002</t>
  </si>
  <si>
    <t>0077</t>
  </si>
  <si>
    <t>Preliminary Design Submission For Design, Supply, Manufacturing, Factory Acceptance Test, Delivery, Supervision of Installation and Testing &amp; Commissioning Of Screenings And Grit Conveyors Including Associated Chute, Diverter Gates And Slide Gates (WAM Singapore BHM Pte Ltd)</t>
  </si>
  <si>
    <t>131236-WIL21-VI-M-0003</t>
  </si>
  <si>
    <t>0112</t>
  </si>
  <si>
    <t>Vendor Information for Grit Tank Grease And Scum Removal Equipment (PROBIG GmbH)</t>
  </si>
  <si>
    <t>131236-WIL21-VI-M-0004</t>
  </si>
  <si>
    <t>0093</t>
  </si>
  <si>
    <t>Vendor Information For Lamella Settlement, Lamella support structure, PST Sludge Scraper and PST Scum Skimming and Removal System (Nova Industries International L.L.C-FZ)</t>
  </si>
  <si>
    <t>131236-WIL22-VI-M-0001</t>
  </si>
  <si>
    <t>Kenny Lim</t>
  </si>
  <si>
    <t>0023</t>
  </si>
  <si>
    <t>Preliminary Design Submission For Design, Supply, Manufacturing, Factory Acceptance Test, Delivery, Supervision of Installation and Testing &amp; Commissioning Of Hyperbolic Mixer(INVENT UMWELT- UND VERFAHRENSTECHNIK AG)</t>
  </si>
  <si>
    <t>131236-WIL23-VI-M-0001</t>
  </si>
  <si>
    <t>Wai Bin</t>
  </si>
  <si>
    <t>0080</t>
  </si>
  <si>
    <t>Vendor Information For Design, Manufacturing, FAT, Supply &amp; Delivery of MFS (Membrane) (Veolia Water Technologies &amp; Solutions (Singapore) Pte Ltd)</t>
  </si>
  <si>
    <t>131236-WIL23-VI-M-0002</t>
  </si>
  <si>
    <t>Tan Si Hui</t>
  </si>
  <si>
    <t>0088</t>
  </si>
  <si>
    <t>Vendor Information Submission For Design, Supply, Manufacturing, FAT, and Delivery Of Surge Vessel Including Instrument and Structure Support (SYNCHONG HOE ENGINEERING SDN. BHD.)</t>
  </si>
  <si>
    <t>131236-WNS03-VI-M-0001</t>
  </si>
  <si>
    <t>0103</t>
  </si>
  <si>
    <t>Vendor Information For Diffusers (Air Diffuser – Grit System and Bioreactors) (ENVIRONMENTAL DYNAMICS INTERNATIONAL, INC (EDI))</t>
  </si>
  <si>
    <t>131236-WSW46-VI-M-0001</t>
  </si>
  <si>
    <t>0119</t>
  </si>
  <si>
    <t>Datasheet For Bioreactor Tank Mixed Liquor Mixer</t>
  </si>
  <si>
    <t>131236-WIL23-DS-M-0001</t>
  </si>
  <si>
    <t>Wu Hongqing</t>
  </si>
  <si>
    <t>0032</t>
  </si>
  <si>
    <t>Design Calculation For Existing RC Slab And Beam For Max.10 Tons Mini Spider Crane Parking And Access At SFL. 15.8m Industrial LM2 (WIL 21 AND 22)</t>
  </si>
  <si>
    <t>131236-WSW46-CL-M-0001</t>
  </si>
  <si>
    <t>Mark</t>
  </si>
  <si>
    <t>0120</t>
  </si>
  <si>
    <t>Foul Air Pipeworks Pressure Drop Calculation For ILM2 OCF1</t>
  </si>
  <si>
    <t>131236-WSW46-CL-M-0002</t>
  </si>
  <si>
    <t>Wang YiQian</t>
  </si>
  <si>
    <t>INF</t>
  </si>
  <si>
    <t>0138</t>
  </si>
  <si>
    <t>Foul Air Pipeworks Pressure Drop Calculation For ILM2 OCF2</t>
  </si>
  <si>
    <t>131236-WSW46-CL-M-0003</t>
  </si>
  <si>
    <t>0121</t>
  </si>
  <si>
    <t>DPS And Intake Chamber Pipe Size Calculation</t>
  </si>
  <si>
    <t>131236-WIL21-CL-M-0001</t>
  </si>
  <si>
    <t>0122</t>
  </si>
  <si>
    <t>Intermediate Screen Area Pipe Size Calculation</t>
  </si>
  <si>
    <t>131236-WIL21-CL-M-0002</t>
  </si>
  <si>
    <t>0123</t>
  </si>
  <si>
    <t>Fine Screen Area Pipe Size Calculation</t>
  </si>
  <si>
    <t>131236-WIL21-CL-M-0003</t>
  </si>
  <si>
    <t>0124</t>
  </si>
  <si>
    <t>Aerated Grit Tank Area Pipe Size Calculation</t>
  </si>
  <si>
    <t>131236-WIL21-CL-M-0004</t>
  </si>
  <si>
    <t>0125</t>
  </si>
  <si>
    <t>Grit Classifier &amp; Hopper Area Pipe Size Calculation</t>
  </si>
  <si>
    <t>131236-WIL21-CL-M-0005</t>
  </si>
  <si>
    <t>0126</t>
  </si>
  <si>
    <t>Headworks Grease and Scum Wet Well Area Pipe Size Calculation</t>
  </si>
  <si>
    <t>131236-WIL21-CL-M-0006</t>
  </si>
  <si>
    <t>0161</t>
  </si>
  <si>
    <t>Influent Flowmeter Chamber Drainage Sump Pump Head Calculation</t>
  </si>
  <si>
    <t>131236-WIL21-CL-M-0007</t>
  </si>
  <si>
    <t>0162</t>
  </si>
  <si>
    <t>Plant Drainage PS Wet Well Compartment 2 Pump Head Calculation</t>
  </si>
  <si>
    <t>131236-WIL21-CL-M-0008</t>
  </si>
  <si>
    <t>0169</t>
  </si>
  <si>
    <t>Grease and Scum Wet Well Pump Head Calculation</t>
  </si>
  <si>
    <t>131236-WIL21-CL-M-0009</t>
  </si>
  <si>
    <t>0170</t>
  </si>
  <si>
    <t>Primary Scum Wet Well Pump Head Calculation</t>
  </si>
  <si>
    <t>0153</t>
  </si>
  <si>
    <t>MBR Fine Screen &amp; Bioreactor Pipe Size Calculation</t>
  </si>
  <si>
    <t>131236-WIL23-CL-M-0001</t>
  </si>
  <si>
    <t>0154</t>
  </si>
  <si>
    <t>Membrane Area Pipe Size Calculation</t>
  </si>
  <si>
    <t>131236-WIL23-CL-M-0002</t>
  </si>
  <si>
    <t>0155</t>
  </si>
  <si>
    <t>MBR Filtrate Tank &amp; Transfer Pump Pipe Size Calculation</t>
  </si>
  <si>
    <t>131236-WIL23-CL-M-0003</t>
  </si>
  <si>
    <t>0156</t>
  </si>
  <si>
    <t>WAS, RAS &amp; Mixed Liquor Wet Well Pipe Size Calculation</t>
  </si>
  <si>
    <t>131236-WIL23-CL-M-0004</t>
  </si>
  <si>
    <t>0163</t>
  </si>
  <si>
    <t>Bioreactor Drainage Pump Head Calculation</t>
  </si>
  <si>
    <t>131236-WIL23-CL-M-0005</t>
  </si>
  <si>
    <t>0164</t>
  </si>
  <si>
    <t>DeOX&amp;RAS Tank Drainage Pump Head Calculation</t>
  </si>
  <si>
    <t>131236-WIL23-CL-M-0006</t>
  </si>
  <si>
    <t>0165</t>
  </si>
  <si>
    <t>MBR Filtrate Tank Drainage Pump Head Calculation</t>
  </si>
  <si>
    <t>131236-WIL23-CL-M-0007</t>
  </si>
  <si>
    <t>0168</t>
  </si>
  <si>
    <t>Membrane Scum Wet Well Pump Head Calculation</t>
  </si>
  <si>
    <t>131236-WIL23-CL-M-0008</t>
  </si>
  <si>
    <t>0128</t>
  </si>
  <si>
    <t>GA Drawing for Bioreactor Mixed Liquor Mixer Sheet 1 of 2</t>
  </si>
  <si>
    <t>131236-WIL23-DR-M-5500</t>
  </si>
  <si>
    <t>GA Drawing for Bioreactor Mixed Liquor Mixer Sheet 2 of 2</t>
  </si>
  <si>
    <t>131236-WIL23-DR-M-5501</t>
  </si>
  <si>
    <t>0052</t>
  </si>
  <si>
    <t>ILM2 - HEAD WORKS BLOWER ROOM AREA DN300 - RISER PIPE Sheet 1 Of 2</t>
  </si>
  <si>
    <t>131236-WIL21-DR-M-5000</t>
  </si>
  <si>
    <t>Rizal</t>
  </si>
  <si>
    <t>ILM2 - HEAD WORKS BLOWER ROOM AREA DN300 - RISER PIPE Sheet 2 Of 2</t>
  </si>
  <si>
    <t>131236-WIL21-DR-M-1000</t>
  </si>
  <si>
    <t>0114</t>
  </si>
  <si>
    <t>P&amp;ID-INTERMEDIATE SCREENS 1,2 &amp; 3</t>
  </si>
  <si>
    <t>131236-WIL21-DR-P-6000</t>
  </si>
  <si>
    <t>P&amp;ID-INTERMEDIATE SCREENS 4,5 &amp; 6</t>
  </si>
  <si>
    <t>131236-WIL21-DR-P-6001</t>
  </si>
  <si>
    <t>P&amp;ID-ODOUR HEADERS AND FLOWMETERS ILM OCF1</t>
  </si>
  <si>
    <t>131236-WIL21-DR-P-6002</t>
  </si>
  <si>
    <t>P&amp;ID-FINE SCREENS 1,2 &amp; 3</t>
  </si>
  <si>
    <t>131236-WIL21-DR-P-6003</t>
  </si>
  <si>
    <t>P&amp;ID-FINE SCREENS 4,5 &amp; 6</t>
  </si>
  <si>
    <t>131236-WIL21-DR-P-6004</t>
  </si>
  <si>
    <t>P&amp;ID-GRIT TANKS 1 &amp; 2</t>
  </si>
  <si>
    <t>131236-WIL21-DR-P-6005</t>
  </si>
  <si>
    <t>P&amp;ID-GRIT TANKS 3 &amp; 4</t>
  </si>
  <si>
    <t>131236-WIL21-DR-P-6006</t>
  </si>
  <si>
    <t>P&amp;ID-GRIT TANKS 5 &amp; 6</t>
  </si>
  <si>
    <t>131236-WIL21-DR-P-6007</t>
  </si>
  <si>
    <t>P&amp;ID-GRIT AIR BLOWERS</t>
  </si>
  <si>
    <t>131236-WIL21-DR-P-6008</t>
  </si>
  <si>
    <t>P&amp;ID-GRIT CLASSIFIER AND CONVEYANCE SYSTEM</t>
  </si>
  <si>
    <t>131236-WIL21-DR-P-6009</t>
  </si>
  <si>
    <t>P&amp;ID-COMMON LOADOUT FACILITY</t>
  </si>
  <si>
    <t>131236-WIL21-DR-P-6010</t>
  </si>
  <si>
    <t>P&amp;ID-GREASE AND SCUM REMOVAL SYSTEM</t>
  </si>
  <si>
    <t>131236-WIL21-DR-P-6011</t>
  </si>
  <si>
    <t>P&amp;ID GREASE AND SCUM REMOVAL SYSTEM</t>
  </si>
  <si>
    <t>131236-WIL21-DR-P-6012</t>
  </si>
  <si>
    <t>P&amp;ID-INDUSTRIAL LM2 PRIMARY TREATMENT &amp; HEADWORKS PLANT DRAINAGE</t>
  </si>
  <si>
    <t>131236-WIL21-DR-P-6015</t>
  </si>
  <si>
    <t>P&amp;ID-ILM2 PLANT DRAINAGE PUMPING STATION</t>
  </si>
  <si>
    <t>131236-WIL21-DR-P-6016</t>
  </si>
  <si>
    <t>0137</t>
  </si>
  <si>
    <t>P&amp;ID SURGE VESSELS</t>
  </si>
  <si>
    <t>131236-WNS03-DR-P-6050</t>
  </si>
  <si>
    <t>0054</t>
  </si>
  <si>
    <t>ITP, WPS &amp; PQR For SS316L Pipe Fabrication Works</t>
  </si>
  <si>
    <t>131236-WIL00-QA-M-0001</t>
  </si>
  <si>
    <t>0056</t>
  </si>
  <si>
    <t>Welder Qualification for Carbon Steel &amp; Stainless Steel Fabrication and Site Installation Works(UES Holdings Pte Ltd)</t>
  </si>
  <si>
    <t>131236-WIL00-QA-M-0002</t>
  </si>
  <si>
    <t>0070</t>
  </si>
  <si>
    <t>ITP, WPS &amp; PQR For Pipe Support workshop Fabrication Works</t>
  </si>
  <si>
    <t>131236-WIL00-QA-M-0003</t>
  </si>
  <si>
    <t>0157</t>
  </si>
  <si>
    <t>Inspection and Test Plan for SS316L Pipe, Fittings &amp; Flanges (Raccortubi Singapore Pte. Ltd.)</t>
  </si>
  <si>
    <t>131236-WIL00-QA-M-0004</t>
  </si>
  <si>
    <t>0146</t>
  </si>
  <si>
    <t>ITP For Screen &amp; Grit Conveyors System</t>
  </si>
  <si>
    <t>131236-WIL23-QA-M-0001</t>
  </si>
  <si>
    <t>0147</t>
  </si>
  <si>
    <t>ITP For Grit Classifier</t>
  </si>
  <si>
    <t>131236-WIL23-QA-M-0002</t>
  </si>
  <si>
    <t>0148</t>
  </si>
  <si>
    <t>ITP For Screen &amp; Dewatering Press</t>
  </si>
  <si>
    <t>131236-WIL23-QA-M-0003</t>
  </si>
  <si>
    <t>0086</t>
  </si>
  <si>
    <t xml:space="preserve">ITP, FAT Procedure for ILM2 Bioreactor Mixed Liquor Mixer </t>
  </si>
  <si>
    <t>Kenny</t>
  </si>
  <si>
    <t>0113</t>
  </si>
  <si>
    <t>ITP For Modules MBR (Polymeric Membrane System)</t>
  </si>
  <si>
    <t>0087</t>
  </si>
  <si>
    <t>CFD Report for Bioreactor Mixed Liquor Mixer</t>
  </si>
  <si>
    <t>131236-WIL23-RT-M-0001</t>
  </si>
  <si>
    <t>0064-1</t>
  </si>
  <si>
    <t>0093-1</t>
  </si>
  <si>
    <t>0023-1</t>
  </si>
  <si>
    <t>0088-1</t>
  </si>
  <si>
    <t>0103-1</t>
  </si>
  <si>
    <t>0120-1</t>
  </si>
  <si>
    <t>131236-WSw46-CL-M-0002</t>
  </si>
  <si>
    <t>0138-1</t>
  </si>
  <si>
    <t>0052-1</t>
  </si>
  <si>
    <t>0023-2</t>
  </si>
  <si>
    <t>Building Services</t>
  </si>
  <si>
    <t>0127</t>
  </si>
  <si>
    <t>Vendor Information For Licensed Plumber for Site Office (M-Stars Engineering &amp; Construction Pte Ltd)</t>
  </si>
  <si>
    <t>131236-WIL00-VI-B-0001</t>
  </si>
  <si>
    <t>0096</t>
  </si>
  <si>
    <t>Vendor Information For Electric Lift Works (XJ Elevator Private Limited)</t>
  </si>
  <si>
    <t>131236-WIL22-VI-B-0001</t>
  </si>
  <si>
    <t>Aizuddin Rahman</t>
  </si>
  <si>
    <t>0109</t>
  </si>
  <si>
    <t>Vendor Information for Addressable Fire Alarm System (Acclaim System Private Limited)</t>
  </si>
  <si>
    <t>131236-WSW46-VI-B-0001</t>
  </si>
  <si>
    <t>Alif Aizuddin</t>
  </si>
  <si>
    <t>0110</t>
  </si>
  <si>
    <t>Vendor Information for Two-Way Emergency Voice Communication System (Acclaim System Private Limited)</t>
  </si>
  <si>
    <t>131236-WSW46-VI-B-0002</t>
  </si>
  <si>
    <t>0111</t>
  </si>
  <si>
    <t>Vendor Information for Gas Suppression System (Federal Fire Engineering Pte Ltd)</t>
  </si>
  <si>
    <t>131236-WSW46-VI-B-0003</t>
  </si>
  <si>
    <t>0160</t>
  </si>
  <si>
    <t>Vendor Information for Water-cooled Chiller (Midea (Singapore) Product Pte. Ltd.)</t>
  </si>
  <si>
    <t>131236-WSW46-VI-B-0004</t>
  </si>
  <si>
    <t>0096-1</t>
  </si>
  <si>
    <t>Project Metadata Title</t>
  </si>
  <si>
    <t>Project Metadata Values</t>
  </si>
  <si>
    <t>Project Metadata Data Type</t>
  </si>
  <si>
    <t>Submission Status Code</t>
  </si>
  <si>
    <t>Approval Code</t>
  </si>
  <si>
    <t>Error Code</t>
  </si>
  <si>
    <t>Group</t>
  </si>
  <si>
    <t>Rule</t>
  </si>
  <si>
    <t>Severity</t>
  </si>
  <si>
    <t>Project Title</t>
  </si>
  <si>
    <t>TWRP C3B2</t>
  </si>
  <si>
    <t>Text</t>
  </si>
  <si>
    <t>SUR</t>
  </si>
  <si>
    <t>Submitted Under SO Review</t>
  </si>
  <si>
    <t>Rejected</t>
  </si>
  <si>
    <t>V-01</t>
  </si>
  <si>
    <t>A</t>
  </si>
  <si>
    <t>Document No. (M) blank on an otherwise populated row</t>
  </si>
  <si>
    <t>Warning</t>
  </si>
  <si>
    <t>Project Code</t>
  </si>
  <si>
    <t>C3B2</t>
  </si>
  <si>
    <t>RTR</t>
  </si>
  <si>
    <t>SO Reviewed Pending Resubmission</t>
  </si>
  <si>
    <t>Not Approved</t>
  </si>
  <si>
    <t>V-02</t>
  </si>
  <si>
    <t>Stage (B) not in Code!E list</t>
  </si>
  <si>
    <t>Error</t>
  </si>
  <si>
    <t>Client</t>
  </si>
  <si>
    <t>PUB</t>
  </si>
  <si>
    <t>NTS</t>
  </si>
  <si>
    <t>Resubmission Not Required</t>
  </si>
  <si>
    <t>Approved without Comments</t>
  </si>
  <si>
    <t>V-03</t>
  </si>
  <si>
    <t>UESH Discipline (C) not in Code!H list</t>
  </si>
  <si>
    <t>Consultant</t>
  </si>
  <si>
    <t>Jacobs</t>
  </si>
  <si>
    <t>Approved with Comments</t>
  </si>
  <si>
    <t>V-04</t>
  </si>
  <si>
    <t>Discipline Code (J) not in Code!T list (client discipline code)</t>
  </si>
  <si>
    <t>Project Start Date</t>
  </si>
  <si>
    <t>2026-03-15</t>
  </si>
  <si>
    <t>Date</t>
  </si>
  <si>
    <t>For Information Only</t>
  </si>
  <si>
    <t>V-05</t>
  </si>
  <si>
    <t>Doc Type (I) not in Code!Q list</t>
  </si>
  <si>
    <t>Header Row</t>
  </si>
  <si>
    <t>Int</t>
  </si>
  <si>
    <t>V-06</t>
  </si>
  <si>
    <t>Authority (Q) not in Code!Z list</t>
  </si>
  <si>
    <t>List End Row</t>
  </si>
  <si>
    <t>V-07</t>
  </si>
  <si>
    <t>Prolog Submission Status (W) not in Code!AC list</t>
  </si>
  <si>
    <t>First Client Review</t>
  </si>
  <si>
    <t>V-08</t>
  </si>
  <si>
    <t>Latest Approval Status (Y) not in the Approval Code block (Code!AF, read at runtime) and not blank</t>
  </si>
  <si>
    <t>Subsequent Client Review</t>
  </si>
  <si>
    <t>V-10</t>
  </si>
  <si>
    <t>As-Built (P) = YES but Actual 1st Issue Date (U) blank</t>
  </si>
  <si>
    <t>Resubmission Duration</t>
  </si>
  <si>
    <t>V-12</t>
  </si>
  <si>
    <t>Stage = Deleted/Void/Superseded but still counted as active (should be excluded)</t>
  </si>
  <si>
    <t>Info</t>
  </si>
  <si>
    <t>Column-A</t>
  </si>
  <si>
    <t>V-13</t>
  </si>
  <si>
    <t>Empty lookup code column while description column has values (mirrors PPP V-22)</t>
  </si>
  <si>
    <t>Column-B</t>
  </si>
  <si>
    <t>V-14</t>
  </si>
  <si>
    <t>Project Code (G) not in Code!K list (WBS Contract Code)</t>
  </si>
  <si>
    <t>Column-C</t>
  </si>
  <si>
    <t>V-15</t>
  </si>
  <si>
    <t>Document No. (M) contains a placeholder/xxxx (on-hold number) — the row record is still valid; Warning only (applies to active rows, §3.7; does not fail V-17 since composition uses the actual K value)</t>
  </si>
  <si>
    <t>Column-D</t>
  </si>
  <si>
    <t>V-17</t>
  </si>
  <si>
    <t>B</t>
  </si>
  <si>
    <t>Document No. (M) must equal ProjectCode-Prefix-DocType-DisciplineCode-Number = G-H-I-J-K joined by - (universal project rule; the Discipline segment is the client Discipline Code = col J, validated against Code!T — not UESH Discipline col C)</t>
  </si>
  <si>
    <t>Column-E</t>
  </si>
  <si>
    <t>V-19</t>
  </si>
  <si>
    <t>Prolog Submission Status (W) non-blank ⇔ Prolog Number (V) non-blank (two-way)</t>
  </si>
  <si>
    <t>Column-F</t>
  </si>
  <si>
    <t>V-18</t>
  </si>
  <si>
    <t>C</t>
  </si>
  <si>
    <t>Actual 1st Issue Date (U = 1st submission date) non-blank ⇒ Prolog Number (V) and Prolog Submission Status (W) must be non-blank (submitted ⇒ transmittal session exists)</t>
  </si>
  <si>
    <t>Column-G</t>
  </si>
  <si>
    <t>V-11</t>
  </si>
  <si>
    <t>Approval Status = APP but Latest Approval Date (X) blank</t>
  </si>
  <si>
    <t>Column-H</t>
  </si>
  <si>
    <t>V-16</t>
  </si>
  <si>
    <t>Prolog Submission Status (W) = RTR but Latest Approval Status (Y) blank/VOID (approval expected)</t>
  </si>
  <si>
    <t>Column-I</t>
  </si>
  <si>
    <t>V-20</t>
  </si>
  <si>
    <t>Approval Status (Y) has a conclusion (APP/AWC/REJ/NAP) ⇒ Actual (U) non-blank and Latest Approval Date (X) non-blank</t>
  </si>
  <si>
    <t>Column-J</t>
  </si>
  <si>
    <t>V-21</t>
  </si>
  <si>
    <t>Latest Approval Date (X) non-blank ⇒ Y non-blank and X ≥ U</t>
  </si>
  <si>
    <t>Column-K</t>
  </si>
  <si>
    <t>V-09</t>
  </si>
  <si>
    <t>D</t>
  </si>
  <si>
    <t>Date order: Planned (S) ≤ Forecast (T) ≤ Actual (U)</t>
  </si>
  <si>
    <t>Column-L</t>
  </si>
  <si>
    <t>V-22</t>
  </si>
  <si>
    <t>Actual (U) non-blank ⇒ Planned (S) &amp; Forecast (T) non-blank</t>
  </si>
  <si>
    <t>Delay Days</t>
  </si>
  <si>
    <t>Column-M</t>
  </si>
  <si>
    <t>V-23</t>
  </si>
  <si>
    <t>Any date (S/T/U/X) later than current system date ⇒ data lag / future date</t>
  </si>
  <si>
    <t>Column-N</t>
  </si>
  <si>
    <t>V-24</t>
  </si>
  <si>
    <t>E</t>
  </si>
  <si>
    <t>BQ Number (E) non-blank ⇒ must exist in BQ sheet BQ No. column (blank E is allowed)</t>
  </si>
  <si>
    <t>Column-O</t>
  </si>
  <si>
    <t>Boolen</t>
  </si>
  <si>
    <t>V-25</t>
  </si>
  <si>
    <t>F</t>
  </si>
  <si>
    <t>Valid record (M non-blank) missing any required field: Document Title(N)/UESH Discipline(C)/Stage(B)/Doc Type(I)/Discipline Code(J)/Project Code(G)/Project Prefix(H)/Number(K)</t>
  </si>
  <si>
    <t>Column-P</t>
  </si>
  <si>
    <t>V-26</t>
  </si>
  <si>
    <t>G</t>
  </si>
  <si>
    <t>Document No. (M) duplicated within the consolidated table</t>
  </si>
  <si>
    <t>V-27</t>
  </si>
  <si>
    <t>As-Built (P) / Vendor Data (R) must be YES/NO/blank; other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</si>
</sst>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14809]d\ mmm\ yyyy;@"/>
    <numFmt numFmtId="166" formatCode="000000;"/>
  </numFmts>
  <fonts count="7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1433"/>
        <bgColor indexed="64"/>
      </patternFill>
    </fill>
    <fill>
      <patternFill patternType="solid">
        <fgColor rgb="FF38CFF5"/>
        <bgColor indexed="64"/>
      </patternFill>
    </fill>
    <fill>
      <patternFill patternType="solid">
        <fgColor rgb="FFFC3FE0"/>
        <bgColor indexed="64"/>
      </patternFill>
    </fill>
    <fill>
      <patternFill patternType="solid">
        <fgColor rgb="FF3EFA5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0" fillId="4" borderId="0" xfId="0" applyFill="1"/>
    <xf numFmtId="0" fontId="0" fillId="4" borderId="0" xfId="0" applyFill="1" applyAlignment="1">
      <alignment horizontal="center"/>
    </xf>
    <xf numFmtId="1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/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6" borderId="0" xfId="0" applyFill="1"/>
    <xf numFmtId="1" fontId="0" fillId="6" borderId="0" xfId="0" applyNumberForma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0" borderId="3" xfId="0" applyBorder="1"/>
    <xf numFmtId="165" fontId="0" fillId="4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5" borderId="0" xfId="0" applyNumberFormat="1" applyFill="1" applyAlignment="1">
      <alignment horizontal="center" vertical="center"/>
    </xf>
    <xf numFmtId="165" fontId="0" fillId="6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/>
    </xf>
    <xf numFmtId="166" fontId="0" fillId="0" borderId="0" xfId="0" quotePrefix="1" applyNumberFormat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</cellXfs>
  <cellStyles count="2">
    <cellStyle name="Comma 3" xfId="1" xr:uid="{7DD1EC3B-2C65-4300-90DB-93754466E825}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3EFA54"/>
      <color rgb="FF25F5F5"/>
      <color rgb="FFFC3FE0"/>
      <color rgb="FFF328FA"/>
      <color rgb="FF38CFF5"/>
      <color rgb="FFFC14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esholdings.sharepoint.com/sites/c3b2/Shared%20Documents/06-DC/01-MDL/TWRP%20C3B2%20-%20Master%20Document%20List.xlsx" TargetMode="External"/><Relationship Id="rId1" Type="http://schemas.openxmlformats.org/officeDocument/2006/relationships/externalLinkPath" Target="TWRP%20C3B2%20-%20Master%20Document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QdDrPDtXaUaEvVbcfwCC3mcMvtowN6BPguRmGC2QX5eYcOfZJV2gTY7AtCjZ36E7" itemId="01SOYK3V52QZOEHUGYP5E232SKT4UCXETQ">
      <xxl21:absoluteUrl r:id="rId2"/>
    </xxl21:alternateUrls>
    <sheetNames>
      <sheetName val="Notes"/>
      <sheetName val="Dashboard"/>
      <sheetName val="Code"/>
      <sheetName val="BQ"/>
      <sheetName val="Validation"/>
      <sheetName val="Project"/>
      <sheetName val="Construction"/>
      <sheetName val="QAQC"/>
      <sheetName val="ICA"/>
      <sheetName val="Process"/>
      <sheetName val="BS"/>
      <sheetName val="Mech"/>
      <sheetName val="Piping"/>
      <sheetName val="Electrical"/>
      <sheetName val="CSA"/>
      <sheetName val="BI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M1" t="str">
            <v>Document No.</v>
          </cell>
          <cell r="N1" t="str">
            <v>Document Title</v>
          </cell>
        </row>
        <row r="2">
          <cell r="M2" t="str">
            <v/>
          </cell>
          <cell r="N2"/>
        </row>
        <row r="3">
          <cell r="M3" t="str">
            <v>131236-WSW46-VI-I-0001</v>
          </cell>
          <cell r="N3" t="str">
            <v>Vendor Information For Pressure Gauge (BAUMER SINGAPORE PTE LTD)</v>
          </cell>
        </row>
        <row r="4">
          <cell r="M4" t="str">
            <v>131236-WSW46-VI-I-0002</v>
          </cell>
          <cell r="N4" t="str">
            <v>Vendor Information For Cable Raceway (TRI-STAR INDUSTRIES PTE LTD)</v>
          </cell>
        </row>
        <row r="5">
          <cell r="M5" t="str">
            <v>131236-WSW46-VI-I-0003</v>
          </cell>
          <cell r="N5" t="str">
            <v>Vendor Information For Temperature Transmitter c/w RTD (ENDRESS + HAUSER S.E.A. PTE LTD)</v>
          </cell>
        </row>
        <row r="6">
          <cell r="M6" t="str">
            <v>131236-WSW46-VI-I-0004</v>
          </cell>
          <cell r="N6" t="str">
            <v>Vendor Information For Pressure Transmitter (EMERSON ASIA PACIFIC PTE. LTD.)</v>
          </cell>
        </row>
        <row r="7">
          <cell r="M7" t="str">
            <v>131236-WSW46-VI-I-0005</v>
          </cell>
          <cell r="N7" t="str">
            <v>Vendor Information For Level Transmitter Radar (Non-Contacting) (ENDRESS + HAUSER S.E.A. PTE LTD)</v>
          </cell>
        </row>
        <row r="8">
          <cell r="M8" t="str">
            <v>131236-WSW46-VI-I-0006</v>
          </cell>
          <cell r="N8" t="str">
            <v>Vendor Information For Pressure Switch(WIKA INSTRUMENTATION PTE. LTD.)</v>
          </cell>
        </row>
        <row r="9">
          <cell r="M9" t="str">
            <v>131236-WSW46-VI-I-0007</v>
          </cell>
          <cell r="N9" t="str">
            <v>Vendor Information For Level Transmitter – RF Admittance(ENDRESS + HAUSER S.E.A. PTE LTD)</v>
          </cell>
        </row>
        <row r="10">
          <cell r="M10" t="str">
            <v>131236-WSW46-VI-I-0008</v>
          </cell>
          <cell r="N10" t="str">
            <v>Vendor Information For Auto Sampler (ENDRESS + HAUSER S.E.A. PTE LTD)</v>
          </cell>
        </row>
        <row r="11">
          <cell r="M11" t="str">
            <v>131236-WSW46-VI-I-0009</v>
          </cell>
          <cell r="N11" t="str">
            <v>Vendor Information For Low Point Leak Detector (IFM ELECTRONIC PTE LTD)</v>
          </cell>
        </row>
        <row r="12">
          <cell r="M12" t="str">
            <v>131236-WSW46-VI-I-0010</v>
          </cell>
          <cell r="N12" t="str">
            <v>Vendor Information For Thermal Mass Flowmeter (ENDRESS + HAUSER S.E.A. PTE LTD)</v>
          </cell>
        </row>
        <row r="13">
          <cell r="M13" t="str">
            <v>131236-WSW46-VI-I-0011</v>
          </cell>
          <cell r="N13" t="str">
            <v>Vendor Information For Thermal Flow Switch (ENDRESS + HAUSER S.E.A. PTE LTD)</v>
          </cell>
        </row>
        <row r="14">
          <cell r="M14" t="str">
            <v>131236-WSW46-VI-I-0012</v>
          </cell>
          <cell r="N14" t="str">
            <v>Vendor Information For Turbidity Analyser (HACH WATER QUALITY SINGAPORE PTE LTD)</v>
          </cell>
        </row>
        <row r="15">
          <cell r="M15" t="str">
            <v>131236-WSW46-VI-I-0013</v>
          </cell>
          <cell r="N15" t="str">
            <v>Vendor Information For Level Switch – Conductive Probe (ENDRESS + HAUSER S.E.A.
PTE LTD)</v>
          </cell>
        </row>
        <row r="16">
          <cell r="M16" t="str">
            <v>131236-WSW46-VI-I-0014</v>
          </cell>
          <cell r="N16" t="str">
            <v>Vendor Information For pH Analyser (EMERSON ASIA PACIFIC PTE. LTD.)</v>
          </cell>
        </row>
        <row r="17">
          <cell r="M17" t="str">
            <v>131236-WSW46-VI-I-0015</v>
          </cell>
          <cell r="N17" t="str">
            <v>Vendor Information For Room Temperature Sensor (KELE &amp; ASSOCIATES PTE LTD - VAISALA)</v>
          </cell>
        </row>
        <row r="18">
          <cell r="M18" t="str">
            <v>131236-WSW46-VI-I-0016</v>
          </cell>
          <cell r="N18" t="str">
            <v>Vendor Information For Local Display (ENDRESS + HAUSER S.E.A. PTE LTD)</v>
          </cell>
        </row>
        <row r="19">
          <cell r="M19" t="str">
            <v>131236-WSW46-VI-I-0017</v>
          </cell>
          <cell r="N19" t="str">
            <v>Vendor Information For Cable (LV Power, Signal &amp; Control) (C-KINGDOM CABLE TECHNOLOGY CO., LTD.)</v>
          </cell>
        </row>
        <row r="20">
          <cell r="M20" t="str">
            <v>131236-WSW46-VI-I-0018</v>
          </cell>
          <cell r="N20" t="str">
            <v>Vendor Information For SS316 Tube Fittings (YANGZHONG SINYA AUTO-CONTROL ENGINEERING CO.,LTD.)</v>
          </cell>
        </row>
        <row r="21">
          <cell r="M21" t="str">
            <v>131236-WSW46-VI-I-0019</v>
          </cell>
          <cell r="N21" t="str">
            <v>Vendor Information For Cable (LV Power, Signal &amp; Control)(KEI INDUSTRIES LTD)</v>
          </cell>
        </row>
        <row r="22">
          <cell r="M22" t="str">
            <v>131236-WSW46-VI-I-0020</v>
          </cell>
          <cell r="N22" t="str">
            <v>Vendor Information For Flowmeter - Electromagnetic (ENDRESS + HAUSER S.E.A. PTE LTD)</v>
          </cell>
        </row>
        <row r="23">
          <cell r="M23" t="str">
            <v>131236-WIL21-VI-I-0001</v>
          </cell>
          <cell r="N23" t="str">
            <v>Vendor Information For Hydrogen Sulfide Gas Detector (DRAEGER SINGAPORE PTE LTD)</v>
          </cell>
        </row>
        <row r="24">
          <cell r="M24" t="str">
            <v>131236-WIL21-VI-I-0002</v>
          </cell>
          <cell r="N24" t="str">
            <v>Vendor Information For Carbon Monoxide Gas Detector (DRAEGER SINGAPORE PTE LTD)</v>
          </cell>
        </row>
        <row r="25">
          <cell r="M25" t="str">
            <v>131236-WIL21-VI-I-0003</v>
          </cell>
          <cell r="N25" t="str">
            <v>Vendor Information For Flammable (LEL) Gas Detector (DRAEGER SINGAPORE PTE LTD)</v>
          </cell>
        </row>
        <row r="26">
          <cell r="M26" t="str">
            <v>131236-WIL21-VI-I-0004</v>
          </cell>
          <cell r="N26" t="str">
            <v>Vendor Information For Weight Transmitter (METTLER – TOLEDO (S) PTE LTD)</v>
          </cell>
        </row>
        <row r="27">
          <cell r="M27" t="str">
            <v>131236-WIL21-VI-I-0005</v>
          </cell>
          <cell r="N27" t="str">
            <v>Vendor Information For Toxicity Analyser (AI ANALYTICAL PTE LTD)</v>
          </cell>
        </row>
        <row r="28">
          <cell r="M28" t="str">
            <v>131236-WIL21-VI-I-0006</v>
          </cell>
          <cell r="N28" t="str">
            <v>Vendor Information For Motion Switch (IFM ELECTRONIC PTE LTD)</v>
          </cell>
        </row>
        <row r="29">
          <cell r="M29" t="str">
            <v>131236-WIL21-VI-I-0007</v>
          </cell>
          <cell r="N29" t="str">
            <v>Vendor Information For Volatile Organic Compound (VOC) Gas Analyser (HONEYWELL RAE SYSTEMS)</v>
          </cell>
        </row>
        <row r="30">
          <cell r="M30" t="str">
            <v>131236-WIL22-VI-I-0001</v>
          </cell>
          <cell r="N30" t="str">
            <v>Vendor Information For Total Solid Analyser (VALMET - WETEC PTE LTD)</v>
          </cell>
        </row>
        <row r="31">
          <cell r="M31" t="str">
            <v>131236-WIL22-VI-I-0002</v>
          </cell>
          <cell r="N31" t="str">
            <v>Vendor Information For Level Switch Sludge Blanket – Ultrasonic (PULSAR – MAESTRO ASIA)</v>
          </cell>
        </row>
        <row r="32">
          <cell r="M32" t="str">
            <v>131236-WIL23-VI-I-0001</v>
          </cell>
          <cell r="N32" t="str">
            <v>Vendor Information For Level Switch – Tuning Fork (ENDRESS + HAUSER S.E.A. PTE LTD)</v>
          </cell>
        </row>
        <row r="33">
          <cell r="M33" t="str">
            <v>131236-WIL23-VI-I-0002</v>
          </cell>
          <cell r="N33" t="str">
            <v>Vendor Information For Orthophosphate Analyser(ENDRESS + HAUSER S.E.A. PTE LTD)</v>
          </cell>
        </row>
        <row r="34">
          <cell r="M34" t="str">
            <v>131236-WIL23-VI-I-0003</v>
          </cell>
          <cell r="N34" t="str">
            <v>Vendor Information For Conductivity Analyser(ENDRESS + HAUSER S.E.A. PTE LTD)</v>
          </cell>
        </row>
        <row r="35">
          <cell r="M35" t="str">
            <v>131236-WIL23-VI-I-0004</v>
          </cell>
          <cell r="N35" t="str">
            <v>Vendor Information For ORP Analyser(YOKOGAWA ENGINEERING ASIA PTE LTD)</v>
          </cell>
        </row>
        <row r="36">
          <cell r="M36" t="str">
            <v>131236-WIL23-VI-I-0005</v>
          </cell>
          <cell r="N36" t="str">
            <v>Vendor Information For Total Suspended Solid (MLSS) Analyser (HACH WATER
QUALITY SINGAPORE PTE LTD)</v>
          </cell>
        </row>
        <row r="37">
          <cell r="M37" t="str">
            <v>131236-WIL23-VI-I-0006</v>
          </cell>
          <cell r="N37" t="str">
            <v>Vendor Information For Ammonia Analyser (HACH WATER QUALITY SINGAPORE PTE
LTD)</v>
          </cell>
        </row>
        <row r="38">
          <cell r="M38" t="str">
            <v>131236-WIL23-VI-I-0007</v>
          </cell>
          <cell r="N38" t="str">
            <v>Vendor Information For Dissolved Oxygen Analyser (EMERSON ASIA PACIFIC PTE.
LTD.)</v>
          </cell>
        </row>
        <row r="39">
          <cell r="M39" t="str">
            <v>131236-WIL23-VI-I-0008</v>
          </cell>
          <cell r="N39" t="str">
            <v>Vendor Information For Nitrate / Nitrite Analyser (HACH WATER QUALITY SINGAPORE
PTE LTD)</v>
          </cell>
        </row>
        <row r="40">
          <cell r="M40" t="str">
            <v>131236-WNS03-VI-I-0001</v>
          </cell>
          <cell r="N40" t="str">
            <v>Vendor Information For Differential Pressure Transmitter (EMERSON ASIA PACIFIC PTE. LTD.)</v>
          </cell>
        </row>
        <row r="41">
          <cell r="M41" t="str">
            <v>131236-WSW46-VI-I-XXXX</v>
          </cell>
          <cell r="N41" t="str">
            <v>Vendor Information For Data Cables</v>
          </cell>
        </row>
        <row r="42">
          <cell r="M42" t="str">
            <v>131236-WSW46-VI-I-XXXX</v>
          </cell>
          <cell r="N42" t="str">
            <v>Vendor Information For Fibre Optic Cables</v>
          </cell>
        </row>
        <row r="43">
          <cell r="M43" t="str">
            <v>131236-WSW46-VI-I-XXXX</v>
          </cell>
          <cell r="N43" t="str">
            <v>Vendor Information For Instrument Tubing</v>
          </cell>
        </row>
        <row r="44">
          <cell r="M44" t="str">
            <v>131236-WSW46-VI-I-XXXX</v>
          </cell>
          <cell r="N44" t="str">
            <v>Vendor Information For Rotameter c/w Flow (Reed) Switch</v>
          </cell>
        </row>
        <row r="45">
          <cell r="M45" t="str">
            <v>131236-WSW46-VI-I-XXXX</v>
          </cell>
          <cell r="N45" t="str">
            <v>Vendor Information For Flowmeter - Open Channel Ultrasonic</v>
          </cell>
        </row>
        <row r="46">
          <cell r="M46" t="str">
            <v>131236-WSW46-VI-I-XXXX</v>
          </cell>
          <cell r="N46" t="str">
            <v>Vendor Information For - RIO Panels &amp; Racks</v>
          </cell>
        </row>
        <row r="47">
          <cell r="M47" t="str">
            <v>131236-WIL21-VI-I-XXXX</v>
          </cell>
          <cell r="N47" t="str">
            <v>Vendor Information For Truck Position Sensor</v>
          </cell>
        </row>
        <row r="48">
          <cell r="M48" t="str">
            <v>131236-WIL23-VI-I-XXXX</v>
          </cell>
          <cell r="N48" t="str">
            <v>Vendor Information For Limit Switch</v>
          </cell>
        </row>
        <row r="49">
          <cell r="M49" t="str">
            <v>131236-WIL22-VI-I-XXXX</v>
          </cell>
          <cell r="N49" t="str">
            <v>Vendor Information For Level Switch - Ultrasonic</v>
          </cell>
        </row>
        <row r="50">
          <cell r="M50" t="str">
            <v>131236-WSW46-VI-I-XXXX</v>
          </cell>
          <cell r="N50" t="str">
            <v>Vendor Information For Cable Gland</v>
          </cell>
        </row>
        <row r="51">
          <cell r="M51" t="str">
            <v>131236-WSW46-VI-I-XXXX</v>
          </cell>
          <cell r="N51" t="str">
            <v xml:space="preserve">Vendor Information For ICA Installation Sub Contracting Works </v>
          </cell>
        </row>
        <row r="52">
          <cell r="M52" t="str">
            <v>131236-WSW46-VI-I-XXXX</v>
          </cell>
          <cell r="N52" t="str">
            <v>Vendor Information For ICA Control System Sub Contracting Works</v>
          </cell>
        </row>
        <row r="53">
          <cell r="M53" t="str">
            <v>131236-WSW46-VI-I-XXXX</v>
          </cell>
          <cell r="N53" t="str">
            <v>Vendor Information For ICA  Junction Box</v>
          </cell>
        </row>
        <row r="54">
          <cell r="M54" t="str">
            <v>131236-WSW46-VI-I-XXXX</v>
          </cell>
          <cell r="N54" t="str">
            <v>Vendor Information For  ICA Field UPS DB</v>
          </cell>
        </row>
        <row r="55">
          <cell r="M55" t="str">
            <v>131236-WNS03-VI-I-XXXX</v>
          </cell>
          <cell r="N55" t="str">
            <v>Vendor Information For  Surge Protection Device (for Outdoor Instrument)</v>
          </cell>
        </row>
        <row r="56">
          <cell r="M56" t="str">
            <v>131236-WSW46-VI-I-XXXX</v>
          </cell>
          <cell r="N56" t="str">
            <v>Vendor Information For  Nameplate &amp; Label</v>
          </cell>
        </row>
        <row r="57">
          <cell r="M57" t="str">
            <v>131236-WIL21-VI-I-XXXX</v>
          </cell>
          <cell r="N57" t="str">
            <v>Vendor Information For  Grit Air Blower PLC</v>
          </cell>
        </row>
        <row r="58">
          <cell r="M58" t="str">
            <v>131236-WIL23-VI-I-XXXX</v>
          </cell>
          <cell r="N58" t="str">
            <v>Vendor Information For  Bio Aeration Blower PLC</v>
          </cell>
        </row>
        <row r="59">
          <cell r="M59" t="str">
            <v>131236-WIL23-VI-I-XXXX</v>
          </cell>
          <cell r="N59" t="str">
            <v>Vendor Information For  Membrane Blower PLC</v>
          </cell>
        </row>
        <row r="60">
          <cell r="M60" t="str">
            <v>131236-WNS03-VI-I-XXXX</v>
          </cell>
          <cell r="N60" t="str">
            <v>Vendor Information For  Level Gauge - Magnetic</v>
          </cell>
        </row>
        <row r="61">
          <cell r="M61" t="str">
            <v>131236-WNS03-VI-I-XXXX</v>
          </cell>
          <cell r="N61" t="str">
            <v>Vendor Information For  Solenoid Valve</v>
          </cell>
        </row>
        <row r="62">
          <cell r="M62" t="str">
            <v>131236-WNS03-VI-I-XXXX</v>
          </cell>
          <cell r="N62" t="str">
            <v>Vendor Information For  Level Switch for Magnetic Level Gauge</v>
          </cell>
        </row>
        <row r="63">
          <cell r="M63" t="str">
            <v>131236-WSW46-VI-I-XXXX</v>
          </cell>
          <cell r="N63" t="str">
            <v>Vendor Approval - Preliminary Design, Manufacturing FAT, Delivery, and T&amp;C for ICA Panels</v>
          </cell>
        </row>
        <row r="64">
          <cell r="M64" t="str">
            <v>131236-WSW46-VI-I-XXXX</v>
          </cell>
          <cell r="N64" t="str">
            <v>Vendor Information for Hazardous Area, SIF Study and Verification</v>
          </cell>
        </row>
        <row r="65">
          <cell r="M65" t="str">
            <v>131236-WSW46-VI-I-XXXX</v>
          </cell>
          <cell r="N65" t="str">
            <v>Vendor Information For  Portable pH/ORP Meters</v>
          </cell>
        </row>
        <row r="66">
          <cell r="M66" t="str">
            <v>131236-WSW46-VI-I-XXXX</v>
          </cell>
          <cell r="N66" t="str">
            <v>Vendor Information For  Portable Conductivity Meters</v>
          </cell>
        </row>
        <row r="67">
          <cell r="M67" t="str">
            <v>131236-WSW46-VI-I-XXXX</v>
          </cell>
          <cell r="N67" t="str">
            <v>Vendor Information For  Portable DO Meters</v>
          </cell>
        </row>
        <row r="68">
          <cell r="M68" t="str">
            <v>131236-WSW46-VI-I-XXXX</v>
          </cell>
          <cell r="N68" t="str">
            <v>Vendor Information For  Portable Turbidity Meters</v>
          </cell>
        </row>
        <row r="69">
          <cell r="M69" t="str">
            <v>131236-WSW46-VI-I-XXXX</v>
          </cell>
          <cell r="N69" t="str">
            <v>Vendor Information For  Portable Residual Chlorine Meters</v>
          </cell>
        </row>
        <row r="70">
          <cell r="M70" t="str">
            <v>131236-WSW46-VI-I-XXXX</v>
          </cell>
          <cell r="N70" t="str">
            <v>Vendor Information For  Portable NOx Meters</v>
          </cell>
        </row>
        <row r="71">
          <cell r="M71" t="str">
            <v>131236-WSW46-VI-I-XXXX</v>
          </cell>
          <cell r="N71" t="str">
            <v>Vendor Information For  Portable TSS Meters</v>
          </cell>
        </row>
        <row r="72">
          <cell r="M72" t="str">
            <v>131236-WSW46-VI-I-XXXX</v>
          </cell>
          <cell r="N72" t="str">
            <v>Vendor Information For  Portable VOC Gas Meters</v>
          </cell>
        </row>
        <row r="73">
          <cell r="M73" t="str">
            <v>131236-WSW46-VI-I-XXXX</v>
          </cell>
          <cell r="N73" t="str">
            <v>Vendor Information For  Portable H2S Gas Meters</v>
          </cell>
        </row>
        <row r="74">
          <cell r="M74" t="str">
            <v>131236-WSW46-VI-I-XXXX</v>
          </cell>
          <cell r="N74" t="str">
            <v>Vendor Information For  Portable Ammonia (High Range) Meters</v>
          </cell>
        </row>
        <row r="75">
          <cell r="M75" t="str">
            <v>131236-WSW46-VI-I-XXXX</v>
          </cell>
          <cell r="N75" t="str">
            <v>Vendor Information For  Portable Ammonia (Low Range) Meters</v>
          </cell>
        </row>
        <row r="76">
          <cell r="M76" t="str">
            <v>131236-WIL21-VI-I-XXXX</v>
          </cell>
          <cell r="N76" t="str">
            <v>Vendor Information For  Loadout Facility Control System</v>
          </cell>
        </row>
        <row r="77">
          <cell r="M77" t="str">
            <v>131236-WIL23-VI-I-XXXX</v>
          </cell>
          <cell r="N77" t="str">
            <v>Vendor Information For  Biosorption Blower PLC c/w HMI</v>
          </cell>
        </row>
        <row r="78">
          <cell r="M78" t="str">
            <v>131236-WSW46-VI-I-XXXX</v>
          </cell>
          <cell r="N78" t="str">
            <v>Vendor Information For  Vibration Monitoring System</v>
          </cell>
        </row>
        <row r="79">
          <cell r="M79"/>
        </row>
        <row r="80">
          <cell r="M80" t="str">
            <v/>
          </cell>
          <cell r="N80"/>
        </row>
        <row r="81">
          <cell r="M81" t="str">
            <v>131236-WSW46-SH-I-0001</v>
          </cell>
          <cell r="N81" t="str">
            <v>Instrument Master List</v>
          </cell>
        </row>
        <row r="82">
          <cell r="M82" t="str">
            <v>131236-WSW46-SH-I-0002</v>
          </cell>
          <cell r="N82" t="str">
            <v>Detailed Engineering FOIP (Fiber Optic Interface Panel) &amp; FOBOT (Fiber Optic Break-Out Tray) Master List</v>
          </cell>
        </row>
        <row r="83">
          <cell r="M83" t="str">
            <v>131236-WSW46-SH-I-0003</v>
          </cell>
          <cell r="N83" t="str">
            <v>Detailed Engineering UPSDB Master List</v>
          </cell>
        </row>
        <row r="84">
          <cell r="M84" t="str">
            <v>131236-WSW46-SH-I-0004</v>
          </cell>
          <cell r="N84" t="str">
            <v>RIO Panel Master List</v>
          </cell>
        </row>
        <row r="85">
          <cell r="M85" t="str">
            <v>131236-WSW46-SH-I-XXXX</v>
          </cell>
          <cell r="N85" t="str">
            <v>LCS / LCP Schedule</v>
          </cell>
        </row>
        <row r="86">
          <cell r="M86" t="str">
            <v>131236-WSW46-SH-I-XXXX</v>
          </cell>
          <cell r="N86" t="str">
            <v xml:space="preserve">Junction Box Schedule </v>
          </cell>
        </row>
        <row r="87">
          <cell r="M87" t="str">
            <v>131236-WIL06-SH-I-XXXX</v>
          </cell>
          <cell r="N87" t="str">
            <v>I/O List For RIO Panel WIL06-RIO-0102A</v>
          </cell>
        </row>
        <row r="88">
          <cell r="M88" t="str">
            <v>131236-WIL21-SH-I-XXXX</v>
          </cell>
          <cell r="N88" t="str">
            <v>I/O List For RIO Panel WIL06-RIO-0102B</v>
          </cell>
        </row>
        <row r="89">
          <cell r="M89" t="str">
            <v>131236-WIL21-SH-I-XXXX</v>
          </cell>
          <cell r="N89" t="str">
            <v>I/O List For RIO Panel WIL21-RIO-0101A</v>
          </cell>
        </row>
        <row r="90">
          <cell r="M90" t="str">
            <v>131236-WIL21-SH-I-XXXX</v>
          </cell>
          <cell r="N90" t="str">
            <v>I/O List For RIO Panel WIL21-RIO-0101B</v>
          </cell>
        </row>
        <row r="91">
          <cell r="M91" t="str">
            <v>131236-WIL21-SH-I-XXXX</v>
          </cell>
          <cell r="N91" t="str">
            <v>I/O List For RIO Panel WIL21-RIO-0301A</v>
          </cell>
        </row>
        <row r="92">
          <cell r="M92" t="str">
            <v>131236-WIL21-SH-I-XXXX</v>
          </cell>
          <cell r="N92" t="str">
            <v>I/O List For RIO Panel WIL21-RIO-0301B</v>
          </cell>
        </row>
        <row r="93">
          <cell r="M93" t="str">
            <v>131236-WIL21-SH-I-XXXX</v>
          </cell>
          <cell r="N93" t="str">
            <v>I/O List For RIO Panel WIL21-RIO-0302A</v>
          </cell>
        </row>
        <row r="94">
          <cell r="M94" t="str">
            <v>131236-WIL21-SH-I-XXXX</v>
          </cell>
          <cell r="N94" t="str">
            <v>I/O List For RIO Panel WIL21-RIO-0302B</v>
          </cell>
        </row>
        <row r="95">
          <cell r="M95" t="str">
            <v>131236-WIL21-SH-I-XXXX</v>
          </cell>
          <cell r="N95" t="str">
            <v>I/O List For RIO Panel WIL21-RIO-0303A</v>
          </cell>
        </row>
        <row r="96">
          <cell r="M96" t="str">
            <v>131236-WIL21-SH-I-XXXX</v>
          </cell>
          <cell r="N96" t="str">
            <v>I/O List For RIO Panel WIL21-RIO-0303B</v>
          </cell>
        </row>
        <row r="97">
          <cell r="M97" t="str">
            <v>131236-WIL21-SH-I-XXXX</v>
          </cell>
          <cell r="N97" t="str">
            <v>I/O List For RIO Panel WIL21-RIO-0001A</v>
          </cell>
        </row>
        <row r="98">
          <cell r="M98" t="str">
            <v>131236-WIL21-SH-I-XXXX</v>
          </cell>
          <cell r="N98" t="str">
            <v>I/O List For RIO Panel WIL21-RIO-0001B</v>
          </cell>
        </row>
        <row r="99">
          <cell r="M99" t="str">
            <v>131236-WIL22-SH-I-XXXX</v>
          </cell>
          <cell r="N99" t="str">
            <v>I/O List For RIO Panel WIL22-RIO-0102A</v>
          </cell>
        </row>
        <row r="100">
          <cell r="M100" t="str">
            <v>131236-WIL22-SH-I-XXXX</v>
          </cell>
          <cell r="N100" t="str">
            <v>I/O List For RIO Panel WIL22-RIO-0102B</v>
          </cell>
        </row>
        <row r="101">
          <cell r="M101" t="str">
            <v>131236-WIL22-SH-I-XXXX</v>
          </cell>
          <cell r="N101" t="str">
            <v>I/O List For RIO Panel WIL22-RIO-0103A</v>
          </cell>
        </row>
        <row r="102">
          <cell r="M102" t="str">
            <v>131236-WIL22-SH-I-XXXX</v>
          </cell>
          <cell r="N102" t="str">
            <v>I/O List For RIO Panel WIL22-RIO-0103B</v>
          </cell>
        </row>
        <row r="103">
          <cell r="M103" t="str">
            <v>131236-WIL22-SH-I-XXXX</v>
          </cell>
          <cell r="N103" t="str">
            <v>I/O List For RIO Panel WIL22-RIO-0104A</v>
          </cell>
        </row>
        <row r="104">
          <cell r="M104" t="str">
            <v>131236-WIL22-SH-I-XXXX</v>
          </cell>
          <cell r="N104" t="str">
            <v>I/O List For RIO Panel WIL22-RIO-0104B</v>
          </cell>
        </row>
        <row r="105">
          <cell r="M105" t="str">
            <v>131236-WIL22-SH-I-XXXX</v>
          </cell>
          <cell r="N105" t="str">
            <v>I/O List For RIO Panel WIL22-RIO-0001A</v>
          </cell>
        </row>
        <row r="106">
          <cell r="M106" t="str">
            <v>131236-WIL22-SH-I-XXXX</v>
          </cell>
          <cell r="N106" t="str">
            <v>I/O List For RIO Panel WIL22-RIO-0001B</v>
          </cell>
        </row>
        <row r="107">
          <cell r="M107" t="str">
            <v>131236-WIL23-SH-I-XXXX</v>
          </cell>
          <cell r="N107" t="str">
            <v>I/O List For RIO Panel WIL23-RIO-0101A</v>
          </cell>
        </row>
        <row r="108">
          <cell r="M108" t="str">
            <v>131236-WIL23-SH-I-XXXX</v>
          </cell>
          <cell r="N108" t="str">
            <v>I/O List For RIO Panel WIL23-RIO-0101B</v>
          </cell>
        </row>
        <row r="109">
          <cell r="M109" t="str">
            <v>131236-WIL23-SH-I-XXXX</v>
          </cell>
          <cell r="N109" t="str">
            <v>I/O List For RIO Panel WIL23-RIO-0102A</v>
          </cell>
        </row>
        <row r="110">
          <cell r="M110" t="str">
            <v>131236-WIL23-SH-I-XXXX</v>
          </cell>
          <cell r="N110" t="str">
            <v>I/O List For RIO Panel WIL23-RIO-0102B</v>
          </cell>
        </row>
        <row r="111">
          <cell r="M111" t="str">
            <v>131236-WIL23-SH-I-XXXX</v>
          </cell>
          <cell r="N111" t="str">
            <v>I/O List For RIO Panel WIL23-RIO-0001A</v>
          </cell>
        </row>
        <row r="112">
          <cell r="M112" t="str">
            <v>131236-WIL23-SH-I-XXXX</v>
          </cell>
          <cell r="N112" t="str">
            <v>I/O List For RIO Panel WIL23-RIO-0001B</v>
          </cell>
        </row>
        <row r="113">
          <cell r="M113" t="str">
            <v>131236-WIL23-SH-I-XXXX</v>
          </cell>
          <cell r="N113" t="str">
            <v xml:space="preserve"> I/O List For RIO Panel WIL23-RIO-0201</v>
          </cell>
        </row>
        <row r="114">
          <cell r="M114" t="str">
            <v>131236-WIL23-SH-I-XXXX</v>
          </cell>
          <cell r="N114" t="str">
            <v>I/O List For RIO Panel WIL23-RIO-0202</v>
          </cell>
        </row>
        <row r="115">
          <cell r="M115" t="str">
            <v>131236-WIL23-SH-I-XXXX</v>
          </cell>
          <cell r="N115" t="str">
            <v>I/O List For RIO Panel WIL23-RIO-0203</v>
          </cell>
        </row>
        <row r="116">
          <cell r="M116" t="str">
            <v>131236-WIL23-SH-I-XXXX</v>
          </cell>
          <cell r="N116" t="str">
            <v>I/O List For RIO Panel WIL23-RIO-0204A</v>
          </cell>
        </row>
        <row r="117">
          <cell r="M117" t="str">
            <v>131236-WIL23-SH-I-XXXX</v>
          </cell>
          <cell r="N117" t="str">
            <v>I/O List For RIO Panel WIL23-RIO-0204B</v>
          </cell>
        </row>
        <row r="118">
          <cell r="M118" t="str">
            <v>131236-WIL23-SH-I-XXXX</v>
          </cell>
          <cell r="N118" t="str">
            <v>I/O List For RIO Panel WIL23-RIO-0001A</v>
          </cell>
        </row>
        <row r="119">
          <cell r="M119" t="str">
            <v>131236-WIL23-SH-I-XXXX</v>
          </cell>
          <cell r="N119" t="str">
            <v>I/O List For RIO Panel WIL23-RIO-0001B</v>
          </cell>
        </row>
        <row r="120">
          <cell r="M120" t="str">
            <v>131236-WIL23-SH-I-XXXX</v>
          </cell>
          <cell r="N120" t="str">
            <v>I/O List For RIO Panel WIL23-RIO-0401</v>
          </cell>
        </row>
        <row r="121">
          <cell r="M121" t="str">
            <v>131236-WIL23-SH-I-XXXX</v>
          </cell>
          <cell r="N121" t="str">
            <v>I/O List For RIO Panel WIL23-RIO-0402</v>
          </cell>
        </row>
        <row r="122">
          <cell r="M122" t="str">
            <v>131236-WIL23-SH-I-XXXX</v>
          </cell>
          <cell r="N122" t="str">
            <v>I/O List For RIO Panel WIL23-RIO-0403</v>
          </cell>
        </row>
        <row r="123">
          <cell r="M123" t="str">
            <v>131236-WIL23-SH-I-XXXX</v>
          </cell>
          <cell r="N123" t="str">
            <v>I/O List For RIO Panel WIL23-RIO-0404</v>
          </cell>
        </row>
        <row r="124">
          <cell r="M124" t="str">
            <v>131236-WIL23-SH-I-XXXX</v>
          </cell>
          <cell r="N124" t="str">
            <v>I/O List For RIO Panel WIL23-RIO-0405</v>
          </cell>
        </row>
        <row r="125">
          <cell r="M125" t="str">
            <v>131236-WIL23-SH-I-XXXX</v>
          </cell>
          <cell r="N125" t="str">
            <v>I/O List For RIO Panel WIL23-RIO-0406</v>
          </cell>
        </row>
        <row r="126">
          <cell r="M126" t="str">
            <v>131236-WIL23-SH-I-XXXX</v>
          </cell>
          <cell r="N126" t="str">
            <v>I/O List For RIO Panel WIL23-RIO-0407</v>
          </cell>
        </row>
        <row r="127">
          <cell r="M127" t="str">
            <v>131236-WIL23-SH-I-XXXX</v>
          </cell>
          <cell r="N127" t="str">
            <v>I/O List For RIO Panel WIL23-RIO-0408</v>
          </cell>
        </row>
        <row r="128">
          <cell r="M128" t="str">
            <v>131236-WIL23-SH-I-XXXX</v>
          </cell>
          <cell r="N128" t="str">
            <v>I/O List For RIO Panel WIL23-RIO-0409</v>
          </cell>
        </row>
        <row r="129">
          <cell r="M129" t="str">
            <v>131236-WIL23-SH-I-XXXX</v>
          </cell>
          <cell r="N129" t="str">
            <v>I/O List For RIO Panel WIL23-RIO-0410</v>
          </cell>
        </row>
        <row r="130">
          <cell r="M130" t="str">
            <v>131236-WIL23-SH-I-XXXX</v>
          </cell>
          <cell r="N130" t="str">
            <v>I/O List For RIO Panel WIL23-RIO-0001A</v>
          </cell>
        </row>
        <row r="131">
          <cell r="M131" t="str">
            <v>131236-WIL23-SH-I-XXXX</v>
          </cell>
          <cell r="N131" t="str">
            <v>I/O List For RIO Panel WIL23-RIO-0001B</v>
          </cell>
        </row>
        <row r="132">
          <cell r="M132" t="str">
            <v>131236-WIL23-SH-I-XXXX</v>
          </cell>
          <cell r="N132" t="str">
            <v>I/O List For RIO Panel WIL23-RIO-0301</v>
          </cell>
        </row>
        <row r="133">
          <cell r="M133" t="str">
            <v>131236-WIL23-SH-I-XXXX</v>
          </cell>
          <cell r="N133" t="str">
            <v>I/O List For RIO Panel WIL23-RIO-0302</v>
          </cell>
        </row>
        <row r="134">
          <cell r="M134" t="str">
            <v>131236-WIL23-SH-I-XXXX</v>
          </cell>
          <cell r="N134" t="str">
            <v>I/O List For RIO Panel WIL23-RIO-0303</v>
          </cell>
        </row>
        <row r="135">
          <cell r="M135" t="str">
            <v>131236-WIL23-SH-I-XXXX</v>
          </cell>
          <cell r="N135" t="str">
            <v>I/O List For RIO Panel WIL23-RIO-0304A</v>
          </cell>
        </row>
        <row r="136">
          <cell r="M136" t="str">
            <v>131236-WIL23-SH-I-XXXX</v>
          </cell>
          <cell r="N136" t="str">
            <v>I/O List For RIO Panel WIL23-RIO-0304B</v>
          </cell>
        </row>
        <row r="137">
          <cell r="M137" t="str">
            <v>131236-WIL23-SH-I-XXXX</v>
          </cell>
          <cell r="N137" t="str">
            <v>I/O List For RIO Panel WIL23-RIO-0002A</v>
          </cell>
        </row>
        <row r="138">
          <cell r="M138" t="str">
            <v>131236-WIL23-SH-I-XXXX</v>
          </cell>
          <cell r="N138" t="str">
            <v>I/O List For RIO Panel WIL23-RIO-0002B</v>
          </cell>
        </row>
        <row r="139">
          <cell r="M139" t="str">
            <v>131236-WIL23-SH-I-XXXX</v>
          </cell>
          <cell r="N139" t="str">
            <v>I/O List For RIO Panel WIL23-RIO-0501</v>
          </cell>
        </row>
        <row r="140">
          <cell r="M140" t="str">
            <v>131236-WIL23-SH-I-XXXX</v>
          </cell>
          <cell r="N140" t="str">
            <v>I/O List For RIO Panel WIL23-RIO-0502</v>
          </cell>
        </row>
        <row r="141">
          <cell r="M141" t="str">
            <v>131236-WIL23-SH-I-XXXX</v>
          </cell>
          <cell r="N141" t="str">
            <v>I/O List For RIO Panel WIL23-RIO-0503</v>
          </cell>
        </row>
        <row r="142">
          <cell r="M142" t="str">
            <v>131236-WIL23-SH-I-XXXX</v>
          </cell>
          <cell r="N142" t="str">
            <v>I/O List For RIO Panel WIL23-RIO-0504</v>
          </cell>
        </row>
        <row r="143">
          <cell r="M143" t="str">
            <v>131236-WIL23-SH-I-XXXX</v>
          </cell>
          <cell r="N143" t="str">
            <v>I/O List For RIO Panel WIL23-RIO-0505</v>
          </cell>
        </row>
        <row r="144">
          <cell r="M144" t="str">
            <v>131236-WIL23-SH-I-XXXX</v>
          </cell>
          <cell r="N144" t="str">
            <v>I/O List For RIO Panel WIL23-RIO-0506</v>
          </cell>
        </row>
        <row r="145">
          <cell r="M145" t="str">
            <v>131236-WIL23-SH-I-XXXX</v>
          </cell>
          <cell r="N145" t="str">
            <v>I/O List For RIO Panel WIL23-RIO-0507</v>
          </cell>
        </row>
        <row r="146">
          <cell r="M146" t="str">
            <v>131236-WIL23-SH-I-XXXX</v>
          </cell>
          <cell r="N146" t="str">
            <v>I/O List For RIO Panel WIL23-RIO-0508</v>
          </cell>
        </row>
        <row r="147">
          <cell r="M147" t="str">
            <v>131236-WIL23-SH-I-XXXX</v>
          </cell>
          <cell r="N147" t="str">
            <v>I/O List For RIO Panel WIL23-RIO-0002A</v>
          </cell>
        </row>
        <row r="148">
          <cell r="M148" t="str">
            <v>131236-WIL23-SH-I-XXXX</v>
          </cell>
          <cell r="N148" t="str">
            <v>I/O List For RIO Panel WIL23-RIO-0002B</v>
          </cell>
        </row>
        <row r="149">
          <cell r="M149" t="str">
            <v>131236-WIL23-SH-I-XXXX</v>
          </cell>
          <cell r="N149" t="str">
            <v>I/O List For RIO Panel WIL23-RIO-0601A</v>
          </cell>
        </row>
        <row r="150">
          <cell r="M150" t="str">
            <v>131236-WIL23-SH-I-XXXX</v>
          </cell>
          <cell r="N150" t="str">
            <v>I/O List For RIO Panel WIL23-RIO-0601B</v>
          </cell>
        </row>
        <row r="151">
          <cell r="M151" t="str">
            <v>131236-WIL06-SH-I-XXXX</v>
          </cell>
          <cell r="N151" t="str">
            <v>Cable Schedule For RIO Panel WIL06-RIO-0102A</v>
          </cell>
        </row>
        <row r="152">
          <cell r="M152" t="str">
            <v>131236-WIL06-SH-I-XXXX</v>
          </cell>
          <cell r="N152" t="str">
            <v>Cable Schedule For RIO Panel WIL06-RIO-0102B</v>
          </cell>
        </row>
        <row r="153">
          <cell r="M153" t="str">
            <v>131236-WIL21-SH-I-XXXX</v>
          </cell>
          <cell r="N153" t="str">
            <v>Cable Schedule For RIO Panel WIL21-RIO-0101A</v>
          </cell>
        </row>
        <row r="154">
          <cell r="M154" t="str">
            <v>131236-WIL21-SH-I-XXXX</v>
          </cell>
          <cell r="N154" t="str">
            <v>Cable Schedule For RIO Panel WIL21-RIO-0101B</v>
          </cell>
        </row>
        <row r="155">
          <cell r="M155" t="str">
            <v>131236-WIL21-SH-I-XXXX</v>
          </cell>
          <cell r="N155" t="str">
            <v>Cable Schedule For RIO Panel WIL21-RIO-0301A</v>
          </cell>
        </row>
        <row r="156">
          <cell r="M156" t="str">
            <v>131236-WIL21-SH-I-XXXX</v>
          </cell>
          <cell r="N156" t="str">
            <v>Cable Schedule For RIO Panel WIL21-RIO-0301B</v>
          </cell>
        </row>
        <row r="157">
          <cell r="M157" t="str">
            <v>131236-WIL21-SH-I-XXXX</v>
          </cell>
          <cell r="N157" t="str">
            <v>Cable Schedule For RIO Panel WIL21-RIO-0302A</v>
          </cell>
        </row>
        <row r="158">
          <cell r="M158" t="str">
            <v>131236-WIL21-SH-I-XXXX</v>
          </cell>
          <cell r="N158" t="str">
            <v>Cable Schedule For RIO Panel WIL21-RIO-0302B</v>
          </cell>
        </row>
        <row r="159">
          <cell r="M159" t="str">
            <v>131236-WIL21-SH-I-XXXX</v>
          </cell>
          <cell r="N159" t="str">
            <v>Cable Schedule For RIO Panel WIL21-RIO-0303A</v>
          </cell>
        </row>
        <row r="160">
          <cell r="M160" t="str">
            <v>131236-WIL21-SH-I-XXXX</v>
          </cell>
          <cell r="N160" t="str">
            <v>Cable Schedule For RIO Panel WIL21-RIO-0303B</v>
          </cell>
        </row>
        <row r="161">
          <cell r="M161" t="str">
            <v>131236-WIL21-SH-I-XXXX</v>
          </cell>
          <cell r="N161" t="str">
            <v>Cable Schedule For RIO Panel WIL21-RIO-0001A</v>
          </cell>
        </row>
        <row r="162">
          <cell r="M162" t="str">
            <v>131236-WIL21-SH-I-XXXX</v>
          </cell>
          <cell r="N162" t="str">
            <v>Cable Schedule For RIO Panel WIL21-RIO-0001B</v>
          </cell>
        </row>
        <row r="163">
          <cell r="M163" t="str">
            <v>131236-WIL22-SH-I-XXXX</v>
          </cell>
          <cell r="N163" t="str">
            <v>Cable Schedule For RIO Panel WIL22-RIO-0102A</v>
          </cell>
        </row>
        <row r="164">
          <cell r="M164" t="str">
            <v>131236-WIL22-SH-I-XXXX</v>
          </cell>
          <cell r="N164" t="str">
            <v>Cable Schedule For RIO Panel WIL22-RIO-0102B</v>
          </cell>
        </row>
        <row r="165">
          <cell r="M165" t="str">
            <v>131236-WIL22-SH-I-XXXX</v>
          </cell>
          <cell r="N165" t="str">
            <v>Cable Schedule For RIO Panel WIL22-RIO-0103A</v>
          </cell>
        </row>
        <row r="166">
          <cell r="M166" t="str">
            <v>131236-WIL22-SH-I-XXXX</v>
          </cell>
          <cell r="N166" t="str">
            <v>Cable Schedule For RIO Panel WIL22-RIO-0103B</v>
          </cell>
        </row>
        <row r="167">
          <cell r="M167" t="str">
            <v>131236-WIL22-SH-I-XXXX</v>
          </cell>
          <cell r="N167" t="str">
            <v>Cable Schedule For RIO Panel WIL22-RIO-0104A</v>
          </cell>
        </row>
        <row r="168">
          <cell r="M168" t="str">
            <v>131236-WIL22-SH-I-XXXX</v>
          </cell>
          <cell r="N168" t="str">
            <v>Cable Schedule For RIO Panel WIL22-RIO-0104B</v>
          </cell>
        </row>
        <row r="169">
          <cell r="M169" t="str">
            <v>131236-WIL22-SH-I-XXXX</v>
          </cell>
          <cell r="N169" t="str">
            <v>Cable Schedule For RIO Panel WIL22-RIO-0001A</v>
          </cell>
        </row>
        <row r="170">
          <cell r="M170" t="str">
            <v>131236-WIL22-SH-I-XXXX</v>
          </cell>
          <cell r="N170" t="str">
            <v>Cable Schedule For RIO Panel WIL22-RIO-0001B</v>
          </cell>
        </row>
        <row r="171">
          <cell r="M171" t="str">
            <v>131236-WIL23-SH-I-XXXX</v>
          </cell>
          <cell r="N171" t="str">
            <v>Cable Schedule For RIO Panel WIL23-RIO-0101A</v>
          </cell>
        </row>
        <row r="172">
          <cell r="M172" t="str">
            <v>131236-WIL23-SH-I-XXXX</v>
          </cell>
          <cell r="N172" t="str">
            <v>Cable Schedule For RIO Panel WIL23-RIO-0101B</v>
          </cell>
        </row>
        <row r="173">
          <cell r="M173" t="str">
            <v>131236-WIL23-SH-I-XXXX</v>
          </cell>
          <cell r="N173" t="str">
            <v>Cable Schedule For RIO Panel WIL23-RIO-0102A</v>
          </cell>
        </row>
        <row r="174">
          <cell r="M174" t="str">
            <v>131236-WIL23-SH-I-XXXX</v>
          </cell>
          <cell r="N174" t="str">
            <v>Cable Schedule For RIO Panel WIL23-RIO-0102B</v>
          </cell>
        </row>
        <row r="175">
          <cell r="M175" t="str">
            <v>131236-WIL23-SH-I-XXXX</v>
          </cell>
          <cell r="N175" t="str">
            <v>Cable Schedule For RIO Panel WIL23-RIO-0001A</v>
          </cell>
        </row>
        <row r="176">
          <cell r="M176" t="str">
            <v>131236-WIL23-SH-I-XXXX</v>
          </cell>
          <cell r="N176" t="str">
            <v>Cable Schedule For RIO Panel WIL23-RIO-0001B</v>
          </cell>
        </row>
        <row r="177">
          <cell r="M177" t="str">
            <v>131236-WIL23-SH-I-XXXX</v>
          </cell>
          <cell r="N177" t="str">
            <v>Cable Schedule For RIO Panel WIL23-RIO-0201</v>
          </cell>
        </row>
        <row r="178">
          <cell r="M178" t="str">
            <v>131236-WIL23-SH-I-XXXX</v>
          </cell>
          <cell r="N178" t="str">
            <v>Cable Schedule For RIO Panel WIL23-RIO-0202</v>
          </cell>
        </row>
        <row r="179">
          <cell r="M179" t="str">
            <v>131236-WIL23-SH-I-XXXX</v>
          </cell>
          <cell r="N179" t="str">
            <v>Cable Schedule For RIO Panel WIL23-RIO-0203</v>
          </cell>
        </row>
        <row r="180">
          <cell r="M180" t="str">
            <v>131236-WIL23-SH-I-XXXX</v>
          </cell>
          <cell r="N180" t="str">
            <v>Cable Schedule For RIO Panel WIL23-RIO-0204A</v>
          </cell>
        </row>
        <row r="181">
          <cell r="M181" t="str">
            <v>131236-WIL23-SH-I-XXXX</v>
          </cell>
          <cell r="N181" t="str">
            <v>Cable Schedule For RIO Panel WIL23-RIO-0204B</v>
          </cell>
        </row>
        <row r="182">
          <cell r="M182" t="str">
            <v>131236-WIL23-SH-I-XXXX</v>
          </cell>
          <cell r="N182" t="str">
            <v>Cable Schedule For RIO Panel WIL23-RIO-0001A</v>
          </cell>
        </row>
        <row r="183">
          <cell r="M183" t="str">
            <v>131236-WIL23-SH-I-XXXX</v>
          </cell>
          <cell r="N183" t="str">
            <v>Cable Schedule For RIO Panel WIL23-RIO-0001B</v>
          </cell>
        </row>
        <row r="184">
          <cell r="M184" t="str">
            <v>131236-WIL23-SH-I-XXXX</v>
          </cell>
          <cell r="N184" t="str">
            <v>Cable Schedule For RIO Panel WIL23-RIO-0401</v>
          </cell>
        </row>
        <row r="185">
          <cell r="M185" t="str">
            <v>131236-WIL23-SH-I-XXXX</v>
          </cell>
          <cell r="N185" t="str">
            <v>Cable Schedule For RIO Panel WIL23-RIO-0402</v>
          </cell>
        </row>
        <row r="186">
          <cell r="M186" t="str">
            <v>131236-WIL23-SH-I-XXXX</v>
          </cell>
          <cell r="N186" t="str">
            <v>Cable Schedule For RIO Panel WIL23-RIO-0403</v>
          </cell>
        </row>
        <row r="187">
          <cell r="M187" t="str">
            <v>131236-WIL23-SH-I-XXXX</v>
          </cell>
          <cell r="N187" t="str">
            <v>Cable Schedule For RIO Panel WIL23-RIO-0404</v>
          </cell>
        </row>
        <row r="188">
          <cell r="M188" t="str">
            <v>131236-WIL23-SH-I-XXXX</v>
          </cell>
          <cell r="N188" t="str">
            <v>Cable Schedule For RIO Panel WIL23-RIO-0405</v>
          </cell>
        </row>
        <row r="189">
          <cell r="M189" t="str">
            <v>131236-WIL23-SH-I-XXXX</v>
          </cell>
          <cell r="N189" t="str">
            <v>Cable Schedule For RIO Panel WIL23-RIO-0406</v>
          </cell>
        </row>
        <row r="190">
          <cell r="M190" t="str">
            <v>131236-WIL23-SH-I-XXXX</v>
          </cell>
          <cell r="N190" t="str">
            <v>Cable Schedule For RIO Panel WIL23-RIO-0407</v>
          </cell>
        </row>
        <row r="191">
          <cell r="M191" t="str">
            <v>131236-WIL23-SH-I-XXXX</v>
          </cell>
          <cell r="N191" t="str">
            <v>Cable Schedule For RIO Panel WIL23-RIO-0408</v>
          </cell>
        </row>
        <row r="192">
          <cell r="M192" t="str">
            <v>131236-WIL23-SH-I-XXXX</v>
          </cell>
          <cell r="N192" t="str">
            <v>Cable Schedule For RIO Panel WIL23-RIO-0409</v>
          </cell>
        </row>
        <row r="193">
          <cell r="M193" t="str">
            <v>131236-WIL23-SH-I-XXXX</v>
          </cell>
          <cell r="N193" t="str">
            <v>Cable Schedule For RIO Panel WIL23-RIO-0410</v>
          </cell>
        </row>
        <row r="194">
          <cell r="M194" t="str">
            <v>131236-WIL23-SH-I-XXXX</v>
          </cell>
          <cell r="N194" t="str">
            <v>Cable Schedule For RIO Panel WIL23-RIO-0001A</v>
          </cell>
        </row>
        <row r="195">
          <cell r="M195" t="str">
            <v>131236-WIL23-SH-I-XXXX</v>
          </cell>
          <cell r="N195" t="str">
            <v>Cable Schedule For RIO Panel WIL23-RIO-0001B</v>
          </cell>
        </row>
        <row r="196">
          <cell r="M196" t="str">
            <v>131236-WIL23-SH-I-XXXX</v>
          </cell>
          <cell r="N196" t="str">
            <v>Cable Schedule For RIO Panel WIL23-RIO-0301</v>
          </cell>
        </row>
        <row r="197">
          <cell r="M197" t="str">
            <v>131236-WIL23-SH-I-XXXX</v>
          </cell>
          <cell r="N197" t="str">
            <v>Cable Schedule For RIO Panel WIL23-RIO-0302</v>
          </cell>
        </row>
        <row r="198">
          <cell r="M198" t="str">
            <v>131236-WIL23-SH-I-XXXX</v>
          </cell>
          <cell r="N198" t="str">
            <v>Cable Schedule For RIO Panel WIL23-RIO-0303</v>
          </cell>
        </row>
        <row r="199">
          <cell r="M199" t="str">
            <v>131236-WIL23-SH-I-XXXX</v>
          </cell>
          <cell r="N199" t="str">
            <v>Cable Schedule For RIO Panel WIL23-RIO-0304A</v>
          </cell>
        </row>
        <row r="200">
          <cell r="M200" t="str">
            <v>131236-WIL23-SH-I-XXXX</v>
          </cell>
          <cell r="N200" t="str">
            <v>Cable Schedule For RIO Panel WIL23-RIO-0304B</v>
          </cell>
        </row>
        <row r="201">
          <cell r="M201" t="str">
            <v>131236-WIL23-SH-I-XXXX</v>
          </cell>
          <cell r="N201" t="str">
            <v>Cable Schedule For RIO Panel WIL23-RIO-0002A</v>
          </cell>
        </row>
        <row r="202">
          <cell r="M202" t="str">
            <v>131236-WIL23-SH-I-XXXX</v>
          </cell>
          <cell r="N202" t="str">
            <v>Cable Schedule For RIO Panel WIL23-RIO-0002B</v>
          </cell>
        </row>
        <row r="203">
          <cell r="M203" t="str">
            <v>131236-WIL23-SH-I-XXXX</v>
          </cell>
          <cell r="N203" t="str">
            <v>Cable Schedule For RIO Panel WIL23-RIO-0501</v>
          </cell>
        </row>
        <row r="204">
          <cell r="M204" t="str">
            <v>131236-WIL23-SH-I-XXXX</v>
          </cell>
          <cell r="N204" t="str">
            <v>Cable Schedule For RIO Panel WIL23-RIO-0502</v>
          </cell>
        </row>
        <row r="205">
          <cell r="M205" t="str">
            <v>131236-WIL23-SH-I-XXXX</v>
          </cell>
          <cell r="N205" t="str">
            <v>Cable Schedule For RIO Panel WIL23-RIO-0503</v>
          </cell>
        </row>
        <row r="206">
          <cell r="M206" t="str">
            <v>131236-WIL23-SH-I-XXXX</v>
          </cell>
          <cell r="N206" t="str">
            <v>Cable Schedule For RIO Panel WIL23-RIO-0504</v>
          </cell>
        </row>
        <row r="207">
          <cell r="M207" t="str">
            <v>131236-WIL23-SH-I-XXXX</v>
          </cell>
          <cell r="N207" t="str">
            <v>Cable Schedule For RIO Panel WIL23-RIO-0505</v>
          </cell>
        </row>
        <row r="208">
          <cell r="M208" t="str">
            <v>131236-WIL23-SH-I-XXXX</v>
          </cell>
          <cell r="N208" t="str">
            <v>Cable Schedule For RIO Panel WIL23-RIO-0506</v>
          </cell>
        </row>
        <row r="209">
          <cell r="M209" t="str">
            <v>131236-WIL23-SH-I-XXXX</v>
          </cell>
          <cell r="N209" t="str">
            <v>Cable Schedule For RIO Panel WIL23-RIO-0507</v>
          </cell>
        </row>
        <row r="210">
          <cell r="M210" t="str">
            <v>131236-WIL23-SH-I-XXXX</v>
          </cell>
          <cell r="N210" t="str">
            <v>Cable Schedule For RIO Panel WIL23-RIO-0508</v>
          </cell>
        </row>
        <row r="211">
          <cell r="M211" t="str">
            <v>131236-WIL23-SH-I-XXXX</v>
          </cell>
          <cell r="N211" t="str">
            <v>Cable Schedule For RIO Panel WIL23-RIO-0002A</v>
          </cell>
        </row>
        <row r="212">
          <cell r="M212" t="str">
            <v>131236-WIL23-SH-I-XXXX</v>
          </cell>
          <cell r="N212" t="str">
            <v>Cable Schedule For RIO Panel WIL23-RIO-0002B</v>
          </cell>
        </row>
        <row r="213">
          <cell r="M213" t="str">
            <v>131236-WIL23-SH-I-XXXX</v>
          </cell>
          <cell r="N213" t="str">
            <v>Cable Schedule For RIO Panel WIL23-RIO-0601A</v>
          </cell>
        </row>
        <row r="214">
          <cell r="M214" t="str">
            <v>131236-WSW46-SH-I-XXXX</v>
          </cell>
          <cell r="N214" t="str">
            <v>Cable Schedule For RIO Panel WIL23-RIO-0601B</v>
          </cell>
        </row>
        <row r="215">
          <cell r="M215" t="str">
            <v>131236-WSW46-SH-I-XXXX</v>
          </cell>
          <cell r="N215" t="str">
            <v>Process Automation Network (PAN) Overall Cable Schedule</v>
          </cell>
        </row>
        <row r="216">
          <cell r="M216" t="str">
            <v>131236-WSW46-SH-I-XXXX</v>
          </cell>
          <cell r="N216" t="str">
            <v>Process Monitoring Network (PMN) Overall Cable Schedule</v>
          </cell>
        </row>
        <row r="217">
          <cell r="M217"/>
        </row>
        <row r="218">
          <cell r="M218"/>
        </row>
        <row r="219">
          <cell r="M219"/>
          <cell r="N219"/>
        </row>
        <row r="220">
          <cell r="M220" t="str">
            <v>131236-WIL21-DS-I-0001</v>
          </cell>
          <cell r="N220" t="str">
            <v>Datasheet For Flammable (LEL) Gas Detector (DRAEGER SINGAPORE PTE LTD)</v>
          </cell>
        </row>
        <row r="221">
          <cell r="M221" t="str">
            <v>131236-WIL21-DS-I-0002</v>
          </cell>
          <cell r="N221" t="str">
            <v>Datasheet For CO Gas Detector (DRAEGER SINGAPORE PTE LTD)</v>
          </cell>
        </row>
        <row r="222">
          <cell r="M222" t="str">
            <v>131236-WIL21-DS-I-0003</v>
          </cell>
          <cell r="N222" t="str">
            <v>Datasheet For H2S Gas Detector (DRAEGER SINGAPORE PTE LTD)</v>
          </cell>
        </row>
        <row r="223">
          <cell r="M223" t="str">
            <v>131236-WIL21-DS-I-0004</v>
          </cell>
          <cell r="N223" t="str">
            <v>Datasheet For Motion Switch (IFM ELECTRONIC PTE LTD)</v>
          </cell>
        </row>
        <row r="224">
          <cell r="M224" t="str">
            <v>131236-WIL21-DS-I-0005</v>
          </cell>
          <cell r="N224" t="str">
            <v>Datasheet For Weight Transmitter with Load Cell (METTLER TOLEDO (S) PTE. LTD.)</v>
          </cell>
        </row>
        <row r="225">
          <cell r="M225" t="str">
            <v>131236-WIL21-DS-I-0006</v>
          </cell>
          <cell r="N225" t="str">
            <v>Datasheet For Weight Transmitter (METTLER – TOLEDO (S) PTE LTD)</v>
          </cell>
        </row>
        <row r="226">
          <cell r="M226" t="str">
            <v>131236-WIL23-DS-I-0001</v>
          </cell>
          <cell r="N226" t="str">
            <v>Datasheet For ORP Analyser (YOKOGAWA ENGINEERING ASIA PTE LTD)</v>
          </cell>
        </row>
        <row r="227">
          <cell r="M227" t="str">
            <v>131236-WSW46-DS-I-0001</v>
          </cell>
          <cell r="N227" t="str">
            <v>Datasheet For Low Point Leak Detector (IFM ELECTRONIC PTE LTD)</v>
          </cell>
        </row>
        <row r="228">
          <cell r="M228" t="str">
            <v>131236-WSW46-DS-I-0002</v>
          </cell>
          <cell r="N228" t="str">
            <v>Datasheet For pH Analyser (EMERSON ASIA PACIFIC PTE. LTD.)</v>
          </cell>
        </row>
        <row r="229">
          <cell r="M229" t="str">
            <v>131236-WSW46-DS-I-XXXX</v>
          </cell>
          <cell r="N229" t="str">
            <v>Datasheet For Pressure Gauge (BAUMER SINGAPORE PTE LTD)</v>
          </cell>
        </row>
        <row r="230">
          <cell r="M230" t="str">
            <v>131236-WSW46-DS-I-XXXX</v>
          </cell>
          <cell r="N230" t="str">
            <v>Datasheet For Temperature Transmitter c/w RTD (ENDRESS + HAUSER S.E.A. PTE LTD)</v>
          </cell>
        </row>
        <row r="231">
          <cell r="M231" t="str">
            <v>131236-WSW46-DS-I-XXXX</v>
          </cell>
          <cell r="N231" t="str">
            <v>Datasheet For Pressure Transmitter (EMERSON ASIA PACIFIC PTE. LTD.)</v>
          </cell>
        </row>
        <row r="232">
          <cell r="M232" t="str">
            <v>131236-WSW46-DS-I-XXXX</v>
          </cell>
          <cell r="N232" t="str">
            <v>Datasheet For Level Transmitter Radar (Non-Contacting) (ENDRESS + HAUSER S.E.A. PTE LTD)</v>
          </cell>
        </row>
        <row r="233">
          <cell r="M233" t="str">
            <v>131236-WSW46-DS-I-XXXX</v>
          </cell>
          <cell r="N233" t="str">
            <v>Datasheet For Pressure Switch(WIKA INSTRUMENTATION PTE. LTD.)</v>
          </cell>
        </row>
        <row r="234">
          <cell r="M234" t="str">
            <v>131236-WSW46-DS-I-XXXX</v>
          </cell>
          <cell r="N234" t="str">
            <v>Datasheet For Level Transmitter – RF Admittance(ENDRESS + HAUSER S.E.A. PTE LTD)</v>
          </cell>
        </row>
        <row r="235">
          <cell r="M235" t="str">
            <v>131236-WSW46-DS-I-XXXX</v>
          </cell>
          <cell r="N235" t="str">
            <v>Datasheet For Auto Sampler (ENDRESS + HAUSER S.E.A. PTE LTD)</v>
          </cell>
        </row>
        <row r="236">
          <cell r="M236" t="str">
            <v>131236-WSW46-DS-I-XXXX</v>
          </cell>
          <cell r="N236" t="str">
            <v>Datasheet For Thermal Mass Flowmeter (ENDRESS + HAUSER S.E.A. PTE LTD)</v>
          </cell>
        </row>
        <row r="237">
          <cell r="M237" t="str">
            <v>131236-WSW46-DS-I-XXXX</v>
          </cell>
          <cell r="N237" t="str">
            <v>Datasheet For Thermal Flow Switch (ENDRESS + HAUSER S.E.A. PTE LTD)</v>
          </cell>
        </row>
        <row r="238">
          <cell r="M238" t="str">
            <v>131236-WSW46-DS-I-XXXX</v>
          </cell>
          <cell r="N238" t="str">
            <v>Datasheet For Turbidity Analyser (HACH WATER QUALITY SINGAPORE PTE LTD)</v>
          </cell>
        </row>
        <row r="239">
          <cell r="M239" t="str">
            <v>131236-WSW46-DS-I-XXXX</v>
          </cell>
          <cell r="N239" t="str">
            <v>Datasheet For Level Switch – Conductive Probe (ENDRESS + HAUSER S.E.A. PTE LTD)</v>
          </cell>
        </row>
        <row r="240">
          <cell r="M240" t="str">
            <v>131236-WSW46-DS-I-XXXX</v>
          </cell>
          <cell r="N240" t="str">
            <v>Datasheet For Room Temperature Sensor (KELE &amp; ASSOCIATES PTE LTD - VAISALA)</v>
          </cell>
        </row>
        <row r="241">
          <cell r="M241" t="str">
            <v>131236-WIL21-DS-I-XXXX</v>
          </cell>
          <cell r="N241" t="str">
            <v>Datasheet For Toxicity Analyser (AI ANALYTICAL PTE LTD)</v>
          </cell>
        </row>
        <row r="242">
          <cell r="M242" t="str">
            <v>131236-WIL21-DS-I-XXXX</v>
          </cell>
          <cell r="N242" t="str">
            <v>Datasheet For Volatile Organic Compound (VOC) Gas Analyser (HONEYWELL RAE SYSTEMS)</v>
          </cell>
        </row>
        <row r="243">
          <cell r="M243" t="str">
            <v>131236-WIL22-DS-I-XXXX</v>
          </cell>
          <cell r="N243" t="str">
            <v>Datasheet For Total Solid Analyser (VALMET - WETEC PTE LTD)</v>
          </cell>
        </row>
        <row r="244">
          <cell r="M244" t="str">
            <v>131236-WIL22-DS-I-XXXX</v>
          </cell>
          <cell r="N244" t="str">
            <v>Datasheet For Level Switch Sludge Blanket – Ultrasonic (PULSAR – MAESTRO ASIA)</v>
          </cell>
        </row>
        <row r="245">
          <cell r="M245" t="str">
            <v>131236-WIL23-DS-I-XXXX</v>
          </cell>
          <cell r="N245" t="str">
            <v>Datasheet For Level Switch – Tuning Fork (ENDRESS + HAUSER S.E.A. PTE LTD)</v>
          </cell>
        </row>
        <row r="246">
          <cell r="M246" t="str">
            <v>131236-WIL23-DS-I-XXXX</v>
          </cell>
          <cell r="N246" t="str">
            <v>Datasheet For Orthophosphate Analyser(ENDRESS + HAUSER S.E.A. PTE LTD)</v>
          </cell>
        </row>
        <row r="247">
          <cell r="M247" t="str">
            <v>131236-WIL23-DS-I-XXXX</v>
          </cell>
          <cell r="N247" t="str">
            <v>Datasheet For Conductivity Analyser(ENDRESS + HAUSER S.E.A. PTE LTD)</v>
          </cell>
        </row>
        <row r="248">
          <cell r="M248" t="str">
            <v>131236-WIL23-DS-I-XXXX</v>
          </cell>
          <cell r="N248" t="str">
            <v>Datasheet For Total Suspended Solid (MLSS) Analyser (HACH WATER QUALITY SINGAPORE PTE LTD)</v>
          </cell>
        </row>
        <row r="249">
          <cell r="M249" t="str">
            <v>131236-WIL23-DS-I-XXXX</v>
          </cell>
          <cell r="N249" t="str">
            <v>Datasheet For Ammonia Analyser (HACH WATER QUALITY SINGAPORE PTE LTD)</v>
          </cell>
        </row>
        <row r="250">
          <cell r="M250" t="str">
            <v>131236-WIL23-DS-I-XXXX</v>
          </cell>
          <cell r="N250" t="str">
            <v>Datasheet For Dissolved Oxygen Analyser (EMERSON ASIA PACIFIC PTE. LTD.)</v>
          </cell>
        </row>
        <row r="251">
          <cell r="M251" t="str">
            <v>131236-WIL23-DS-I-XXXX</v>
          </cell>
          <cell r="N251" t="str">
            <v>Datasheet For Nitrate / Nitrite Analyser (HACH WATER QUALITY SINGAPORE PTE LTD)</v>
          </cell>
        </row>
        <row r="252">
          <cell r="M252" t="str">
            <v>131236-WNS03-DS-I-XXXX</v>
          </cell>
          <cell r="N252" t="str">
            <v>Datasheet For Differential Pressure Transmitter (EMERSON ASIA PACIFIC PTE. LTD.)</v>
          </cell>
        </row>
        <row r="253">
          <cell r="M253" t="str">
            <v>131236-WSW46-DS-I-XXXX</v>
          </cell>
          <cell r="N253" t="str">
            <v>Datasheetn For  Local Display (ENDRESS HAUSER)</v>
          </cell>
        </row>
        <row r="254">
          <cell r="M254" t="str">
            <v>131236-WSW46-DS-I-XXXX</v>
          </cell>
          <cell r="N254" t="str">
            <v>Datasheet For Rotameter c/w Flow (Reed) Switch</v>
          </cell>
        </row>
        <row r="255">
          <cell r="M255" t="str">
            <v>131236-WSW46-DS-I-XXXX</v>
          </cell>
          <cell r="N255" t="str">
            <v>Datasheet For Flowmeter - Electromagnetic</v>
          </cell>
        </row>
        <row r="256">
          <cell r="M256" t="str">
            <v>131236-WSW46-DS-I-XXXX</v>
          </cell>
          <cell r="N256" t="str">
            <v>Datasheet For Flowmeter - Open Channel Ultrasonic</v>
          </cell>
        </row>
        <row r="257">
          <cell r="M257" t="str">
            <v>131236-WIL21-DS-I-XXXX</v>
          </cell>
          <cell r="N257" t="str">
            <v>Datasheet For Truck Position Sensor</v>
          </cell>
        </row>
        <row r="258">
          <cell r="M258" t="str">
            <v>131236-WIL23-DS-I-XXXX</v>
          </cell>
          <cell r="N258" t="str">
            <v>Datasheet For Limit Switch</v>
          </cell>
        </row>
        <row r="259">
          <cell r="M259" t="str">
            <v>131236-WIL22-DS-I-XXXX</v>
          </cell>
          <cell r="N259" t="str">
            <v>Datasheet For Level Switch - Ultrasonic</v>
          </cell>
        </row>
        <row r="260">
          <cell r="M260" t="str">
            <v>131236-WSW46-DS-I-XXXX</v>
          </cell>
          <cell r="N260" t="str">
            <v>Datasheet For Portable Analyser</v>
          </cell>
        </row>
        <row r="261">
          <cell r="M261" t="str">
            <v>131236-WNS03-DS-I-XXXX</v>
          </cell>
          <cell r="N261" t="str">
            <v>Datasheet For Level Gauge - Magnetic with Level Swich &amp; Solenoid Valve</v>
          </cell>
        </row>
        <row r="262">
          <cell r="M262" t="str">
            <v>131236-WSW46-DS-I-XXXX</v>
          </cell>
          <cell r="N262" t="str">
            <v>Data Sheet &amp; Details - RIO Panel</v>
          </cell>
        </row>
        <row r="263">
          <cell r="M263" t="str">
            <v>131236-WSW46-DS-I-XXXX</v>
          </cell>
          <cell r="N263" t="str">
            <v>Datasheet for Vehicle Entry and Exit Sensor</v>
          </cell>
        </row>
        <row r="264">
          <cell r="M264" t="str">
            <v>131236-WSW46-DS-I-XXXX</v>
          </cell>
          <cell r="N264" t="str">
            <v>Datasheet for Loop Powered Process Indicator - Local Indicator</v>
          </cell>
        </row>
        <row r="265">
          <cell r="M265" t="str">
            <v>131236-WIL23-DS-I-XXXX</v>
          </cell>
          <cell r="N265" t="str">
            <v>Datasheet For Biosorption Blower LCP Design</v>
          </cell>
        </row>
        <row r="266">
          <cell r="M266" t="str">
            <v>131236-WIL23-DS-I-XXXX</v>
          </cell>
          <cell r="N266" t="str">
            <v>Datasheet For Biosorption Blower MCP Design</v>
          </cell>
        </row>
        <row r="267">
          <cell r="M267" t="str">
            <v>131236-WSW46-DS-I-XXXX</v>
          </cell>
          <cell r="N267" t="str">
            <v>Data Sheet &amp; Details - PLC Panel</v>
          </cell>
        </row>
        <row r="268">
          <cell r="M268" t="str">
            <v>131236-WSW46-DS-I-XXXX</v>
          </cell>
          <cell r="N268" t="str">
            <v>Data Sheet &amp; Details - LCP Panel</v>
          </cell>
        </row>
        <row r="269">
          <cell r="M269" t="str">
            <v>131236-WSW46-DS-I-XXXX</v>
          </cell>
          <cell r="N269" t="str">
            <v>Data Sheet &amp; Details - PLC Panel</v>
          </cell>
        </row>
        <row r="270">
          <cell r="M270" t="str">
            <v>131236-WSW46-DS-I-XXXX</v>
          </cell>
          <cell r="N270" t="str">
            <v>Data Sheet &amp; Details - Junction Box</v>
          </cell>
        </row>
        <row r="271">
          <cell r="M271" t="str">
            <v>131236-WSW46-DS-I-XXXX</v>
          </cell>
          <cell r="N271" t="str">
            <v>Data Sheet &amp; Details - Network Panels &amp; Fobot</v>
          </cell>
        </row>
        <row r="272">
          <cell r="M272" t="str">
            <v>131236-WIL23-DS-I-XXXX</v>
          </cell>
          <cell r="N272" t="str">
            <v>Datasheet For Bioreactor Blower LCP Design</v>
          </cell>
        </row>
        <row r="273">
          <cell r="M273" t="str">
            <v>131236-WIL23-DS-I-XXXX</v>
          </cell>
          <cell r="N273" t="str">
            <v>Datasheet for Membrane Air Scour Blower LCP Design</v>
          </cell>
        </row>
        <row r="274">
          <cell r="M274" t="str">
            <v>131236-WIL23-DS-I-XXXX</v>
          </cell>
          <cell r="N274" t="str">
            <v>Datasheet for Bioreactor Blower MCP Design</v>
          </cell>
        </row>
        <row r="275">
          <cell r="M275" t="str">
            <v>131236-WIL23-DS-I-XXXX</v>
          </cell>
          <cell r="N275" t="str">
            <v>Datasheet for Membrane Air Scour Blower MCP Design</v>
          </cell>
        </row>
        <row r="276">
          <cell r="M276" t="str">
            <v>131236-WIL21-DS-I-XXXX</v>
          </cell>
          <cell r="N276" t="str">
            <v xml:space="preserve"> VMS Design for IGV Blowers</v>
          </cell>
        </row>
        <row r="277">
          <cell r="M277" t="str">
            <v>131236-WSW46-DS-I-XXXX</v>
          </cell>
          <cell r="N277" t="str">
            <v>Datasheet For Network Architecture and Signal List for IGV Blowers</v>
          </cell>
        </row>
        <row r="278">
          <cell r="M278" t="str">
            <v>131236-WIL21-DS-I-XXXX</v>
          </cell>
          <cell r="N278" t="str">
            <v>Instrument Datasheets for IGV Blowers</v>
          </cell>
        </row>
        <row r="279">
          <cell r="M279" t="str">
            <v>131236-WSW46-DS-I-XXXX</v>
          </cell>
          <cell r="N279" t="str">
            <v>Data Sheet &amp; Details - Cables</v>
          </cell>
        </row>
        <row r="280">
          <cell r="M280" t="str">
            <v>131236-WSW46-DS-I-XXXX</v>
          </cell>
          <cell r="N280" t="str">
            <v>Data Sheet &amp; Details - Bench Testing Equipment</v>
          </cell>
        </row>
        <row r="281">
          <cell r="M281" t="str">
            <v>131236-WSW46-DS-I-XXXX</v>
          </cell>
          <cell r="N281" t="str">
            <v>Intrinsic Safety Cable Calculations</v>
          </cell>
        </row>
        <row r="282">
          <cell r="M282" t="str">
            <v>131236-WSW46-DS-I-XXXX</v>
          </cell>
          <cell r="N282" t="str">
            <v>SIL level Design Calculations</v>
          </cell>
        </row>
        <row r="283">
          <cell r="M283" t="str">
            <v>131236-WSW46-DS-I-XXXX</v>
          </cell>
          <cell r="N283" t="str">
            <v>Fibre Optic Power Loss Calculations</v>
          </cell>
        </row>
        <row r="284">
          <cell r="M284" t="str">
            <v>131236-WSW46-DS-I-XXXX</v>
          </cell>
          <cell r="N284" t="str">
            <v>Data Sheet - Surge Arrestors</v>
          </cell>
        </row>
        <row r="285">
          <cell r="M285" t="str">
            <v>131236-WSW46-DS-I-XXXX</v>
          </cell>
          <cell r="N285" t="str">
            <v>Data Sheet - Vibration Monitoring System</v>
          </cell>
        </row>
        <row r="286">
          <cell r="M286" t="str">
            <v>131236-WSW46-DS-I-XXXX</v>
          </cell>
          <cell r="N286" t="str">
            <v>Cable Size Calculation</v>
          </cell>
        </row>
        <row r="287">
          <cell r="M287"/>
        </row>
        <row r="288">
          <cell r="M288"/>
          <cell r="N288"/>
        </row>
        <row r="289">
          <cell r="M289"/>
          <cell r="N289"/>
        </row>
        <row r="290">
          <cell r="M290" t="str">
            <v>131236-SP-PR-XXXX</v>
          </cell>
          <cell r="N290" t="str">
            <v>ILM2 – Plant Drainage Pumping Station Process Control Narrative</v>
          </cell>
        </row>
        <row r="291">
          <cell r="M291" t="str">
            <v>131236-SP-PR-XXXX</v>
          </cell>
          <cell r="N291" t="str">
            <v>PCN-Screenings and Grit Hopper Loadout Facility</v>
          </cell>
        </row>
        <row r="292">
          <cell r="M292" t="str">
            <v>131236-SP-PR-XXXX</v>
          </cell>
          <cell r="N292" t="str">
            <v>PCN-Headworks Screening (Screens and Associated Equipment)</v>
          </cell>
        </row>
        <row r="293">
          <cell r="M293" t="str">
            <v>131236-SP-PR-XXXX</v>
          </cell>
          <cell r="N293" t="str">
            <v>PCN-Grit and Grease Removal (Grit Classifier and Associated Equipment)</v>
          </cell>
        </row>
        <row r="294">
          <cell r="M294" t="str">
            <v>131236-SP-PR-XXXX</v>
          </cell>
          <cell r="N294" t="str">
            <v xml:space="preserve">ILM2 – MBR Filtrate System Process Control Narrative </v>
          </cell>
        </row>
        <row r="295">
          <cell r="M295" t="str">
            <v>131236-SP-PR-XXXX</v>
          </cell>
          <cell r="N295" t="str">
            <v>PCN-High Pressure Plant Water (G2HP) Pumping</v>
          </cell>
        </row>
        <row r="296">
          <cell r="M296" t="str">
            <v>131236-SP-PR-XXXX</v>
          </cell>
          <cell r="N296" t="str">
            <v>PCN-Chemical Storage &amp; Dosing</v>
          </cell>
        </row>
        <row r="297">
          <cell r="M297" t="str">
            <v>131236-SP-PR-XXXX</v>
          </cell>
          <cell r="N297" t="str">
            <v>PCN-Grit Aeration Blower</v>
          </cell>
        </row>
        <row r="298">
          <cell r="M298" t="str">
            <v>131236-SP-PR-XXXX</v>
          </cell>
          <cell r="N298" t="str">
            <v xml:space="preserve"> ILM2 – Primary Treatment Process Control Narrative </v>
          </cell>
        </row>
        <row r="299">
          <cell r="M299" t="str">
            <v>131236-SP-PR-XXXX</v>
          </cell>
          <cell r="N299" t="str">
            <v>PCN-Primary Sludge Domestic (PSD) Storage and Pumping</v>
          </cell>
        </row>
        <row r="300">
          <cell r="M300" t="str">
            <v>131236-SP-PR-XXXX</v>
          </cell>
          <cell r="N300" t="str">
            <v>PCN-MBR Screening (Screens and Associated Equipment)</v>
          </cell>
        </row>
        <row r="301">
          <cell r="M301" t="str">
            <v>131236-SP-PR-XXXX</v>
          </cell>
          <cell r="N301" t="str">
            <v>PCN-Process Air Blowers</v>
          </cell>
        </row>
        <row r="302">
          <cell r="M302" t="str">
            <v>131236-SP-PR-XXXX</v>
          </cell>
          <cell r="N302" t="str">
            <v>PCN-Bioreactor Sludge Wasting</v>
          </cell>
        </row>
        <row r="303">
          <cell r="M303" t="str">
            <v>131236-SP-PR-XXXX</v>
          </cell>
          <cell r="N303" t="str">
            <v>PCN-Biosorption Air Blower</v>
          </cell>
        </row>
        <row r="304">
          <cell r="M304" t="str">
            <v>131236-SP-PR-XXXX</v>
          </cell>
          <cell r="N304" t="str">
            <v>PCN-Membrance Air Blower</v>
          </cell>
        </row>
        <row r="305">
          <cell r="M305" t="str">
            <v>131236-SP-PR-XXXX</v>
          </cell>
          <cell r="N305" t="str">
            <v>PCN-RAS Flow Division Control</v>
          </cell>
        </row>
        <row r="306">
          <cell r="M306" t="str">
            <v>131236-SP-PR-XXXX</v>
          </cell>
          <cell r="N306" t="str">
            <v>PCN-Membrane Filtration System</v>
          </cell>
        </row>
        <row r="307">
          <cell r="M307" t="str">
            <v>131236-SP-PR-XXXX</v>
          </cell>
          <cell r="N307" t="str">
            <v>PCN-Membrane Feed Channel Scum Removal</v>
          </cell>
        </row>
        <row r="308">
          <cell r="M308" t="str">
            <v>131236-SP-PR-XXXX</v>
          </cell>
          <cell r="N308" t="str">
            <v>PCN-IWMF Process Water Pumping</v>
          </cell>
        </row>
        <row r="309">
          <cell r="M309" t="str">
            <v>131236-SP-PR-XXXX</v>
          </cell>
          <cell r="N309" t="str">
            <v>PCN-IW Transfer Pumping</v>
          </cell>
        </row>
        <row r="310">
          <cell r="M310" t="str">
            <v>131236-SP-PR-XXXX</v>
          </cell>
          <cell r="N310" t="str">
            <v>PCN-Membrane Filtrate Tank Drainage</v>
          </cell>
        </row>
        <row r="311">
          <cell r="M311" t="str">
            <v>131236-SP-PR-XXXX</v>
          </cell>
          <cell r="N311" t="str">
            <v>FDS-High Pressure Plant Water (G2HP) Pumping</v>
          </cell>
        </row>
        <row r="312">
          <cell r="M312" t="str">
            <v>131236-SP-PR-XXXX</v>
          </cell>
          <cell r="N312" t="str">
            <v>FDS-Chemical Storage &amp; Dosing</v>
          </cell>
        </row>
        <row r="313">
          <cell r="M313" t="str">
            <v>131236-SP-PR-XXXX</v>
          </cell>
          <cell r="N313" t="str">
            <v>FDS-Plant Drainage Pumping Station</v>
          </cell>
        </row>
        <row r="314">
          <cell r="M314" t="str">
            <v>131236-SP-PR-XXXX</v>
          </cell>
          <cell r="N314" t="str">
            <v>FDS-Screenings and Grit Hopper Loadout Facility</v>
          </cell>
        </row>
        <row r="315">
          <cell r="M315" t="str">
            <v>131236-SP-PR-XXXX</v>
          </cell>
          <cell r="N315" t="str">
            <v>FDS-Headworks Screening (Screens and Associated Equipment)</v>
          </cell>
        </row>
        <row r="316">
          <cell r="M316" t="str">
            <v>131236-SP-PR-XXXX</v>
          </cell>
          <cell r="N316" t="str">
            <v>FDS-Grit and Grease Removal (Grit Classifier and Associated Equipment)</v>
          </cell>
        </row>
        <row r="317">
          <cell r="M317" t="str">
            <v>131236-SP-PR-XXXX</v>
          </cell>
          <cell r="N317" t="str">
            <v>FDS-Grit Aeration Blower</v>
          </cell>
        </row>
        <row r="318">
          <cell r="M318" t="str">
            <v>131236-SP-PR-XXXX</v>
          </cell>
          <cell r="N318" t="str">
            <v>FDS-Biosorption Tank (Mixer, Diffuser and Associated Equipment)</v>
          </cell>
        </row>
        <row r="319">
          <cell r="M319" t="str">
            <v>131236-SP-PR-XXXX</v>
          </cell>
          <cell r="N319" t="str">
            <v>FDS-Biosorption Aeration System</v>
          </cell>
        </row>
        <row r="320">
          <cell r="M320" t="str">
            <v>131236-SP-PR-XXXX</v>
          </cell>
          <cell r="N320" t="str">
            <v>FDS-Primary Sludge Domestic (PSD) Storage and Pumping</v>
          </cell>
        </row>
        <row r="321">
          <cell r="M321" t="str">
            <v>131236-SP-PR-XXXX</v>
          </cell>
          <cell r="N321" t="str">
            <v>FDS-Primary Sedimentation Tanks (Lamella System and Associated Equipment)</v>
          </cell>
        </row>
        <row r="322">
          <cell r="M322" t="str">
            <v>131236-SP-PR-XXXX</v>
          </cell>
          <cell r="N322" t="str">
            <v>FDS - ILM MBR Filtrate Tank Overview &amp; Plant Water (G2D) Pumping</v>
          </cell>
        </row>
        <row r="323">
          <cell r="M323" t="str">
            <v>131236-SP-PR-XXXX</v>
          </cell>
          <cell r="N323" t="str">
            <v>FDS-IWMF Process Water Pumping</v>
          </cell>
        </row>
        <row r="324">
          <cell r="M324" t="str">
            <v>131236-SP-PR-XXXX</v>
          </cell>
          <cell r="N324" t="str">
            <v>FDS-ILM2 IW Transfer Pumping</v>
          </cell>
        </row>
        <row r="325">
          <cell r="M325" t="str">
            <v>131236-SP-PR-XXXX</v>
          </cell>
          <cell r="N325" t="str">
            <v>FDS-ILM2 High Pressure Plant Water (G2HP) Pumping</v>
          </cell>
        </row>
        <row r="326">
          <cell r="M326" t="str">
            <v>131236-SP-PR-XXXX</v>
          </cell>
          <cell r="N326" t="str">
            <v>FDS-MBR Screening (Screens and Associated Equipment)</v>
          </cell>
        </row>
        <row r="327">
          <cell r="M327" t="str">
            <v>131236-SP-PR-XXXX</v>
          </cell>
          <cell r="N327" t="str">
            <v>FDS-Process Air Blowers</v>
          </cell>
        </row>
        <row r="328">
          <cell r="M328" t="str">
            <v>131236-SP-PR-XXXX</v>
          </cell>
          <cell r="N328" t="str">
            <v>FDS-Bioreactor Sludge Wasting</v>
          </cell>
        </row>
        <row r="329">
          <cell r="M329" t="str">
            <v>131236-SP-PR-XXXX</v>
          </cell>
          <cell r="N329" t="str">
            <v>FDS-RAS Flow Division Control</v>
          </cell>
        </row>
        <row r="330">
          <cell r="M330" t="str">
            <v>131236-SP-PR-XXXX</v>
          </cell>
          <cell r="N330" t="str">
            <v>FDS-Membrane Filtration System</v>
          </cell>
        </row>
        <row r="331">
          <cell r="M331" t="str">
            <v>131236-SP-PR-XXXX</v>
          </cell>
          <cell r="N331" t="str">
            <v>FDS-Membrane Feed Channel Scum Removal</v>
          </cell>
        </row>
        <row r="332">
          <cell r="M332" t="str">
            <v>131236-SP-PR-XXXX</v>
          </cell>
          <cell r="N332" t="str">
            <v>FDS-IW Transfer Pumping</v>
          </cell>
        </row>
        <row r="333">
          <cell r="M333" t="str">
            <v>131236-SP-PR-XXXX</v>
          </cell>
          <cell r="N333" t="str">
            <v>FDS-Membrane Filtrate Tank Drainage</v>
          </cell>
        </row>
        <row r="334">
          <cell r="M334"/>
        </row>
        <row r="335">
          <cell r="M335"/>
          <cell r="N335"/>
        </row>
        <row r="336">
          <cell r="M336" t="str">
            <v>131236-WNS03-DR-I-7000</v>
          </cell>
          <cell r="N336" t="str">
            <v xml:space="preserve">INSTRUMENT HOOKUP DRAWINGS FOR DIFFERENTIAL PRESSURE TRANSMITTER (SHEET 1 OF 1)
</v>
          </cell>
        </row>
        <row r="337">
          <cell r="M337" t="str">
            <v>131236-WIL21-DR-I-XXXX</v>
          </cell>
          <cell r="N337" t="str">
            <v>Hook-Up Drawing For Flammable (LEL) Gas Detector</v>
          </cell>
        </row>
        <row r="338">
          <cell r="M338" t="str">
            <v>131236-WIL21-DR-I-XXXX</v>
          </cell>
          <cell r="N338" t="str">
            <v>Hook-Up Drawing For CO Gas Detector</v>
          </cell>
        </row>
        <row r="339">
          <cell r="M339" t="str">
            <v>131236-WIL21-DR-I-XXXX</v>
          </cell>
          <cell r="N339" t="str">
            <v xml:space="preserve">Hook-Up Drawing For H2S Gas Detector </v>
          </cell>
        </row>
        <row r="340">
          <cell r="M340" t="str">
            <v>131236-WIL21-DR-I-XXXX</v>
          </cell>
          <cell r="N340" t="str">
            <v xml:space="preserve">Hook-Up Drawing For Motion Switch </v>
          </cell>
        </row>
        <row r="341">
          <cell r="M341" t="str">
            <v>131236-WSW46-DR-I-XXXX</v>
          </cell>
          <cell r="N341" t="str">
            <v>Hook-Up Drawing For Low Point Leak Detector</v>
          </cell>
        </row>
        <row r="342">
          <cell r="M342" t="str">
            <v>131236-WSW46-DR-I-XXXX</v>
          </cell>
          <cell r="N342" t="str">
            <v>Hook-Up Drawing For Pressure Gauge</v>
          </cell>
        </row>
        <row r="343">
          <cell r="M343" t="str">
            <v>131236-WSW46-DR-I-XXXX</v>
          </cell>
          <cell r="N343" t="str">
            <v xml:space="preserve">Hook-Up Drawing For Temperature Transmitter c/w RTD </v>
          </cell>
        </row>
        <row r="344">
          <cell r="M344" t="str">
            <v>131236-WSW46-DR-I-XXXX</v>
          </cell>
          <cell r="N344" t="str">
            <v>Hook-Up Drawing For Pressure Transmitter</v>
          </cell>
        </row>
        <row r="345">
          <cell r="M345" t="str">
            <v>131236-WSW46-DR-I-XXXX</v>
          </cell>
          <cell r="N345" t="str">
            <v>Hook-Up Drawing For Level Transmitter Radar (Non-Contacting)</v>
          </cell>
        </row>
        <row r="346">
          <cell r="M346" t="str">
            <v>131236-WSW46-DR-I-XXXX</v>
          </cell>
          <cell r="N346" t="str">
            <v>Hook-Up Drawing For Pressure Switch</v>
          </cell>
        </row>
        <row r="347">
          <cell r="M347" t="str">
            <v>131236-WSW46-DR-I-XXXX</v>
          </cell>
          <cell r="N347" t="str">
            <v>Hook-Up Drawing For Level Transmitter – RF Admittance</v>
          </cell>
        </row>
        <row r="348">
          <cell r="M348" t="str">
            <v>131236-WSW46-DR-I-XXXX</v>
          </cell>
          <cell r="N348" t="str">
            <v>Hook-Up Drawing For Auto Sampler</v>
          </cell>
        </row>
        <row r="349">
          <cell r="M349" t="str">
            <v>131236-WSW46-DR-I-XXXX</v>
          </cell>
          <cell r="N349" t="str">
            <v>Hook-Up Drawing For Thermal Mass Flowmeter</v>
          </cell>
        </row>
        <row r="350">
          <cell r="M350" t="str">
            <v>131236-WSW46-DR-I-XXXX</v>
          </cell>
          <cell r="N350" t="str">
            <v>Hook-Up Drawing For Thermal Flow Switch</v>
          </cell>
        </row>
        <row r="351">
          <cell r="M351" t="str">
            <v>131236-WSW46-DR-I-XXXX</v>
          </cell>
          <cell r="N351" t="str">
            <v>Hook-Up Drawing For Turbidity Analyser</v>
          </cell>
        </row>
        <row r="352">
          <cell r="M352" t="str">
            <v>131236-WSW46-DR-I-XXXX</v>
          </cell>
          <cell r="N352" t="str">
            <v>Hook-Up Drawing For Level Switch – Conductive Probe</v>
          </cell>
        </row>
        <row r="353">
          <cell r="M353" t="str">
            <v>131236-WSW46-DR-I-XXXX</v>
          </cell>
          <cell r="N353" t="str">
            <v>Hook-Up Drawing For pH Analyser</v>
          </cell>
        </row>
        <row r="354">
          <cell r="M354" t="str">
            <v>131236-WSW46-DR-I-XXXX</v>
          </cell>
          <cell r="N354" t="str">
            <v>Hook-Up Drawing For Room Temperature Sensor</v>
          </cell>
        </row>
        <row r="355">
          <cell r="M355" t="str">
            <v>131236-WIL21-DR-I-XXXX</v>
          </cell>
          <cell r="N355" t="str">
            <v>Hook-Up Drawing For Weight Transmitter</v>
          </cell>
        </row>
        <row r="356">
          <cell r="M356" t="str">
            <v>131236-WIL21-DR-I-XXXX</v>
          </cell>
          <cell r="N356" t="str">
            <v>Hook-Up Drawing For Toxicity Analyser</v>
          </cell>
        </row>
        <row r="357">
          <cell r="M357" t="str">
            <v>131236-WIL21-DR-I-XXXX</v>
          </cell>
          <cell r="N357" t="str">
            <v xml:space="preserve">Hook-Up Drawing For Volatile Organic Compound (VOC) Gas Analyser </v>
          </cell>
        </row>
        <row r="358">
          <cell r="M358" t="str">
            <v>131236-WIL22-DR-I-XXXX</v>
          </cell>
          <cell r="N358" t="str">
            <v>Hook-Up Drawing For Total Solid Analyser</v>
          </cell>
        </row>
        <row r="359">
          <cell r="M359" t="str">
            <v>131236-WIL22-DR-I-XXXX</v>
          </cell>
          <cell r="N359" t="str">
            <v>Hook-Up Drawing For Level Switch Sludge Blanket – Ultrasonic</v>
          </cell>
        </row>
        <row r="360">
          <cell r="M360" t="str">
            <v>131236-WIL23-DR-I-XXXX</v>
          </cell>
          <cell r="N360" t="str">
            <v>Hook-Up Drawing For Level Switch – Tuning Fork</v>
          </cell>
        </row>
        <row r="361">
          <cell r="M361" t="str">
            <v>131236-WIL23-DR-I-XXXX</v>
          </cell>
          <cell r="N361" t="str">
            <v>Hook-Up Drawing For Orthophosphate Analyser</v>
          </cell>
        </row>
        <row r="362">
          <cell r="M362" t="str">
            <v>131236-WIL23-DR-I-XXXX</v>
          </cell>
          <cell r="N362" t="str">
            <v>Hook-Up Drawing For Conductivity Analyser</v>
          </cell>
        </row>
        <row r="363">
          <cell r="M363" t="str">
            <v>131236-WIL23-DR-I-XXXX</v>
          </cell>
          <cell r="N363" t="str">
            <v>Hook-Up Drawing For ORP Analyser</v>
          </cell>
        </row>
        <row r="364">
          <cell r="M364" t="str">
            <v>131236-WIL23-DR-I-XXXX</v>
          </cell>
          <cell r="N364" t="str">
            <v>Hook-Up Drawing For Total Suspended Solid (MLSS) Analyser</v>
          </cell>
        </row>
        <row r="365">
          <cell r="M365" t="str">
            <v>131236-WIL23-DR-I-XXXX</v>
          </cell>
          <cell r="N365" t="str">
            <v xml:space="preserve">Hook-Up Drawing For Ammonia Analyser </v>
          </cell>
        </row>
        <row r="366">
          <cell r="M366" t="str">
            <v>131236-WIL23-DR-I-XXXX</v>
          </cell>
          <cell r="N366" t="str">
            <v xml:space="preserve">Hook-Up Drawing For Dissolved Oxygen Analyser </v>
          </cell>
        </row>
        <row r="367">
          <cell r="M367" t="str">
            <v>131236-WIL23-DR-I-XXXX</v>
          </cell>
          <cell r="N367" t="str">
            <v xml:space="preserve">Hook-Up Drawing For Nitrate / Nitrite Analyser </v>
          </cell>
        </row>
        <row r="368">
          <cell r="M368" t="str">
            <v>131236-WSW46-DR-I-XXXX</v>
          </cell>
          <cell r="N368" t="str">
            <v xml:space="preserve">Hook-Up Drawing For  Local Display </v>
          </cell>
        </row>
        <row r="369">
          <cell r="M369" t="str">
            <v>131236-WSW46-DR-I-XXXX</v>
          </cell>
          <cell r="N369" t="str">
            <v>Hook-Up Drawing For Rotameter c/w Flow (Reed) Switch</v>
          </cell>
        </row>
        <row r="370">
          <cell r="M370" t="str">
            <v>131236-WSW46-DR-I-XXXX</v>
          </cell>
          <cell r="N370" t="str">
            <v>Hook-Up Drawing For Flowmeter - Electromagnetic</v>
          </cell>
        </row>
        <row r="371">
          <cell r="M371" t="str">
            <v>131236-WSW46-DR-I-XXXX</v>
          </cell>
          <cell r="N371" t="str">
            <v>Hook-Up Drawing For Flowmeter - Open Channel Ultrasonic</v>
          </cell>
        </row>
        <row r="372">
          <cell r="M372" t="str">
            <v>131236-WIL21-DR-I-XXXX</v>
          </cell>
          <cell r="N372" t="str">
            <v>Hook-Up Drawing For Truck Position Sensor</v>
          </cell>
        </row>
        <row r="373">
          <cell r="M373" t="str">
            <v>131236-WIL23-DR-I-XXXX</v>
          </cell>
          <cell r="N373" t="str">
            <v>Hook-Up Drawing For Limit Switch</v>
          </cell>
        </row>
        <row r="374">
          <cell r="M374" t="str">
            <v>131236-WIL22-DR-I-XXXX</v>
          </cell>
          <cell r="N374" t="str">
            <v>Hook-Up Drawing For Level Switch - Ultrasonic</v>
          </cell>
        </row>
        <row r="375">
          <cell r="M375" t="str">
            <v>131236-WNS03-DR-I-XXXX</v>
          </cell>
          <cell r="N375" t="str">
            <v>Hook Up Drawing For  Level Gauge - Magnetic with Level Swich &amp; Solenoid Valve</v>
          </cell>
        </row>
        <row r="376">
          <cell r="M376" t="str">
            <v>131236-WIL06-DR-I-XXXX</v>
          </cell>
          <cell r="N376" t="str">
            <v>General Arrangement and Wiring Diagram For RIO Panel WIL06-RIO-0102A</v>
          </cell>
        </row>
        <row r="377">
          <cell r="M377" t="str">
            <v>131236-WIL06-DR-I-XXXX</v>
          </cell>
          <cell r="N377" t="str">
            <v>Cover Sheet For RIO Panel WIL06-RIO-0102A</v>
          </cell>
        </row>
        <row r="378">
          <cell r="M378" t="str">
            <v>131236-WIL06-DR-I-XXXX</v>
          </cell>
          <cell r="N378" t="str">
            <v>Revision Index For RIO Panel WIL06-RIO-0102A</v>
          </cell>
        </row>
        <row r="379">
          <cell r="M379" t="str">
            <v>131236-WIL06-DR-I-XXXX</v>
          </cell>
          <cell r="N379" t="str">
            <v>Bill Of Materials For RIO Panel WIL06-RIO-0102A</v>
          </cell>
        </row>
        <row r="380">
          <cell r="M380" t="str">
            <v>131236-WIL06-DR-I-XXXX</v>
          </cell>
          <cell r="N380" t="str">
            <v>Control Cabinet - External View For RIO Panel WIL06-RIO-0102A</v>
          </cell>
        </row>
        <row r="381">
          <cell r="M381" t="str">
            <v>131236-WIL06-DR-I-XXXX</v>
          </cell>
          <cell r="N381" t="str">
            <v>Nameplate Details For RIO Panel WIL06-RIO-0102A</v>
          </cell>
        </row>
        <row r="382">
          <cell r="M382" t="str">
            <v>131236-WIL06-DR-I-XXXX</v>
          </cell>
          <cell r="N382" t="str">
            <v>Wiring Color Coding Scheme For RIO Panel WIL06-RIO-0102A</v>
          </cell>
        </row>
        <row r="383">
          <cell r="M383" t="str">
            <v>131236-WIL06-DR-I-XXXX</v>
          </cell>
          <cell r="N383" t="str">
            <v>Legend For RIO Panel WIL06-RIO-0102A</v>
          </cell>
        </row>
        <row r="384">
          <cell r="M384" t="str">
            <v>131236-WIL06-DR-I-XXXX</v>
          </cell>
          <cell r="N384" t="str">
            <v>230VAC Power Distribution For RIO Panel WIL06-RIO-0102A</v>
          </cell>
        </row>
        <row r="385">
          <cell r="M385" t="str">
            <v>131236-WIL06-DR-I-XXXX</v>
          </cell>
          <cell r="N385" t="str">
            <v>24VDC Supply Distribution For RIO Panel WIL06-RIO-0102A</v>
          </cell>
        </row>
        <row r="386">
          <cell r="M386" t="str">
            <v>131236-WIL06-DR-I-XXXX</v>
          </cell>
          <cell r="N386" t="str">
            <v>I/O Cluster Interconnection For RIO Panel WIL06-RIO-0102A</v>
          </cell>
        </row>
        <row r="387">
          <cell r="M387" t="str">
            <v>131236-WIL06-DR-I-XXXX</v>
          </cell>
          <cell r="N387" t="str">
            <v>Rack Wiring Diagram For RIO Panel WIL06-RIO-0102A</v>
          </cell>
        </row>
        <row r="388">
          <cell r="M388" t="str">
            <v>131236-WIL06-DR-I-XXXX</v>
          </cell>
          <cell r="N388" t="str">
            <v>Earth Bar Connection Diagram For RIO Panel WIL06-RIO-0102A</v>
          </cell>
        </row>
        <row r="389">
          <cell r="M389" t="str">
            <v>131236-WIL06-DR-I-XXXX</v>
          </cell>
          <cell r="N389" t="str">
            <v>Safety Barrier Wiring Digram For RIO Panel WIL06-RIO-0102A</v>
          </cell>
        </row>
        <row r="390">
          <cell r="M390" t="str">
            <v>131236-WIL06-DR-I-XXXX</v>
          </cell>
          <cell r="N390" t="str">
            <v>General Arrangement and Wiring Diagram For RIO Panel WIL06-RIO-0102B</v>
          </cell>
        </row>
        <row r="391">
          <cell r="M391" t="str">
            <v>131236-WIL06-DR-I-XXXX</v>
          </cell>
          <cell r="N391" t="str">
            <v>Cover Sheet For RIO Panel WIL06-RIO-0102B</v>
          </cell>
        </row>
        <row r="392">
          <cell r="M392" t="str">
            <v>131236-WIL06-DR-I-XXXX</v>
          </cell>
          <cell r="N392" t="str">
            <v>Revision Index For RIO Panel WIL06-RIO-0102B</v>
          </cell>
        </row>
        <row r="393">
          <cell r="M393" t="str">
            <v>131236-WIL06-DR-I-XXXX</v>
          </cell>
          <cell r="N393" t="str">
            <v>Bill Of Materials For RIO Panel WIL06-RIO-0102B</v>
          </cell>
        </row>
        <row r="394">
          <cell r="M394" t="str">
            <v>131236-WIL06-DR-I-XXXX</v>
          </cell>
          <cell r="N394" t="str">
            <v>Control Cabinet - External View For RIO Panel WIL06-RIO-0102B</v>
          </cell>
        </row>
        <row r="395">
          <cell r="M395" t="str">
            <v>131236-WIL06-DR-I-XXXX</v>
          </cell>
          <cell r="N395" t="str">
            <v>Nameplate Details For RIO Panel WIL06-RIO-0102B</v>
          </cell>
        </row>
        <row r="396">
          <cell r="M396" t="str">
            <v>131236-WIL06-DR-I-XXXX</v>
          </cell>
          <cell r="N396" t="str">
            <v>Wiring Color Coding Scheme For RIO Panel WIL06-RIO-0102B</v>
          </cell>
        </row>
        <row r="397">
          <cell r="M397" t="str">
            <v>131236-WIL06-DR-I-XXXX</v>
          </cell>
          <cell r="N397" t="str">
            <v>Legend For RIO Panel WIL06-RIO-0102B</v>
          </cell>
        </row>
        <row r="398">
          <cell r="M398" t="str">
            <v>131236-WIL06-DR-I-XXXX</v>
          </cell>
          <cell r="N398" t="str">
            <v>230VAC Power Distribution For RIO Panel WIL06-RIO-0102B</v>
          </cell>
        </row>
        <row r="399">
          <cell r="M399" t="str">
            <v>131236-WIL06-DR-I-XXXX</v>
          </cell>
          <cell r="N399" t="str">
            <v>24VDC Supply Distribution For RIO Panel WIL06-RIO-0102B</v>
          </cell>
        </row>
        <row r="400">
          <cell r="M400" t="str">
            <v>131236-WIL06-DR-I-XXXX</v>
          </cell>
          <cell r="N400" t="str">
            <v>I/O Cluster Interconnection For RIO Panel WIL06-RIO-0102B</v>
          </cell>
        </row>
        <row r="401">
          <cell r="M401" t="str">
            <v>131236-WIL06-DR-I-XXXX</v>
          </cell>
          <cell r="N401" t="str">
            <v>Rack Wiring Diagram For RIO Panel WIL06-RIO-0102B</v>
          </cell>
        </row>
        <row r="402">
          <cell r="M402" t="str">
            <v>131236-WIL06-DR-I-XXXX</v>
          </cell>
          <cell r="N402" t="str">
            <v>Earth Bar Connection Diagram For RIO Panel WIL06-RIO-0102B</v>
          </cell>
        </row>
        <row r="403">
          <cell r="M403" t="str">
            <v>131236-WIL06-DR-I-XXXX</v>
          </cell>
          <cell r="N403" t="str">
            <v>Safety Barrier Wiring Digram For RIO Panel WIL06-RIO-0102B</v>
          </cell>
        </row>
        <row r="404">
          <cell r="M404" t="str">
            <v>131236-WIL21-DR-I-XXXX</v>
          </cell>
          <cell r="N404" t="str">
            <v>General Arrangement and Wiring Diagram For RIO Panel WIL21-RIO-0101A</v>
          </cell>
        </row>
        <row r="405">
          <cell r="M405" t="str">
            <v>131236-WIL21-DR-I-XXXX</v>
          </cell>
          <cell r="N405" t="str">
            <v>Cover Sheet For RIO Panel WIL21-RIO-0101A</v>
          </cell>
        </row>
        <row r="406">
          <cell r="M406" t="str">
            <v>131236-WIL21-DR-I-XXXX</v>
          </cell>
          <cell r="N406" t="str">
            <v>Revision Index For RIO Panel WIL21-RIO-0101A</v>
          </cell>
        </row>
        <row r="407">
          <cell r="M407" t="str">
            <v>131236-WIL21-DR-I-XXXX</v>
          </cell>
          <cell r="N407" t="str">
            <v>Bill Of Materials For RIO Panel WIL21-RIO-0101A</v>
          </cell>
        </row>
        <row r="408">
          <cell r="M408" t="str">
            <v>131236-WIL21-DR-I-XXXX</v>
          </cell>
          <cell r="N408" t="str">
            <v>Control Cabinet - External View For RIO Panel WIL21-RIO-0101A</v>
          </cell>
        </row>
        <row r="409">
          <cell r="M409" t="str">
            <v>131236-WIL21-DR-I-XXXX</v>
          </cell>
          <cell r="N409" t="str">
            <v>Nameplate Details For RIO Panel WIL21-RIO-0101A</v>
          </cell>
        </row>
        <row r="410">
          <cell r="M410" t="str">
            <v>131236-WIL21-DR-I-XXXX</v>
          </cell>
          <cell r="N410" t="str">
            <v>Wiring Color Coding Scheme For RIO Panel WIL21-RIO-0101A</v>
          </cell>
        </row>
        <row r="411">
          <cell r="M411" t="str">
            <v>131236-WIL21-DR-I-XXXX</v>
          </cell>
          <cell r="N411" t="str">
            <v>Legend For RIO Panel WIL21-RIO-0101A</v>
          </cell>
        </row>
        <row r="412">
          <cell r="M412" t="str">
            <v>131236-WIL21-DR-I-XXXX</v>
          </cell>
          <cell r="N412" t="str">
            <v>230VAC Power Distribution For RIO Panel WIL21-RIO-0101A</v>
          </cell>
        </row>
        <row r="413">
          <cell r="M413" t="str">
            <v>131236-WIL21-DR-I-XXXX</v>
          </cell>
          <cell r="N413" t="str">
            <v>24VDC Supply Distribution For RIO Panel WIL21-RIO-0101A</v>
          </cell>
        </row>
        <row r="414">
          <cell r="M414" t="str">
            <v>131236-WIL21-DR-I-XXXX</v>
          </cell>
          <cell r="N414" t="str">
            <v>I/O Cluster Interconnection For RIO Panel WIL21-RIO-0101A</v>
          </cell>
        </row>
        <row r="415">
          <cell r="M415" t="str">
            <v>131236-WIL21-DR-I-XXXX</v>
          </cell>
          <cell r="N415" t="str">
            <v>Rack Wiring Diagram For RIO Panel WIL21-RIO-0101A</v>
          </cell>
        </row>
        <row r="416">
          <cell r="M416" t="str">
            <v>131236-WIL21-DR-I-XXXX</v>
          </cell>
          <cell r="N416" t="str">
            <v>Earth Bar Connection Diagram For RIO Panel WIL21-RIO-0101A</v>
          </cell>
        </row>
        <row r="417">
          <cell r="M417" t="str">
            <v>131236-WIL21-DR-I-XXXX</v>
          </cell>
          <cell r="N417" t="str">
            <v>Safety Barrier Wiring Digram For RIO Panel WIL21-RIO-0101A</v>
          </cell>
        </row>
        <row r="418">
          <cell r="M418" t="str">
            <v>131236-WIL21-DR-I-XXXX</v>
          </cell>
          <cell r="N418" t="str">
            <v>General Arrangement and Wiring Diagram For RIO Panel WIL21-RIO-0101B</v>
          </cell>
        </row>
        <row r="419">
          <cell r="M419" t="str">
            <v>131236-WIL21-DR-I-XXXX</v>
          </cell>
          <cell r="N419" t="str">
            <v>Cover Sheet For RIO Panel WIL21-RIO-0101B</v>
          </cell>
        </row>
        <row r="420">
          <cell r="M420" t="str">
            <v>131236-WIL21-DR-I-XXXX</v>
          </cell>
          <cell r="N420" t="str">
            <v>Revision Index For RIO Panel WIL21-RIO-0101B</v>
          </cell>
        </row>
        <row r="421">
          <cell r="M421" t="str">
            <v>131236-WIL21-DR-I-XXXX</v>
          </cell>
          <cell r="N421" t="str">
            <v>Bill Of Materials For RIO Panel WIL21-RIO-0101B</v>
          </cell>
        </row>
        <row r="422">
          <cell r="M422" t="str">
            <v>131236-WIL21-DR-I-XXXX</v>
          </cell>
          <cell r="N422" t="str">
            <v>Control Cabinet - External View For RIO Panel WIL21-RIO-0101B</v>
          </cell>
        </row>
        <row r="423">
          <cell r="M423" t="str">
            <v>131236-WIL21-DR-I-XXXX</v>
          </cell>
          <cell r="N423" t="str">
            <v>Nameplate Details For RIO Panel WIL21-RIO-0101B</v>
          </cell>
        </row>
        <row r="424">
          <cell r="M424" t="str">
            <v>131236-WIL21-DR-I-XXXX</v>
          </cell>
          <cell r="N424" t="str">
            <v>Wiring Color Coding Scheme For RIO Panel WIL21-RIO-0101B</v>
          </cell>
        </row>
        <row r="425">
          <cell r="M425" t="str">
            <v>131236-WIL21-DR-I-XXXX</v>
          </cell>
          <cell r="N425" t="str">
            <v>Legend For RIO Panel WIL21-RIO-0101B</v>
          </cell>
        </row>
        <row r="426">
          <cell r="M426" t="str">
            <v>131236-WIL21-DR-I-XXXX</v>
          </cell>
          <cell r="N426" t="str">
            <v>230VAC Power Distribution For RIO Panel WIL21-RIO-0101B</v>
          </cell>
        </row>
        <row r="427">
          <cell r="M427" t="str">
            <v>131236-WIL21-DR-I-XXXX</v>
          </cell>
          <cell r="N427" t="str">
            <v>24VDC Supply Distribution For RIO Panel WIL21-RIO-0101B</v>
          </cell>
        </row>
        <row r="428">
          <cell r="M428" t="str">
            <v>131236-WIL21-DR-I-XXXX</v>
          </cell>
          <cell r="N428" t="str">
            <v>I/O Cluster Interconnection For RIO Panel WIL21-RIO-0101B</v>
          </cell>
        </row>
        <row r="429">
          <cell r="M429" t="str">
            <v>131236-WIL21-DR-I-XXXX</v>
          </cell>
          <cell r="N429" t="str">
            <v>Rack Wiring Diagram For RIO Panel WIL21-RIO-0101B</v>
          </cell>
        </row>
        <row r="430">
          <cell r="M430" t="str">
            <v>131236-WIL21-DR-I-XXXX</v>
          </cell>
          <cell r="N430" t="str">
            <v>Earth Bar Connection Diagram For RIO Panel WIL21-RIO-0101B</v>
          </cell>
        </row>
        <row r="431">
          <cell r="M431" t="str">
            <v>131236-WIL21-DR-I-XXXX</v>
          </cell>
          <cell r="N431" t="str">
            <v>Safety Barrier Wiring Digram For RIO Panel WIL21-RIO-0101B</v>
          </cell>
        </row>
        <row r="432">
          <cell r="M432" t="str">
            <v>131236-WIL21-DR-I-XXXX</v>
          </cell>
          <cell r="N432" t="str">
            <v>General Arrangement and Wiring Diagram For RIO Panel WIL21-RIO-0301A</v>
          </cell>
        </row>
        <row r="433">
          <cell r="M433" t="str">
            <v>131236-WIL21-DR-I-XXXX</v>
          </cell>
          <cell r="N433" t="str">
            <v>Cover Sheet For RIO Panel WIL21-RIO-0301A</v>
          </cell>
        </row>
        <row r="434">
          <cell r="M434" t="str">
            <v>131236-WIL21-DR-I-XXXX</v>
          </cell>
          <cell r="N434" t="str">
            <v>Revision Index For RIO Panel WIL21-RIO-0301A</v>
          </cell>
        </row>
        <row r="435">
          <cell r="M435" t="str">
            <v>131236-WIL21-DR-I-XXXX</v>
          </cell>
          <cell r="N435" t="str">
            <v>Bill Of Materials For RIO Panel WIL21-RIO-0301A</v>
          </cell>
        </row>
        <row r="436">
          <cell r="M436" t="str">
            <v>131236-WIL21-DR-I-XXXX</v>
          </cell>
          <cell r="N436" t="str">
            <v>Control Cabinet - External View For RIO Panel WIL21-RIO-0301A</v>
          </cell>
        </row>
        <row r="437">
          <cell r="M437" t="str">
            <v>131236-WIL21-DR-I-XXXX</v>
          </cell>
          <cell r="N437" t="str">
            <v>Nameplate Details For RIO Panel WIL21-RIO-0301A</v>
          </cell>
        </row>
        <row r="438">
          <cell r="M438" t="str">
            <v>131236-WIL21-DR-I-XXXX</v>
          </cell>
          <cell r="N438" t="str">
            <v>Wiring Color Coding Scheme For RIO Panel WIL21-RIO-0301A</v>
          </cell>
        </row>
        <row r="439">
          <cell r="M439" t="str">
            <v>131236-WIL21-DR-I-XXXX</v>
          </cell>
          <cell r="N439" t="str">
            <v>Legend For RIO Panel WIL21-RIO-0301A</v>
          </cell>
        </row>
        <row r="440">
          <cell r="M440" t="str">
            <v>131236-WIL21-DR-I-XXXX</v>
          </cell>
          <cell r="N440" t="str">
            <v>230VAC Power Distribution For RIO Panel WIL21-RIO-0301A</v>
          </cell>
        </row>
        <row r="441">
          <cell r="M441" t="str">
            <v>131236-WIL21-DR-I-XXXX</v>
          </cell>
          <cell r="N441" t="str">
            <v>24VDC Supply Distribution For RIO Panel WIL21-RIO-0301A</v>
          </cell>
        </row>
        <row r="442">
          <cell r="M442" t="str">
            <v>131236-WIL21-DR-I-XXXX</v>
          </cell>
          <cell r="N442" t="str">
            <v>I/O Cluster Interconnection For RIO Panel WIL21-RIO-0301A</v>
          </cell>
        </row>
        <row r="443">
          <cell r="M443" t="str">
            <v>131236-WIL21-DR-I-XXXX</v>
          </cell>
          <cell r="N443" t="str">
            <v>Rack Wiring Diagram For RIO Panel WIL21-RIO-0301A</v>
          </cell>
        </row>
        <row r="444">
          <cell r="M444" t="str">
            <v>131236-WIL21-DR-I-XXXX</v>
          </cell>
          <cell r="N444" t="str">
            <v>Earth Bar Connection Diagram For RIO Panel WIL21-RIO-0301A</v>
          </cell>
        </row>
        <row r="445">
          <cell r="M445" t="str">
            <v>131236-WIL21-DR-I-XXXX</v>
          </cell>
          <cell r="N445" t="str">
            <v>Safety Barrier Wiring Digram For RIO Panel WIL21-RIO-0301A</v>
          </cell>
        </row>
        <row r="446">
          <cell r="M446" t="str">
            <v>131236-WIL21-DR-I-XXXX</v>
          </cell>
          <cell r="N446" t="str">
            <v>General Arrangement and Wiring Diagram For RIO Panel WIL21-RIO-0301B</v>
          </cell>
        </row>
        <row r="447">
          <cell r="M447" t="str">
            <v>131236-WIL21-DR-I-XXXX</v>
          </cell>
          <cell r="N447" t="str">
            <v>Cover Sheet For RIO Panel WIL21-RIO-0301B</v>
          </cell>
        </row>
        <row r="448">
          <cell r="M448" t="str">
            <v>131236-WIL21-DR-I-XXXX</v>
          </cell>
          <cell r="N448" t="str">
            <v>Revision Index For RIO Panel WIL21-RIO-0301B</v>
          </cell>
        </row>
        <row r="449">
          <cell r="M449" t="str">
            <v>131236-WIL21-DR-I-XXXX</v>
          </cell>
          <cell r="N449" t="str">
            <v>Bill Of Materials For RIO Panel WIL21-RIO-0301B</v>
          </cell>
        </row>
        <row r="450">
          <cell r="M450" t="str">
            <v>131236-WIL21-DR-I-XXXX</v>
          </cell>
          <cell r="N450" t="str">
            <v>Control Cabinet - External View For RIO Panel WIL21-RIO-0301B</v>
          </cell>
        </row>
        <row r="451">
          <cell r="M451" t="str">
            <v>131236-WIL21-DR-I-XXXX</v>
          </cell>
          <cell r="N451" t="str">
            <v>Nameplate Details For RIO Panel WIL21-RIO-0301B</v>
          </cell>
        </row>
        <row r="452">
          <cell r="M452" t="str">
            <v>131236-WIL21-DR-I-XXXX</v>
          </cell>
          <cell r="N452" t="str">
            <v>Wiring Color Coding Scheme For RIO Panel WIL21-RIO-0301B</v>
          </cell>
        </row>
        <row r="453">
          <cell r="M453" t="str">
            <v>131236-WIL21-DR-I-XXXX</v>
          </cell>
          <cell r="N453" t="str">
            <v>Legend For RIO Panel WIL21-RIO-0301B</v>
          </cell>
        </row>
        <row r="454">
          <cell r="M454" t="str">
            <v>131236-WIL21-DR-I-XXXX</v>
          </cell>
          <cell r="N454" t="str">
            <v>230VAC Power Distribution For RIO Panel WIL21-RIO-0301B</v>
          </cell>
        </row>
        <row r="455">
          <cell r="M455" t="str">
            <v>131236-WIL21-DR-I-XXXX</v>
          </cell>
          <cell r="N455" t="str">
            <v>24VDC Supply Distribution For RIO Panel WIL21-RIO-0301B</v>
          </cell>
        </row>
        <row r="456">
          <cell r="M456" t="str">
            <v>131236-WIL21-DR-I-XXXX</v>
          </cell>
          <cell r="N456" t="str">
            <v>I/O Cluster Interconnection For RIO Panel WIL21-RIO-0301B</v>
          </cell>
        </row>
        <row r="457">
          <cell r="M457" t="str">
            <v>131236-WIL21-DR-I-XXXX</v>
          </cell>
          <cell r="N457" t="str">
            <v>Rack Wiring Diagram For RIO Panel WIL21-RIO-0301B</v>
          </cell>
        </row>
        <row r="458">
          <cell r="M458" t="str">
            <v>131236-WIL21-DR-I-XXXX</v>
          </cell>
          <cell r="N458" t="str">
            <v>Earth Bar Connection Diagram For RIO Panel WIL21-RIO-0301B</v>
          </cell>
        </row>
        <row r="459">
          <cell r="M459" t="str">
            <v>131236-WIL21-DR-I-XXXX</v>
          </cell>
          <cell r="N459" t="str">
            <v>Safety Barrier Wiring Digram For RIO Panel WIL21-RIO-0301B</v>
          </cell>
        </row>
        <row r="460">
          <cell r="M460" t="str">
            <v>131236-WIL21-DR-I-XXXX</v>
          </cell>
          <cell r="N460" t="str">
            <v>General Arrangement and Wiring Diagram For RIO Panel WIL21-RIO-0302A</v>
          </cell>
        </row>
        <row r="461">
          <cell r="M461" t="str">
            <v>131236-WIL21-DR-I-XXXX</v>
          </cell>
          <cell r="N461" t="str">
            <v>Cover Sheet For RIO Panel WIL21-RIO-0302A</v>
          </cell>
        </row>
        <row r="462">
          <cell r="M462" t="str">
            <v>131236-WIL21-DR-I-XXXX</v>
          </cell>
          <cell r="N462" t="str">
            <v>Revision Index For RIO Panel WIL21-RIO-0302A</v>
          </cell>
        </row>
        <row r="463">
          <cell r="M463" t="str">
            <v>131236-WIL21-DR-I-XXXX</v>
          </cell>
          <cell r="N463" t="str">
            <v>Bill Of Materials For RIO Panel WIL21-RIO-0302A</v>
          </cell>
        </row>
        <row r="464">
          <cell r="M464" t="str">
            <v>131236-WIL21-DR-I-XXXX</v>
          </cell>
          <cell r="N464" t="str">
            <v>Control Cabinet - External View For RIO Panel WIL21-RIO-0302A</v>
          </cell>
        </row>
        <row r="465">
          <cell r="M465" t="str">
            <v>131236-WIL21-DR-I-XXXX</v>
          </cell>
          <cell r="N465" t="str">
            <v>Nameplate Details For RIO Panel WIL21-RIO-0302A</v>
          </cell>
        </row>
        <row r="466">
          <cell r="M466" t="str">
            <v>131236-WIL21-DR-I-XXXX</v>
          </cell>
          <cell r="N466" t="str">
            <v>Wiring Color Coding Scheme For RIO Panel WIL21-RIO-0302A</v>
          </cell>
        </row>
        <row r="467">
          <cell r="M467" t="str">
            <v>131236-WIL21-DR-I-XXXX</v>
          </cell>
          <cell r="N467" t="str">
            <v>Legend For RIO Panel WIL21-RIO-0302A</v>
          </cell>
        </row>
        <row r="468">
          <cell r="M468" t="str">
            <v>131236-WIL21-DR-I-XXXX</v>
          </cell>
          <cell r="N468" t="str">
            <v>230VAC Power Distribution For RIO Panel WIL21-RIO-0302A</v>
          </cell>
        </row>
        <row r="469">
          <cell r="M469" t="str">
            <v>131236-WIL21-DR-I-XXXX</v>
          </cell>
          <cell r="N469" t="str">
            <v>24VDC Supply Distribution For RIO Panel WIL21-RIO-0302A</v>
          </cell>
        </row>
        <row r="470">
          <cell r="M470" t="str">
            <v>131236-WIL21-DR-I-XXXX</v>
          </cell>
          <cell r="N470" t="str">
            <v>I/O Cluster Interconnection For RIO Panel WIL21-RIO-0302A</v>
          </cell>
        </row>
        <row r="471">
          <cell r="M471" t="str">
            <v>131236-WIL21-DR-I-XXXX</v>
          </cell>
          <cell r="N471" t="str">
            <v>Rack Wiring Diagram For RIO Panel WIL21-RIO-0302A</v>
          </cell>
        </row>
        <row r="472">
          <cell r="M472" t="str">
            <v>131236-WIL21-DR-I-XXXX</v>
          </cell>
          <cell r="N472" t="str">
            <v>Earth Bar Connection Diagram For RIO Panel WIL21-RIO-0302A</v>
          </cell>
        </row>
        <row r="473">
          <cell r="M473" t="str">
            <v>131236-WIL21-DR-I-XXXX</v>
          </cell>
          <cell r="N473" t="str">
            <v>Safety Barrier Wiring Digram For RIO Panel WIL21-RIO-0302A</v>
          </cell>
        </row>
        <row r="474">
          <cell r="M474" t="str">
            <v>131236-WIL21-DR-I-XXXX</v>
          </cell>
          <cell r="N474" t="str">
            <v>General Arrangement and Wiring Diagram For RIO Panel WIL21-RIO-0302B</v>
          </cell>
        </row>
        <row r="475">
          <cell r="M475" t="str">
            <v>131236-WIL21-DR-I-XXXX</v>
          </cell>
          <cell r="N475" t="str">
            <v>Cover Sheet For RIO Panel WIL21-RIO-0302B</v>
          </cell>
        </row>
        <row r="476">
          <cell r="M476" t="str">
            <v>131236-WIL21-DR-I-XXXX</v>
          </cell>
          <cell r="N476" t="str">
            <v>Revision Index For RIO Panel WIL21-RIO-0302B</v>
          </cell>
        </row>
        <row r="477">
          <cell r="M477" t="str">
            <v>131236-WIL21-DR-I-XXXX</v>
          </cell>
          <cell r="N477" t="str">
            <v>Bill Of Materials For RIO Panel WIL21-RIO-0302B</v>
          </cell>
        </row>
        <row r="478">
          <cell r="M478" t="str">
            <v>131236-WIL21-DR-I-XXXX</v>
          </cell>
          <cell r="N478" t="str">
            <v>Control Cabinet - External View For RIO Panel WIL21-RIO-0302B</v>
          </cell>
        </row>
        <row r="479">
          <cell r="M479" t="str">
            <v>131236-WIL21-DR-I-XXXX</v>
          </cell>
          <cell r="N479" t="str">
            <v>Nameplate Details For RIO Panel WIL21-RIO-0302B</v>
          </cell>
        </row>
        <row r="480">
          <cell r="M480" t="str">
            <v>131236-WIL21-DR-I-XXXX</v>
          </cell>
          <cell r="N480" t="str">
            <v>Wiring Color Coding Scheme For RIO Panel WIL21-RIO-0302B</v>
          </cell>
        </row>
        <row r="481">
          <cell r="M481" t="str">
            <v>131236-WIL21-DR-I-XXXX</v>
          </cell>
          <cell r="N481" t="str">
            <v>Legend For RIO Panel WIL21-RIO-0302B</v>
          </cell>
        </row>
        <row r="482">
          <cell r="M482" t="str">
            <v>131236-WIL21-DR-I-XXXX</v>
          </cell>
          <cell r="N482" t="str">
            <v>230VAC Power Distribution For RIO Panel WIL21-RIO-0302B</v>
          </cell>
        </row>
        <row r="483">
          <cell r="M483" t="str">
            <v>131236-WIL21-DR-I-XXXX</v>
          </cell>
          <cell r="N483" t="str">
            <v>24VDC Supply Distribution For RIO Panel WIL21-RIO-0302B</v>
          </cell>
        </row>
        <row r="484">
          <cell r="M484" t="str">
            <v>131236-WIL21-DR-I-XXXX</v>
          </cell>
          <cell r="N484" t="str">
            <v>I/O Cluster Interconnection For RIO Panel WIL21-RIO-0302B</v>
          </cell>
        </row>
        <row r="485">
          <cell r="M485" t="str">
            <v>131236-WIL21-DR-I-XXXX</v>
          </cell>
          <cell r="N485" t="str">
            <v>Rack Wiring Diagram For RIO Panel WIL21-RIO-0302B</v>
          </cell>
        </row>
        <row r="486">
          <cell r="M486" t="str">
            <v>131236-WIL21-DR-I-XXXX</v>
          </cell>
          <cell r="N486" t="str">
            <v>Earth Bar Connection Diagram For RIO Panel WIL21-RIO-0302B</v>
          </cell>
        </row>
        <row r="487">
          <cell r="M487" t="str">
            <v>131236-WIL21-DR-I-XXXX</v>
          </cell>
          <cell r="N487" t="str">
            <v>Safety Barrier Wiring Digram For RIO Panel WIL21-RIO-0302B</v>
          </cell>
        </row>
        <row r="488">
          <cell r="M488" t="str">
            <v>131236-WIL21-DR-I-XXXX</v>
          </cell>
          <cell r="N488" t="str">
            <v>General Arrangement and Wiring Diagram For RIO Panel WIL21-RIO-0303A</v>
          </cell>
        </row>
        <row r="489">
          <cell r="M489" t="str">
            <v>131236-WIL21-DR-I-XXXX</v>
          </cell>
          <cell r="N489" t="str">
            <v>Cover Sheet For RIO Panel WIL21-RIO-0303A</v>
          </cell>
        </row>
        <row r="490">
          <cell r="M490" t="str">
            <v>131236-WIL21-DR-I-XXXX</v>
          </cell>
          <cell r="N490" t="str">
            <v>Revision Index For RIO Panel WIL21-RIO-0303A</v>
          </cell>
        </row>
        <row r="491">
          <cell r="M491" t="str">
            <v>131236-WIL21-DR-I-XXXX</v>
          </cell>
          <cell r="N491" t="str">
            <v>Bill Of Materials For RIO Panel WIL21-RIO-0303A</v>
          </cell>
        </row>
        <row r="492">
          <cell r="M492" t="str">
            <v>131236-WIL21-DR-I-XXXX</v>
          </cell>
          <cell r="N492" t="str">
            <v>Control Cabinet - External View For RIO Panel WIL21-RIO-0303A</v>
          </cell>
        </row>
        <row r="493">
          <cell r="M493" t="str">
            <v>131236-WIL21-DR-I-XXXX</v>
          </cell>
          <cell r="N493" t="str">
            <v>Nameplate Details For RIO Panel WIL21-RIO-0303A</v>
          </cell>
        </row>
        <row r="494">
          <cell r="M494" t="str">
            <v>131236-WIL21-DR-I-XXXX</v>
          </cell>
          <cell r="N494" t="str">
            <v>Wiring Color Coding Scheme For RIO Panel WIL21-RIO-0303A</v>
          </cell>
        </row>
        <row r="495">
          <cell r="M495" t="str">
            <v>131236-WIL21-DR-I-XXXX</v>
          </cell>
          <cell r="N495" t="str">
            <v>Legend For RIO Panel WIL21-RIO-0303A</v>
          </cell>
        </row>
        <row r="496">
          <cell r="M496" t="str">
            <v>131236-WIL21-DR-I-XXXX</v>
          </cell>
          <cell r="N496" t="str">
            <v>230VAC Power Distribution For RIO Panel WIL21-RIO-0303A</v>
          </cell>
        </row>
        <row r="497">
          <cell r="M497" t="str">
            <v>131236-WIL21-DR-I-XXXX</v>
          </cell>
          <cell r="N497" t="str">
            <v>24VDC Supply Distribution For RIO Panel WIL21-RIO-0303A</v>
          </cell>
        </row>
        <row r="498">
          <cell r="M498" t="str">
            <v>131236-WIL21-DR-I-XXXX</v>
          </cell>
          <cell r="N498" t="str">
            <v>I/O Cluster Interconnection For RIO Panel WIL21-RIO-0303A</v>
          </cell>
        </row>
        <row r="499">
          <cell r="M499" t="str">
            <v>131236-WIL21-DR-I-XXXX</v>
          </cell>
          <cell r="N499" t="str">
            <v>Rack Wiring Diagram For RIO Panel WIL21-RIO-0303A</v>
          </cell>
        </row>
        <row r="500">
          <cell r="M500" t="str">
            <v>131236-WIL21-DR-I-XXXX</v>
          </cell>
          <cell r="N500" t="str">
            <v>Earth Bar Connection Diagram For RIO Panel WIL21-RIO-0303A</v>
          </cell>
        </row>
        <row r="501">
          <cell r="M501" t="str">
            <v>131236-WIL21-DR-I-XXXX</v>
          </cell>
          <cell r="N501" t="str">
            <v>Safety Barrier Wiring Digram For RIO Panel WIL21-RIO-0303A</v>
          </cell>
        </row>
        <row r="502">
          <cell r="M502" t="str">
            <v>131236-WIL21-DR-I-XXXX</v>
          </cell>
          <cell r="N502" t="str">
            <v>General Arrangement and Wiring Diagram For RIO Panel WIL21-RIO-0303B</v>
          </cell>
        </row>
        <row r="503">
          <cell r="M503" t="str">
            <v>131236-WIL21-DR-I-XXXX</v>
          </cell>
          <cell r="N503" t="str">
            <v>Cover Sheet For RIO Panel WIL21-RIO-0303B</v>
          </cell>
        </row>
        <row r="504">
          <cell r="M504" t="str">
            <v>131236-WIL21-DR-I-XXXX</v>
          </cell>
          <cell r="N504" t="str">
            <v>Revision Index For RIO Panel WIL21-RIO-0303B</v>
          </cell>
        </row>
        <row r="505">
          <cell r="M505" t="str">
            <v>131236-WIL21-DR-I-XXXX</v>
          </cell>
          <cell r="N505" t="str">
            <v>Bill Of Materials For RIO Panel WIL21-RIO-0303B</v>
          </cell>
        </row>
        <row r="506">
          <cell r="M506" t="str">
            <v>131236-WIL21-DR-I-XXXX</v>
          </cell>
          <cell r="N506" t="str">
            <v>Control Cabinet - External View For RIO Panel WIL21-RIO-0303B</v>
          </cell>
        </row>
        <row r="507">
          <cell r="M507" t="str">
            <v>131236-WIL21-DR-I-XXXX</v>
          </cell>
          <cell r="N507" t="str">
            <v>Nameplate Details For RIO Panel WIL21-RIO-0303B</v>
          </cell>
        </row>
        <row r="508">
          <cell r="M508" t="str">
            <v>131236-WIL21-DR-I-XXXX</v>
          </cell>
          <cell r="N508" t="str">
            <v>Wiring Color Coding Scheme For RIO Panel WIL21-RIO-0303B</v>
          </cell>
        </row>
        <row r="509">
          <cell r="M509" t="str">
            <v>131236-WIL21-DR-I-XXXX</v>
          </cell>
          <cell r="N509" t="str">
            <v>Legend For RIO Panel WIL21-RIO-0303B</v>
          </cell>
        </row>
        <row r="510">
          <cell r="M510" t="str">
            <v>131236-WIL21-DR-I-XXXX</v>
          </cell>
          <cell r="N510" t="str">
            <v>230VAC Power Distribution For RIO Panel WIL21-RIO-0303B</v>
          </cell>
        </row>
        <row r="511">
          <cell r="M511" t="str">
            <v>131236-WIL21-DR-I-XXXX</v>
          </cell>
          <cell r="N511" t="str">
            <v>24VDC Supply Distribution For RIO Panel WIL21-RIO-0303B</v>
          </cell>
        </row>
        <row r="512">
          <cell r="M512" t="str">
            <v>131236-WIL21-DR-I-XXXX</v>
          </cell>
          <cell r="N512" t="str">
            <v>I/O Cluster Interconnection For RIO Panel WIL21-RIO-0303B</v>
          </cell>
        </row>
        <row r="513">
          <cell r="M513" t="str">
            <v>131236-WIL21-DR-I-XXXX</v>
          </cell>
          <cell r="N513" t="str">
            <v>Rack Wiring Diagram For RIO Panel WIL21-RIO-0303B</v>
          </cell>
        </row>
        <row r="514">
          <cell r="M514" t="str">
            <v>131236-WIL21-DR-I-XXXX</v>
          </cell>
          <cell r="N514" t="str">
            <v>Earth Bar Connection Diagram For RIO Panel WIL21-RIO-0303B</v>
          </cell>
        </row>
        <row r="515">
          <cell r="M515" t="str">
            <v>131236-WIL21-DR-I-XXXX</v>
          </cell>
          <cell r="N515" t="str">
            <v>Safety Barrier Wiring Digram For RIO Panel WIL21-RIO-0303B</v>
          </cell>
        </row>
        <row r="516">
          <cell r="M516" t="str">
            <v>131236-WIL21-DR-I-XXXX</v>
          </cell>
          <cell r="N516" t="str">
            <v>General Arrangement and Wiring Diagram For RIO Panel WIL21-RIO-0001A</v>
          </cell>
        </row>
        <row r="517">
          <cell r="M517" t="str">
            <v>131236-WIL21-DR-I-XXXX</v>
          </cell>
          <cell r="N517" t="str">
            <v>Cover Sheet For RIO Panel WIL21-RIO-0001A</v>
          </cell>
        </row>
        <row r="518">
          <cell r="M518" t="str">
            <v>131236-WIL21-DR-I-XXXX</v>
          </cell>
          <cell r="N518" t="str">
            <v>Revision Index For RIO Panel WIL21-RIO-0001A</v>
          </cell>
        </row>
        <row r="519">
          <cell r="M519" t="str">
            <v>131236-WIL21-DR-I-XXXX</v>
          </cell>
          <cell r="N519" t="str">
            <v>Bill Of Materials For RIO Panel WIL21-RIO-0001A</v>
          </cell>
        </row>
        <row r="520">
          <cell r="M520" t="str">
            <v>131236-WIL21-DR-I-XXXX</v>
          </cell>
          <cell r="N520" t="str">
            <v>Control Cabinet - External View For RIO Panel WIL21-RIO-0001A</v>
          </cell>
        </row>
        <row r="521">
          <cell r="M521" t="str">
            <v>131236-WIL21-DR-I-XXXX</v>
          </cell>
          <cell r="N521" t="str">
            <v>Nameplate Details For RIO Panel WIL21-RIO-0001A</v>
          </cell>
        </row>
        <row r="522">
          <cell r="M522" t="str">
            <v>131236-WIL21-DR-I-XXXX</v>
          </cell>
          <cell r="N522" t="str">
            <v>Wiring Color Coding Scheme For RIO Panel WIL21-RIO-0001A</v>
          </cell>
        </row>
        <row r="523">
          <cell r="M523" t="str">
            <v>131236-WIL21-DR-I-XXXX</v>
          </cell>
          <cell r="N523" t="str">
            <v>Legend For RIO Panel WIL21-RIO-0001A</v>
          </cell>
        </row>
        <row r="524">
          <cell r="M524" t="str">
            <v>131236-WIL21-DR-I-XXXX</v>
          </cell>
          <cell r="N524" t="str">
            <v>230VAC Power Distribution For RIO Panel WIL21-RIO-0001A</v>
          </cell>
        </row>
        <row r="525">
          <cell r="M525" t="str">
            <v>131236-WIL21-DR-I-XXXX</v>
          </cell>
          <cell r="N525" t="str">
            <v>24VDC Supply Distribution For RIO Panel WIL21-RIO-0001A</v>
          </cell>
        </row>
        <row r="526">
          <cell r="M526" t="str">
            <v>131236-WIL21-DR-I-XXXX</v>
          </cell>
          <cell r="N526" t="str">
            <v>I/O Cluster Interconnection For RIO Panel WIL21-RIO-0001A</v>
          </cell>
        </row>
        <row r="527">
          <cell r="M527" t="str">
            <v>131236-WIL21-DR-I-XXXX</v>
          </cell>
          <cell r="N527" t="str">
            <v>Rack Wiring Diagram For RIO Panel WIL21-RIO-0001A</v>
          </cell>
        </row>
        <row r="528">
          <cell r="M528" t="str">
            <v>131236-WIL21-DR-I-XXXX</v>
          </cell>
          <cell r="N528" t="str">
            <v>Earth Bar Connection Diagram For RIO Panel WIL21-RIO-0001A</v>
          </cell>
        </row>
        <row r="529">
          <cell r="M529" t="str">
            <v>131236-WIL21-DR-I-XXXX</v>
          </cell>
          <cell r="N529" t="str">
            <v>Safety Barrier Wiring Digram For RIO Panel WIL21-RIO-0001A</v>
          </cell>
        </row>
        <row r="530">
          <cell r="M530" t="str">
            <v>131236-WIL21-DR-I-XXXX</v>
          </cell>
          <cell r="N530" t="str">
            <v>General Arrangement and Wiring Diagram For RIO Panel WIL21-RIO-0001B</v>
          </cell>
        </row>
        <row r="531">
          <cell r="M531" t="str">
            <v>131236-WIL21-DR-I-XXXX</v>
          </cell>
          <cell r="N531" t="str">
            <v>Cover Sheet For RIO Panel WIL21-RIO-0001B</v>
          </cell>
        </row>
        <row r="532">
          <cell r="M532" t="str">
            <v>131236-WIL21-DR-I-XXXX</v>
          </cell>
          <cell r="N532" t="str">
            <v>Revision Index For RIO Panel WIL21-RIO-0001B</v>
          </cell>
        </row>
        <row r="533">
          <cell r="M533" t="str">
            <v>131236-WIL21-DR-I-XXXX</v>
          </cell>
          <cell r="N533" t="str">
            <v>Bill Of Materials For RIO Panel WIL21-RIO-0001B</v>
          </cell>
        </row>
        <row r="534">
          <cell r="M534" t="str">
            <v>131236-WIL21-DR-I-XXXX</v>
          </cell>
          <cell r="N534" t="str">
            <v>Control Cabinet - External View For RIO Panel WIL21-RIO-0001B</v>
          </cell>
        </row>
        <row r="535">
          <cell r="M535" t="str">
            <v>131236-WIL21-DR-I-XXXX</v>
          </cell>
          <cell r="N535" t="str">
            <v>Nameplate Details For RIO Panel WIL21-RIO-0001B</v>
          </cell>
        </row>
        <row r="536">
          <cell r="M536" t="str">
            <v>131236-WIL21-DR-I-XXXX</v>
          </cell>
          <cell r="N536" t="str">
            <v>Wiring Color Coding Scheme For RIO Panel WIL21-RIO-0001B</v>
          </cell>
        </row>
        <row r="537">
          <cell r="M537" t="str">
            <v>131236-WIL21-DR-I-XXXX</v>
          </cell>
          <cell r="N537" t="str">
            <v>Legend For RIO Panel WIL21-RIO-0001B</v>
          </cell>
        </row>
        <row r="538">
          <cell r="M538" t="str">
            <v>131236-WIL21-DR-I-XXXX</v>
          </cell>
          <cell r="N538" t="str">
            <v>230VAC Power Distribution For RIO Panel WIL21-RIO-0001B</v>
          </cell>
        </row>
        <row r="539">
          <cell r="M539" t="str">
            <v>131236-WIL21-DR-I-XXXX</v>
          </cell>
          <cell r="N539" t="str">
            <v>24VDC Supply Distribution For RIO Panel WIL21-RIO-0001B</v>
          </cell>
        </row>
        <row r="540">
          <cell r="M540" t="str">
            <v>131236-WIL21-DR-I-XXXX</v>
          </cell>
          <cell r="N540" t="str">
            <v>I/O Cluster Interconnection For RIO Panel WIL21-RIO-0001B</v>
          </cell>
        </row>
        <row r="541">
          <cell r="M541" t="str">
            <v>131236-WIL21-DR-I-XXXX</v>
          </cell>
          <cell r="N541" t="str">
            <v>Rack Wiring Diagram For RIO Panel WIL21-RIO-0001B</v>
          </cell>
        </row>
        <row r="542">
          <cell r="M542" t="str">
            <v>131236-WIL21-DR-I-XXXX</v>
          </cell>
          <cell r="N542" t="str">
            <v>Earth Bar Connection Diagram For RIO Panel WIL21-RIO-0001B</v>
          </cell>
        </row>
        <row r="543">
          <cell r="M543" t="str">
            <v>131236-WIL21-DR-I-XXXX</v>
          </cell>
          <cell r="N543" t="str">
            <v>Safety Barrier Wiring Digram For RIO Panel WIL21-RIO-0001B</v>
          </cell>
        </row>
        <row r="544">
          <cell r="M544" t="str">
            <v>131236-WIL22-DR-I-XXXX</v>
          </cell>
          <cell r="N544" t="str">
            <v>General Arrangement and Wiring Diagram For RIO Panel WIL22-RIO-0102A</v>
          </cell>
        </row>
        <row r="545">
          <cell r="M545" t="str">
            <v>131236-WIL22-DR-I-XXXX</v>
          </cell>
          <cell r="N545" t="str">
            <v>Cover Sheet For RIO Panel WIL22-RIO-0102A</v>
          </cell>
        </row>
        <row r="546">
          <cell r="M546" t="str">
            <v>131236-WIL22-DR-I-XXXX</v>
          </cell>
          <cell r="N546" t="str">
            <v>Revision Index For RIO Panel WIL22-RIO-0102A</v>
          </cell>
        </row>
        <row r="547">
          <cell r="M547" t="str">
            <v>131236-WIL22-DR-I-XXXX</v>
          </cell>
          <cell r="N547" t="str">
            <v>Bill Of Materials For RIO Panel WIL22-RIO-0102A</v>
          </cell>
        </row>
        <row r="548">
          <cell r="M548" t="str">
            <v>131236-WIL22-DR-I-XXXX</v>
          </cell>
          <cell r="N548" t="str">
            <v>Control Cabinet - External View For RIO Panel WIL22-RIO-0102A</v>
          </cell>
        </row>
        <row r="549">
          <cell r="M549" t="str">
            <v>131236-WIL22-DR-I-XXXX</v>
          </cell>
          <cell r="N549" t="str">
            <v>Nameplate Details For RIO Panel WIL22-RIO-0102A</v>
          </cell>
        </row>
        <row r="550">
          <cell r="M550" t="str">
            <v>131236-WIL22-DR-I-XXXX</v>
          </cell>
          <cell r="N550" t="str">
            <v>Wiring Color Coding Scheme For RIO Panel WIL22-RIO-0102A</v>
          </cell>
        </row>
        <row r="551">
          <cell r="M551" t="str">
            <v>131236-WIL22-DR-I-XXXX</v>
          </cell>
          <cell r="N551" t="str">
            <v>Legend For RIO Panel WIL22-RIO-0102A</v>
          </cell>
        </row>
        <row r="552">
          <cell r="M552" t="str">
            <v>131236-WIL22-DR-I-XXXX</v>
          </cell>
          <cell r="N552" t="str">
            <v>230VAC Power Distribution For RIO Panel WIL22-RIO-0102A</v>
          </cell>
        </row>
        <row r="553">
          <cell r="M553" t="str">
            <v>131236-WIL22-DR-I-XXXX</v>
          </cell>
          <cell r="N553" t="str">
            <v>24VDC Supply Distribution For RIO Panel WIL22-RIO-0102A</v>
          </cell>
        </row>
        <row r="554">
          <cell r="M554" t="str">
            <v>131236-WIL22-DR-I-XXXX</v>
          </cell>
          <cell r="N554" t="str">
            <v>I/O Cluster Interconnection For RIO Panel WIL22-RIO-0102A</v>
          </cell>
        </row>
        <row r="555">
          <cell r="M555" t="str">
            <v>131236-WIL22-DR-I-XXXX</v>
          </cell>
          <cell r="N555" t="str">
            <v>Rack Wiring Diagram For RIO Panel WIL22-RIO-0102A</v>
          </cell>
        </row>
        <row r="556">
          <cell r="M556" t="str">
            <v>131236-WIL22-DR-I-XXXX</v>
          </cell>
          <cell r="N556" t="str">
            <v>Earth Bar Connection Diagram For RIO Panel WIL22-RIO-0102A</v>
          </cell>
        </row>
        <row r="557">
          <cell r="M557" t="str">
            <v>131236-WIL22-DR-I-XXXX</v>
          </cell>
          <cell r="N557" t="str">
            <v>Safety Barrier Wiring Digram For RIO Panel WIL22-RIO-0102A</v>
          </cell>
        </row>
        <row r="558">
          <cell r="M558" t="str">
            <v>131236-WIL22-DR-I-XXXX</v>
          </cell>
          <cell r="N558" t="str">
            <v>General Arrangement and Wiring Diagram For RIO Panel WIL22-RIO-0102B</v>
          </cell>
        </row>
        <row r="559">
          <cell r="M559" t="str">
            <v>131236-WIL22-DR-I-XXXX</v>
          </cell>
          <cell r="N559" t="str">
            <v>Cover Sheet For RIO Panel WIL22-RIO-0102B</v>
          </cell>
        </row>
        <row r="560">
          <cell r="M560" t="str">
            <v>131236-WIL22-DR-I-XXXX</v>
          </cell>
          <cell r="N560" t="str">
            <v>Revision Index For RIO Panel WIL22-RIO-0102B</v>
          </cell>
        </row>
        <row r="561">
          <cell r="M561" t="str">
            <v>131236-WIL22-DR-I-XXXX</v>
          </cell>
          <cell r="N561" t="str">
            <v>Bill Of Materials For RIO Panel WIL22-RIO-0102B</v>
          </cell>
        </row>
        <row r="562">
          <cell r="M562" t="str">
            <v>131236-WIL22-DR-I-XXXX</v>
          </cell>
          <cell r="N562" t="str">
            <v>Control Cabinet - External View For RIO Panel WIL22-RIO-0102B</v>
          </cell>
        </row>
        <row r="563">
          <cell r="M563" t="str">
            <v>131236-WIL22-DR-I-XXXX</v>
          </cell>
          <cell r="N563" t="str">
            <v>Nameplate Details For RIO Panel WIL22-RIO-0102B</v>
          </cell>
        </row>
        <row r="564">
          <cell r="M564" t="str">
            <v>131236-WIL22-DR-I-XXXX</v>
          </cell>
          <cell r="N564" t="str">
            <v>Wiring Color Coding Scheme For RIO Panel WIL22-RIO-0102B</v>
          </cell>
        </row>
        <row r="565">
          <cell r="M565" t="str">
            <v>131236-WIL22-DR-I-XXXX</v>
          </cell>
          <cell r="N565" t="str">
            <v>Legend For RIO Panel WIL22-RIO-0102B</v>
          </cell>
        </row>
        <row r="566">
          <cell r="M566" t="str">
            <v>131236-WIL22-DR-I-XXXX</v>
          </cell>
          <cell r="N566" t="str">
            <v>230VAC Power Distribution For RIO Panel WIL22-RIO-0102B</v>
          </cell>
        </row>
        <row r="567">
          <cell r="M567" t="str">
            <v>131236-WIL22-DR-I-XXXX</v>
          </cell>
          <cell r="N567" t="str">
            <v>24VDC Supply Distribution For RIO Panel WIL22-RIO-0102B</v>
          </cell>
        </row>
        <row r="568">
          <cell r="M568" t="str">
            <v>131236-WIL22-DR-I-XXXX</v>
          </cell>
          <cell r="N568" t="str">
            <v>I/O Cluster Interconnection For RIO Panel WIL22-RIO-0102B</v>
          </cell>
        </row>
        <row r="569">
          <cell r="M569" t="str">
            <v>131236-WIL22-DR-I-XXXX</v>
          </cell>
          <cell r="N569" t="str">
            <v>Rack Wiring Diagram For RIO Panel WIL22-RIO-0102B</v>
          </cell>
        </row>
        <row r="570">
          <cell r="M570" t="str">
            <v>131236-WIL22-DR-I-XXXX</v>
          </cell>
          <cell r="N570" t="str">
            <v xml:space="preserve">Earth Bar Connection Diagram For RIO Panel </v>
          </cell>
        </row>
        <row r="571">
          <cell r="M571" t="str">
            <v>131236-WIL22-DR-I-XXXX</v>
          </cell>
          <cell r="N571" t="str">
            <v xml:space="preserve">Safety Barrier Wiring Digram For RIO Panel </v>
          </cell>
        </row>
        <row r="572">
          <cell r="M572" t="str">
            <v>131236-WIL22-DR-I-XXXX</v>
          </cell>
          <cell r="N572" t="str">
            <v>General Arrangement and Wiring Diagram For RIO Panel WIL22-RIO-0103A</v>
          </cell>
        </row>
        <row r="573">
          <cell r="M573" t="str">
            <v>131236-WIL22-DR-I-XXXX</v>
          </cell>
          <cell r="N573" t="str">
            <v>Cover Sheet For RIO Panel WIL22-RIO-0103A</v>
          </cell>
        </row>
        <row r="574">
          <cell r="M574" t="str">
            <v>131236-WIL22-DR-I-XXXX</v>
          </cell>
          <cell r="N574" t="str">
            <v>Revision Index For RIO Panel WIL22-RIO-0103A</v>
          </cell>
        </row>
        <row r="575">
          <cell r="M575" t="str">
            <v>131236-WIL22-DR-I-XXXX</v>
          </cell>
          <cell r="N575" t="str">
            <v>Bill Of Materials For RIO Panel WIL22-RIO-0103A</v>
          </cell>
        </row>
        <row r="576">
          <cell r="M576" t="str">
            <v>131236-WIL22-DR-I-XXXX</v>
          </cell>
          <cell r="N576" t="str">
            <v>Control Cabinet - External View For RIO Panel WIL22-RIO-0103A</v>
          </cell>
        </row>
        <row r="577">
          <cell r="M577" t="str">
            <v>131236-WIL22-DR-I-XXXX</v>
          </cell>
          <cell r="N577" t="str">
            <v>Nameplate Details For RIO Panel WIL22-RIO-0103A</v>
          </cell>
        </row>
        <row r="578">
          <cell r="M578" t="str">
            <v>131236-WIL22-DR-I-XXXX</v>
          </cell>
          <cell r="N578" t="str">
            <v>Wiring Color Coding Scheme For RIO Panel WIL22-RIO-0103A</v>
          </cell>
        </row>
        <row r="579">
          <cell r="M579" t="str">
            <v>131236-WIL22-DR-I-XXXX</v>
          </cell>
          <cell r="N579" t="str">
            <v>Legend For RIO Panel WIL22-RIO-0103A</v>
          </cell>
        </row>
        <row r="580">
          <cell r="M580" t="str">
            <v>131236-WIL22-DR-I-XXXX</v>
          </cell>
          <cell r="N580" t="str">
            <v>230VAC Power Distribution For RIO Panel WIL22-RIO-0103A</v>
          </cell>
        </row>
        <row r="581">
          <cell r="M581" t="str">
            <v>131236-WIL22-DR-I-XXXX</v>
          </cell>
          <cell r="N581" t="str">
            <v>24VDC Supply Distribution For RIO Panel WIL22-RIO-0103A</v>
          </cell>
        </row>
        <row r="582">
          <cell r="M582" t="str">
            <v>131236-WIL22-DR-I-XXXX</v>
          </cell>
          <cell r="N582" t="str">
            <v>I/O Cluster Interconnection For RIO Panel WIL22-RIO-0103A</v>
          </cell>
        </row>
        <row r="583">
          <cell r="M583" t="str">
            <v>131236-WIL22-DR-I-XXXX</v>
          </cell>
          <cell r="N583" t="str">
            <v>Rack Wiring Diagram For RIO Panel WIL22-RIO-0103A</v>
          </cell>
        </row>
        <row r="584">
          <cell r="M584" t="str">
            <v>131236-WIL22-DR-I-XXXX</v>
          </cell>
          <cell r="N584" t="str">
            <v>Earth Bar Connection Diagram For RIO Panel WIL22-RIO-0103A</v>
          </cell>
        </row>
        <row r="585">
          <cell r="M585" t="str">
            <v>131236-WIL22-DR-I-XXXX</v>
          </cell>
          <cell r="N585" t="str">
            <v>Safety Barrier Wiring Digram For RIO Panel WIL22-RIO-0103A</v>
          </cell>
        </row>
        <row r="586">
          <cell r="M586" t="str">
            <v>131236-WIL22-DR-I-XXXX</v>
          </cell>
          <cell r="N586" t="str">
            <v>General Arrangement and Wiring Diagram For RIO Panel WIL22-RIO-0103B</v>
          </cell>
        </row>
        <row r="587">
          <cell r="M587" t="str">
            <v>131236-WIL22-DR-I-XXXX</v>
          </cell>
          <cell r="N587" t="str">
            <v>Cover Sheet For RIO Panel WIL22-RIO-0103B</v>
          </cell>
        </row>
        <row r="588">
          <cell r="M588" t="str">
            <v>131236-WIL22-DR-I-XXXX</v>
          </cell>
          <cell r="N588" t="str">
            <v>Revision Index For RIO Panel WIL22-RIO-0103B</v>
          </cell>
        </row>
        <row r="589">
          <cell r="M589" t="str">
            <v>131236-WIL22-DR-I-XXXX</v>
          </cell>
          <cell r="N589" t="str">
            <v>Bill Of Materials For RIO Panel WIL22-RIO-0103B</v>
          </cell>
        </row>
        <row r="590">
          <cell r="M590" t="str">
            <v>131236-WIL22-DR-I-XXXX</v>
          </cell>
          <cell r="N590" t="str">
            <v>Control Cabinet - External View For RIO Panel WIL22-RIO-0103B</v>
          </cell>
        </row>
        <row r="591">
          <cell r="M591" t="str">
            <v>131236-WIL22-DR-I-XXXX</v>
          </cell>
          <cell r="N591" t="str">
            <v>Nameplate Details For RIO Panel WIL22-RIO-0103B</v>
          </cell>
        </row>
        <row r="592">
          <cell r="M592" t="str">
            <v>131236-WIL22-DR-I-XXXX</v>
          </cell>
          <cell r="N592" t="str">
            <v>Wiring Color Coding Scheme For RIO Panel WIL22-RIO-0103B</v>
          </cell>
        </row>
        <row r="593">
          <cell r="M593" t="str">
            <v>131236-WIL22-DR-I-XXXX</v>
          </cell>
          <cell r="N593" t="str">
            <v>Legend For RIO Panel WIL22-RIO-0103B</v>
          </cell>
        </row>
        <row r="594">
          <cell r="M594" t="str">
            <v>131236-WIL22-DR-I-XXXX</v>
          </cell>
          <cell r="N594" t="str">
            <v>230VAC Power Distribution For RIO Panel WIL22-RIO-0103B</v>
          </cell>
        </row>
        <row r="595">
          <cell r="M595" t="str">
            <v>131236-WIL22-DR-I-XXXX</v>
          </cell>
          <cell r="N595" t="str">
            <v>24VDC Supply Distribution For RIO Panel WIL22-RIO-0103B</v>
          </cell>
        </row>
        <row r="596">
          <cell r="M596" t="str">
            <v>131236-WIL22-DR-I-XXXX</v>
          </cell>
          <cell r="N596" t="str">
            <v>I/O Cluster Interconnection For RIO Panel WIL22-RIO-0103B</v>
          </cell>
        </row>
        <row r="597">
          <cell r="M597" t="str">
            <v>131236-WIL22-DR-I-XXXX</v>
          </cell>
          <cell r="N597" t="str">
            <v>Rack Wiring Diagram For RIO Panel WIL22-RIO-0103B</v>
          </cell>
        </row>
        <row r="598">
          <cell r="M598" t="str">
            <v>131236-WIL22-DR-I-XXXX</v>
          </cell>
          <cell r="N598" t="str">
            <v>Earth Bar Connection Diagram For RIO Panel WIL22-RIO-0103B</v>
          </cell>
        </row>
        <row r="599">
          <cell r="M599" t="str">
            <v>131236-WIL22-DR-I-XXXX</v>
          </cell>
          <cell r="N599" t="str">
            <v>Safety Barrier Wiring Digram For RIO Panel WIL22-RIO-0103B</v>
          </cell>
        </row>
        <row r="600">
          <cell r="M600" t="str">
            <v>131236-WIL22-DR-I-XXXX</v>
          </cell>
          <cell r="N600" t="str">
            <v>General Arrangement and Wiring Diagram For RIO Panel WIL22-RIO-0104A</v>
          </cell>
        </row>
        <row r="601">
          <cell r="M601" t="str">
            <v>131236-WIL22-DR-I-XXXX</v>
          </cell>
          <cell r="N601" t="str">
            <v>Cover Sheet For RIO Panel WIL22-RIO-0104A</v>
          </cell>
        </row>
        <row r="602">
          <cell r="M602" t="str">
            <v>131236-WIL22-DR-I-XXXX</v>
          </cell>
          <cell r="N602" t="str">
            <v>Revision Index For RIO Panel WIL22-RIO-0104A</v>
          </cell>
        </row>
        <row r="603">
          <cell r="M603" t="str">
            <v>131236-WIL22-DR-I-XXXX</v>
          </cell>
          <cell r="N603" t="str">
            <v>Bill Of Materials For RIO Panel WIL22-RIO-0104A</v>
          </cell>
        </row>
        <row r="604">
          <cell r="M604" t="str">
            <v>131236-WIL22-DR-I-XXXX</v>
          </cell>
          <cell r="N604" t="str">
            <v>Control Cabinet - External View For RIO Panel WIL22-RIO-0104A</v>
          </cell>
        </row>
        <row r="605">
          <cell r="M605" t="str">
            <v>131236-WIL22-DR-I-XXXX</v>
          </cell>
          <cell r="N605" t="str">
            <v>Nameplate Details For RIO Panel WIL22-RIO-0104A</v>
          </cell>
        </row>
        <row r="606">
          <cell r="M606" t="str">
            <v>131236-WIL22-DR-I-XXXX</v>
          </cell>
          <cell r="N606" t="str">
            <v>Wiring Color Coding Scheme For RIO Panel WIL22-RIO-0104A</v>
          </cell>
        </row>
        <row r="607">
          <cell r="M607" t="str">
            <v>131236-WIL22-DR-I-XXXX</v>
          </cell>
          <cell r="N607" t="str">
            <v>Legend For RIO Panel WIL22-RIO-0104A</v>
          </cell>
        </row>
        <row r="608">
          <cell r="M608" t="str">
            <v>131236-WIL22-DR-I-XXXX</v>
          </cell>
          <cell r="N608" t="str">
            <v>230VAC Power Distribution For RIO Panel WIL22-RIO-0104A</v>
          </cell>
        </row>
        <row r="609">
          <cell r="M609" t="str">
            <v>131236-WIL22-DR-I-XXXX</v>
          </cell>
          <cell r="N609" t="str">
            <v>24VDC Supply Distribution For RIO Panel WIL22-RIO-0104A</v>
          </cell>
        </row>
        <row r="610">
          <cell r="M610" t="str">
            <v>131236-WIL22-DR-I-XXXX</v>
          </cell>
          <cell r="N610" t="str">
            <v>I/O Cluster Interconnection For RIO Panel WIL22-RIO-0104A</v>
          </cell>
        </row>
        <row r="611">
          <cell r="M611" t="str">
            <v>131236-WIL22-DR-I-XXXX</v>
          </cell>
          <cell r="N611" t="str">
            <v>Rack Wiring Diagram For RIO Panel WIL22-RIO-0104A</v>
          </cell>
        </row>
        <row r="612">
          <cell r="M612" t="str">
            <v>131236-WIL22-DR-I-XXXX</v>
          </cell>
          <cell r="N612" t="str">
            <v>Earth Bar Connection Diagram For RIO Panel WIL22-RIO-0104A</v>
          </cell>
        </row>
        <row r="613">
          <cell r="M613" t="str">
            <v>131236-WIL22-DR-I-XXXX</v>
          </cell>
          <cell r="N613" t="str">
            <v>Safety Barrier Wiring Digram For RIO Panel WIL22-RIO-0104A</v>
          </cell>
        </row>
        <row r="614">
          <cell r="M614" t="str">
            <v>131236-WIL22-DR-I-XXXX</v>
          </cell>
          <cell r="N614" t="str">
            <v>General Arrangement and Wiring Diagram For RIO Panel WIL22-RIO-0104B</v>
          </cell>
        </row>
        <row r="615">
          <cell r="M615" t="str">
            <v>131236-WIL22-DR-I-XXXX</v>
          </cell>
          <cell r="N615" t="str">
            <v>Cover Sheet For RIO Panel WIL22-RIO-0104B</v>
          </cell>
        </row>
        <row r="616">
          <cell r="M616" t="str">
            <v>131236-WIL22-DR-I-XXXX</v>
          </cell>
          <cell r="N616" t="str">
            <v>Revision Index For RIO Panel WIL22-RIO-0104B</v>
          </cell>
        </row>
        <row r="617">
          <cell r="M617" t="str">
            <v>131236-WIL22-DR-I-XXXX</v>
          </cell>
          <cell r="N617" t="str">
            <v>Bill Of Materials For RIO Panel WIL22-RIO-0104B</v>
          </cell>
        </row>
        <row r="618">
          <cell r="M618" t="str">
            <v>131236-WIL22-DR-I-XXXX</v>
          </cell>
          <cell r="N618" t="str">
            <v>Control Cabinet - External View For RIO Panel WIL22-RIO-0104B</v>
          </cell>
        </row>
        <row r="619">
          <cell r="M619" t="str">
            <v>131236-WIL22-DR-I-XXXX</v>
          </cell>
          <cell r="N619" t="str">
            <v>Nameplate Details For RIO Panel WIL22-RIO-0104B</v>
          </cell>
        </row>
        <row r="620">
          <cell r="M620" t="str">
            <v>131236-WIL22-DR-I-XXXX</v>
          </cell>
          <cell r="N620" t="str">
            <v>Wiring Color Coding Scheme For RIO Panel WIL22-RIO-0104B</v>
          </cell>
        </row>
        <row r="621">
          <cell r="M621" t="str">
            <v>131236-WIL22-DR-I-XXXX</v>
          </cell>
          <cell r="N621" t="str">
            <v>Legend For RIO Panel WIL22-RIO-0104B</v>
          </cell>
        </row>
        <row r="622">
          <cell r="M622" t="str">
            <v>131236-WIL22-DR-I-XXXX</v>
          </cell>
          <cell r="N622" t="str">
            <v>230VAC Power Distribution For RIO Panel WIL22-RIO-0104B</v>
          </cell>
        </row>
        <row r="623">
          <cell r="M623" t="str">
            <v>131236-WIL22-DR-I-XXXX</v>
          </cell>
          <cell r="N623" t="str">
            <v>24VDC Supply Distribution For RIO Panel WIL22-RIO-0104B</v>
          </cell>
        </row>
        <row r="624">
          <cell r="M624" t="str">
            <v>131236-WIL22-DR-I-XXXX</v>
          </cell>
          <cell r="N624" t="str">
            <v>I/O Cluster Interconnection For RIO Panel WIL22-RIO-0104B</v>
          </cell>
        </row>
        <row r="625">
          <cell r="M625" t="str">
            <v>131236-WIL22-DR-I-XXXX</v>
          </cell>
          <cell r="N625" t="str">
            <v>Rack Wiring Diagram For RIO Panel WIL22-RIO-0104B</v>
          </cell>
        </row>
        <row r="626">
          <cell r="M626" t="str">
            <v>131236-WIL22-DR-I-XXXX</v>
          </cell>
          <cell r="N626" t="str">
            <v>Earth Bar Connection Diagram For RIO Panel WIL22-RIO-0104B</v>
          </cell>
        </row>
        <row r="627">
          <cell r="M627" t="str">
            <v>131236-WIL22-DR-I-XXXX</v>
          </cell>
          <cell r="N627" t="str">
            <v>Safety Barrier Wiring Digram For RIO Panel WIL22-RIO-0104B</v>
          </cell>
        </row>
        <row r="628">
          <cell r="M628" t="str">
            <v>131236-WIL22-DR-I-XXXX</v>
          </cell>
          <cell r="N628" t="str">
            <v>General Arrangement and Wiring Diagram For RIO Panel WIL22-RIO-0001A</v>
          </cell>
        </row>
        <row r="629">
          <cell r="M629" t="str">
            <v>131236-WIL22-DR-I-XXXX</v>
          </cell>
          <cell r="N629" t="str">
            <v>Cover Sheet For RIO Panel WIL22-RIO-0001A</v>
          </cell>
        </row>
        <row r="630">
          <cell r="M630" t="str">
            <v>131236-WIL22-DR-I-XXXX</v>
          </cell>
          <cell r="N630" t="str">
            <v>Revision Index For RIO Panel WIL22-RIO-0001A</v>
          </cell>
        </row>
        <row r="631">
          <cell r="M631" t="str">
            <v>131236-WIL22-DR-I-XXXX</v>
          </cell>
          <cell r="N631" t="str">
            <v>Bill Of Materials For RIO Panel WIL22-RIO-0001A</v>
          </cell>
        </row>
        <row r="632">
          <cell r="M632" t="str">
            <v>131236-WIL22-DR-I-XXXX</v>
          </cell>
          <cell r="N632" t="str">
            <v>Control Cabinet - External View For RIO Panel WIL22-RIO-0001A</v>
          </cell>
        </row>
        <row r="633">
          <cell r="M633" t="str">
            <v>131236-WIL22-DR-I-XXXX</v>
          </cell>
          <cell r="N633" t="str">
            <v>Nameplate Details For RIO Panel WIL22-RIO-0001A</v>
          </cell>
        </row>
        <row r="634">
          <cell r="M634" t="str">
            <v>131236-WIL22-DR-I-XXXX</v>
          </cell>
          <cell r="N634" t="str">
            <v>Wiring Color Coding Scheme For RIO Panel WIL22-RIO-0001A</v>
          </cell>
        </row>
        <row r="635">
          <cell r="M635" t="str">
            <v>131236-WIL22-DR-I-XXXX</v>
          </cell>
          <cell r="N635" t="str">
            <v>Legend For RIO Panel WIL22-RIO-0001A</v>
          </cell>
        </row>
        <row r="636">
          <cell r="M636" t="str">
            <v>131236-WIL22-DR-I-XXXX</v>
          </cell>
          <cell r="N636" t="str">
            <v>230VAC Power Distribution For RIO Panel WIL22-RIO-0001A</v>
          </cell>
        </row>
        <row r="637">
          <cell r="M637" t="str">
            <v>131236-WIL22-DR-I-XXXX</v>
          </cell>
          <cell r="N637" t="str">
            <v>24VDC Supply Distribution For RIO Panel WIL22-RIO-0001A</v>
          </cell>
        </row>
        <row r="638">
          <cell r="M638" t="str">
            <v>131236-WIL22-DR-I-XXXX</v>
          </cell>
          <cell r="N638" t="str">
            <v>I/O Cluster Interconnection For RIO Panel WIL22-RIO-0001A</v>
          </cell>
        </row>
        <row r="639">
          <cell r="M639" t="str">
            <v>131236-WIL22-DR-I-XXXX</v>
          </cell>
          <cell r="N639" t="str">
            <v>Rack Wiring Diagram For RIO Panel WIL22-RIO-0001A</v>
          </cell>
        </row>
        <row r="640">
          <cell r="M640" t="str">
            <v>131236-WIL22-DR-I-XXXX</v>
          </cell>
          <cell r="N640" t="str">
            <v>Earth Bar Connection Diagram For RIO Panel WIL22-RIO-0001A</v>
          </cell>
        </row>
        <row r="641">
          <cell r="M641" t="str">
            <v>131236-WIL22-DR-I-XXXX</v>
          </cell>
          <cell r="N641" t="str">
            <v>Safety Barrier Wiring Digram For RIO Panel WIL22-RIO-0001A</v>
          </cell>
        </row>
        <row r="642">
          <cell r="M642" t="str">
            <v>131236-WIL22-DR-I-XXXX</v>
          </cell>
          <cell r="N642" t="str">
            <v>General Arrangement and Wiring Diagram For RIO Panel WIL22-RIO-0001B</v>
          </cell>
        </row>
        <row r="643">
          <cell r="M643" t="str">
            <v>131236-WIL22-DR-I-XXXX</v>
          </cell>
          <cell r="N643" t="str">
            <v>Cover Sheet For RIO Panel WIL22-RIO-0001B</v>
          </cell>
        </row>
        <row r="644">
          <cell r="M644" t="str">
            <v>131236-WIL22-DR-I-XXXX</v>
          </cell>
          <cell r="N644" t="str">
            <v>Revision Index For RIO Panel WIL22-RIO-0001B</v>
          </cell>
        </row>
        <row r="645">
          <cell r="M645" t="str">
            <v>131236-WIL22-DR-I-XXXX</v>
          </cell>
          <cell r="N645" t="str">
            <v>Bill Of Materials For RIO Panel WIL22-RIO-0001B</v>
          </cell>
        </row>
        <row r="646">
          <cell r="M646" t="str">
            <v>131236-WIL22-DR-I-XXXX</v>
          </cell>
          <cell r="N646" t="str">
            <v>Control Cabinet - External View For RIO Panel WIL22-RIO-0001B</v>
          </cell>
        </row>
        <row r="647">
          <cell r="M647" t="str">
            <v>131236-WIL22-DR-I-XXXX</v>
          </cell>
          <cell r="N647" t="str">
            <v>Nameplate Details For RIO Panel WIL22-RIO-0001B</v>
          </cell>
        </row>
        <row r="648">
          <cell r="M648" t="str">
            <v>131236-WIL22-DR-I-XXXX</v>
          </cell>
          <cell r="N648" t="str">
            <v>Wiring Color Coding Scheme For RIO Panel WIL22-RIO-0001B</v>
          </cell>
        </row>
        <row r="649">
          <cell r="M649" t="str">
            <v>131236-WIL22-DR-I-XXXX</v>
          </cell>
          <cell r="N649" t="str">
            <v>Legend For RIO Panel WIL22-RIO-0001B</v>
          </cell>
        </row>
        <row r="650">
          <cell r="M650" t="str">
            <v>131236-WIL22-DR-I-XXXX</v>
          </cell>
          <cell r="N650" t="str">
            <v>230VAC Power Distribution For RIO Panel WIL22-RIO-0001B</v>
          </cell>
        </row>
        <row r="651">
          <cell r="M651" t="str">
            <v>131236-WIL22-DR-I-XXXX</v>
          </cell>
          <cell r="N651" t="str">
            <v>24VDC Supply Distribution For RIO Panel WIL22-RIO-0001B</v>
          </cell>
        </row>
        <row r="652">
          <cell r="M652" t="str">
            <v>131236-WIL22-DR-I-XXXX</v>
          </cell>
          <cell r="N652" t="str">
            <v>I/O Cluster Interconnection For RIO Panel WIL22-RIO-0001B</v>
          </cell>
        </row>
        <row r="653">
          <cell r="M653" t="str">
            <v>131236-WIL22-DR-I-XXXX</v>
          </cell>
          <cell r="N653" t="str">
            <v>Rack Wiring Diagram For RIO Panel WIL22-RIO-0001B</v>
          </cell>
        </row>
        <row r="654">
          <cell r="M654" t="str">
            <v>131236-WIL22-DR-I-XXXX</v>
          </cell>
          <cell r="N654" t="str">
            <v>Earth Bar Connection Diagram For RIO Panel WIL22-RIO-0001B</v>
          </cell>
        </row>
        <row r="655">
          <cell r="M655" t="str">
            <v>131236-WIL22-DR-I-XXXX</v>
          </cell>
          <cell r="N655" t="str">
            <v>Safety Barrier Wiring Digram For RIO Panel WIL22-RIO-0001B</v>
          </cell>
        </row>
        <row r="656">
          <cell r="M656" t="str">
            <v>131236-WIL23-DR-I-XXXX</v>
          </cell>
          <cell r="N656" t="str">
            <v>General Arrangement and Wiring Diagram For RIO Panel WIL23-RIO-0101A</v>
          </cell>
        </row>
        <row r="657">
          <cell r="M657" t="str">
            <v>131236-WIL23-DR-I-XXXX</v>
          </cell>
          <cell r="N657" t="str">
            <v>Cover Sheet For RIO Panel WIL23-RIO-0101A</v>
          </cell>
        </row>
        <row r="658">
          <cell r="M658" t="str">
            <v>131236-WIL23-DR-I-XXXX</v>
          </cell>
          <cell r="N658" t="str">
            <v>Revision Index For RIO Panel WIL23-RIO-0101A</v>
          </cell>
        </row>
        <row r="659">
          <cell r="M659" t="str">
            <v>131236-WIL23-DR-I-XXXX</v>
          </cell>
          <cell r="N659" t="str">
            <v>Bill Of Materials For RIO Panel WIL23-RIO-0101A</v>
          </cell>
        </row>
        <row r="660">
          <cell r="M660" t="str">
            <v>131236-WIL23-DR-I-XXXX</v>
          </cell>
          <cell r="N660" t="str">
            <v>Control Cabinet - External View For RIO Panel WIL23-RIO-0101A</v>
          </cell>
        </row>
        <row r="661">
          <cell r="M661" t="str">
            <v>131236-WIL23-DR-I-XXXX</v>
          </cell>
          <cell r="N661" t="str">
            <v>Nameplate Details For RIO Panel WIL23-RIO-0101A</v>
          </cell>
        </row>
        <row r="662">
          <cell r="M662" t="str">
            <v>131236-WIL23-DR-I-XXXX</v>
          </cell>
          <cell r="N662" t="str">
            <v>Wiring Color Coding Scheme For RIO Panel WIL23-RIO-0101A</v>
          </cell>
        </row>
        <row r="663">
          <cell r="M663" t="str">
            <v>131236-WIL23-DR-I-XXXX</v>
          </cell>
          <cell r="N663" t="str">
            <v>Legend For RIO Panel WIL23-RIO-0101A</v>
          </cell>
        </row>
        <row r="664">
          <cell r="M664" t="str">
            <v>131236-WIL23-DR-I-XXXX</v>
          </cell>
          <cell r="N664" t="str">
            <v>230VAC Power Distribution For RIO Panel WIL23-RIO-0101A</v>
          </cell>
        </row>
        <row r="665">
          <cell r="M665" t="str">
            <v>131236-WIL23-DR-I-XXXX</v>
          </cell>
          <cell r="N665" t="str">
            <v>24VDC Supply Distribution For RIO Panel WIL23-RIO-0101A</v>
          </cell>
        </row>
        <row r="666">
          <cell r="M666" t="str">
            <v>131236-WIL23-DR-I-XXXX</v>
          </cell>
          <cell r="N666" t="str">
            <v>I/O Cluster Interconnection For RIO Panel WIL23-RIO-0101A</v>
          </cell>
        </row>
        <row r="667">
          <cell r="M667" t="str">
            <v>131236-WIL23-DR-I-XXXX</v>
          </cell>
          <cell r="N667" t="str">
            <v>Rack Wiring Diagram For RIO Panel WIL23-RIO-0101A</v>
          </cell>
        </row>
        <row r="668">
          <cell r="M668" t="str">
            <v>131236-WIL23-DR-I-XXXX</v>
          </cell>
          <cell r="N668" t="str">
            <v>Earth Bar Connection Diagram For RIO Panel WIL23-RIO-0101A</v>
          </cell>
        </row>
        <row r="669">
          <cell r="M669" t="str">
            <v>131236-WIL23-DR-I-XXXX</v>
          </cell>
          <cell r="N669" t="str">
            <v>Safety Barrier Wiring Digram For RIO Panel WIL23-RIO-0101A</v>
          </cell>
        </row>
        <row r="670">
          <cell r="M670" t="str">
            <v>131236-WIL23-DR-I-XXXX</v>
          </cell>
          <cell r="N670" t="str">
            <v>General Arrangement and Wiring Diagram For RIO Panel WIL23-RIO-0101B</v>
          </cell>
        </row>
        <row r="671">
          <cell r="M671" t="str">
            <v>131236-WIL23-DR-I-XXXX</v>
          </cell>
          <cell r="N671" t="str">
            <v>Cover Sheet For RIO Panel WIL23-RIO-0101B</v>
          </cell>
        </row>
        <row r="672">
          <cell r="M672" t="str">
            <v>131236-WIL23-DR-I-XXXX</v>
          </cell>
          <cell r="N672" t="str">
            <v>Revision Index For RIO Panel WIL23-RIO-0101B</v>
          </cell>
        </row>
        <row r="673">
          <cell r="M673" t="str">
            <v>131236-WIL23-DR-I-XXXX</v>
          </cell>
          <cell r="N673" t="str">
            <v>Bill Of Materials For RIO Panel WIL23-RIO-0101B</v>
          </cell>
        </row>
        <row r="674">
          <cell r="M674" t="str">
            <v>131236-WIL23-DR-I-XXXX</v>
          </cell>
          <cell r="N674" t="str">
            <v>Control Cabinet - External View For RIO Panel WIL23-RIO-0101B</v>
          </cell>
        </row>
        <row r="675">
          <cell r="M675" t="str">
            <v>131236-WIL23-DR-I-XXXX</v>
          </cell>
          <cell r="N675" t="str">
            <v>Nameplate Details For RIO Panel WIL23-RIO-0101B</v>
          </cell>
        </row>
        <row r="676">
          <cell r="M676" t="str">
            <v>131236-WIL23-DR-I-XXXX</v>
          </cell>
          <cell r="N676" t="str">
            <v>Wiring Color Coding Scheme For RIO Panel WIL23-RIO-0101B</v>
          </cell>
        </row>
        <row r="677">
          <cell r="M677" t="str">
            <v>131236-WIL23-DR-I-XXXX</v>
          </cell>
          <cell r="N677" t="str">
            <v>Legend For RIO Panel WIL23-RIO-0101B</v>
          </cell>
        </row>
        <row r="678">
          <cell r="M678" t="str">
            <v>131236-WIL23-DR-I-XXXX</v>
          </cell>
          <cell r="N678" t="str">
            <v>230VAC Power Distribution For RIO Panel WIL23-RIO-0101B</v>
          </cell>
        </row>
        <row r="679">
          <cell r="M679" t="str">
            <v>131236-WIL23-DR-I-XXXX</v>
          </cell>
          <cell r="N679" t="str">
            <v>24VDC Supply Distribution For RIO Panel WIL23-RIO-0101B</v>
          </cell>
        </row>
        <row r="680">
          <cell r="M680" t="str">
            <v>131236-WIL23-DR-I-XXXX</v>
          </cell>
          <cell r="N680" t="str">
            <v>I/O Cluster Interconnection For RIO Panel WIL23-RIO-0101B</v>
          </cell>
        </row>
        <row r="681">
          <cell r="M681" t="str">
            <v>131236-WIL23-DR-I-XXXX</v>
          </cell>
          <cell r="N681" t="str">
            <v>Rack Wiring Diagram For RIO Panel WIL23-RIO-0101B</v>
          </cell>
        </row>
        <row r="682">
          <cell r="M682" t="str">
            <v>131236-WIL23-DR-I-XXXX</v>
          </cell>
          <cell r="N682" t="str">
            <v>Earth Bar Connection Diagram For RIO Panel WIL23-RIO-0101B</v>
          </cell>
        </row>
        <row r="683">
          <cell r="M683" t="str">
            <v>131236-WIL23-DR-I-XXXX</v>
          </cell>
          <cell r="N683" t="str">
            <v>Safety Barrier Wiring Digram For RIO Panel WIL23-RIO-0101B</v>
          </cell>
        </row>
        <row r="684">
          <cell r="M684" t="str">
            <v>131236-WIL23-DR-I-XXXX</v>
          </cell>
          <cell r="N684" t="str">
            <v>General Arrangement and Wiring Diagram For RIO Panel WIL23-RIO-0102A</v>
          </cell>
        </row>
        <row r="685">
          <cell r="M685" t="str">
            <v>131236-WIL23-DR-I-XXXX</v>
          </cell>
          <cell r="N685" t="str">
            <v>Cover Sheet For RIO Panel WIL23-RIO-0102A</v>
          </cell>
        </row>
        <row r="686">
          <cell r="M686" t="str">
            <v>131236-WIL23-DR-I-XXXX</v>
          </cell>
          <cell r="N686" t="str">
            <v>Revision Index For RIO Panel WIL23-RIO-0102A</v>
          </cell>
        </row>
        <row r="687">
          <cell r="M687" t="str">
            <v>131236-WIL23-DR-I-XXXX</v>
          </cell>
          <cell r="N687" t="str">
            <v>Bill Of Materials For RIO Panel WIL23-RIO-0102A</v>
          </cell>
        </row>
        <row r="688">
          <cell r="M688" t="str">
            <v>131236-WIL23-DR-I-XXXX</v>
          </cell>
          <cell r="N688" t="str">
            <v>Control Cabinet - External View For RIO Panel WIL23-RIO-0102A</v>
          </cell>
        </row>
        <row r="689">
          <cell r="M689" t="str">
            <v>131236-WIL23-DR-I-XXXX</v>
          </cell>
          <cell r="N689" t="str">
            <v>Nameplate Details For RIO Panel WIL23-RIO-0102A</v>
          </cell>
        </row>
        <row r="690">
          <cell r="M690" t="str">
            <v>131236-WIL23-DR-I-XXXX</v>
          </cell>
          <cell r="N690" t="str">
            <v>Wiring Color Coding Scheme For RIO Panel WIL23-RIO-0102A</v>
          </cell>
        </row>
        <row r="691">
          <cell r="M691" t="str">
            <v>131236-WIL23-DR-I-XXXX</v>
          </cell>
          <cell r="N691" t="str">
            <v>Legend For RIO Panel WIL23-RIO-0102A</v>
          </cell>
        </row>
        <row r="692">
          <cell r="M692" t="str">
            <v>131236-WIL23-DR-I-XXXX</v>
          </cell>
          <cell r="N692" t="str">
            <v>230VAC Power Distribution For RIO Panel WIL23-RIO-0102A</v>
          </cell>
        </row>
        <row r="693">
          <cell r="M693" t="str">
            <v>131236-WIL23-DR-I-XXXX</v>
          </cell>
          <cell r="N693" t="str">
            <v>24VDC Supply Distribution For RIO Panel WIL23-RIO-0102A</v>
          </cell>
        </row>
        <row r="694">
          <cell r="M694" t="str">
            <v>131236-WIL23-DR-I-XXXX</v>
          </cell>
          <cell r="N694" t="str">
            <v>I/O Cluster Interconnection For RIO Panel WIL23-RIO-0102A</v>
          </cell>
        </row>
        <row r="695">
          <cell r="M695" t="str">
            <v>131236-WIL23-DR-I-XXXX</v>
          </cell>
          <cell r="N695" t="str">
            <v>Rack Wiring Diagram For RIO Panel WIL23-RIO-0102A</v>
          </cell>
        </row>
        <row r="696">
          <cell r="M696" t="str">
            <v>131236-WIL23-DR-I-XXXX</v>
          </cell>
          <cell r="N696" t="str">
            <v>Earth Bar Connection Diagram For RIO Panel WIL23-RIO-0102A</v>
          </cell>
        </row>
        <row r="697">
          <cell r="M697" t="str">
            <v>131236-WIL23-DR-I-XXXX</v>
          </cell>
          <cell r="N697" t="str">
            <v>Safety Barrier Wiring Digram For RIO Panel WIL23-RIO-0102A</v>
          </cell>
        </row>
        <row r="698">
          <cell r="M698" t="str">
            <v>131236-WIL23-DR-I-XXXX</v>
          </cell>
          <cell r="N698" t="str">
            <v>General Arrangement and Wiring Diagram For RIO Panel WIL23-RIO-0102B</v>
          </cell>
        </row>
        <row r="699">
          <cell r="M699" t="str">
            <v>131236-WIL23-DR-I-XXXX</v>
          </cell>
          <cell r="N699" t="str">
            <v>Cover Sheet For RIO Panel WIL23-RIO-0102B</v>
          </cell>
        </row>
        <row r="700">
          <cell r="M700" t="str">
            <v>131236-WIL23-DR-I-XXXX</v>
          </cell>
          <cell r="N700" t="str">
            <v>Revision Index For RIO Panel WIL23-RIO-0102B</v>
          </cell>
        </row>
        <row r="701">
          <cell r="M701" t="str">
            <v>131236-WIL23-DR-I-XXXX</v>
          </cell>
          <cell r="N701" t="str">
            <v>Bill Of Materials For RIO Panel WIL23-RIO-0102B</v>
          </cell>
        </row>
        <row r="702">
          <cell r="M702" t="str">
            <v>131236-WIL23-DR-I-XXXX</v>
          </cell>
          <cell r="N702" t="str">
            <v>Control Cabinet - External View For RIO Panel WIL23-RIO-0102B</v>
          </cell>
        </row>
        <row r="703">
          <cell r="M703" t="str">
            <v>131236-WIL23-DR-I-XXXX</v>
          </cell>
          <cell r="N703" t="str">
            <v>Nameplate Details For RIO Panel WIL23-RIO-0102B</v>
          </cell>
        </row>
        <row r="704">
          <cell r="M704" t="str">
            <v>131236-WIL23-DR-I-XXXX</v>
          </cell>
          <cell r="N704" t="str">
            <v>Wiring Color Coding Scheme For RIO Panel WIL23-RIO-0102B</v>
          </cell>
        </row>
        <row r="705">
          <cell r="M705" t="str">
            <v>131236-WIL23-DR-I-XXXX</v>
          </cell>
          <cell r="N705" t="str">
            <v>Legend For RIO Panel WIL23-RIO-0102B</v>
          </cell>
        </row>
        <row r="706">
          <cell r="M706" t="str">
            <v>131236-WIL23-DR-I-XXXX</v>
          </cell>
          <cell r="N706" t="str">
            <v>230VAC Power Distribution For RIO Panel WIL23-RIO-0102B</v>
          </cell>
        </row>
        <row r="707">
          <cell r="M707" t="str">
            <v>131236-WIL23-DR-I-XXXX</v>
          </cell>
          <cell r="N707" t="str">
            <v>24VDC Supply Distribution For RIO Panel WIL23-RIO-0102B</v>
          </cell>
        </row>
        <row r="708">
          <cell r="M708" t="str">
            <v>131236-WIL23-DR-I-XXXX</v>
          </cell>
          <cell r="N708" t="str">
            <v>I/O Cluster Interconnection For RIO Panel WIL23-RIO-0102B</v>
          </cell>
        </row>
        <row r="709">
          <cell r="M709" t="str">
            <v>131236-WIL23-DR-I-XXXX</v>
          </cell>
          <cell r="N709" t="str">
            <v>Rack Wiring Diagram For RIO Panel WIL23-RIO-0102B</v>
          </cell>
        </row>
        <row r="710">
          <cell r="M710" t="str">
            <v>131236-WIL23-DR-I-XXXX</v>
          </cell>
          <cell r="N710" t="str">
            <v>Earth Bar Connection Diagram For RIO Panel WIL23-RIO-0102B</v>
          </cell>
        </row>
        <row r="711">
          <cell r="M711" t="str">
            <v>131236-WIL23-DR-I-XXXX</v>
          </cell>
          <cell r="N711" t="str">
            <v>Safety Barrier Wiring Digram For RIO Panel WIL23-RIO-0102B</v>
          </cell>
        </row>
        <row r="712">
          <cell r="M712" t="str">
            <v>131236-WIL23-DR-I-XXXX</v>
          </cell>
          <cell r="N712" t="str">
            <v>General Arrangement and Wiring Diagram For RIO Panel WIL23-RIO-0001A</v>
          </cell>
        </row>
        <row r="713">
          <cell r="M713" t="str">
            <v>131236-WIL23-DR-I-XXXX</v>
          </cell>
          <cell r="N713" t="str">
            <v>Cover Sheet For RIO Panel WIL23-RIO-0001A</v>
          </cell>
        </row>
        <row r="714">
          <cell r="M714" t="str">
            <v>131236-WIL23-DR-I-XXXX</v>
          </cell>
          <cell r="N714" t="str">
            <v>Revision Index For RIO Panel WIL23-RIO-0001A</v>
          </cell>
        </row>
        <row r="715">
          <cell r="M715" t="str">
            <v>131236-WIL23-DR-I-XXXX</v>
          </cell>
          <cell r="N715" t="str">
            <v>Bill Of Materials For RIO Panel WIL23-RIO-0001A</v>
          </cell>
        </row>
        <row r="716">
          <cell r="M716" t="str">
            <v>131236-WIL23-DR-I-XXXX</v>
          </cell>
          <cell r="N716" t="str">
            <v>Control Cabinet - External View For RIO Panel WIL23-RIO-0001A</v>
          </cell>
        </row>
        <row r="717">
          <cell r="M717" t="str">
            <v>131236-WIL23-DR-I-XXXX</v>
          </cell>
          <cell r="N717" t="str">
            <v>Nameplate Details For RIO Panel WIL23-RIO-0001A</v>
          </cell>
        </row>
        <row r="718">
          <cell r="M718" t="str">
            <v>131236-WIL23-DR-I-XXXX</v>
          </cell>
          <cell r="N718" t="str">
            <v>Wiring Color Coding Scheme For RIO Panel WIL23-RIO-0001A</v>
          </cell>
        </row>
        <row r="719">
          <cell r="M719" t="str">
            <v>131236-WIL23-DR-I-XXXX</v>
          </cell>
          <cell r="N719" t="str">
            <v>Legend For RIO Panel WIL23-RIO-0001A</v>
          </cell>
        </row>
        <row r="720">
          <cell r="M720" t="str">
            <v>131236-WIL23-DR-I-XXXX</v>
          </cell>
          <cell r="N720" t="str">
            <v>230VAC Power Distribution For RIO Panel WIL23-RIO-0001A</v>
          </cell>
        </row>
        <row r="721">
          <cell r="M721" t="str">
            <v>131236-WIL23-DR-I-XXXX</v>
          </cell>
          <cell r="N721" t="str">
            <v>24VDC Supply Distribution For RIO Panel WIL23-RIO-0001A</v>
          </cell>
        </row>
        <row r="722">
          <cell r="M722" t="str">
            <v>131236-WIL23-DR-I-XXXX</v>
          </cell>
          <cell r="N722" t="str">
            <v>I/O Cluster Interconnection For RIO Panel WIL23-RIO-0001A</v>
          </cell>
        </row>
        <row r="723">
          <cell r="M723" t="str">
            <v>131236-WIL23-DR-I-XXXX</v>
          </cell>
          <cell r="N723" t="str">
            <v>Rack Wiring Diagram For RIO Panel WIL23-RIO-0001A</v>
          </cell>
        </row>
        <row r="724">
          <cell r="M724" t="str">
            <v>131236-WIL23-DR-I-XXXX</v>
          </cell>
          <cell r="N724" t="str">
            <v>Earth Bar Connection Diagram For RIO Panel WIL23-RIO-0001A</v>
          </cell>
        </row>
        <row r="725">
          <cell r="M725" t="str">
            <v>131236-WIL23-DR-I-XXXX</v>
          </cell>
          <cell r="N725" t="str">
            <v>Safety Barrier Wiring Digram For RIO Panel WIL23-RIO-0001A</v>
          </cell>
        </row>
        <row r="726">
          <cell r="M726" t="str">
            <v>131236-WIL23-DR-I-XXXX</v>
          </cell>
          <cell r="N726" t="str">
            <v>General Arrangement and Wiring Diagram For RIO Panel WIL23-RIO-0001B</v>
          </cell>
        </row>
        <row r="727">
          <cell r="M727" t="str">
            <v>131236-WIL23-DR-I-XXXX</v>
          </cell>
          <cell r="N727" t="str">
            <v>Cover Sheet For RIO Panel WIL23-RIO-0001B</v>
          </cell>
        </row>
        <row r="728">
          <cell r="M728" t="str">
            <v>131236-WIL23-DR-I-XXXX</v>
          </cell>
          <cell r="N728" t="str">
            <v>Revision Index For RIO Panel WIL23-RIO-0001B</v>
          </cell>
        </row>
        <row r="729">
          <cell r="M729" t="str">
            <v>131236-WIL23-DR-I-XXXX</v>
          </cell>
          <cell r="N729" t="str">
            <v>Bill Of Materials For RIO Panel WIL23-RIO-0001B</v>
          </cell>
        </row>
        <row r="730">
          <cell r="M730" t="str">
            <v>131236-WIL23-DR-I-XXXX</v>
          </cell>
          <cell r="N730" t="str">
            <v>Control Cabinet - External View For RIO Panel WIL23-RIO-0001B</v>
          </cell>
        </row>
        <row r="731">
          <cell r="M731" t="str">
            <v>131236-WIL23-DR-I-XXXX</v>
          </cell>
          <cell r="N731" t="str">
            <v>Nameplate Details For RIO Panel WIL23-RIO-0001B</v>
          </cell>
        </row>
        <row r="732">
          <cell r="M732" t="str">
            <v>131236-WIL23-DR-I-XXXX</v>
          </cell>
          <cell r="N732" t="str">
            <v>Wiring Color Coding Scheme For RIO Panel WIL23-RIO-0001B</v>
          </cell>
        </row>
        <row r="733">
          <cell r="M733" t="str">
            <v>131236-WIL23-DR-I-XXXX</v>
          </cell>
          <cell r="N733" t="str">
            <v>Legend For RIO Panel WIL23-RIO-0001B</v>
          </cell>
        </row>
        <row r="734">
          <cell r="M734" t="str">
            <v>131236-WIL23-DR-I-XXXX</v>
          </cell>
          <cell r="N734" t="str">
            <v>230VAC Power Distribution For RIO Panel WIL23-RIO-0001B</v>
          </cell>
        </row>
        <row r="735">
          <cell r="M735" t="str">
            <v>131236-WIL23-DR-I-XXXX</v>
          </cell>
          <cell r="N735" t="str">
            <v>24VDC Supply Distribution For RIO Panel WIL23-RIO-0001B</v>
          </cell>
        </row>
        <row r="736">
          <cell r="M736" t="str">
            <v>131236-WIL23-DR-I-XXXX</v>
          </cell>
          <cell r="N736" t="str">
            <v>I/O Cluster Interconnection For RIO Panel WIL23-RIO-0001B</v>
          </cell>
        </row>
        <row r="737">
          <cell r="M737" t="str">
            <v>131236-WIL23-DR-I-XXXX</v>
          </cell>
          <cell r="N737" t="str">
            <v>Rack Wiring Diagram For RIO Panel WIL23-RIO-0001B</v>
          </cell>
        </row>
        <row r="738">
          <cell r="M738" t="str">
            <v>131236-WIL23-DR-I-XXXX</v>
          </cell>
          <cell r="N738" t="str">
            <v>Earth Bar Connection Diagram For RIO Panel WIL23-RIO-0001B</v>
          </cell>
        </row>
        <row r="739">
          <cell r="M739" t="str">
            <v>131236-WIL23-DR-I-XXXX</v>
          </cell>
          <cell r="N739" t="str">
            <v>Safety Barrier Wiring Digram For RIO Panel WIL23-RIO-0001B</v>
          </cell>
        </row>
        <row r="740">
          <cell r="M740" t="str">
            <v>131236-WIL23-DR-I-XXXX</v>
          </cell>
          <cell r="N740" t="str">
            <v>General Arrangement and Wiring Diagram For RIO Panel WIL23-RIO-0201</v>
          </cell>
        </row>
        <row r="741">
          <cell r="M741" t="str">
            <v>131236-WIL23-DR-I-XXXX</v>
          </cell>
          <cell r="N741" t="str">
            <v>Cover Sheet For RIO Panel WIL23-RIO-0201</v>
          </cell>
        </row>
        <row r="742">
          <cell r="M742" t="str">
            <v>131236-WIL23-DR-I-XXXX</v>
          </cell>
          <cell r="N742" t="str">
            <v>Revision Index For RIO Panel WIL23-RIO-0201</v>
          </cell>
        </row>
        <row r="743">
          <cell r="M743" t="str">
            <v>131236-WIL23-DR-I-XXXX</v>
          </cell>
          <cell r="N743" t="str">
            <v>Bill Of Materials For RIO Panel WIL23-RIO-0201</v>
          </cell>
        </row>
        <row r="744">
          <cell r="M744" t="str">
            <v>131236-WIL23-DR-I-XXXX</v>
          </cell>
          <cell r="N744" t="str">
            <v>Control Cabinet - External View For RIO Panel WIL23-RIO-0201</v>
          </cell>
        </row>
        <row r="745">
          <cell r="M745" t="str">
            <v>131236-WIL23-DR-I-XXXX</v>
          </cell>
          <cell r="N745" t="str">
            <v>Nameplate Details For RIO Panel WIL23-RIO-0201</v>
          </cell>
        </row>
        <row r="746">
          <cell r="M746" t="str">
            <v>131236-WIL23-DR-I-XXXX</v>
          </cell>
          <cell r="N746" t="str">
            <v>Wiring Color Coding Scheme For RIO Panel WIL23-RIO-0201</v>
          </cell>
        </row>
        <row r="747">
          <cell r="M747" t="str">
            <v>131236-WIL23-DR-I-XXXX</v>
          </cell>
          <cell r="N747" t="str">
            <v>Legend For RIO Panel WIL23-RIO-0201</v>
          </cell>
        </row>
        <row r="748">
          <cell r="M748" t="str">
            <v>131236-WIL23-DR-I-XXXX</v>
          </cell>
          <cell r="N748" t="str">
            <v>230VAC Power Distribution For RIO Panel WIL23-RIO-0201</v>
          </cell>
        </row>
        <row r="749">
          <cell r="M749" t="str">
            <v>131236-WIL23-DR-I-XXXX</v>
          </cell>
          <cell r="N749" t="str">
            <v>24VDC Supply Distribution For RIO Panel WIL23-RIO-0201</v>
          </cell>
        </row>
        <row r="750">
          <cell r="M750" t="str">
            <v>131236-WIL23-DR-I-XXXX</v>
          </cell>
          <cell r="N750" t="str">
            <v>I/O Cluster Interconnection For RIO Panel WIL23-RIO-0201</v>
          </cell>
        </row>
        <row r="751">
          <cell r="M751" t="str">
            <v>131236-WIL23-DR-I-XXXX</v>
          </cell>
          <cell r="N751" t="str">
            <v>Rack Wiring Diagram For RIO Panel WIL23-RIO-0201</v>
          </cell>
        </row>
        <row r="752">
          <cell r="M752" t="str">
            <v>131236-WIL23-DR-I-XXXX</v>
          </cell>
          <cell r="N752" t="str">
            <v>Earth Bar Connection Diagram For RIO Panel WIL23-RIO-0201</v>
          </cell>
        </row>
        <row r="753">
          <cell r="M753" t="str">
            <v>131236-WIL23-DR-I-XXXX</v>
          </cell>
          <cell r="N753" t="str">
            <v>Safety Barrier Wiring Digram For RIO Panel WIL23-RIO-0201</v>
          </cell>
        </row>
        <row r="754">
          <cell r="M754" t="str">
            <v>131236-WIL23-DR-I-XXXX</v>
          </cell>
          <cell r="N754" t="str">
            <v>General Arrangement and Wiring Diagram For RIO Panel WIL23-RIO-0202</v>
          </cell>
        </row>
        <row r="755">
          <cell r="M755" t="str">
            <v>131236-WIL23-DR-I-XXXX</v>
          </cell>
          <cell r="N755" t="str">
            <v>Cover Sheet For RIO Panel WIL23-RIO-0202</v>
          </cell>
        </row>
        <row r="756">
          <cell r="M756" t="str">
            <v>131236-WIL23-DR-I-XXXX</v>
          </cell>
          <cell r="N756" t="str">
            <v>Revision Index For RIO Panel WIL23-RIO-0202</v>
          </cell>
        </row>
        <row r="757">
          <cell r="M757" t="str">
            <v>131236-WIL23-DR-I-XXXX</v>
          </cell>
          <cell r="N757" t="str">
            <v>Bill Of Materials For RIO Panel WIL23-RIO-0202</v>
          </cell>
        </row>
        <row r="758">
          <cell r="M758" t="str">
            <v>131236-WIL23-DR-I-XXXX</v>
          </cell>
          <cell r="N758" t="str">
            <v>Control Cabinet - External View For RIO Panel WIL23-RIO-0202</v>
          </cell>
        </row>
        <row r="759">
          <cell r="M759" t="str">
            <v>131236-WIL23-DR-I-XXXX</v>
          </cell>
          <cell r="N759" t="str">
            <v>Nameplate Details For RIO Panel WIL23-RIO-0202</v>
          </cell>
        </row>
        <row r="760">
          <cell r="M760" t="str">
            <v>131236-WIL23-DR-I-XXXX</v>
          </cell>
          <cell r="N760" t="str">
            <v>Wiring Color Coding Scheme For RIO Panel WIL23-RIO-0202</v>
          </cell>
        </row>
        <row r="761">
          <cell r="M761" t="str">
            <v>131236-WIL23-DR-I-XXXX</v>
          </cell>
          <cell r="N761" t="str">
            <v>Legend For RIO Panel WIL23-RIO-0202</v>
          </cell>
        </row>
        <row r="762">
          <cell r="M762" t="str">
            <v>131236-WIL23-DR-I-XXXX</v>
          </cell>
          <cell r="N762" t="str">
            <v>230VAC Power Distribution For RIO Panel WIL23-RIO-0202</v>
          </cell>
        </row>
        <row r="763">
          <cell r="M763" t="str">
            <v>131236-WIL23-DR-I-XXXX</v>
          </cell>
          <cell r="N763" t="str">
            <v>24VDC Supply Distribution For RIO Panel WIL23-RIO-0202</v>
          </cell>
        </row>
        <row r="764">
          <cell r="M764" t="str">
            <v>131236-WIL23-DR-I-XXXX</v>
          </cell>
          <cell r="N764" t="str">
            <v>I/O Cluster Interconnection For RIO Panel WIL23-RIO-0202</v>
          </cell>
        </row>
        <row r="765">
          <cell r="M765" t="str">
            <v>131236-WIL23-DR-I-XXXX</v>
          </cell>
          <cell r="N765" t="str">
            <v>Rack Wiring Diagram For RIO Panel WIL23-RIO-0202</v>
          </cell>
        </row>
        <row r="766">
          <cell r="M766" t="str">
            <v>131236-WIL23-DR-I-XXXX</v>
          </cell>
          <cell r="N766" t="str">
            <v>Earth Bar Connection Diagram For RIO Panel WIL23-RIO-0202</v>
          </cell>
        </row>
        <row r="767">
          <cell r="M767" t="str">
            <v>131236-WIL23-DR-I-XXXX</v>
          </cell>
          <cell r="N767" t="str">
            <v>Safety Barrier Wiring Digram For RIO Panel WIL23-RIO-0202</v>
          </cell>
        </row>
        <row r="768">
          <cell r="M768" t="str">
            <v>131236-WIL23-DR-I-XXXX</v>
          </cell>
          <cell r="N768" t="str">
            <v>General Arrangement and Wiring Diagram For RIO Panel WIL23-RIO-0203</v>
          </cell>
        </row>
        <row r="769">
          <cell r="M769" t="str">
            <v>131236-WIL23-DR-I-XXXX</v>
          </cell>
          <cell r="N769" t="str">
            <v>Cover Sheet For RIO Panel WIL23-RIO-0203</v>
          </cell>
        </row>
        <row r="770">
          <cell r="M770" t="str">
            <v>131236-WIL23-DR-I-XXXX</v>
          </cell>
          <cell r="N770" t="str">
            <v>Revision Index For RIO Panel WIL23-RIO-0203</v>
          </cell>
        </row>
        <row r="771">
          <cell r="M771" t="str">
            <v>131236-WIL23-DR-I-XXXX</v>
          </cell>
          <cell r="N771" t="str">
            <v>Bill Of Materials For RIO Panel WIL23-RIO-0203</v>
          </cell>
        </row>
        <row r="772">
          <cell r="M772" t="str">
            <v>131236-WIL23-DR-I-XXXX</v>
          </cell>
          <cell r="N772" t="str">
            <v>Control Cabinet - External View For RIO Panel WIL23-RIO-0203</v>
          </cell>
        </row>
        <row r="773">
          <cell r="M773" t="str">
            <v>131236-WIL23-DR-I-XXXX</v>
          </cell>
          <cell r="N773" t="str">
            <v>Nameplate Details For RIO Panel WIL23-RIO-0203</v>
          </cell>
        </row>
        <row r="774">
          <cell r="M774" t="str">
            <v>131236-WIL23-DR-I-XXXX</v>
          </cell>
          <cell r="N774" t="str">
            <v>Wiring Color Coding Scheme For RIO Panel WIL23-RIO-0203</v>
          </cell>
        </row>
        <row r="775">
          <cell r="M775" t="str">
            <v>131236-WIL23-DR-I-XXXX</v>
          </cell>
          <cell r="N775" t="str">
            <v>Legend For RIO Panel WIL23-RIO-0203</v>
          </cell>
        </row>
        <row r="776">
          <cell r="M776" t="str">
            <v>131236-WIL23-DR-I-XXXX</v>
          </cell>
          <cell r="N776" t="str">
            <v>230VAC Power Distribution For RIO Panel WIL23-RIO-0203</v>
          </cell>
        </row>
        <row r="777">
          <cell r="M777" t="str">
            <v>131236-WIL23-DR-I-XXXX</v>
          </cell>
          <cell r="N777" t="str">
            <v>24VDC Supply Distribution For RIO Panel WIL23-RIO-0203</v>
          </cell>
        </row>
        <row r="778">
          <cell r="M778" t="str">
            <v>131236-WIL23-DR-I-XXXX</v>
          </cell>
          <cell r="N778" t="str">
            <v>I/O Cluster Interconnection For RIO Panel WIL23-RIO-0203</v>
          </cell>
        </row>
        <row r="779">
          <cell r="M779" t="str">
            <v>131236-WIL23-DR-I-XXXX</v>
          </cell>
          <cell r="N779" t="str">
            <v>Rack Wiring Diagram For RIO Panel WIL23-RIO-0203</v>
          </cell>
        </row>
        <row r="780">
          <cell r="M780" t="str">
            <v>131236-WIL23-DR-I-XXXX</v>
          </cell>
          <cell r="N780" t="str">
            <v>Earth Bar Connection Diagram For RIO Panel WIL23-RIO-0203</v>
          </cell>
        </row>
        <row r="781">
          <cell r="M781" t="str">
            <v>131236-WIL23-DR-I-XXXX</v>
          </cell>
          <cell r="N781" t="str">
            <v>Safety Barrier Wiring Digram For RIO Panel WIL23-RIO-0203</v>
          </cell>
        </row>
        <row r="782">
          <cell r="M782" t="str">
            <v>131236-WIL23-DR-I-XXXX</v>
          </cell>
          <cell r="N782" t="str">
            <v>General Arrangement and Wiring Diagram For RIO Panel WIL23-RIO-0204A</v>
          </cell>
        </row>
        <row r="783">
          <cell r="M783" t="str">
            <v>131236-WIL23-DR-I-XXXX</v>
          </cell>
          <cell r="N783" t="str">
            <v>Cover Sheet For RIO Panel WIL23-RIO-0204A</v>
          </cell>
        </row>
        <row r="784">
          <cell r="M784" t="str">
            <v>131236-WIL23-DR-I-XXXX</v>
          </cell>
          <cell r="N784" t="str">
            <v>Revision Index For RIO Panel WIL23-RIO-0204A</v>
          </cell>
        </row>
        <row r="785">
          <cell r="M785" t="str">
            <v>131236-WIL23-DR-I-XXXX</v>
          </cell>
          <cell r="N785" t="str">
            <v>Bill Of Materials For RIO Panel WIL23-RIO-0204A</v>
          </cell>
        </row>
        <row r="786">
          <cell r="M786" t="str">
            <v>131236-WIL23-DR-I-XXXX</v>
          </cell>
          <cell r="N786" t="str">
            <v>Control Cabinet - External View For RIO Panel WIL23-RIO-0204A</v>
          </cell>
        </row>
        <row r="787">
          <cell r="M787" t="str">
            <v>131236-WIL23-DR-I-XXXX</v>
          </cell>
          <cell r="N787" t="str">
            <v>Nameplate Details For RIO Panel WIL23-RIO-0204A</v>
          </cell>
        </row>
        <row r="788">
          <cell r="M788" t="str">
            <v>131236-WIL23-DR-I-XXXX</v>
          </cell>
          <cell r="N788" t="str">
            <v>Wiring Color Coding Scheme For RIO Panel WIL23-RIO-0204A</v>
          </cell>
        </row>
        <row r="789">
          <cell r="M789" t="str">
            <v>131236-WIL23-DR-I-XXXX</v>
          </cell>
          <cell r="N789" t="str">
            <v>Legend For RIO Panel WIL23-RIO-0204A</v>
          </cell>
        </row>
        <row r="790">
          <cell r="M790" t="str">
            <v>131236-WIL23-DR-I-XXXX</v>
          </cell>
          <cell r="N790" t="str">
            <v>230VAC Power Distribution For RIO Panel WIL23-RIO-0204A</v>
          </cell>
        </row>
        <row r="791">
          <cell r="M791" t="str">
            <v>131236-WIL23-DR-I-XXXX</v>
          </cell>
          <cell r="N791" t="str">
            <v>24VDC Supply Distribution For RIO Panel WIL23-RIO-0204A</v>
          </cell>
        </row>
        <row r="792">
          <cell r="M792" t="str">
            <v>131236-WIL23-DR-I-XXXX</v>
          </cell>
          <cell r="N792" t="str">
            <v>I/O Cluster Interconnection For RIO Panel WIL23-RIO-0204A</v>
          </cell>
        </row>
        <row r="793">
          <cell r="M793" t="str">
            <v>131236-WIL23-DR-I-XXXX</v>
          </cell>
          <cell r="N793" t="str">
            <v>Rack Wiring Diagram For RIO Panel WIL23-RIO-0204A</v>
          </cell>
        </row>
        <row r="794">
          <cell r="M794" t="str">
            <v>131236-WIL23-DR-I-XXXX</v>
          </cell>
          <cell r="N794" t="str">
            <v>Earth Bar Connection Diagram For RIO Panel WIL23-RIO-0204A</v>
          </cell>
        </row>
        <row r="795">
          <cell r="M795" t="str">
            <v>131236-WIL23-DR-I-XXXX</v>
          </cell>
          <cell r="N795" t="str">
            <v>Safety Barrier Wiring Digram For RIO Panel WIL23-RIO-0204A</v>
          </cell>
        </row>
        <row r="796">
          <cell r="M796" t="str">
            <v>131236-WIL23-DR-I-XXXX</v>
          </cell>
          <cell r="N796" t="str">
            <v>General Arrangement and Wiring Diagram For RIO Panel WIL23-RIO-0204B</v>
          </cell>
        </row>
        <row r="797">
          <cell r="M797" t="str">
            <v>131236-WIL23-DR-I-XXXX</v>
          </cell>
          <cell r="N797" t="str">
            <v>Cover Sheet For RIO Panel WIL23-RIO-0204B</v>
          </cell>
        </row>
        <row r="798">
          <cell r="M798" t="str">
            <v>131236-WIL23-DR-I-XXXX</v>
          </cell>
          <cell r="N798" t="str">
            <v>Revision Index For RIO Panel WIL23-RIO-0204B</v>
          </cell>
        </row>
        <row r="799">
          <cell r="M799" t="str">
            <v>131236-WIL23-DR-I-XXXX</v>
          </cell>
          <cell r="N799" t="str">
            <v>Bill Of Materials For RIO Panel WIL23-RIO-0204B</v>
          </cell>
        </row>
        <row r="800">
          <cell r="M800" t="str">
            <v>131236-WIL23-DR-I-XXXX</v>
          </cell>
          <cell r="N800" t="str">
            <v>Control Cabinet - External View For RIO Panel WIL23-RIO-0204B</v>
          </cell>
        </row>
        <row r="801">
          <cell r="M801" t="str">
            <v>131236-WIL23-DR-I-XXXX</v>
          </cell>
          <cell r="N801" t="str">
            <v>Nameplate Details For RIO Panel WIL23-RIO-0204B</v>
          </cell>
        </row>
        <row r="802">
          <cell r="M802" t="str">
            <v>131236-WIL23-DR-I-XXXX</v>
          </cell>
          <cell r="N802" t="str">
            <v>Wiring Color Coding Scheme For RIO Panel WIL23-RIO-0204B</v>
          </cell>
        </row>
        <row r="803">
          <cell r="M803" t="str">
            <v>131236-WIL23-DR-I-XXXX</v>
          </cell>
          <cell r="N803" t="str">
            <v>Legend For RIO Panel WIL23-RIO-0204B</v>
          </cell>
        </row>
        <row r="804">
          <cell r="M804" t="str">
            <v>131236-WIL23-DR-I-XXXX</v>
          </cell>
          <cell r="N804" t="str">
            <v>230VAC Power Distribution For RIO Panel WIL23-RIO-0204B</v>
          </cell>
        </row>
        <row r="805">
          <cell r="M805" t="str">
            <v>131236-WIL23-DR-I-XXXX</v>
          </cell>
          <cell r="N805" t="str">
            <v>24VDC Supply Distribution For RIO Panel WIL23-RIO-0204B</v>
          </cell>
        </row>
        <row r="806">
          <cell r="M806" t="str">
            <v>131236-WIL23-DR-I-XXXX</v>
          </cell>
          <cell r="N806" t="str">
            <v>I/O Cluster Interconnection For RIO Panel WIL23-RIO-0204B</v>
          </cell>
        </row>
        <row r="807">
          <cell r="M807" t="str">
            <v>131236-WIL23-DR-I-XXXX</v>
          </cell>
          <cell r="N807" t="str">
            <v>Rack Wiring Diagram For RIO Panel WIL23-RIO-0204B</v>
          </cell>
        </row>
        <row r="808">
          <cell r="M808" t="str">
            <v>131236-WIL23-DR-I-XXXX</v>
          </cell>
          <cell r="N808" t="str">
            <v>Earth Bar Connection Diagram For RIO Panel WIL23-RIO-0204B</v>
          </cell>
        </row>
        <row r="809">
          <cell r="M809" t="str">
            <v>131236-WIL23-DR-I-XXXX</v>
          </cell>
          <cell r="N809" t="str">
            <v>Safety Barrier Wiring Digram For RIO Panel WIL23-RIO-0204B</v>
          </cell>
        </row>
        <row r="810">
          <cell r="M810" t="str">
            <v>131236-WIL23-DR-I-XXXX</v>
          </cell>
          <cell r="N810" t="str">
            <v>General Arrangement and Wiring Diagram For RIO Panel WIL23-RIO-0001A</v>
          </cell>
        </row>
        <row r="811">
          <cell r="M811" t="str">
            <v>131236-WIL23-DR-I-XXXX</v>
          </cell>
          <cell r="N811" t="str">
            <v>Cover Sheet For RIO Panel WIL23-RIO-0001A</v>
          </cell>
        </row>
        <row r="812">
          <cell r="M812" t="str">
            <v>131236-WIL23-DR-I-XXXX</v>
          </cell>
          <cell r="N812" t="str">
            <v>Revision Index For RIO Panel WIL23-RIO-0001A</v>
          </cell>
        </row>
        <row r="813">
          <cell r="M813" t="str">
            <v>131236-WIL23-DR-I-XXXX</v>
          </cell>
          <cell r="N813" t="str">
            <v>Bill Of Materials For RIO Panel WIL23-RIO-0001A</v>
          </cell>
        </row>
        <row r="814">
          <cell r="M814" t="str">
            <v>131236-WIL23-DR-I-XXXX</v>
          </cell>
          <cell r="N814" t="str">
            <v>Control Cabinet - External View For RIO Panel WIL23-RIO-0001A</v>
          </cell>
        </row>
        <row r="815">
          <cell r="M815" t="str">
            <v>131236-WIL23-DR-I-XXXX</v>
          </cell>
          <cell r="N815" t="str">
            <v>Nameplate Details For RIO Panel WIL23-RIO-0001A</v>
          </cell>
        </row>
        <row r="816">
          <cell r="M816" t="str">
            <v>131236-WIL23-DR-I-XXXX</v>
          </cell>
          <cell r="N816" t="str">
            <v>Wiring Color Coding Scheme For RIO Panel WIL23-RIO-0001A</v>
          </cell>
        </row>
        <row r="817">
          <cell r="M817" t="str">
            <v>131236-WIL23-DR-I-XXXX</v>
          </cell>
          <cell r="N817" t="str">
            <v>Legend For RIO Panel WIL23-RIO-0001A</v>
          </cell>
        </row>
        <row r="818">
          <cell r="M818" t="str">
            <v>131236-WIL23-DR-I-XXXX</v>
          </cell>
          <cell r="N818" t="str">
            <v>230VAC Power Distribution For RIO Panel WIL23-RIO-0001A</v>
          </cell>
        </row>
        <row r="819">
          <cell r="M819" t="str">
            <v>131236-WIL23-DR-I-XXXX</v>
          </cell>
          <cell r="N819" t="str">
            <v>24VDC Supply Distribution For RIO Panel WIL23-RIO-0001A</v>
          </cell>
        </row>
        <row r="820">
          <cell r="M820" t="str">
            <v>131236-WIL23-DR-I-XXXX</v>
          </cell>
          <cell r="N820" t="str">
            <v>I/O Cluster Interconnection For RIO Panel WIL23-RIO-0001A</v>
          </cell>
        </row>
        <row r="821">
          <cell r="M821" t="str">
            <v>131236-WIL23-DR-I-XXXX</v>
          </cell>
          <cell r="N821" t="str">
            <v>Rack Wiring Diagram For RIO Panel WIL23-RIO-0001A</v>
          </cell>
        </row>
        <row r="822">
          <cell r="M822" t="str">
            <v>131236-WIL23-DR-I-XXXX</v>
          </cell>
          <cell r="N822" t="str">
            <v>Earth Bar Connection Diagram For RIO Panel WIL23-RIO-0001A</v>
          </cell>
        </row>
        <row r="823">
          <cell r="M823" t="str">
            <v>131236-WIL23-DR-I-XXXX</v>
          </cell>
          <cell r="N823" t="str">
            <v>Safety Barrier Wiring Digram For RIO Panel WIL23-RIO-0001A</v>
          </cell>
        </row>
        <row r="824">
          <cell r="M824" t="str">
            <v>131236-WIL23-DR-I-XXXX</v>
          </cell>
          <cell r="N824" t="str">
            <v>General Arrangement and Wiring Diagram For RIO Panel WIL23-RIO-0001B</v>
          </cell>
        </row>
        <row r="825">
          <cell r="M825" t="str">
            <v>131236-WIL23-DR-I-XXXX</v>
          </cell>
          <cell r="N825" t="str">
            <v>Cover Sheet For RIO Panel WIL23-RIO-0001B</v>
          </cell>
        </row>
        <row r="826">
          <cell r="M826" t="str">
            <v>131236-WIL23-DR-I-XXXX</v>
          </cell>
          <cell r="N826" t="str">
            <v>Revision Index For RIO Panel WIL23-RIO-0001B</v>
          </cell>
        </row>
        <row r="827">
          <cell r="M827" t="str">
            <v>131236-WIL23-DR-I-XXXX</v>
          </cell>
          <cell r="N827" t="str">
            <v>Bill Of Materials For RIO Panel WIL23-RIO-0001B</v>
          </cell>
        </row>
        <row r="828">
          <cell r="M828" t="str">
            <v>131236-WIL23-DR-I-XXXX</v>
          </cell>
          <cell r="N828" t="str">
            <v>Control Cabinet - External View For RIO Panel WIL23-RIO-0001B</v>
          </cell>
        </row>
        <row r="829">
          <cell r="M829" t="str">
            <v>131236-WIL23-DR-I-XXXX</v>
          </cell>
          <cell r="N829" t="str">
            <v>Nameplate Details For RIO Panel WIL23-RIO-0001B</v>
          </cell>
        </row>
        <row r="830">
          <cell r="M830" t="str">
            <v>131236-WIL23-DR-I-XXXX</v>
          </cell>
          <cell r="N830" t="str">
            <v>Wiring Color Coding Scheme For RIO Panel WIL23-RIO-0001B</v>
          </cell>
        </row>
        <row r="831">
          <cell r="M831" t="str">
            <v>131236-WIL23-DR-I-XXXX</v>
          </cell>
          <cell r="N831" t="str">
            <v>Legend For RIO Panel WIL23-RIO-0001B</v>
          </cell>
        </row>
        <row r="832">
          <cell r="M832" t="str">
            <v>131236-WIL23-DR-I-XXXX</v>
          </cell>
          <cell r="N832" t="str">
            <v>230VAC Power Distribution For RIO Panel WIL23-RIO-0001B</v>
          </cell>
        </row>
        <row r="833">
          <cell r="M833" t="str">
            <v>131236-WIL23-DR-I-XXXX</v>
          </cell>
          <cell r="N833" t="str">
            <v>24VDC Supply Distribution For RIO Panel WIL23-RIO-0001B</v>
          </cell>
        </row>
        <row r="834">
          <cell r="M834" t="str">
            <v>131236-WIL23-DR-I-XXXX</v>
          </cell>
          <cell r="N834" t="str">
            <v>I/O Cluster Interconnection For RIO Panel WIL23-RIO-0001B</v>
          </cell>
        </row>
        <row r="835">
          <cell r="M835" t="str">
            <v>131236-WIL23-DR-I-XXXX</v>
          </cell>
          <cell r="N835" t="str">
            <v>Rack Wiring Diagram For RIO Panel WIL23-RIO-0001B</v>
          </cell>
        </row>
        <row r="836">
          <cell r="M836" t="str">
            <v>131236-WIL23-DR-I-XXXX</v>
          </cell>
          <cell r="N836" t="str">
            <v>Earth Bar Connection Diagram For RIO Panel WIL23-RIO-0001B</v>
          </cell>
        </row>
        <row r="837">
          <cell r="M837" t="str">
            <v>131236-WIL23-DR-I-XXXX</v>
          </cell>
          <cell r="N837" t="str">
            <v>Safety Barrier Wiring Digram For RIO Panel WIL23-RIO-0001B</v>
          </cell>
        </row>
        <row r="838">
          <cell r="M838" t="str">
            <v>131236-WIL23-DR-I-XXXX</v>
          </cell>
          <cell r="N838" t="str">
            <v>General Arrangement and Wiring Diagram For RIO Panel WIL23-RIO-0401</v>
          </cell>
        </row>
        <row r="839">
          <cell r="M839" t="str">
            <v>131236-WIL23-DR-I-XXXX</v>
          </cell>
          <cell r="N839" t="str">
            <v>Cover Sheet For RIO Panel WIL23-RIO-0401</v>
          </cell>
        </row>
        <row r="840">
          <cell r="M840" t="str">
            <v>131236-WIL23-DR-I-XXXX</v>
          </cell>
          <cell r="N840" t="str">
            <v>Revision Index For RIO Panel WIL23-RIO-0401</v>
          </cell>
        </row>
        <row r="841">
          <cell r="M841" t="str">
            <v>131236-WIL23-DR-I-XXXX</v>
          </cell>
          <cell r="N841" t="str">
            <v>Bill Of Materials For RIO Panel WIL23-RIO-0401</v>
          </cell>
        </row>
        <row r="842">
          <cell r="M842" t="str">
            <v>131236-WIL23-DR-I-XXXX</v>
          </cell>
          <cell r="N842" t="str">
            <v>Control Cabinet - External View For RIO Panel WIL23-RIO-0401</v>
          </cell>
        </row>
        <row r="843">
          <cell r="M843" t="str">
            <v>131236-WIL23-DR-I-XXXX</v>
          </cell>
          <cell r="N843" t="str">
            <v>Nameplate Details For RIO Panel WIL23-RIO-0401</v>
          </cell>
        </row>
        <row r="844">
          <cell r="M844" t="str">
            <v>131236-WIL23-DR-I-XXXX</v>
          </cell>
          <cell r="N844" t="str">
            <v>Wiring Color Coding Scheme For RIO Panel WIL23-RIO-0401</v>
          </cell>
        </row>
        <row r="845">
          <cell r="M845" t="str">
            <v>131236-WIL23-DR-I-XXXX</v>
          </cell>
          <cell r="N845" t="str">
            <v>Legend For RIO Panel WIL23-RIO-0401</v>
          </cell>
        </row>
        <row r="846">
          <cell r="M846" t="str">
            <v>131236-WIL23-DR-I-XXXX</v>
          </cell>
          <cell r="N846" t="str">
            <v>230VAC Power Distribution For RIO Panel WIL23-RIO-0401</v>
          </cell>
        </row>
        <row r="847">
          <cell r="M847" t="str">
            <v>131236-WIL23-DR-I-XXXX</v>
          </cell>
          <cell r="N847" t="str">
            <v>24VDC Supply Distribution For RIO Panel WIL23-RIO-0401</v>
          </cell>
        </row>
        <row r="848">
          <cell r="M848" t="str">
            <v>131236-WIL23-DR-I-XXXX</v>
          </cell>
          <cell r="N848" t="str">
            <v>I/O Cluster Interconnection For RIO Panel WIL23-RIO-0401</v>
          </cell>
        </row>
        <row r="849">
          <cell r="M849" t="str">
            <v>131236-WIL23-DR-I-XXXX</v>
          </cell>
          <cell r="N849" t="str">
            <v>Rack Wiring Diagram For RIO Panel WIL23-RIO-0401</v>
          </cell>
        </row>
        <row r="850">
          <cell r="M850" t="str">
            <v>131236-WIL23-DR-I-XXXX</v>
          </cell>
          <cell r="N850" t="str">
            <v>Earth Bar Connection Diagram For RIO Panel WIL23-RIO-0401</v>
          </cell>
        </row>
        <row r="851">
          <cell r="M851" t="str">
            <v>131236-WIL23-DR-I-XXXX</v>
          </cell>
          <cell r="N851" t="str">
            <v>Safety Barrier Wiring Digram For RIO Panel WIL23-RIO-0401</v>
          </cell>
        </row>
        <row r="852">
          <cell r="M852" t="str">
            <v>131236-WIL23-DR-I-XXXX</v>
          </cell>
          <cell r="N852" t="str">
            <v>General Arrangement and Wiring Diagram For RIO Panel WIL23-RIO-0402</v>
          </cell>
        </row>
        <row r="853">
          <cell r="M853" t="str">
            <v>131236-WIL23-DR-I-XXXX</v>
          </cell>
          <cell r="N853" t="str">
            <v>Cover Sheet For RIO Panel WIL23-RIO-0402</v>
          </cell>
        </row>
        <row r="854">
          <cell r="M854" t="str">
            <v>131236-WIL23-DR-I-XXXX</v>
          </cell>
          <cell r="N854" t="str">
            <v>Revision Index For RIO Panel WIL23-RIO-0402</v>
          </cell>
        </row>
        <row r="855">
          <cell r="M855" t="str">
            <v>131236-WIL23-DR-I-XXXX</v>
          </cell>
          <cell r="N855" t="str">
            <v>Bill Of Materials For RIO Panel WIL23-RIO-0402</v>
          </cell>
        </row>
        <row r="856">
          <cell r="M856" t="str">
            <v>131236-WIL23-DR-I-XXXX</v>
          </cell>
          <cell r="N856" t="str">
            <v>Control Cabinet - External View For RIO Panel WIL23-RIO-0402</v>
          </cell>
        </row>
        <row r="857">
          <cell r="M857" t="str">
            <v>131236-WIL23-DR-I-XXXX</v>
          </cell>
          <cell r="N857" t="str">
            <v>Nameplate Details For RIO Panel WIL23-RIO-0402</v>
          </cell>
        </row>
        <row r="858">
          <cell r="M858" t="str">
            <v>131236-WIL23-DR-I-XXXX</v>
          </cell>
          <cell r="N858" t="str">
            <v>Wiring Color Coding Scheme For RIO Panel WIL23-RIO-0402</v>
          </cell>
        </row>
        <row r="859">
          <cell r="M859" t="str">
            <v>131236-WIL23-DR-I-XXXX</v>
          </cell>
          <cell r="N859" t="str">
            <v>Legend For RIO Panel WIL23-RIO-0402</v>
          </cell>
        </row>
        <row r="860">
          <cell r="M860" t="str">
            <v>131236-WIL23-DR-I-XXXX</v>
          </cell>
          <cell r="N860" t="str">
            <v>230VAC Power Distribution For RIO Panel WIL23-RIO-0402</v>
          </cell>
        </row>
        <row r="861">
          <cell r="M861" t="str">
            <v>131236-WIL23-DR-I-XXXX</v>
          </cell>
          <cell r="N861" t="str">
            <v>24VDC Supply Distribution For RIO Panel WIL23-RIO-0402</v>
          </cell>
        </row>
        <row r="862">
          <cell r="M862" t="str">
            <v>131236-WIL23-DR-I-XXXX</v>
          </cell>
          <cell r="N862" t="str">
            <v>I/O Cluster Interconnection For RIO Panel WIL23-RIO-0402</v>
          </cell>
        </row>
        <row r="863">
          <cell r="M863" t="str">
            <v>131236-WIL23-DR-I-XXXX</v>
          </cell>
          <cell r="N863" t="str">
            <v>Rack Wiring Diagram For RIO Panel WIL23-RIO-0402</v>
          </cell>
        </row>
        <row r="864">
          <cell r="M864" t="str">
            <v>131236-WIL23-DR-I-XXXX</v>
          </cell>
          <cell r="N864" t="str">
            <v>Earth Bar Connection Diagram For RIO Panel WIL23-RIO-0402</v>
          </cell>
        </row>
        <row r="865">
          <cell r="M865" t="str">
            <v>131236-WIL23-DR-I-XXXX</v>
          </cell>
          <cell r="N865" t="str">
            <v>Safety Barrier Wiring Digram For RIO Panel WIL23-RIO-0402</v>
          </cell>
        </row>
        <row r="866">
          <cell r="M866" t="str">
            <v>131236-WIL23-DR-I-XXXX</v>
          </cell>
          <cell r="N866" t="str">
            <v>General Arrangement and Wiring Diagram For RIO Panel WIL23-RIO-0403</v>
          </cell>
        </row>
        <row r="867">
          <cell r="M867" t="str">
            <v>131236-WIL23-DR-I-XXXX</v>
          </cell>
          <cell r="N867" t="str">
            <v>Cover Sheet For RIO Panel WIL23-RIO-0403</v>
          </cell>
        </row>
        <row r="868">
          <cell r="M868" t="str">
            <v>131236-WIL23-DR-I-XXXX</v>
          </cell>
          <cell r="N868" t="str">
            <v>Revision Index For RIO Panel WIL23-RIO-0403</v>
          </cell>
        </row>
        <row r="869">
          <cell r="M869" t="str">
            <v>131236-WIL23-DR-I-XXXX</v>
          </cell>
          <cell r="N869" t="str">
            <v>Bill Of Materials For RIO Panel WIL23-RIO-0403</v>
          </cell>
        </row>
        <row r="870">
          <cell r="M870" t="str">
            <v>131236-WIL23-DR-I-XXXX</v>
          </cell>
          <cell r="N870" t="str">
            <v>Control Cabinet - External View For RIO Panel WIL23-RIO-0403</v>
          </cell>
        </row>
        <row r="871">
          <cell r="M871" t="str">
            <v>131236-WIL23-DR-I-XXXX</v>
          </cell>
          <cell r="N871" t="str">
            <v>Nameplate Details For RIO Panel WIL23-RIO-0403</v>
          </cell>
        </row>
        <row r="872">
          <cell r="M872" t="str">
            <v>131236-WIL23-DR-I-XXXX</v>
          </cell>
          <cell r="N872" t="str">
            <v>Wiring Color Coding Scheme For RIO Panel WIL23-RIO-0403</v>
          </cell>
        </row>
        <row r="873">
          <cell r="M873" t="str">
            <v>131236-WIL23-DR-I-XXXX</v>
          </cell>
          <cell r="N873" t="str">
            <v>Legend For RIO Panel WIL23-RIO-0403</v>
          </cell>
        </row>
        <row r="874">
          <cell r="M874" t="str">
            <v>131236-WIL23-DR-I-XXXX</v>
          </cell>
          <cell r="N874" t="str">
            <v>230VAC Power Distribution For RIO Panel WIL23-RIO-0403</v>
          </cell>
        </row>
        <row r="875">
          <cell r="M875" t="str">
            <v>131236-WIL23-DR-I-XXXX</v>
          </cell>
          <cell r="N875" t="str">
            <v>24VDC Supply Distribution For RIO Panel WIL23-RIO-0403</v>
          </cell>
        </row>
        <row r="876">
          <cell r="M876" t="str">
            <v>131236-WIL23-DR-I-XXXX</v>
          </cell>
          <cell r="N876" t="str">
            <v>I/O Cluster Interconnection For RIO Panel WIL23-RIO-0403</v>
          </cell>
        </row>
        <row r="877">
          <cell r="M877" t="str">
            <v>131236-WIL23-DR-I-XXXX</v>
          </cell>
          <cell r="N877" t="str">
            <v>Rack Wiring Diagram For RIO Panel WIL23-RIO-0403</v>
          </cell>
        </row>
        <row r="878">
          <cell r="M878" t="str">
            <v>131236-WIL23-DR-I-XXXX</v>
          </cell>
          <cell r="N878" t="str">
            <v>Earth Bar Connection Diagram For RIO Panel WIL23-RIO-0403</v>
          </cell>
        </row>
        <row r="879">
          <cell r="M879" t="str">
            <v>131236-WIL23-DR-I-XXXX</v>
          </cell>
          <cell r="N879" t="str">
            <v>Safety Barrier Wiring Digram For RIO Panel WIL23-RIO-0403</v>
          </cell>
        </row>
        <row r="880">
          <cell r="M880" t="str">
            <v>131236-WIL23-DR-I-XXXX</v>
          </cell>
          <cell r="N880" t="str">
            <v>General Arrangement and Wiring Diagram For RIO Panel WIL23-RIO-0404</v>
          </cell>
        </row>
        <row r="881">
          <cell r="M881" t="str">
            <v>131236-WIL23-DR-I-XXXX</v>
          </cell>
          <cell r="N881" t="str">
            <v>Cover Sheet For RIO Panel WIL23-RIO-0404</v>
          </cell>
        </row>
        <row r="882">
          <cell r="M882" t="str">
            <v>131236-WIL23-DR-I-XXXX</v>
          </cell>
          <cell r="N882" t="str">
            <v>Revision Index For RIO Panel WIL23-RIO-0404</v>
          </cell>
        </row>
        <row r="883">
          <cell r="M883" t="str">
            <v>131236-WIL23-DR-I-XXXX</v>
          </cell>
          <cell r="N883" t="str">
            <v>Bill Of Materials For RIO Panel WIL23-RIO-0404</v>
          </cell>
        </row>
        <row r="884">
          <cell r="M884" t="str">
            <v>131236-WIL23-DR-I-XXXX</v>
          </cell>
          <cell r="N884" t="str">
            <v>Control Cabinet - External View For RIO Panel WIL23-RIO-0404</v>
          </cell>
        </row>
        <row r="885">
          <cell r="M885" t="str">
            <v>131236-WIL23-DR-I-XXXX</v>
          </cell>
          <cell r="N885" t="str">
            <v>Nameplate Details For RIO Panel WIL23-RIO-0404</v>
          </cell>
        </row>
        <row r="886">
          <cell r="M886" t="str">
            <v>131236-WIL23-DR-I-XXXX</v>
          </cell>
          <cell r="N886" t="str">
            <v>Wiring Color Coding Scheme For RIO Panel WIL23-RIO-0404</v>
          </cell>
        </row>
        <row r="887">
          <cell r="M887" t="str">
            <v>131236-WIL23-DR-I-XXXX</v>
          </cell>
          <cell r="N887" t="str">
            <v>Legend For RIO Panel WIL23-RIO-0404</v>
          </cell>
        </row>
        <row r="888">
          <cell r="M888" t="str">
            <v>131236-WIL23-DR-I-XXXX</v>
          </cell>
          <cell r="N888" t="str">
            <v>230VAC Power Distribution For RIO Panel WIL23-RIO-0404</v>
          </cell>
        </row>
        <row r="889">
          <cell r="M889" t="str">
            <v>131236-WIL23-DR-I-XXXX</v>
          </cell>
          <cell r="N889" t="str">
            <v>24VDC Supply Distribution For RIO Panel WIL23-RIO-0404</v>
          </cell>
        </row>
        <row r="890">
          <cell r="M890" t="str">
            <v>131236-WIL23-DR-I-XXXX</v>
          </cell>
          <cell r="N890" t="str">
            <v>I/O Cluster Interconnection For RIO Panel WIL23-RIO-0404</v>
          </cell>
        </row>
        <row r="891">
          <cell r="M891" t="str">
            <v>131236-WIL23-DR-I-XXXX</v>
          </cell>
          <cell r="N891" t="str">
            <v>Rack Wiring Diagram For RIO Panel WIL23-RIO-0404</v>
          </cell>
        </row>
        <row r="892">
          <cell r="M892" t="str">
            <v>131236-WIL23-DR-I-XXXX</v>
          </cell>
          <cell r="N892" t="str">
            <v>Earth Bar Connection Diagram For RIO Panel WIL23-RIO-0404</v>
          </cell>
        </row>
        <row r="893">
          <cell r="M893" t="str">
            <v>131236-WIL23-DR-I-XXXX</v>
          </cell>
          <cell r="N893" t="str">
            <v>Safety Barrier Wiring Digram For RIO Panel WIL23-RIO-0404</v>
          </cell>
        </row>
        <row r="894">
          <cell r="M894" t="str">
            <v>131236-WIL23-DR-I-XXXX</v>
          </cell>
          <cell r="N894" t="str">
            <v>General Arrangement and Wiring Diagram For RIO Panel WIL23-RIO-0405</v>
          </cell>
        </row>
        <row r="895">
          <cell r="M895" t="str">
            <v>131236-WIL23-DR-I-XXXX</v>
          </cell>
          <cell r="N895" t="str">
            <v>Cover Sheet For RIO Panel WIL23-RIO-0405</v>
          </cell>
        </row>
        <row r="896">
          <cell r="M896" t="str">
            <v>131236-WIL23-DR-I-XXXX</v>
          </cell>
          <cell r="N896" t="str">
            <v>Revision Index For RIO Panel WIL23-RIO-0405</v>
          </cell>
        </row>
        <row r="897">
          <cell r="M897" t="str">
            <v>131236-WIL23-DR-I-XXXX</v>
          </cell>
          <cell r="N897" t="str">
            <v>Bill Of Materials For RIO Panel WIL23-RIO-0405</v>
          </cell>
        </row>
        <row r="898">
          <cell r="M898" t="str">
            <v>131236-WIL23-DR-I-XXXX</v>
          </cell>
          <cell r="N898" t="str">
            <v>Control Cabinet - External View For RIO Panel WIL23-RIO-0405</v>
          </cell>
        </row>
        <row r="899">
          <cell r="M899" t="str">
            <v>131236-WIL23-DR-I-XXXX</v>
          </cell>
          <cell r="N899" t="str">
            <v>Nameplate Details For RIO Panel WIL23-RIO-0405</v>
          </cell>
        </row>
        <row r="900">
          <cell r="M900" t="str">
            <v>131236-WIL23-DR-I-XXXX</v>
          </cell>
          <cell r="N900" t="str">
            <v>Wiring Color Coding Scheme For RIO Panel WIL23-RIO-0405</v>
          </cell>
        </row>
        <row r="901">
          <cell r="M901" t="str">
            <v>131236-WIL23-DR-I-XXXX</v>
          </cell>
          <cell r="N901" t="str">
            <v>Legend For RIO Panel WIL23-RIO-0405</v>
          </cell>
        </row>
        <row r="902">
          <cell r="M902" t="str">
            <v>131236-WIL23-DR-I-XXXX</v>
          </cell>
          <cell r="N902" t="str">
            <v>230VAC Power Distribution For RIO Panel WIL23-RIO-0405</v>
          </cell>
        </row>
        <row r="903">
          <cell r="M903" t="str">
            <v>131236-WIL23-DR-I-XXXX</v>
          </cell>
          <cell r="N903" t="str">
            <v>24VDC Supply Distribution For RIO Panel WIL23-RIO-0405</v>
          </cell>
        </row>
        <row r="904">
          <cell r="M904" t="str">
            <v>131236-WIL23-DR-I-XXXX</v>
          </cell>
          <cell r="N904" t="str">
            <v>I/O Cluster Interconnection For RIO Panel WIL23-RIO-0405</v>
          </cell>
        </row>
        <row r="905">
          <cell r="M905" t="str">
            <v>131236-WIL23-DR-I-XXXX</v>
          </cell>
          <cell r="N905" t="str">
            <v>Rack Wiring Diagram For RIO Panel WIL23-RIO-0405</v>
          </cell>
        </row>
        <row r="906">
          <cell r="M906" t="str">
            <v>131236-WIL23-DR-I-XXXX</v>
          </cell>
          <cell r="N906" t="str">
            <v>Earth Bar Connection Diagram For RIO Panel WIL23-RIO-0405</v>
          </cell>
        </row>
        <row r="907">
          <cell r="M907" t="str">
            <v>131236-WIL23-DR-I-XXXX</v>
          </cell>
          <cell r="N907" t="str">
            <v>Safety Barrier Wiring Digram For RIO Panel WIL23-RIO-0405</v>
          </cell>
        </row>
        <row r="908">
          <cell r="M908" t="str">
            <v>131236-WIL23-DR-I-XXXX</v>
          </cell>
          <cell r="N908" t="str">
            <v>General Arrangement and Wiring Diagram For RIO Panel WIL23-RIO-0406</v>
          </cell>
        </row>
        <row r="909">
          <cell r="M909" t="str">
            <v>131236-WIL23-DR-I-XXXX</v>
          </cell>
          <cell r="N909" t="str">
            <v>Cover Sheet For RIO Panel WIL23-RIO-0406</v>
          </cell>
        </row>
        <row r="910">
          <cell r="M910" t="str">
            <v>131236-WIL23-DR-I-XXXX</v>
          </cell>
          <cell r="N910" t="str">
            <v>Revision Index For RIO Panel WIL23-RIO-0406</v>
          </cell>
        </row>
        <row r="911">
          <cell r="M911" t="str">
            <v>131236-WIL23-DR-I-XXXX</v>
          </cell>
          <cell r="N911" t="str">
            <v>Bill Of Materials For RIO Panel WIL23-RIO-0406</v>
          </cell>
        </row>
        <row r="912">
          <cell r="M912" t="str">
            <v>131236-WIL23-DR-I-XXXX</v>
          </cell>
          <cell r="N912" t="str">
            <v>Control Cabinet - External View For RIO Panel WIL23-RIO-0406</v>
          </cell>
        </row>
        <row r="913">
          <cell r="M913" t="str">
            <v>131236-WIL23-DR-I-XXXX</v>
          </cell>
          <cell r="N913" t="str">
            <v>Nameplate Details For RIO Panel WIL23-RIO-0406</v>
          </cell>
        </row>
        <row r="914">
          <cell r="M914" t="str">
            <v>131236-WIL23-DR-I-XXXX</v>
          </cell>
          <cell r="N914" t="str">
            <v>Wiring Color Coding Scheme For RIO Panel WIL23-RIO-0406</v>
          </cell>
        </row>
        <row r="915">
          <cell r="M915" t="str">
            <v>131236-WIL23-DR-I-XXXX</v>
          </cell>
          <cell r="N915" t="str">
            <v>Legend For RIO Panel WIL23-RIO-0406</v>
          </cell>
        </row>
        <row r="916">
          <cell r="M916" t="str">
            <v>131236-WIL23-DR-I-XXXX</v>
          </cell>
          <cell r="N916" t="str">
            <v>230VAC Power Distribution For RIO Panel WIL23-RIO-0406</v>
          </cell>
        </row>
        <row r="917">
          <cell r="M917" t="str">
            <v>131236-WIL23-DR-I-XXXX</v>
          </cell>
          <cell r="N917" t="str">
            <v>24VDC Supply Distribution For RIO Panel WIL23-RIO-0406</v>
          </cell>
        </row>
        <row r="918">
          <cell r="M918" t="str">
            <v>131236-WIL23-DR-I-XXXX</v>
          </cell>
          <cell r="N918" t="str">
            <v>I/O Cluster Interconnection For RIO Panel WIL23-RIO-0406</v>
          </cell>
        </row>
        <row r="919">
          <cell r="M919" t="str">
            <v>131236-WIL23-DR-I-XXXX</v>
          </cell>
          <cell r="N919" t="str">
            <v>Rack Wiring Diagram For RIO Panel WIL23-RIO-0406</v>
          </cell>
        </row>
        <row r="920">
          <cell r="M920" t="str">
            <v>131236-WIL23-DR-I-XXXX</v>
          </cell>
          <cell r="N920" t="str">
            <v>Earth Bar Connection Diagram For RIO Panel WIL23-RIO-0406</v>
          </cell>
        </row>
        <row r="921">
          <cell r="M921" t="str">
            <v>131236-WIL23-DR-I-XXXX</v>
          </cell>
          <cell r="N921" t="str">
            <v>Safety Barrier Wiring Digram For RIO Panel WIL23-RIO-0406</v>
          </cell>
        </row>
        <row r="922">
          <cell r="M922" t="str">
            <v>131236-WIL23-DR-I-XXXX</v>
          </cell>
          <cell r="N922" t="str">
            <v>General Arrangement and Wiring Diagram For RIO Panel WIL23-RIO-0407</v>
          </cell>
        </row>
        <row r="923">
          <cell r="M923" t="str">
            <v>131236-WIL23-DR-I-XXXX</v>
          </cell>
          <cell r="N923" t="str">
            <v>Cover Sheet For RIO Panel WIL23-RIO-0407</v>
          </cell>
        </row>
        <row r="924">
          <cell r="M924" t="str">
            <v>131236-WIL23-DR-I-XXXX</v>
          </cell>
          <cell r="N924" t="str">
            <v>Revision Index For RIO Panel WIL23-RIO-0407</v>
          </cell>
        </row>
        <row r="925">
          <cell r="M925" t="str">
            <v>131236-WIL23-DR-I-XXXX</v>
          </cell>
          <cell r="N925" t="str">
            <v>Bill Of Materials For RIO Panel WIL23-RIO-0407</v>
          </cell>
        </row>
        <row r="926">
          <cell r="M926" t="str">
            <v>131236-WIL23-DR-I-XXXX</v>
          </cell>
          <cell r="N926" t="str">
            <v>Control Cabinet - External View For RIO Panel WIL23-RIO-0407</v>
          </cell>
        </row>
        <row r="927">
          <cell r="M927" t="str">
            <v>131236-WIL23-DR-I-XXXX</v>
          </cell>
          <cell r="N927" t="str">
            <v>Nameplate Details For RIO Panel WIL23-RIO-0407</v>
          </cell>
        </row>
        <row r="928">
          <cell r="M928" t="str">
            <v>131236-WIL23-DR-I-XXXX</v>
          </cell>
          <cell r="N928" t="str">
            <v>Wiring Color Coding Scheme For RIO Panel WIL23-RIO-0407</v>
          </cell>
        </row>
        <row r="929">
          <cell r="M929" t="str">
            <v>131236-WIL23-DR-I-XXXX</v>
          </cell>
          <cell r="N929" t="str">
            <v>Legend For RIO Panel WIL23-RIO-0407</v>
          </cell>
        </row>
        <row r="930">
          <cell r="M930" t="str">
            <v>131236-WIL23-DR-I-XXXX</v>
          </cell>
          <cell r="N930" t="str">
            <v>230VAC Power Distribution For RIO Panel WIL23-RIO-0407</v>
          </cell>
        </row>
        <row r="931">
          <cell r="M931" t="str">
            <v>131236-WIL23-DR-I-XXXX</v>
          </cell>
          <cell r="N931" t="str">
            <v>24VDC Supply Distribution For RIO Panel WIL23-RIO-0407</v>
          </cell>
        </row>
        <row r="932">
          <cell r="M932" t="str">
            <v>131236-WIL23-DR-I-XXXX</v>
          </cell>
          <cell r="N932" t="str">
            <v>I/O Cluster Interconnection For RIO Panel WIL23-RIO-0407</v>
          </cell>
        </row>
        <row r="933">
          <cell r="M933" t="str">
            <v>131236-WIL23-DR-I-XXXX</v>
          </cell>
          <cell r="N933" t="str">
            <v>Rack Wiring Diagram For RIO Panel WIL23-RIO-0407</v>
          </cell>
        </row>
        <row r="934">
          <cell r="M934" t="str">
            <v>131236-WIL23-DR-I-XXXX</v>
          </cell>
          <cell r="N934" t="str">
            <v>Earth Bar Connection Diagram For RIO Panel WIL23-RIO-0407</v>
          </cell>
        </row>
        <row r="935">
          <cell r="M935" t="str">
            <v>131236-WIL23-DR-I-XXXX</v>
          </cell>
          <cell r="N935" t="str">
            <v>Safety Barrier Wiring Digram For RIO Panel WIL23-RIO-0407</v>
          </cell>
        </row>
        <row r="936">
          <cell r="M936" t="str">
            <v>131236-WIL23-DR-I-XXXX</v>
          </cell>
          <cell r="N936" t="str">
            <v>General Arrangement and Wiring Diagram For RIO Panel WIL23-RIO-0408</v>
          </cell>
        </row>
        <row r="937">
          <cell r="M937" t="str">
            <v>131236-WIL23-DR-I-XXXX</v>
          </cell>
          <cell r="N937" t="str">
            <v>Cover Sheet For RIO Panel WIL23-RIO-0408</v>
          </cell>
        </row>
        <row r="938">
          <cell r="M938" t="str">
            <v>131236-WIL23-DR-I-XXXX</v>
          </cell>
          <cell r="N938" t="str">
            <v>Revision Index For RIO Panel WIL23-RIO-0408</v>
          </cell>
        </row>
        <row r="939">
          <cell r="M939" t="str">
            <v>131236-WIL23-DR-I-XXXX</v>
          </cell>
          <cell r="N939" t="str">
            <v>Bill Of Materials For RIO Panel WIL23-RIO-0408</v>
          </cell>
        </row>
        <row r="940">
          <cell r="M940" t="str">
            <v>131236-WIL23-DR-I-XXXX</v>
          </cell>
          <cell r="N940" t="str">
            <v>Control Cabinet - External View For RIO Panel WIL23-RIO-0408</v>
          </cell>
        </row>
        <row r="941">
          <cell r="M941" t="str">
            <v>131236-WIL23-DR-I-XXXX</v>
          </cell>
          <cell r="N941" t="str">
            <v>Nameplate Details For RIO Panel WIL23-RIO-0408</v>
          </cell>
        </row>
        <row r="942">
          <cell r="M942" t="str">
            <v>131236-WIL23-DR-I-XXXX</v>
          </cell>
          <cell r="N942" t="str">
            <v>Wiring Color Coding Scheme For RIO Panel WIL23-RIO-0408</v>
          </cell>
        </row>
        <row r="943">
          <cell r="M943" t="str">
            <v>131236-WIL23-DR-I-XXXX</v>
          </cell>
          <cell r="N943" t="str">
            <v>Legend For RIO Panel WIL23-RIO-0408</v>
          </cell>
        </row>
        <row r="944">
          <cell r="M944" t="str">
            <v>131236-WIL23-DR-I-XXXX</v>
          </cell>
          <cell r="N944" t="str">
            <v>230VAC Power Distribution For RIO Panel WIL23-RIO-0408</v>
          </cell>
        </row>
        <row r="945">
          <cell r="M945" t="str">
            <v>131236-WIL23-DR-I-XXXX</v>
          </cell>
          <cell r="N945" t="str">
            <v>24VDC Supply Distribution For RIO Panel WIL23-RIO-0408</v>
          </cell>
        </row>
        <row r="946">
          <cell r="M946" t="str">
            <v>131236-WIL23-DR-I-XXXX</v>
          </cell>
          <cell r="N946" t="str">
            <v>I/O Cluster Interconnection For RIO Panel WIL23-RIO-0408</v>
          </cell>
        </row>
        <row r="947">
          <cell r="M947" t="str">
            <v>131236-WIL23-DR-I-XXXX</v>
          </cell>
          <cell r="N947" t="str">
            <v>Rack Wiring Diagram For RIO Panel WIL23-RIO-0408</v>
          </cell>
        </row>
        <row r="948">
          <cell r="M948" t="str">
            <v>131236-WIL23-DR-I-XXXX</v>
          </cell>
          <cell r="N948" t="str">
            <v>Earth Bar Connection Diagram For RIO Panel WIL23-RIO-0408</v>
          </cell>
        </row>
        <row r="949">
          <cell r="M949" t="str">
            <v>131236-WIL23-DR-I-XXXX</v>
          </cell>
          <cell r="N949" t="str">
            <v>Safety Barrier Wiring Digram For RIO Panel WIL23-RIO-0408</v>
          </cell>
        </row>
        <row r="950">
          <cell r="M950" t="str">
            <v>131236-WIL23-DR-I-XXXX</v>
          </cell>
          <cell r="N950" t="str">
            <v>General Arrangement and Wiring Diagram For RIO Panel WIL23-RIO-0409</v>
          </cell>
        </row>
        <row r="951">
          <cell r="M951" t="str">
            <v>131236-WIL23-DR-I-XXXX</v>
          </cell>
          <cell r="N951" t="str">
            <v>Cover Sheet For RIO Panel WIL23-RIO-0409</v>
          </cell>
        </row>
        <row r="952">
          <cell r="M952" t="str">
            <v>131236-WIL23-DR-I-XXXX</v>
          </cell>
          <cell r="N952" t="str">
            <v>Revision Index For RIO Panel WIL23-RIO-0409</v>
          </cell>
        </row>
        <row r="953">
          <cell r="M953" t="str">
            <v>131236-WIL23-DR-I-XXXX</v>
          </cell>
          <cell r="N953" t="str">
            <v>Bill Of Materials For RIO Panel WIL23-RIO-0409</v>
          </cell>
        </row>
        <row r="954">
          <cell r="M954" t="str">
            <v>131236-WIL23-DR-I-XXXX</v>
          </cell>
          <cell r="N954" t="str">
            <v>Control Cabinet - External View For RIO Panel WIL23-RIO-0409</v>
          </cell>
        </row>
        <row r="955">
          <cell r="M955" t="str">
            <v>131236-WIL23-DR-I-XXXX</v>
          </cell>
          <cell r="N955" t="str">
            <v>Nameplate Details For RIO Panel WIL23-RIO-0409</v>
          </cell>
        </row>
        <row r="956">
          <cell r="M956" t="str">
            <v>131236-WIL23-DR-I-XXXX</v>
          </cell>
          <cell r="N956" t="str">
            <v>Wiring Color Coding Scheme For RIO Panel WIL23-RIO-0409</v>
          </cell>
        </row>
        <row r="957">
          <cell r="M957" t="str">
            <v>131236-WIL23-DR-I-XXXX</v>
          </cell>
          <cell r="N957" t="str">
            <v>Legend For RIO Panel WIL23-RIO-0409</v>
          </cell>
        </row>
        <row r="958">
          <cell r="M958" t="str">
            <v>131236-WIL23-DR-I-XXXX</v>
          </cell>
          <cell r="N958" t="str">
            <v>230VAC Power Distribution For RIO Panel WIL23-RIO-0409</v>
          </cell>
        </row>
        <row r="959">
          <cell r="M959" t="str">
            <v>131236-WIL23-DR-I-XXXX</v>
          </cell>
          <cell r="N959" t="str">
            <v>24VDC Supply Distribution For RIO Panel WIL23-RIO-0409</v>
          </cell>
        </row>
        <row r="960">
          <cell r="M960" t="str">
            <v>131236-WIL23-DR-I-XXXX</v>
          </cell>
          <cell r="N960" t="str">
            <v>I/O Cluster Interconnection For RIO Panel WIL23-RIO-0409</v>
          </cell>
        </row>
        <row r="961">
          <cell r="M961" t="str">
            <v>131236-WIL23-DR-I-XXXX</v>
          </cell>
          <cell r="N961" t="str">
            <v>Rack Wiring Diagram For RIO Panel WIL23-RIO-0409</v>
          </cell>
        </row>
        <row r="962">
          <cell r="M962" t="str">
            <v>131236-WIL23-DR-I-XXXX</v>
          </cell>
          <cell r="N962" t="str">
            <v>Earth Bar Connection Diagram For RIO Panel WIL23-RIO-0409</v>
          </cell>
        </row>
        <row r="963">
          <cell r="M963" t="str">
            <v>131236-WIL23-DR-I-XXXX</v>
          </cell>
          <cell r="N963" t="str">
            <v>Safety Barrier Wiring Digram For RIO Panel WIL23-RIO-0409</v>
          </cell>
        </row>
        <row r="964">
          <cell r="M964" t="str">
            <v>131236-WIL23-DR-I-XXXX</v>
          </cell>
          <cell r="N964" t="str">
            <v>General Arrangement and Wiring Diagram For RIO Panel WIL23-RIO-0410</v>
          </cell>
        </row>
        <row r="965">
          <cell r="M965" t="str">
            <v>131236-WIL23-DR-I-XXXX</v>
          </cell>
          <cell r="N965" t="str">
            <v>Cover Sheet For RIO Panel WIL23-RIO-0410</v>
          </cell>
        </row>
        <row r="966">
          <cell r="M966" t="str">
            <v>131236-WIL23-DR-I-XXXX</v>
          </cell>
          <cell r="N966" t="str">
            <v>Revision Index For RIO Panel WIL23-RIO-0410</v>
          </cell>
        </row>
        <row r="967">
          <cell r="M967" t="str">
            <v>131236-WIL23-DR-I-XXXX</v>
          </cell>
          <cell r="N967" t="str">
            <v>Bill Of Materials For RIO Panel WIL23-RIO-0410</v>
          </cell>
        </row>
        <row r="968">
          <cell r="M968" t="str">
            <v>131236-WIL23-DR-I-XXXX</v>
          </cell>
          <cell r="N968" t="str">
            <v>Control Cabinet - External View For RIO Panel WIL23-RIO-0410</v>
          </cell>
        </row>
        <row r="969">
          <cell r="M969" t="str">
            <v>131236-WIL23-DR-I-XXXX</v>
          </cell>
          <cell r="N969" t="str">
            <v>Nameplate Details For RIO Panel WIL23-RIO-0410</v>
          </cell>
        </row>
        <row r="970">
          <cell r="M970" t="str">
            <v>131236-WIL23-DR-I-XXXX</v>
          </cell>
          <cell r="N970" t="str">
            <v>Wiring Color Coding Scheme For RIO Panel WIL23-RIO-0410</v>
          </cell>
        </row>
        <row r="971">
          <cell r="M971" t="str">
            <v>131236-WIL23-DR-I-XXXX</v>
          </cell>
          <cell r="N971" t="str">
            <v>Legend For RIO Panel WIL23-RIO-0410</v>
          </cell>
        </row>
        <row r="972">
          <cell r="M972" t="str">
            <v>131236-WIL23-DR-I-XXXX</v>
          </cell>
          <cell r="N972" t="str">
            <v>230VAC Power Distribution For RIO Panel WIL23-RIO-0410</v>
          </cell>
        </row>
        <row r="973">
          <cell r="M973" t="str">
            <v>131236-WIL23-DR-I-XXXX</v>
          </cell>
          <cell r="N973" t="str">
            <v>24VDC Supply Distribution For RIO Panel WIL23-RIO-0410</v>
          </cell>
        </row>
        <row r="974">
          <cell r="M974" t="str">
            <v>131236-WIL23-DR-I-XXXX</v>
          </cell>
          <cell r="N974" t="str">
            <v>I/O Cluster Interconnection For RIO Panel WIL23-RIO-0410</v>
          </cell>
        </row>
        <row r="975">
          <cell r="M975" t="str">
            <v>131236-WIL23-DR-I-XXXX</v>
          </cell>
          <cell r="N975" t="str">
            <v>Rack Wiring Diagram For RIO Panel WIL23-RIO-0410</v>
          </cell>
        </row>
        <row r="976">
          <cell r="M976" t="str">
            <v>131236-WIL23-DR-I-XXXX</v>
          </cell>
          <cell r="N976" t="str">
            <v>Earth Bar Connection Diagram For RIO Panel WIL23-RIO-0410</v>
          </cell>
        </row>
        <row r="977">
          <cell r="M977" t="str">
            <v>131236-WIL23-DR-I-XXXX</v>
          </cell>
          <cell r="N977" t="str">
            <v>Safety Barrier Wiring Digram For RIO Panel WIL23-RIO-0410</v>
          </cell>
        </row>
        <row r="978">
          <cell r="M978" t="str">
            <v>131236-WIL23-DR-I-XXXX</v>
          </cell>
          <cell r="N978" t="str">
            <v>General Arrangement and Wiring Diagram For RIO Panel WIL23-RIO-0001A</v>
          </cell>
        </row>
        <row r="979">
          <cell r="M979" t="str">
            <v>131236-WIL23-DR-I-XXXX</v>
          </cell>
          <cell r="N979" t="str">
            <v>Cover Sheet For RIO Panel WIL23-RIO-0001A</v>
          </cell>
        </row>
        <row r="980">
          <cell r="M980" t="str">
            <v>131236-WIL23-DR-I-XXXX</v>
          </cell>
          <cell r="N980" t="str">
            <v>Revision Index For RIO Panel WIL23-RIO-0001A</v>
          </cell>
        </row>
        <row r="981">
          <cell r="M981" t="str">
            <v>131236-WIL23-DR-I-XXXX</v>
          </cell>
          <cell r="N981" t="str">
            <v>Bill Of Materials For RIO Panel WIL23-RIO-0001A</v>
          </cell>
        </row>
        <row r="982">
          <cell r="M982" t="str">
            <v>131236-WIL23-DR-I-XXXX</v>
          </cell>
          <cell r="N982" t="str">
            <v>Control Cabinet - External View For RIO Panel WIL23-RIO-0001A</v>
          </cell>
        </row>
        <row r="983">
          <cell r="M983" t="str">
            <v>131236-WIL23-DR-I-XXXX</v>
          </cell>
          <cell r="N983" t="str">
            <v>Nameplate Details For RIO Panel WIL23-RIO-0001A</v>
          </cell>
        </row>
        <row r="984">
          <cell r="M984" t="str">
            <v>131236-WIL23-DR-I-XXXX</v>
          </cell>
          <cell r="N984" t="str">
            <v>Wiring Color Coding Scheme For RIO Panel WIL23-RIO-0001A</v>
          </cell>
        </row>
        <row r="985">
          <cell r="M985" t="str">
            <v>131236-WIL23-DR-I-XXXX</v>
          </cell>
          <cell r="N985" t="str">
            <v>Legend For RIO Panel WIL23-RIO-0001A</v>
          </cell>
        </row>
        <row r="986">
          <cell r="M986" t="str">
            <v>131236-WIL23-DR-I-XXXX</v>
          </cell>
          <cell r="N986" t="str">
            <v>230VAC Power Distribution For RIO Panel WIL23-RIO-0001A</v>
          </cell>
        </row>
        <row r="987">
          <cell r="M987" t="str">
            <v>131236-WIL23-DR-I-XXXX</v>
          </cell>
          <cell r="N987" t="str">
            <v>24VDC Supply Distribution For RIO Panel WIL23-RIO-0001A</v>
          </cell>
        </row>
        <row r="988">
          <cell r="M988" t="str">
            <v>131236-WIL23-DR-I-XXXX</v>
          </cell>
          <cell r="N988" t="str">
            <v>I/O Cluster Interconnection For RIO Panel WIL23-RIO-0001A</v>
          </cell>
        </row>
        <row r="989">
          <cell r="M989" t="str">
            <v>131236-WIL23-DR-I-XXXX</v>
          </cell>
          <cell r="N989" t="str">
            <v>Rack Wiring Diagram For RIO Panel WIL23-RIO-0001A</v>
          </cell>
        </row>
        <row r="990">
          <cell r="M990" t="str">
            <v>131236-WIL23-DR-I-XXXX</v>
          </cell>
          <cell r="N990" t="str">
            <v>Earth Bar Connection Diagram For RIO Panel WIL23-RIO-0001A</v>
          </cell>
        </row>
        <row r="991">
          <cell r="M991" t="str">
            <v>131236-WIL23-DR-I-XXXX</v>
          </cell>
          <cell r="N991" t="str">
            <v>Safety Barrier Wiring Digram For RIO Panel WIL23-RIO-0001A</v>
          </cell>
        </row>
        <row r="992">
          <cell r="M992" t="str">
            <v>131236-WIL23-DR-I-XXXX</v>
          </cell>
          <cell r="N992" t="str">
            <v>General Arrangement and Wiring Diagram For RIO Panel WIL23-RIO-0001B</v>
          </cell>
        </row>
        <row r="993">
          <cell r="M993" t="str">
            <v>131236-WIL23-DR-I-XXXX</v>
          </cell>
          <cell r="N993" t="str">
            <v>Cover Sheet For RIO Panel WIL23-RIO-0001B</v>
          </cell>
        </row>
        <row r="994">
          <cell r="M994" t="str">
            <v>131236-WIL23-DR-I-XXXX</v>
          </cell>
          <cell r="N994" t="str">
            <v>Revision Index For RIO Panel WIL23-RIO-0001B</v>
          </cell>
        </row>
        <row r="995">
          <cell r="M995" t="str">
            <v>131236-WIL23-DR-I-XXXX</v>
          </cell>
          <cell r="N995" t="str">
            <v>Bill Of Materials For RIO Panel WIL23-RIO-0001B</v>
          </cell>
        </row>
        <row r="996">
          <cell r="M996" t="str">
            <v>131236-WIL23-DR-I-XXXX</v>
          </cell>
          <cell r="N996" t="str">
            <v>Control Cabinet - External View For RIO Panel WIL23-RIO-0001B</v>
          </cell>
        </row>
        <row r="997">
          <cell r="M997" t="str">
            <v>131236-WIL23-DR-I-XXXX</v>
          </cell>
          <cell r="N997" t="str">
            <v>Nameplate Details For RIO Panel WIL23-RIO-0001B</v>
          </cell>
        </row>
        <row r="998">
          <cell r="M998" t="str">
            <v>131236-WIL23-DR-I-XXXX</v>
          </cell>
          <cell r="N998" t="str">
            <v>Wiring Color Coding Scheme For RIO Panel WIL23-RIO-0001B</v>
          </cell>
        </row>
        <row r="999">
          <cell r="M999" t="str">
            <v>131236-WIL23-DR-I-XXXX</v>
          </cell>
          <cell r="N999" t="str">
            <v>Legend For RIO Panel WIL23-RIO-0001B</v>
          </cell>
        </row>
        <row r="1000">
          <cell r="M1000" t="str">
            <v>131236-WIL23-DR-I-XXXX</v>
          </cell>
          <cell r="N1000" t="str">
            <v>230VAC Power Distribution For RIO Panel WIL23-RIO-0001B</v>
          </cell>
        </row>
        <row r="1001">
          <cell r="M1001" t="str">
            <v>131236-WIL23-DR-I-XXXX</v>
          </cell>
          <cell r="N1001" t="str">
            <v>24VDC Supply Distribution For RIO Panel WIL23-RIO-0001B</v>
          </cell>
        </row>
        <row r="1002">
          <cell r="M1002" t="str">
            <v>131236-WIL23-DR-I-XXXX</v>
          </cell>
          <cell r="N1002" t="str">
            <v>I/O Cluster Interconnection For RIO Panel WIL23-RIO-0001B</v>
          </cell>
        </row>
        <row r="1003">
          <cell r="M1003" t="str">
            <v>131236-WIL23-DR-I-XXXX</v>
          </cell>
          <cell r="N1003" t="str">
            <v>Rack Wiring Diagram For RIO Panel WIL23-RIO-0001B</v>
          </cell>
        </row>
        <row r="1004">
          <cell r="M1004" t="str">
            <v>131236-WIL23-DR-I-XXXX</v>
          </cell>
          <cell r="N1004" t="str">
            <v>Earth Bar Connection Diagram For RIO Panel WIL23-RIO-0001B</v>
          </cell>
        </row>
        <row r="1005">
          <cell r="M1005" t="str">
            <v>131236-WIL23-DR-I-XXXX</v>
          </cell>
          <cell r="N1005" t="str">
            <v>Safety Barrier Wiring Digram For RIO Panel WIL23-RIO-0001B</v>
          </cell>
        </row>
        <row r="1006">
          <cell r="M1006" t="str">
            <v>131236-WIL23-DR-I-XXXX</v>
          </cell>
          <cell r="N1006" t="str">
            <v>General Arrangement and Wiring Diagram For RIO Panel WIL23-RIO-0301</v>
          </cell>
        </row>
        <row r="1007">
          <cell r="M1007" t="str">
            <v>131236-WIL23-DR-I-XXXX</v>
          </cell>
          <cell r="N1007" t="str">
            <v>Cover Sheet For RIO Panel WIL23-RIO-0301</v>
          </cell>
        </row>
        <row r="1008">
          <cell r="M1008" t="str">
            <v>131236-WIL23-DR-I-XXXX</v>
          </cell>
          <cell r="N1008" t="str">
            <v>Revision Index For RIO Panel WIL23-RIO-0301</v>
          </cell>
        </row>
        <row r="1009">
          <cell r="M1009" t="str">
            <v>131236-WIL23-DR-I-XXXX</v>
          </cell>
          <cell r="N1009" t="str">
            <v>Bill Of Materials For RIO Panel WIL23-RIO-0301</v>
          </cell>
        </row>
        <row r="1010">
          <cell r="M1010" t="str">
            <v>131236-WIL23-DR-I-XXXX</v>
          </cell>
          <cell r="N1010" t="str">
            <v>Control Cabinet - External View For RIO Panel WIL23-RIO-0301</v>
          </cell>
        </row>
        <row r="1011">
          <cell r="M1011" t="str">
            <v>131236-WIL23-DR-I-XXXX</v>
          </cell>
          <cell r="N1011" t="str">
            <v>Nameplate Details For RIO Panel WIL23-RIO-0301</v>
          </cell>
        </row>
        <row r="1012">
          <cell r="M1012" t="str">
            <v>131236-WIL23-DR-I-XXXX</v>
          </cell>
          <cell r="N1012" t="str">
            <v>Wiring Color Coding Scheme For RIO Panel WIL23-RIO-0301</v>
          </cell>
        </row>
        <row r="1013">
          <cell r="M1013" t="str">
            <v>131236-WIL23-DR-I-XXXX</v>
          </cell>
          <cell r="N1013" t="str">
            <v>Legend For RIO Panel WIL23-RIO-0301</v>
          </cell>
        </row>
        <row r="1014">
          <cell r="M1014" t="str">
            <v>131236-WIL23-DR-I-XXXX</v>
          </cell>
          <cell r="N1014" t="str">
            <v>230VAC Power Distribution For RIO Panel WIL23-RIO-0301</v>
          </cell>
        </row>
        <row r="1015">
          <cell r="M1015" t="str">
            <v>131236-WIL23-DR-I-XXXX</v>
          </cell>
          <cell r="N1015" t="str">
            <v>24VDC Supply Distribution For RIO Panel WIL23-RIO-0301</v>
          </cell>
        </row>
        <row r="1016">
          <cell r="M1016" t="str">
            <v>131236-WIL23-DR-I-XXXX</v>
          </cell>
          <cell r="N1016" t="str">
            <v>I/O Cluster Interconnection For RIO Panel WIL23-RIO-0301</v>
          </cell>
        </row>
        <row r="1017">
          <cell r="M1017" t="str">
            <v>131236-WIL23-DR-I-XXXX</v>
          </cell>
          <cell r="N1017" t="str">
            <v>Rack Wiring Diagram For RIO Panel WIL23-RIO-0301</v>
          </cell>
        </row>
        <row r="1018">
          <cell r="M1018" t="str">
            <v>131236-WIL23-DR-I-XXXX</v>
          </cell>
          <cell r="N1018" t="str">
            <v>Earth Bar Connection Diagram For RIO Panel WIL23-RIO-0301</v>
          </cell>
        </row>
        <row r="1019">
          <cell r="M1019" t="str">
            <v>131236-WIL23-DR-I-XXXX</v>
          </cell>
          <cell r="N1019" t="str">
            <v>Safety Barrier Wiring Digram For RIO Panel WIL23-RIO-0301</v>
          </cell>
        </row>
        <row r="1020">
          <cell r="M1020" t="str">
            <v>131236-WIL23-DR-I-XXXX</v>
          </cell>
          <cell r="N1020" t="str">
            <v>General Arrangement and Wiring Diagram For RIO Panel WIL23-RIO-0302</v>
          </cell>
        </row>
        <row r="1021">
          <cell r="M1021" t="str">
            <v>131236-WIL23-DR-I-XXXX</v>
          </cell>
          <cell r="N1021" t="str">
            <v>Cover Sheet For RIO Panel WIL23-RIO-0302</v>
          </cell>
        </row>
        <row r="1022">
          <cell r="M1022" t="str">
            <v>131236-WIL23-DR-I-XXXX</v>
          </cell>
          <cell r="N1022" t="str">
            <v>Revision Index For RIO Panel WIL23-RIO-0302</v>
          </cell>
        </row>
        <row r="1023">
          <cell r="M1023" t="str">
            <v>131236-WIL23-DR-I-XXXX</v>
          </cell>
          <cell r="N1023" t="str">
            <v>Bill Of Materials For RIO Panel WIL23-RIO-0302</v>
          </cell>
        </row>
        <row r="1024">
          <cell r="M1024" t="str">
            <v>131236-WIL23-DR-I-XXXX</v>
          </cell>
          <cell r="N1024" t="str">
            <v>Control Cabinet - External View For RIO Panel WIL23-RIO-0302</v>
          </cell>
        </row>
        <row r="1025">
          <cell r="M1025" t="str">
            <v>131236-WIL23-DR-I-XXXX</v>
          </cell>
          <cell r="N1025" t="str">
            <v>Nameplate Details For RIO Panel WIL23-RIO-0302</v>
          </cell>
        </row>
        <row r="1026">
          <cell r="M1026" t="str">
            <v>131236-WIL23-DR-I-XXXX</v>
          </cell>
          <cell r="N1026" t="str">
            <v>Wiring Color Coding Scheme For RIO Panel WIL23-RIO-0302</v>
          </cell>
        </row>
        <row r="1027">
          <cell r="M1027" t="str">
            <v>131236-WIL23-DR-I-XXXX</v>
          </cell>
          <cell r="N1027" t="str">
            <v>Legend For RIO Panel WIL23-RIO-0302</v>
          </cell>
        </row>
        <row r="1028">
          <cell r="M1028" t="str">
            <v>131236-WIL23-DR-I-XXXX</v>
          </cell>
          <cell r="N1028" t="str">
            <v>230VAC Power Distribution For RIO Panel WIL23-RIO-0302</v>
          </cell>
        </row>
        <row r="1029">
          <cell r="M1029" t="str">
            <v>131236-WIL23-DR-I-XXXX</v>
          </cell>
          <cell r="N1029" t="str">
            <v>24VDC Supply Distribution For RIO Panel WIL23-RIO-0302</v>
          </cell>
        </row>
        <row r="1030">
          <cell r="M1030" t="str">
            <v>131236-WIL23-DR-I-XXXX</v>
          </cell>
          <cell r="N1030" t="str">
            <v>I/O Cluster Interconnection For RIO Panel WIL23-RIO-0302</v>
          </cell>
        </row>
        <row r="1031">
          <cell r="M1031" t="str">
            <v>131236-WIL23-DR-I-XXXX</v>
          </cell>
          <cell r="N1031" t="str">
            <v>Rack Wiring Diagram For RIO Panel WIL23-RIO-0302</v>
          </cell>
        </row>
        <row r="1032">
          <cell r="M1032" t="str">
            <v>131236-WIL23-DR-I-XXXX</v>
          </cell>
          <cell r="N1032" t="str">
            <v>Earth Bar Connection Diagram For RIO Panel WIL23-RIO-0302</v>
          </cell>
        </row>
        <row r="1033">
          <cell r="M1033" t="str">
            <v>131236-WIL23-DR-I-XXXX</v>
          </cell>
          <cell r="N1033" t="str">
            <v>Safety Barrier Wiring Digram For RIO Panel WIL23-RIO-0302</v>
          </cell>
        </row>
        <row r="1034">
          <cell r="M1034" t="str">
            <v>131236-WIL23-DR-I-XXXX</v>
          </cell>
          <cell r="N1034" t="str">
            <v>General Arrangement and Wiring Diagram For RIO Panel WIL23-RIO-0303</v>
          </cell>
        </row>
        <row r="1035">
          <cell r="M1035" t="str">
            <v>131236-WIL23-DR-I-XXXX</v>
          </cell>
          <cell r="N1035" t="str">
            <v>Cover Sheet For RIO Panel WIL23-RIO-0303</v>
          </cell>
        </row>
        <row r="1036">
          <cell r="M1036" t="str">
            <v>131236-WIL23-DR-I-XXXX</v>
          </cell>
          <cell r="N1036" t="str">
            <v>Revision Index For RIO Panel WIL23-RIO-0303</v>
          </cell>
        </row>
        <row r="1037">
          <cell r="M1037" t="str">
            <v>131236-WIL23-DR-I-XXXX</v>
          </cell>
          <cell r="N1037" t="str">
            <v>Bill Of Materials For RIO Panel WIL23-RIO-0303</v>
          </cell>
        </row>
        <row r="1038">
          <cell r="M1038" t="str">
            <v>131236-WIL23-DR-I-XXXX</v>
          </cell>
          <cell r="N1038" t="str">
            <v>Control Cabinet - External View For RIO Panel WIL23-RIO-0303</v>
          </cell>
        </row>
        <row r="1039">
          <cell r="M1039" t="str">
            <v>131236-WIL23-DR-I-XXXX</v>
          </cell>
          <cell r="N1039" t="str">
            <v>Nameplate Details For RIO Panel WIL23-RIO-0303</v>
          </cell>
        </row>
        <row r="1040">
          <cell r="M1040" t="str">
            <v>131236-WIL23-DR-I-XXXX</v>
          </cell>
          <cell r="N1040" t="str">
            <v>Wiring Color Coding Scheme For RIO Panel WIL23-RIO-0303</v>
          </cell>
        </row>
        <row r="1041">
          <cell r="M1041" t="str">
            <v>131236-WIL23-DR-I-XXXX</v>
          </cell>
          <cell r="N1041" t="str">
            <v>Legend For RIO Panel WIL23-RIO-0303</v>
          </cell>
        </row>
        <row r="1042">
          <cell r="M1042" t="str">
            <v>131236-WIL23-DR-I-XXXX</v>
          </cell>
          <cell r="N1042" t="str">
            <v>230VAC Power Distribution For RIO Panel WIL23-RIO-0303</v>
          </cell>
        </row>
        <row r="1043">
          <cell r="M1043" t="str">
            <v>131236-WIL23-DR-I-XXXX</v>
          </cell>
          <cell r="N1043" t="str">
            <v>24VDC Supply Distribution For RIO Panel WIL23-RIO-0303</v>
          </cell>
        </row>
        <row r="1044">
          <cell r="M1044" t="str">
            <v>131236-WIL23-DR-I-XXXX</v>
          </cell>
          <cell r="N1044" t="str">
            <v>I/O Cluster Interconnection For RIO Panel WIL23-RIO-0303</v>
          </cell>
        </row>
        <row r="1045">
          <cell r="M1045" t="str">
            <v>131236-WIL23-DR-I-XXXX</v>
          </cell>
          <cell r="N1045" t="str">
            <v>Rack Wiring Diagram For RIO Panel WIL23-RIO-0303</v>
          </cell>
        </row>
        <row r="1046">
          <cell r="M1046" t="str">
            <v>131236-WIL23-DR-I-XXXX</v>
          </cell>
          <cell r="N1046" t="str">
            <v>Earth Bar Connection Diagram For RIO Panel WIL23-RIO-0303</v>
          </cell>
        </row>
        <row r="1047">
          <cell r="M1047" t="str">
            <v>131236-WIL23-DR-I-XXXX</v>
          </cell>
          <cell r="N1047" t="str">
            <v>Safety Barrier Wiring Digram For RIO Panel WIL23-RIO-0303</v>
          </cell>
        </row>
        <row r="1048">
          <cell r="M1048" t="str">
            <v>131236-WIL23-DR-I-XXXX</v>
          </cell>
          <cell r="N1048" t="str">
            <v>General Arrangement and Wiring Diagram For RIO Panel WIL23-RIO-0304A</v>
          </cell>
        </row>
        <row r="1049">
          <cell r="M1049" t="str">
            <v>131236-WIL23-DR-I-XXXX</v>
          </cell>
          <cell r="N1049" t="str">
            <v>Cover Sheet For RIO Panel WIL23-RIO-0304A</v>
          </cell>
        </row>
        <row r="1050">
          <cell r="M1050" t="str">
            <v>131236-WIL23-DR-I-XXXX</v>
          </cell>
          <cell r="N1050" t="str">
            <v>Revision Index For RIO Panel WIL23-RIO-0304A</v>
          </cell>
        </row>
        <row r="1051">
          <cell r="M1051" t="str">
            <v>131236-WIL23-DR-I-XXXX</v>
          </cell>
          <cell r="N1051" t="str">
            <v>Bill Of Materials For RIO Panel WIL23-RIO-0304A</v>
          </cell>
        </row>
        <row r="1052">
          <cell r="M1052" t="str">
            <v>131236-WIL23-DR-I-XXXX</v>
          </cell>
          <cell r="N1052" t="str">
            <v>Control Cabinet - External View For RIO Panel WIL23-RIO-0304A</v>
          </cell>
        </row>
        <row r="1053">
          <cell r="M1053" t="str">
            <v>131236-WIL23-DR-I-XXXX</v>
          </cell>
          <cell r="N1053" t="str">
            <v>Nameplate Details For RIO Panel WIL23-RIO-0304A</v>
          </cell>
        </row>
        <row r="1054">
          <cell r="M1054" t="str">
            <v>131236-WIL23-DR-I-XXXX</v>
          </cell>
          <cell r="N1054" t="str">
            <v>Wiring Color Coding Scheme For RIO Panel WIL23-RIO-0304A</v>
          </cell>
        </row>
        <row r="1055">
          <cell r="M1055" t="str">
            <v>131236-WIL23-DR-I-XXXX</v>
          </cell>
          <cell r="N1055" t="str">
            <v>Legend For RIO Panel WIL23-RIO-0304A</v>
          </cell>
        </row>
        <row r="1056">
          <cell r="M1056" t="str">
            <v>131236-WIL23-DR-I-XXXX</v>
          </cell>
          <cell r="N1056" t="str">
            <v>230VAC Power Distribution For RIO Panel WIL23-RIO-0304A</v>
          </cell>
        </row>
        <row r="1057">
          <cell r="M1057" t="str">
            <v>131236-WIL23-DR-I-XXXX</v>
          </cell>
          <cell r="N1057" t="str">
            <v>24VDC Supply Distribution For RIO Panel WIL23-RIO-0304A</v>
          </cell>
        </row>
        <row r="1058">
          <cell r="M1058" t="str">
            <v>131236-WIL23-DR-I-XXXX</v>
          </cell>
          <cell r="N1058" t="str">
            <v>I/O Cluster Interconnection For RIO Panel WIL23-RIO-0304A</v>
          </cell>
        </row>
        <row r="1059">
          <cell r="M1059" t="str">
            <v>131236-WIL23-DR-I-XXXX</v>
          </cell>
          <cell r="N1059" t="str">
            <v>Rack Wiring Diagram For RIO Panel WIL23-RIO-0304A</v>
          </cell>
        </row>
        <row r="1060">
          <cell r="M1060" t="str">
            <v>131236-WIL23-DR-I-XXXX</v>
          </cell>
          <cell r="N1060" t="str">
            <v>Earth Bar Connection Diagram For RIO Panel WIL23-RIO-0304A</v>
          </cell>
        </row>
        <row r="1061">
          <cell r="M1061" t="str">
            <v>131236-WIL23-DR-I-XXXX</v>
          </cell>
          <cell r="N1061" t="str">
            <v>Safety Barrier Wiring Digram For RIO Panel WIL23-RIO-0304A</v>
          </cell>
        </row>
        <row r="1062">
          <cell r="M1062" t="str">
            <v>131236-WIL23-DR-I-XXXX</v>
          </cell>
          <cell r="N1062" t="str">
            <v>General Arrangement and Wiring Diagram For RIO Panel WIL23-RIO-0304B</v>
          </cell>
        </row>
        <row r="1063">
          <cell r="M1063" t="str">
            <v>131236-WIL23-DR-I-XXXX</v>
          </cell>
          <cell r="N1063" t="str">
            <v>Cover Sheet For RIO Panel WIL23-RIO-0304B</v>
          </cell>
        </row>
        <row r="1064">
          <cell r="M1064" t="str">
            <v>131236-WIL23-DR-I-XXXX</v>
          </cell>
          <cell r="N1064" t="str">
            <v>Revision Index For RIO Panel WIL23-RIO-0304B</v>
          </cell>
        </row>
        <row r="1065">
          <cell r="M1065" t="str">
            <v>131236-WIL23-DR-I-XXXX</v>
          </cell>
          <cell r="N1065" t="str">
            <v>Bill Of Materials For RIO Panel WIL23-RIO-0304B</v>
          </cell>
        </row>
        <row r="1066">
          <cell r="M1066" t="str">
            <v>131236-WIL23-DR-I-XXXX</v>
          </cell>
          <cell r="N1066" t="str">
            <v>Control Cabinet - External View For RIO Panel WIL23-RIO-0304B</v>
          </cell>
        </row>
        <row r="1067">
          <cell r="M1067" t="str">
            <v>131236-WIL23-DR-I-XXXX</v>
          </cell>
          <cell r="N1067" t="str">
            <v>Nameplate Details For RIO Panel WIL23-RIO-0304B</v>
          </cell>
        </row>
        <row r="1068">
          <cell r="M1068" t="str">
            <v>131236-WIL23-DR-I-XXXX</v>
          </cell>
          <cell r="N1068" t="str">
            <v>Wiring Color Coding Scheme For RIO Panel WIL23-RIO-0304B</v>
          </cell>
        </row>
        <row r="1069">
          <cell r="M1069" t="str">
            <v>131236-WIL23-DR-I-XXXX</v>
          </cell>
          <cell r="N1069" t="str">
            <v>Legend For RIO Panel WIL23-RIO-0304B</v>
          </cell>
        </row>
        <row r="1070">
          <cell r="M1070" t="str">
            <v>131236-WIL23-DR-I-XXXX</v>
          </cell>
          <cell r="N1070" t="str">
            <v>230VAC Power Distribution For RIO Panel WIL23-RIO-0304B</v>
          </cell>
        </row>
        <row r="1071">
          <cell r="M1071" t="str">
            <v>131236-WIL23-DR-I-XXXX</v>
          </cell>
          <cell r="N1071" t="str">
            <v>24VDC Supply Distribution For RIO Panel WIL23-RIO-0304B</v>
          </cell>
        </row>
        <row r="1072">
          <cell r="M1072" t="str">
            <v>131236-WIL23-DR-I-XXXX</v>
          </cell>
          <cell r="N1072" t="str">
            <v>I/O Cluster Interconnection For RIO Panel WIL23-RIO-0304B</v>
          </cell>
        </row>
        <row r="1073">
          <cell r="M1073" t="str">
            <v>131236-WIL23-DR-I-XXXX</v>
          </cell>
          <cell r="N1073" t="str">
            <v>Rack Wiring Diagram For RIO Panel WIL23-RIO-0304B</v>
          </cell>
        </row>
        <row r="1074">
          <cell r="M1074" t="str">
            <v>131236-WIL23-DR-I-XXXX</v>
          </cell>
          <cell r="N1074" t="str">
            <v>Earth Bar Connection Diagram For RIO Panel WIL23-RIO-0304B</v>
          </cell>
        </row>
        <row r="1075">
          <cell r="M1075" t="str">
            <v>131236-WIL23-DR-I-XXXX</v>
          </cell>
          <cell r="N1075" t="str">
            <v>Safety Barrier Wiring Digram For RIO Panel WIL23-RIO-0304B</v>
          </cell>
        </row>
        <row r="1076">
          <cell r="M1076" t="str">
            <v>131236-WIL23-DR-I-XXXX</v>
          </cell>
          <cell r="N1076" t="str">
            <v>General Arrangement and Wiring Diagram For RIO Panel WIL23-RIO-0002A</v>
          </cell>
        </row>
        <row r="1077">
          <cell r="M1077" t="str">
            <v>131236-WIL23-DR-I-XXXX</v>
          </cell>
          <cell r="N1077" t="str">
            <v>Cover Sheet For RIO Panel WIL23-RIO-0002A</v>
          </cell>
        </row>
        <row r="1078">
          <cell r="M1078" t="str">
            <v>131236-WIL23-DR-I-XXXX</v>
          </cell>
          <cell r="N1078" t="str">
            <v>Revision Index For RIO Panel WIL23-RIO-0002A</v>
          </cell>
        </row>
        <row r="1079">
          <cell r="M1079" t="str">
            <v>131236-WIL23-DR-I-XXXX</v>
          </cell>
          <cell r="N1079" t="str">
            <v>Bill Of Materials For RIO Panel WIL23-RIO-0002A</v>
          </cell>
        </row>
        <row r="1080">
          <cell r="M1080" t="str">
            <v>131236-WIL23-DR-I-XXXX</v>
          </cell>
          <cell r="N1080" t="str">
            <v>Control Cabinet - External View For RIO Panel WIL23-RIO-0002A</v>
          </cell>
        </row>
        <row r="1081">
          <cell r="M1081" t="str">
            <v>131236-WIL23-DR-I-XXXX</v>
          </cell>
          <cell r="N1081" t="str">
            <v>Nameplate Details For RIO Panel WIL23-RIO-0002A</v>
          </cell>
        </row>
        <row r="1082">
          <cell r="M1082" t="str">
            <v>131236-WIL23-DR-I-XXXX</v>
          </cell>
          <cell r="N1082" t="str">
            <v>Wiring Color Coding Scheme For RIO Panel WIL23-RIO-0002A</v>
          </cell>
        </row>
        <row r="1083">
          <cell r="M1083" t="str">
            <v>131236-WIL23-DR-I-XXXX</v>
          </cell>
          <cell r="N1083" t="str">
            <v>Legend For RIO Panel WIL23-RIO-0002A</v>
          </cell>
        </row>
        <row r="1084">
          <cell r="M1084" t="str">
            <v>131236-WIL23-DR-I-XXXX</v>
          </cell>
          <cell r="N1084" t="str">
            <v>230VAC Power Distribution For RIO Panel WIL23-RIO-0002A</v>
          </cell>
        </row>
        <row r="1085">
          <cell r="M1085" t="str">
            <v>131236-WIL23-DR-I-XXXX</v>
          </cell>
          <cell r="N1085" t="str">
            <v>24VDC Supply Distribution For RIO Panel WIL23-RIO-0002A</v>
          </cell>
        </row>
        <row r="1086">
          <cell r="M1086" t="str">
            <v>131236-WIL23-DR-I-XXXX</v>
          </cell>
          <cell r="N1086" t="str">
            <v>I/O Cluster Interconnection For RIO Panel WIL23-RIO-0002A</v>
          </cell>
        </row>
        <row r="1087">
          <cell r="M1087" t="str">
            <v>131236-WIL23-DR-I-XXXX</v>
          </cell>
          <cell r="N1087" t="str">
            <v>Rack Wiring Diagram For RIO Panel WIL23-RIO-0002A</v>
          </cell>
        </row>
        <row r="1088">
          <cell r="M1088" t="str">
            <v>131236-WIL23-DR-I-XXXX</v>
          </cell>
          <cell r="N1088" t="str">
            <v>Earth Bar Connection Diagram For RIO Panel WIL23-RIO-0002A</v>
          </cell>
        </row>
        <row r="1089">
          <cell r="M1089" t="str">
            <v>131236-WIL23-DR-I-XXXX</v>
          </cell>
          <cell r="N1089" t="str">
            <v>Safety Barrier Wiring Digram For RIO Panel WIL23-RIO-0002A</v>
          </cell>
        </row>
        <row r="1090">
          <cell r="M1090" t="str">
            <v>131236-WIL23-DR-I-XXXX</v>
          </cell>
          <cell r="N1090" t="str">
            <v>General Arrangement and Wiring Diagram For RIO Panel WIL23-RIO-0002B</v>
          </cell>
        </row>
        <row r="1091">
          <cell r="M1091" t="str">
            <v>131236-WIL23-DR-I-XXXX</v>
          </cell>
          <cell r="N1091" t="str">
            <v>Cover Sheet For RIO Panel WIL23-RIO-0002B</v>
          </cell>
        </row>
        <row r="1092">
          <cell r="M1092" t="str">
            <v>131236-WIL23-DR-I-XXXX</v>
          </cell>
          <cell r="N1092" t="str">
            <v>Revision Index For RIO Panel WIL23-RIO-0002B</v>
          </cell>
        </row>
        <row r="1093">
          <cell r="M1093" t="str">
            <v>131236-WIL23-DR-I-XXXX</v>
          </cell>
          <cell r="N1093" t="str">
            <v>Bill Of Materials For RIO Panel WIL23-RIO-0002B</v>
          </cell>
        </row>
        <row r="1094">
          <cell r="M1094" t="str">
            <v>131236-WIL23-DR-I-XXXX</v>
          </cell>
          <cell r="N1094" t="str">
            <v>Control Cabinet - External View For RIO Panel WIL23-RIO-0002B</v>
          </cell>
        </row>
        <row r="1095">
          <cell r="M1095" t="str">
            <v>131236-WIL23-DR-I-XXXX</v>
          </cell>
          <cell r="N1095" t="str">
            <v>Nameplate Details For RIO Panel WIL23-RIO-0002B</v>
          </cell>
        </row>
        <row r="1096">
          <cell r="M1096" t="str">
            <v>131236-WIL23-DR-I-XXXX</v>
          </cell>
          <cell r="N1096" t="str">
            <v>Wiring Color Coding Scheme For RIO Panel WIL23-RIO-0002B</v>
          </cell>
        </row>
        <row r="1097">
          <cell r="M1097" t="str">
            <v>131236-WIL23-DR-I-XXXX</v>
          </cell>
          <cell r="N1097" t="str">
            <v>Legend For RIO Panel WIL23-RIO-0002B</v>
          </cell>
        </row>
        <row r="1098">
          <cell r="M1098" t="str">
            <v>131236-WIL23-DR-I-XXXX</v>
          </cell>
          <cell r="N1098" t="str">
            <v>230VAC Power Distribution For RIO Panel WIL23-RIO-0002B</v>
          </cell>
        </row>
        <row r="1099">
          <cell r="M1099" t="str">
            <v>131236-WIL23-DR-I-XXXX</v>
          </cell>
          <cell r="N1099" t="str">
            <v>24VDC Supply Distribution For RIO Panel WIL23-RIO-0002B</v>
          </cell>
        </row>
        <row r="1100">
          <cell r="M1100" t="str">
            <v>131236-WIL23-DR-I-XXXX</v>
          </cell>
          <cell r="N1100" t="str">
            <v>I/O Cluster Interconnection For RIO Panel WIL23-RIO-0002B</v>
          </cell>
        </row>
        <row r="1101">
          <cell r="M1101" t="str">
            <v>131236-WIL23-DR-I-XXXX</v>
          </cell>
          <cell r="N1101" t="str">
            <v>Rack Wiring Diagram For RIO Panel WIL23-RIO-0002B</v>
          </cell>
        </row>
        <row r="1102">
          <cell r="M1102" t="str">
            <v>131236-WIL23-DR-I-XXXX</v>
          </cell>
          <cell r="N1102" t="str">
            <v>Earth Bar Connection Diagram For RIO Panel WIL23-RIO-0002B</v>
          </cell>
        </row>
        <row r="1103">
          <cell r="M1103" t="str">
            <v>131236-WIL23-DR-I-XXXX</v>
          </cell>
          <cell r="N1103" t="str">
            <v>Safety Barrier Wiring Digram For RIO Panel WIL23-RIO-0002B</v>
          </cell>
        </row>
        <row r="1104">
          <cell r="M1104" t="str">
            <v>131236-WIL23-DR-I-XXXX</v>
          </cell>
          <cell r="N1104" t="str">
            <v>General Arrangement and Wiring Diagram For RIO Panel WIL23-RIO-0501</v>
          </cell>
        </row>
        <row r="1105">
          <cell r="M1105" t="str">
            <v>131236-WIL23-DR-I-XXXX</v>
          </cell>
          <cell r="N1105" t="str">
            <v>Cover Sheet For RIO Panel WIL23-RIO-0501</v>
          </cell>
        </row>
        <row r="1106">
          <cell r="M1106" t="str">
            <v>131236-WIL23-DR-I-XXXX</v>
          </cell>
          <cell r="N1106" t="str">
            <v>Revision Index For RIO Panel WIL23-RIO-0501</v>
          </cell>
        </row>
        <row r="1107">
          <cell r="M1107" t="str">
            <v>131236-WIL23-DR-I-XXXX</v>
          </cell>
          <cell r="N1107" t="str">
            <v>Bill Of Materials For RIO Panel WIL23-RIO-0501</v>
          </cell>
        </row>
        <row r="1108">
          <cell r="M1108" t="str">
            <v>131236-WIL23-DR-I-XXXX</v>
          </cell>
          <cell r="N1108" t="str">
            <v>Control Cabinet - External View For RIO Panel WIL23-RIO-0501</v>
          </cell>
        </row>
        <row r="1109">
          <cell r="M1109" t="str">
            <v>131236-WIL23-DR-I-XXXX</v>
          </cell>
          <cell r="N1109" t="str">
            <v>Nameplate Details For RIO Panel WIL23-RIO-0501</v>
          </cell>
        </row>
        <row r="1110">
          <cell r="M1110" t="str">
            <v>131236-WIL23-DR-I-XXXX</v>
          </cell>
          <cell r="N1110" t="str">
            <v>Wiring Color Coding Scheme For RIO Panel WIL23-RIO-0501</v>
          </cell>
        </row>
        <row r="1111">
          <cell r="M1111" t="str">
            <v>131236-WIL23-DR-I-XXXX</v>
          </cell>
          <cell r="N1111" t="str">
            <v>Legend For RIO Panel WIL23-RIO-0501</v>
          </cell>
        </row>
        <row r="1112">
          <cell r="M1112" t="str">
            <v>131236-WIL23-DR-I-XXXX</v>
          </cell>
          <cell r="N1112" t="str">
            <v>230VAC Power Distribution For RIO Panel WIL23-RIO-0501</v>
          </cell>
        </row>
        <row r="1113">
          <cell r="M1113" t="str">
            <v>131236-WIL23-DR-I-XXXX</v>
          </cell>
          <cell r="N1113" t="str">
            <v>24VDC Supply Distribution For RIO Panel WIL23-RIO-0501</v>
          </cell>
        </row>
        <row r="1114">
          <cell r="M1114" t="str">
            <v>131236-WIL23-DR-I-XXXX</v>
          </cell>
          <cell r="N1114" t="str">
            <v>I/O Cluster Interconnection For RIO Panel WIL23-RIO-0501</v>
          </cell>
        </row>
        <row r="1115">
          <cell r="M1115" t="str">
            <v>131236-WIL23-DR-I-XXXX</v>
          </cell>
          <cell r="N1115" t="str">
            <v>Rack Wiring Diagram For RIO Panel WIL23-RIO-0501</v>
          </cell>
        </row>
        <row r="1116">
          <cell r="M1116" t="str">
            <v>131236-WIL23-DR-I-XXXX</v>
          </cell>
          <cell r="N1116" t="str">
            <v>Earth Bar Connection Diagram For RIO Panel WIL23-RIO-0501</v>
          </cell>
        </row>
        <row r="1117">
          <cell r="M1117" t="str">
            <v>131236-WIL23-DR-I-XXXX</v>
          </cell>
          <cell r="N1117" t="str">
            <v>Safety Barrier Wiring Digram For RIO Panel WIL23-RIO-0501</v>
          </cell>
        </row>
        <row r="1118">
          <cell r="M1118" t="str">
            <v>131236-WIL23-DR-I-XXXX</v>
          </cell>
          <cell r="N1118" t="str">
            <v>General Arrangement and Wiring Diagram For RIO Panel WIL23-RIO-0502</v>
          </cell>
        </row>
        <row r="1119">
          <cell r="M1119" t="str">
            <v>131236-WIL23-DR-I-XXXX</v>
          </cell>
          <cell r="N1119" t="str">
            <v>Cover Sheet For RIO Panel WIL23-RIO-0502</v>
          </cell>
        </row>
        <row r="1120">
          <cell r="M1120" t="str">
            <v>131236-WIL23-DR-I-XXXX</v>
          </cell>
          <cell r="N1120" t="str">
            <v>Revision Index For RIO Panel WIL23-RIO-0502</v>
          </cell>
        </row>
        <row r="1121">
          <cell r="M1121" t="str">
            <v>131236-WIL23-DR-I-XXXX</v>
          </cell>
          <cell r="N1121" t="str">
            <v>Bill Of Materials For RIO Panel WIL23-RIO-0502</v>
          </cell>
        </row>
        <row r="1122">
          <cell r="M1122" t="str">
            <v>131236-WIL23-DR-I-XXXX</v>
          </cell>
          <cell r="N1122" t="str">
            <v>Control Cabinet - External View For RIO Panel WIL23-RIO-0502</v>
          </cell>
        </row>
        <row r="1123">
          <cell r="M1123" t="str">
            <v>131236-WIL23-DR-I-XXXX</v>
          </cell>
          <cell r="N1123" t="str">
            <v>Nameplate Details For RIO Panel WIL23-RIO-0502</v>
          </cell>
        </row>
        <row r="1124">
          <cell r="M1124" t="str">
            <v>131236-WIL23-DR-I-XXXX</v>
          </cell>
          <cell r="N1124" t="str">
            <v>Wiring Color Coding Scheme For RIO Panel WIL23-RIO-0502</v>
          </cell>
        </row>
        <row r="1125">
          <cell r="M1125" t="str">
            <v>131236-WIL23-DR-I-XXXX</v>
          </cell>
          <cell r="N1125" t="str">
            <v>Legend For RIO Panel WIL23-RIO-0502</v>
          </cell>
        </row>
        <row r="1126">
          <cell r="M1126" t="str">
            <v>131236-WIL23-DR-I-XXXX</v>
          </cell>
          <cell r="N1126" t="str">
            <v>230VAC Power Distribution For RIO Panel WIL23-RIO-0502</v>
          </cell>
        </row>
        <row r="1127">
          <cell r="M1127" t="str">
            <v>131236-WIL23-DR-I-XXXX</v>
          </cell>
          <cell r="N1127" t="str">
            <v>24VDC Supply Distribution For RIO Panel WIL23-RIO-0502</v>
          </cell>
        </row>
        <row r="1128">
          <cell r="M1128" t="str">
            <v>131236-WIL23-DR-I-XXXX</v>
          </cell>
          <cell r="N1128" t="str">
            <v>I/O Cluster Interconnection For RIO Panel WIL23-RIO-0502</v>
          </cell>
        </row>
        <row r="1129">
          <cell r="M1129" t="str">
            <v>131236-WIL23-DR-I-XXXX</v>
          </cell>
          <cell r="N1129" t="str">
            <v>Rack Wiring Diagram For RIO Panel WIL23-RIO-0502</v>
          </cell>
        </row>
        <row r="1130">
          <cell r="M1130" t="str">
            <v>131236-WIL23-DR-I-XXXX</v>
          </cell>
          <cell r="N1130" t="str">
            <v>Earth Bar Connection Diagram For RIO Panel WIL23-RIO-0502</v>
          </cell>
        </row>
        <row r="1131">
          <cell r="M1131" t="str">
            <v>131236-WIL23-DR-I-XXXX</v>
          </cell>
          <cell r="N1131" t="str">
            <v>Safety Barrier Wiring Digram For RIO Panel WIL23-RIO-0502</v>
          </cell>
        </row>
        <row r="1132">
          <cell r="M1132" t="str">
            <v>131236-WIL23-DR-I-XXXX</v>
          </cell>
          <cell r="N1132" t="str">
            <v>General Arrangement and Wiring Diagram For RIO Panel WIL23-RIO-0503</v>
          </cell>
        </row>
        <row r="1133">
          <cell r="M1133" t="str">
            <v>131236-WIL23-DR-I-XXXX</v>
          </cell>
          <cell r="N1133" t="str">
            <v>Cover Sheet For RIO Panel WIL23-RIO-0503</v>
          </cell>
        </row>
        <row r="1134">
          <cell r="M1134" t="str">
            <v>131236-WIL23-DR-I-XXXX</v>
          </cell>
          <cell r="N1134" t="str">
            <v>Revision Index For RIO Panel WIL23-RIO-0503</v>
          </cell>
        </row>
        <row r="1135">
          <cell r="M1135" t="str">
            <v>131236-WIL23-DR-I-XXXX</v>
          </cell>
          <cell r="N1135" t="str">
            <v>Bill Of Materials For RIO Panel WIL23-RIO-0503</v>
          </cell>
        </row>
        <row r="1136">
          <cell r="M1136" t="str">
            <v>131236-WIL23-DR-I-XXXX</v>
          </cell>
          <cell r="N1136" t="str">
            <v>Control Cabinet - External View For RIO Panel WIL23-RIO-0503</v>
          </cell>
        </row>
        <row r="1137">
          <cell r="M1137" t="str">
            <v>131236-WIL23-DR-I-XXXX</v>
          </cell>
          <cell r="N1137" t="str">
            <v>Nameplate Details For RIO Panel WIL23-RIO-0503</v>
          </cell>
        </row>
        <row r="1138">
          <cell r="M1138" t="str">
            <v>131236-WIL23-DR-I-XXXX</v>
          </cell>
          <cell r="N1138" t="str">
            <v>Wiring Color Coding Scheme For RIO Panel WIL23-RIO-0503</v>
          </cell>
        </row>
        <row r="1139">
          <cell r="M1139" t="str">
            <v>131236-WIL23-DR-I-XXXX</v>
          </cell>
          <cell r="N1139" t="str">
            <v>Legend For RIO Panel WIL23-RIO-0503</v>
          </cell>
        </row>
        <row r="1140">
          <cell r="M1140" t="str">
            <v>131236-WIL23-DR-I-XXXX</v>
          </cell>
          <cell r="N1140" t="str">
            <v>230VAC Power Distribution For RIO Panel WIL23-RIO-0503</v>
          </cell>
        </row>
        <row r="1141">
          <cell r="M1141" t="str">
            <v>131236-WIL23-DR-I-XXXX</v>
          </cell>
          <cell r="N1141" t="str">
            <v>24VDC Supply Distribution For RIO Panel WIL23-RIO-0503</v>
          </cell>
        </row>
        <row r="1142">
          <cell r="M1142" t="str">
            <v>131236-WIL23-DR-I-XXXX</v>
          </cell>
          <cell r="N1142" t="str">
            <v>I/O Cluster Interconnection For RIO Panel WIL23-RIO-0503</v>
          </cell>
        </row>
        <row r="1143">
          <cell r="M1143" t="str">
            <v>131236-WIL23-DR-I-XXXX</v>
          </cell>
          <cell r="N1143" t="str">
            <v>Rack Wiring Diagram For RIO Panel WIL23-RIO-0503</v>
          </cell>
        </row>
        <row r="1144">
          <cell r="M1144" t="str">
            <v>131236-WIL23-DR-I-XXXX</v>
          </cell>
          <cell r="N1144" t="str">
            <v>Earth Bar Connection Diagram For RIO Panel WIL23-RIO-0503</v>
          </cell>
        </row>
        <row r="1145">
          <cell r="M1145" t="str">
            <v>131236-WIL23-DR-I-XXXX</v>
          </cell>
          <cell r="N1145" t="str">
            <v>Safety Barrier Wiring Digram For RIO Panel WIL23-RIO-0503</v>
          </cell>
        </row>
        <row r="1146">
          <cell r="M1146" t="str">
            <v>131236-WIL23-DR-I-XXXX</v>
          </cell>
          <cell r="N1146" t="str">
            <v>General Arrangement and Wiring Diagram For RIO Panel WIL23-RIO-0504</v>
          </cell>
        </row>
        <row r="1147">
          <cell r="M1147" t="str">
            <v>131236-WIL23-DR-I-XXXX</v>
          </cell>
          <cell r="N1147" t="str">
            <v>Cover Sheet For RIO Panel WIL23-RIO-0504</v>
          </cell>
        </row>
        <row r="1148">
          <cell r="M1148" t="str">
            <v>131236-WIL23-DR-I-XXXX</v>
          </cell>
          <cell r="N1148" t="str">
            <v>Revision Index For RIO Panel WIL23-RIO-0504</v>
          </cell>
        </row>
        <row r="1149">
          <cell r="M1149" t="str">
            <v>131236-WIL23-DR-I-XXXX</v>
          </cell>
          <cell r="N1149" t="str">
            <v>Bill Of Materials For RIO Panel WIL23-RIO-0504</v>
          </cell>
        </row>
        <row r="1150">
          <cell r="M1150" t="str">
            <v>131236-WIL23-DR-I-XXXX</v>
          </cell>
          <cell r="N1150" t="str">
            <v>Control Cabinet - External View For RIO Panel WIL23-RIO-0504</v>
          </cell>
        </row>
        <row r="1151">
          <cell r="M1151" t="str">
            <v>131236-WIL23-DR-I-XXXX</v>
          </cell>
          <cell r="N1151" t="str">
            <v>Nameplate Details For RIO Panel WIL23-RIO-0504</v>
          </cell>
        </row>
        <row r="1152">
          <cell r="M1152" t="str">
            <v>131236-WIL23-DR-I-XXXX</v>
          </cell>
          <cell r="N1152" t="str">
            <v>Wiring Color Coding Scheme For RIO Panel WIL23-RIO-0504</v>
          </cell>
        </row>
        <row r="1153">
          <cell r="M1153" t="str">
            <v>131236-WIL23-DR-I-XXXX</v>
          </cell>
          <cell r="N1153" t="str">
            <v>Legend For RIO Panel WIL23-RIO-0504</v>
          </cell>
        </row>
        <row r="1154">
          <cell r="M1154" t="str">
            <v>131236-WIL23-DR-I-XXXX</v>
          </cell>
          <cell r="N1154" t="str">
            <v>230VAC Power Distribution For RIO Panel WIL23-RIO-0504</v>
          </cell>
        </row>
        <row r="1155">
          <cell r="M1155" t="str">
            <v>131236-WIL23-DR-I-XXXX</v>
          </cell>
          <cell r="N1155" t="str">
            <v>24VDC Supply Distribution For RIO Panel WIL23-RIO-0504</v>
          </cell>
        </row>
        <row r="1156">
          <cell r="M1156" t="str">
            <v>131236-WIL23-DR-I-XXXX</v>
          </cell>
          <cell r="N1156" t="str">
            <v>I/O Cluster Interconnection For RIO Panel WIL23-RIO-0504</v>
          </cell>
        </row>
        <row r="1157">
          <cell r="M1157" t="str">
            <v>131236-WIL23-DR-I-XXXX</v>
          </cell>
          <cell r="N1157" t="str">
            <v>Rack Wiring Diagram For RIO Panel WIL23-RIO-0504</v>
          </cell>
        </row>
        <row r="1158">
          <cell r="M1158" t="str">
            <v>131236-WIL23-DR-I-XXXX</v>
          </cell>
          <cell r="N1158" t="str">
            <v>Earth Bar Connection Diagram For RIO Panel WIL23-RIO-0504</v>
          </cell>
        </row>
        <row r="1159">
          <cell r="M1159" t="str">
            <v>131236-WIL23-DR-I-XXXX</v>
          </cell>
          <cell r="N1159" t="str">
            <v>Safety Barrier Wiring Digram For RIO Panel WIL23-RIO-0504</v>
          </cell>
        </row>
        <row r="1160">
          <cell r="M1160" t="str">
            <v>131236-WIL23-DR-I-XXXX</v>
          </cell>
          <cell r="N1160" t="str">
            <v>General Arrangement and Wiring Diagram For RIO Panel WIL23-RIO-0505</v>
          </cell>
        </row>
        <row r="1161">
          <cell r="M1161" t="str">
            <v>131236-WIL23-DR-I-XXXX</v>
          </cell>
          <cell r="N1161" t="str">
            <v>Cover Sheet For RIO Panel WIL23-RIO-0505</v>
          </cell>
        </row>
        <row r="1162">
          <cell r="M1162" t="str">
            <v>131236-WIL23-DR-I-XXXX</v>
          </cell>
          <cell r="N1162" t="str">
            <v>Revision Index For RIO Panel WIL23-RIO-0505</v>
          </cell>
        </row>
        <row r="1163">
          <cell r="M1163" t="str">
            <v>131236-WIL23-DR-I-XXXX</v>
          </cell>
          <cell r="N1163" t="str">
            <v>Bill Of Materials For RIO Panel WIL23-RIO-0505</v>
          </cell>
        </row>
        <row r="1164">
          <cell r="M1164" t="str">
            <v>131236-WIL23-DR-I-XXXX</v>
          </cell>
          <cell r="N1164" t="str">
            <v>Control Cabinet - External View For RIO Panel WIL23-RIO-0505</v>
          </cell>
        </row>
        <row r="1165">
          <cell r="M1165" t="str">
            <v>131236-WIL23-DR-I-XXXX</v>
          </cell>
          <cell r="N1165" t="str">
            <v>Nameplate Details For RIO Panel WIL23-RIO-0505</v>
          </cell>
        </row>
        <row r="1166">
          <cell r="M1166" t="str">
            <v>131236-WIL23-DR-I-XXXX</v>
          </cell>
          <cell r="N1166" t="str">
            <v>Wiring Color Coding Scheme For RIO Panel WIL23-RIO-0505</v>
          </cell>
        </row>
        <row r="1167">
          <cell r="M1167" t="str">
            <v>131236-WIL23-DR-I-XXXX</v>
          </cell>
          <cell r="N1167" t="str">
            <v>Legend For RIO Panel WIL23-RIO-0505</v>
          </cell>
        </row>
        <row r="1168">
          <cell r="M1168" t="str">
            <v>131236-WIL23-DR-I-XXXX</v>
          </cell>
          <cell r="N1168" t="str">
            <v>230VAC Power Distribution For RIO Panel WIL23-RIO-0505</v>
          </cell>
        </row>
        <row r="1169">
          <cell r="M1169" t="str">
            <v>131236-WIL23-DR-I-XXXX</v>
          </cell>
          <cell r="N1169" t="str">
            <v>24VDC Supply Distribution For RIO Panel WIL23-RIO-0505</v>
          </cell>
        </row>
        <row r="1170">
          <cell r="M1170" t="str">
            <v>131236-WIL23-DR-I-XXXX</v>
          </cell>
          <cell r="N1170" t="str">
            <v>I/O Cluster Interconnection For RIO Panel WIL23-RIO-0505</v>
          </cell>
        </row>
        <row r="1171">
          <cell r="M1171" t="str">
            <v>131236-WIL23-DR-I-XXXX</v>
          </cell>
          <cell r="N1171" t="str">
            <v>Rack Wiring Diagram For RIO Panel WIL23-RIO-0505</v>
          </cell>
        </row>
        <row r="1172">
          <cell r="M1172" t="str">
            <v>131236-WIL23-DR-I-XXXX</v>
          </cell>
          <cell r="N1172" t="str">
            <v>Earth Bar Connection Diagram For RIO Panel WIL23-RIO-0505</v>
          </cell>
        </row>
        <row r="1173">
          <cell r="M1173" t="str">
            <v>131236-WIL23-DR-I-XXXX</v>
          </cell>
          <cell r="N1173" t="str">
            <v>Safety Barrier Wiring Digram For RIO Panel WIL23-RIO-0505</v>
          </cell>
        </row>
        <row r="1174">
          <cell r="M1174" t="str">
            <v>131236-WIL23-DR-I-XXXX</v>
          </cell>
          <cell r="N1174" t="str">
            <v>General Arrangement and Wiring Diagram For RIO Panel WIL23-RIO-0506</v>
          </cell>
        </row>
        <row r="1175">
          <cell r="M1175" t="str">
            <v>131236-WIL23-DR-I-XXXX</v>
          </cell>
          <cell r="N1175" t="str">
            <v>Cover Sheet For RIO Panel WIL23-RIO-0506</v>
          </cell>
        </row>
        <row r="1176">
          <cell r="M1176" t="str">
            <v>131236-WIL23-DR-I-XXXX</v>
          </cell>
          <cell r="N1176" t="str">
            <v>Revision Index For RIO Panel WIL23-RIO-0506</v>
          </cell>
        </row>
        <row r="1177">
          <cell r="M1177" t="str">
            <v>131236-WIL23-DR-I-XXXX</v>
          </cell>
          <cell r="N1177" t="str">
            <v>Bill Of Materials For RIO Panel WIL23-RIO-0506</v>
          </cell>
        </row>
        <row r="1178">
          <cell r="M1178" t="str">
            <v>131236-WIL23-DR-I-XXXX</v>
          </cell>
          <cell r="N1178" t="str">
            <v>Control Cabinet - External View For RIO Panel WIL23-RIO-0506</v>
          </cell>
        </row>
        <row r="1179">
          <cell r="M1179" t="str">
            <v>131236-WIL23-DR-I-XXXX</v>
          </cell>
          <cell r="N1179" t="str">
            <v>Nameplate Details For RIO Panel WIL23-RIO-0506</v>
          </cell>
        </row>
        <row r="1180">
          <cell r="M1180" t="str">
            <v>131236-WIL23-DR-I-XXXX</v>
          </cell>
          <cell r="N1180" t="str">
            <v>Wiring Color Coding Scheme For RIO Panel WIL23-RIO-0506</v>
          </cell>
        </row>
        <row r="1181">
          <cell r="M1181" t="str">
            <v>131236-WIL23-DR-I-XXXX</v>
          </cell>
          <cell r="N1181" t="str">
            <v>Legend For RIO Panel WIL23-RIO-0506</v>
          </cell>
        </row>
        <row r="1182">
          <cell r="M1182" t="str">
            <v>131236-WIL23-DR-I-XXXX</v>
          </cell>
          <cell r="N1182" t="str">
            <v>230VAC Power Distribution For RIO Panel WIL23-RIO-0506</v>
          </cell>
        </row>
        <row r="1183">
          <cell r="M1183" t="str">
            <v>131236-WIL23-DR-I-XXXX</v>
          </cell>
          <cell r="N1183" t="str">
            <v>24VDC Supply Distribution For RIO Panel WIL23-RIO-0506</v>
          </cell>
        </row>
        <row r="1184">
          <cell r="M1184" t="str">
            <v>131236-WIL23-DR-I-XXXX</v>
          </cell>
          <cell r="N1184" t="str">
            <v>I/O Cluster Interconnection For RIO Panel WIL23-RIO-0506</v>
          </cell>
        </row>
        <row r="1185">
          <cell r="M1185" t="str">
            <v>131236-WIL23-DR-I-XXXX</v>
          </cell>
          <cell r="N1185" t="str">
            <v>Rack Wiring Diagram For RIO Panel WIL23-RIO-0506</v>
          </cell>
        </row>
        <row r="1186">
          <cell r="M1186" t="str">
            <v>131236-WIL23-DR-I-XXXX</v>
          </cell>
          <cell r="N1186" t="str">
            <v>Earth Bar Connection Diagram For RIO Panel WIL23-RIO-0506</v>
          </cell>
        </row>
        <row r="1187">
          <cell r="M1187" t="str">
            <v>131236-WIL23-DR-I-XXXX</v>
          </cell>
          <cell r="N1187" t="str">
            <v>Safety Barrier Wiring Digram For RIO Panel WIL23-RIO-0506</v>
          </cell>
        </row>
        <row r="1188">
          <cell r="M1188" t="str">
            <v>131236-WIL23-DR-I-XXXX</v>
          </cell>
          <cell r="N1188" t="str">
            <v>General Arrangement and Wiring Diagram For RIO Panel WIL23-RIO-0507</v>
          </cell>
        </row>
        <row r="1189">
          <cell r="M1189" t="str">
            <v>131236-WIL23-DR-I-XXXX</v>
          </cell>
          <cell r="N1189" t="str">
            <v>Cover Sheet For RIO Panel WIL23-RIO-0507</v>
          </cell>
        </row>
        <row r="1190">
          <cell r="M1190" t="str">
            <v>131236-WIL23-DR-I-XXXX</v>
          </cell>
          <cell r="N1190" t="str">
            <v>Revision Index For RIO Panel WIL23-RIO-0507</v>
          </cell>
        </row>
        <row r="1191">
          <cell r="M1191" t="str">
            <v>131236-WIL23-DR-I-XXXX</v>
          </cell>
          <cell r="N1191" t="str">
            <v>Bill Of Materials For RIO Panel WIL23-RIO-0507</v>
          </cell>
        </row>
        <row r="1192">
          <cell r="M1192" t="str">
            <v>131236-WIL23-DR-I-XXXX</v>
          </cell>
          <cell r="N1192" t="str">
            <v>Control Cabinet - External View For RIO Panel WIL23-RIO-0507</v>
          </cell>
        </row>
        <row r="1193">
          <cell r="M1193" t="str">
            <v>131236-WIL23-DR-I-XXXX</v>
          </cell>
          <cell r="N1193" t="str">
            <v>Nameplate Details For RIO Panel WIL23-RIO-0507</v>
          </cell>
        </row>
        <row r="1194">
          <cell r="M1194" t="str">
            <v>131236-WIL23-DR-I-XXXX</v>
          </cell>
          <cell r="N1194" t="str">
            <v>Wiring Color Coding Scheme For RIO Panel WIL23-RIO-0507</v>
          </cell>
        </row>
        <row r="1195">
          <cell r="M1195" t="str">
            <v>131236-WIL23-DR-I-XXXX</v>
          </cell>
          <cell r="N1195" t="str">
            <v>Legend For RIO Panel WIL23-RIO-0507</v>
          </cell>
        </row>
        <row r="1196">
          <cell r="M1196" t="str">
            <v>131236-WIL23-DR-I-XXXX</v>
          </cell>
          <cell r="N1196" t="str">
            <v>230VAC Power Distribution For RIO Panel WIL23-RIO-0507</v>
          </cell>
        </row>
        <row r="1197">
          <cell r="M1197" t="str">
            <v>131236-WIL23-DR-I-XXXX</v>
          </cell>
          <cell r="N1197" t="str">
            <v>24VDC Supply Distribution For RIO Panel WIL23-RIO-0507</v>
          </cell>
        </row>
        <row r="1198">
          <cell r="M1198" t="str">
            <v>131236-WIL23-DR-I-XXXX</v>
          </cell>
          <cell r="N1198" t="str">
            <v>I/O Cluster Interconnection For RIO Panel WIL23-RIO-0507</v>
          </cell>
        </row>
        <row r="1199">
          <cell r="M1199" t="str">
            <v>131236-WIL23-DR-I-XXXX</v>
          </cell>
          <cell r="N1199" t="str">
            <v>Rack Wiring Diagram For RIO Panel WIL23-RIO-0507</v>
          </cell>
        </row>
        <row r="1200">
          <cell r="M1200" t="str">
            <v>131236-WIL23-DR-I-XXXX</v>
          </cell>
          <cell r="N1200" t="str">
            <v>Earth Bar Connection Diagram For RIO Panel WIL23-RIO-0507</v>
          </cell>
        </row>
        <row r="1201">
          <cell r="M1201" t="str">
            <v>131236-WIL23-DR-I-XXXX</v>
          </cell>
          <cell r="N1201" t="str">
            <v>Safety Barrier Wiring Digram For RIO Panel WIL23-RIO-0507</v>
          </cell>
        </row>
        <row r="1202">
          <cell r="M1202" t="str">
            <v>131236-WIL23-DR-I-XXXX</v>
          </cell>
          <cell r="N1202" t="str">
            <v>General Arrangement and Wiring Diagram For RIO Panel WIL23-RIO-0508</v>
          </cell>
        </row>
        <row r="1203">
          <cell r="M1203" t="str">
            <v>131236-WIL23-DR-I-XXXX</v>
          </cell>
          <cell r="N1203" t="str">
            <v>Cover Sheet For RIO Panel WIL23-RIO-0508</v>
          </cell>
        </row>
        <row r="1204">
          <cell r="M1204" t="str">
            <v>131236-WIL23-DR-I-XXXX</v>
          </cell>
          <cell r="N1204" t="str">
            <v>Revision Index For RIO Panel WIL23-RIO-0508</v>
          </cell>
        </row>
        <row r="1205">
          <cell r="M1205" t="str">
            <v>131236-WIL23-DR-I-XXXX</v>
          </cell>
          <cell r="N1205" t="str">
            <v>Bill Of Materials For RIO Panel WIL23-RIO-0508</v>
          </cell>
        </row>
        <row r="1206">
          <cell r="M1206" t="str">
            <v>131236-WIL23-DR-I-XXXX</v>
          </cell>
          <cell r="N1206" t="str">
            <v>Control Cabinet - External View For RIO Panel WIL23-RIO-0508</v>
          </cell>
        </row>
        <row r="1207">
          <cell r="M1207" t="str">
            <v>131236-WIL23-DR-I-XXXX</v>
          </cell>
          <cell r="N1207" t="str">
            <v>Nameplate Details For RIO Panel WIL23-RIO-0508</v>
          </cell>
        </row>
        <row r="1208">
          <cell r="M1208" t="str">
            <v>131236-WIL23-DR-I-XXXX</v>
          </cell>
          <cell r="N1208" t="str">
            <v>Wiring Color Coding Scheme For RIO Panel WIL23-RIO-0508</v>
          </cell>
        </row>
        <row r="1209">
          <cell r="M1209" t="str">
            <v>131236-WIL23-DR-I-XXXX</v>
          </cell>
          <cell r="N1209" t="str">
            <v>Legend For RIO Panel WIL23-RIO-0508</v>
          </cell>
        </row>
        <row r="1210">
          <cell r="M1210" t="str">
            <v>131236-WIL23-DR-I-XXXX</v>
          </cell>
          <cell r="N1210" t="str">
            <v>230VAC Power Distribution For RIO Panel WIL23-RIO-0508</v>
          </cell>
        </row>
        <row r="1211">
          <cell r="M1211" t="str">
            <v>131236-WIL23-DR-I-XXXX</v>
          </cell>
          <cell r="N1211" t="str">
            <v>24VDC Supply Distribution For RIO Panel WIL23-RIO-0508</v>
          </cell>
        </row>
        <row r="1212">
          <cell r="M1212" t="str">
            <v>131236-WIL23-DR-I-XXXX</v>
          </cell>
          <cell r="N1212" t="str">
            <v>I/O Cluster Interconnection For RIO Panel WIL23-RIO-0508</v>
          </cell>
        </row>
        <row r="1213">
          <cell r="M1213" t="str">
            <v>131236-WIL23-DR-I-XXXX</v>
          </cell>
          <cell r="N1213" t="str">
            <v>Rack Wiring Diagram For RIO Panel WIL23-RIO-0508</v>
          </cell>
        </row>
        <row r="1214">
          <cell r="M1214" t="str">
            <v>131236-WIL23-DR-I-XXXX</v>
          </cell>
          <cell r="N1214" t="str">
            <v>Earth Bar Connection Diagram For RIO Panel WIL23-RIO-0508</v>
          </cell>
        </row>
        <row r="1215">
          <cell r="M1215" t="str">
            <v>131236-WIL23-DR-I-XXXX</v>
          </cell>
          <cell r="N1215" t="str">
            <v>Safety Barrier Wiring Digram For RIO Panel WIL23-RIO-0508</v>
          </cell>
        </row>
        <row r="1216">
          <cell r="M1216" t="str">
            <v>131236-WIL23-DR-I-XXXX</v>
          </cell>
          <cell r="N1216" t="str">
            <v>General Arrangement and Wiring Diagram For RIO Panel WIL23-RIO-0002A</v>
          </cell>
        </row>
        <row r="1217">
          <cell r="M1217" t="str">
            <v>131236-WIL23-DR-I-XXXX</v>
          </cell>
          <cell r="N1217" t="str">
            <v>Cover Sheet For RIO Panel WIL23-RIO-0002A</v>
          </cell>
        </row>
        <row r="1218">
          <cell r="M1218" t="str">
            <v>131236-WIL23-DR-I-XXXX</v>
          </cell>
          <cell r="N1218" t="str">
            <v>Revision Index For RIO Panel WIL23-RIO-0002A</v>
          </cell>
        </row>
        <row r="1219">
          <cell r="M1219" t="str">
            <v>131236-WIL23-DR-I-XXXX</v>
          </cell>
          <cell r="N1219" t="str">
            <v>Bill Of Materials For RIO Panel WIL23-RIO-0002A</v>
          </cell>
        </row>
        <row r="1220">
          <cell r="M1220" t="str">
            <v>131236-WIL23-DR-I-XXXX</v>
          </cell>
          <cell r="N1220" t="str">
            <v>Control Cabinet - External View For RIO Panel WIL23-RIO-0002A</v>
          </cell>
        </row>
        <row r="1221">
          <cell r="M1221" t="str">
            <v>131236-WIL23-DR-I-XXXX</v>
          </cell>
          <cell r="N1221" t="str">
            <v>Nameplate Details For RIO Panel WIL23-RIO-0002A</v>
          </cell>
        </row>
        <row r="1222">
          <cell r="M1222" t="str">
            <v>131236-WIL23-DR-I-XXXX</v>
          </cell>
          <cell r="N1222" t="str">
            <v>Wiring Color Coding Scheme For RIO Panel WIL23-RIO-0002A</v>
          </cell>
        </row>
        <row r="1223">
          <cell r="M1223" t="str">
            <v>131236-WIL23-DR-I-XXXX</v>
          </cell>
          <cell r="N1223" t="str">
            <v>Legend For RIO Panel WIL23-RIO-0002A</v>
          </cell>
        </row>
        <row r="1224">
          <cell r="M1224" t="str">
            <v>131236-WIL23-DR-I-XXXX</v>
          </cell>
          <cell r="N1224" t="str">
            <v>230VAC Power Distribution For RIO Panel WIL23-RIO-0002A</v>
          </cell>
        </row>
        <row r="1225">
          <cell r="M1225" t="str">
            <v>131236-WIL23-DR-I-XXXX</v>
          </cell>
          <cell r="N1225" t="str">
            <v>24VDC Supply Distribution For RIO Panel WIL23-RIO-0002A</v>
          </cell>
        </row>
        <row r="1226">
          <cell r="M1226" t="str">
            <v>131236-WIL23-DR-I-XXXX</v>
          </cell>
          <cell r="N1226" t="str">
            <v>I/O Cluster Interconnection For RIO Panel WIL23-RIO-0002A</v>
          </cell>
        </row>
        <row r="1227">
          <cell r="M1227" t="str">
            <v>131236-WIL23-DR-I-XXXX</v>
          </cell>
          <cell r="N1227" t="str">
            <v>Rack Wiring Diagram For RIO Panel WIL23-RIO-0002A</v>
          </cell>
        </row>
        <row r="1228">
          <cell r="M1228" t="str">
            <v>131236-WIL23-DR-I-XXXX</v>
          </cell>
          <cell r="N1228" t="str">
            <v>Earth Bar Connection Diagram For RIO Panel WIL23-RIO-0002A</v>
          </cell>
        </row>
        <row r="1229">
          <cell r="M1229" t="str">
            <v>131236-WIL23-DR-I-XXXX</v>
          </cell>
          <cell r="N1229" t="str">
            <v>Safety Barrier Wiring Digram For RIO Panel WIL23-RIO-0002A</v>
          </cell>
        </row>
        <row r="1230">
          <cell r="M1230" t="str">
            <v>131236-WIL23-DR-I-XXXX</v>
          </cell>
          <cell r="N1230" t="str">
            <v>General Arrangement and Wiring Diagram For RIO Panel WIL23-RIO-0002B</v>
          </cell>
        </row>
        <row r="1231">
          <cell r="M1231" t="str">
            <v>131236-WIL23-DR-I-XXXX</v>
          </cell>
          <cell r="N1231" t="str">
            <v>Cover Sheet For RIO Panel WIL23-RIO-0002B</v>
          </cell>
        </row>
        <row r="1232">
          <cell r="M1232" t="str">
            <v>131236-WIL23-DR-I-XXXX</v>
          </cell>
          <cell r="N1232" t="str">
            <v>Revision Index For RIO Panel WIL23-RIO-0002B</v>
          </cell>
        </row>
        <row r="1233">
          <cell r="M1233" t="str">
            <v>131236-WIL23-DR-I-XXXX</v>
          </cell>
          <cell r="N1233" t="str">
            <v>Bill Of Materials For RIO Panel WIL23-RIO-0002B</v>
          </cell>
        </row>
        <row r="1234">
          <cell r="M1234" t="str">
            <v>131236-WIL23-DR-I-XXXX</v>
          </cell>
          <cell r="N1234" t="str">
            <v>Control Cabinet - External View For RIO Panel WIL23-RIO-0002B</v>
          </cell>
        </row>
        <row r="1235">
          <cell r="M1235" t="str">
            <v>131236-WIL23-DR-I-XXXX</v>
          </cell>
          <cell r="N1235" t="str">
            <v>Nameplate Details For RIO Panel WIL23-RIO-0002B</v>
          </cell>
        </row>
        <row r="1236">
          <cell r="M1236" t="str">
            <v>131236-WIL23-DR-I-XXXX</v>
          </cell>
          <cell r="N1236" t="str">
            <v>Wiring Color Coding Scheme For RIO Panel WIL23-RIO-0002B</v>
          </cell>
        </row>
        <row r="1237">
          <cell r="M1237" t="str">
            <v>131236-WIL23-DR-I-XXXX</v>
          </cell>
          <cell r="N1237" t="str">
            <v>Legend For RIO Panel WIL23-RIO-0002B</v>
          </cell>
        </row>
        <row r="1238">
          <cell r="M1238" t="str">
            <v>131236-WIL23-DR-I-XXXX</v>
          </cell>
          <cell r="N1238" t="str">
            <v>230VAC Power Distribution For RIO Panel WIL23-RIO-0002B</v>
          </cell>
        </row>
        <row r="1239">
          <cell r="M1239" t="str">
            <v>131236-WIL23-DR-I-XXXX</v>
          </cell>
          <cell r="N1239" t="str">
            <v>24VDC Supply Distribution For RIO Panel WIL23-RIO-0002B</v>
          </cell>
        </row>
        <row r="1240">
          <cell r="M1240" t="str">
            <v>131236-WIL23-DR-I-XXXX</v>
          </cell>
          <cell r="N1240" t="str">
            <v>I/O Cluster Interconnection For RIO Panel WIL23-RIO-0002B</v>
          </cell>
        </row>
        <row r="1241">
          <cell r="M1241" t="str">
            <v>131236-WIL23-DR-I-XXXX</v>
          </cell>
          <cell r="N1241" t="str">
            <v>Rack Wiring Diagram For RIO Panel WIL23-RIO-0002B</v>
          </cell>
        </row>
        <row r="1242">
          <cell r="M1242" t="str">
            <v>131236-WIL23-DR-I-XXXX</v>
          </cell>
          <cell r="N1242" t="str">
            <v>Earth Bar Connection Diagram For RIO Panel WIL23-RIO-0002B</v>
          </cell>
        </row>
        <row r="1243">
          <cell r="M1243" t="str">
            <v>131236-WIL23-DR-I-XXXX</v>
          </cell>
          <cell r="N1243" t="str">
            <v>Safety Barrier Wiring Digram For RIO Panel WIL23-RIO-0002B</v>
          </cell>
        </row>
        <row r="1244">
          <cell r="M1244" t="str">
            <v>131236-WIL23-DR-I-XXXX</v>
          </cell>
          <cell r="N1244" t="str">
            <v>General Arrangement and Wiring Diagram For RIO Panel WIL23-RIO-0601A</v>
          </cell>
        </row>
        <row r="1245">
          <cell r="M1245" t="str">
            <v>131236-WIL23-DR-I-XXXX</v>
          </cell>
          <cell r="N1245" t="str">
            <v>Cover Sheet For RIO Panel WIL23-RIO-0601A</v>
          </cell>
        </row>
        <row r="1246">
          <cell r="M1246" t="str">
            <v>131236-WIL23-DR-I-XXXX</v>
          </cell>
          <cell r="N1246" t="str">
            <v>Revision Index For RIO Panel WIL23-RIO-0601A</v>
          </cell>
        </row>
        <row r="1247">
          <cell r="M1247" t="str">
            <v>131236-WIL23-DR-I-XXXX</v>
          </cell>
          <cell r="N1247" t="str">
            <v>Bill Of Materials For RIO Panel WIL23-RIO-0601A</v>
          </cell>
        </row>
        <row r="1248">
          <cell r="M1248" t="str">
            <v>131236-WIL23-DR-I-XXXX</v>
          </cell>
          <cell r="N1248" t="str">
            <v>Control Cabinet - External View For RIO Panel WIL23-RIO-0601A</v>
          </cell>
        </row>
        <row r="1249">
          <cell r="M1249" t="str">
            <v>131236-WIL23-DR-I-XXXX</v>
          </cell>
          <cell r="N1249" t="str">
            <v>Nameplate Details For RIO Panel WIL23-RIO-0601A</v>
          </cell>
        </row>
        <row r="1250">
          <cell r="M1250" t="str">
            <v>131236-WIL23-DR-I-XXXX</v>
          </cell>
          <cell r="N1250" t="str">
            <v>Wiring Color Coding Scheme For RIO Panel WIL23-RIO-0601A</v>
          </cell>
        </row>
        <row r="1251">
          <cell r="M1251" t="str">
            <v>131236-WIL23-DR-I-XXXX</v>
          </cell>
          <cell r="N1251" t="str">
            <v>Legend For RIO Panel WIL23-RIO-0601A</v>
          </cell>
        </row>
        <row r="1252">
          <cell r="M1252" t="str">
            <v>131236-WIL23-DR-I-XXXX</v>
          </cell>
          <cell r="N1252" t="str">
            <v>230VAC Power Distribution For RIO Panel WIL23-RIO-0601A</v>
          </cell>
        </row>
        <row r="1253">
          <cell r="M1253" t="str">
            <v>131236-WIL23-DR-I-XXXX</v>
          </cell>
          <cell r="N1253" t="str">
            <v>24VDC Supply Distribution For RIO Panel WIL23-RIO-0601A</v>
          </cell>
        </row>
        <row r="1254">
          <cell r="M1254" t="str">
            <v>131236-WIL23-DR-I-XXXX</v>
          </cell>
          <cell r="N1254" t="str">
            <v>I/O Cluster Interconnection For RIO Panel WIL23-RIO-0601A</v>
          </cell>
        </row>
        <row r="1255">
          <cell r="M1255" t="str">
            <v>131236-WIL23-DR-I-XXXX</v>
          </cell>
          <cell r="N1255" t="str">
            <v>Rack Wiring Diagram For RIO Panel WIL23-RIO-0601A</v>
          </cell>
        </row>
        <row r="1256">
          <cell r="M1256" t="str">
            <v>131236-WIL23-DR-I-XXXX</v>
          </cell>
          <cell r="N1256" t="str">
            <v>Earth Bar Connection Diagram For RIO Panel WIL23-RIO-0601A</v>
          </cell>
        </row>
        <row r="1257">
          <cell r="M1257" t="str">
            <v>131236-WIL23-DR-I-XXXX</v>
          </cell>
          <cell r="N1257" t="str">
            <v>Safety Barrier Wiring Digram For RIO Panel WIL23-RIO-0601A</v>
          </cell>
        </row>
        <row r="1258">
          <cell r="M1258" t="str">
            <v>131237-WIL23-DR-I-XXXX</v>
          </cell>
          <cell r="N1258" t="str">
            <v>General Arrangement and Wiring Diagram For RIO Panel WIL23-RIO-0601B</v>
          </cell>
        </row>
        <row r="1259">
          <cell r="M1259" t="str">
            <v>131236-WIL23-DR-I-XXXX</v>
          </cell>
          <cell r="N1259" t="str">
            <v>Cover Sheet For RIO Panel WIL23-RIO-0601B</v>
          </cell>
        </row>
        <row r="1260">
          <cell r="M1260" t="str">
            <v>131236-WIL23-DR-I-XXXX</v>
          </cell>
          <cell r="N1260" t="str">
            <v>Revision Index For RIO Panel WIL23-RIO-0601B</v>
          </cell>
        </row>
        <row r="1261">
          <cell r="M1261" t="str">
            <v>131236-WIL23-DR-I-XXXX</v>
          </cell>
          <cell r="N1261" t="str">
            <v>Bill Of Materials For RIO Panel WIL23-RIO-0601B</v>
          </cell>
        </row>
        <row r="1262">
          <cell r="M1262" t="str">
            <v>131236-WIL23-DR-I-XXXX</v>
          </cell>
          <cell r="N1262" t="str">
            <v>Control Cabinet - External View For RIO Panel WIL23-RIO-0601B</v>
          </cell>
        </row>
        <row r="1263">
          <cell r="M1263" t="str">
            <v>131236-WIL23-DR-I-XXXX</v>
          </cell>
          <cell r="N1263" t="str">
            <v>Nameplate Details For RIO Panel WIL23-RIO-0601B</v>
          </cell>
        </row>
        <row r="1264">
          <cell r="M1264" t="str">
            <v>131236-WIL23-DR-I-XXXX</v>
          </cell>
          <cell r="N1264" t="str">
            <v>Wiring Color Coding Scheme For RIO Panel WIL23-RIO-0601B</v>
          </cell>
        </row>
        <row r="1265">
          <cell r="M1265" t="str">
            <v>131236-WIL23-DR-I-XXXX</v>
          </cell>
          <cell r="N1265" t="str">
            <v>Legend For RIO Panel WIL23-RIO-0601B</v>
          </cell>
        </row>
        <row r="1266">
          <cell r="M1266" t="str">
            <v>131236-WIL23-DR-I-XXXX</v>
          </cell>
          <cell r="N1266" t="str">
            <v>230VAC Power Distribution For RIO Panel WIL23-RIO-0601B</v>
          </cell>
        </row>
        <row r="1267">
          <cell r="M1267" t="str">
            <v>131236-WIL23-DR-I-XXXX</v>
          </cell>
          <cell r="N1267" t="str">
            <v>24VDC Supply Distribution For RIO Panel WIL23-RIO-0601B</v>
          </cell>
        </row>
        <row r="1268">
          <cell r="M1268" t="str">
            <v>131236-WIL23-DR-I-XXXX</v>
          </cell>
          <cell r="N1268" t="str">
            <v>I/O Cluster Interconnection For RIO Panel WIL23-RIO-0601B</v>
          </cell>
        </row>
        <row r="1269">
          <cell r="M1269" t="str">
            <v>131236-WIL23-DR-I-XXXX</v>
          </cell>
          <cell r="N1269" t="str">
            <v>Rack Wiring Diagram For RIO Panel WIL23-RIO-0601B</v>
          </cell>
        </row>
        <row r="1270">
          <cell r="M1270" t="str">
            <v>131236-WIL23-DR-I-XXXX</v>
          </cell>
          <cell r="N1270" t="str">
            <v>Earth Bar Connection Diagram For RIO Panel WIL23-RIO-0601B</v>
          </cell>
        </row>
        <row r="1271">
          <cell r="M1271" t="str">
            <v>131236-WIL23-DR-I-XXXX</v>
          </cell>
          <cell r="N1271" t="str">
            <v>Safety Barrier Wiring Digram For RIO Panel WIL23-RIO-0601B</v>
          </cell>
        </row>
        <row r="1272">
          <cell r="M1272" t="str">
            <v>131236-WSW46-DR-I-XXXX</v>
          </cell>
          <cell r="N1272" t="str">
            <v>FO Termination Drawing</v>
          </cell>
        </row>
        <row r="1273">
          <cell r="M1273" t="str">
            <v>131236-WSW46-DR-I-XXXX</v>
          </cell>
          <cell r="N1273" t="str">
            <v>Cable Routing Drawing - Signal &amp; Control</v>
          </cell>
        </row>
        <row r="1274">
          <cell r="M1274" t="str">
            <v>131236-WSW46-DR-I-XXXX</v>
          </cell>
          <cell r="N1274" t="str">
            <v xml:space="preserve">Cable Routing Drawing - Power </v>
          </cell>
        </row>
        <row r="1275">
          <cell r="M1275" t="str">
            <v>131236-WSW46-DR-I-XXXX</v>
          </cell>
          <cell r="N1275" t="str">
            <v>Cable Routing Drawing - FO</v>
          </cell>
        </row>
        <row r="1276">
          <cell r="M1276" t="str">
            <v>131236-WIL00-DR-I-XXXX</v>
          </cell>
          <cell r="N1276" t="str">
            <v>WIL00 Instrument Location Layout</v>
          </cell>
        </row>
        <row r="1277">
          <cell r="M1277" t="str">
            <v>131236-WIL06-DR-I-XXXX</v>
          </cell>
          <cell r="N1277" t="str">
            <v>WIL06 Instrument Location Layout</v>
          </cell>
        </row>
        <row r="1278">
          <cell r="M1278" t="str">
            <v>131236-WIL21-DR-I-XXXX</v>
          </cell>
          <cell r="N1278" t="str">
            <v>WIL21 Instrument Location Layout</v>
          </cell>
        </row>
        <row r="1279">
          <cell r="M1279" t="str">
            <v>131236-WIL22-DR-I-XXXX</v>
          </cell>
          <cell r="N1279" t="str">
            <v>WIL22 Instrument Location Layout</v>
          </cell>
        </row>
        <row r="1280">
          <cell r="M1280" t="str">
            <v>131236-WIL23-DR-I-XXXX</v>
          </cell>
          <cell r="N1280" t="str">
            <v>WIL23 Instrument Location Layout</v>
          </cell>
        </row>
        <row r="1281">
          <cell r="M1281" t="str">
            <v>131236-WNS03-DR-I-XXXX</v>
          </cell>
          <cell r="N1281" t="str">
            <v>WNS03 Instrument Location Layout</v>
          </cell>
        </row>
        <row r="1282">
          <cell r="M1282" t="str">
            <v>131236-WIL00-DR-I-XXXX</v>
          </cell>
          <cell r="N1282" t="str">
            <v>WIL00 Panel Location Layout</v>
          </cell>
        </row>
        <row r="1283">
          <cell r="M1283" t="str">
            <v>131236-WIL06-DR-I-XXXX</v>
          </cell>
          <cell r="N1283" t="str">
            <v>WIL06 Panel Location Layout</v>
          </cell>
        </row>
        <row r="1284">
          <cell r="M1284" t="str">
            <v>131236-WIL21-DR-I-XXXX</v>
          </cell>
          <cell r="N1284" t="str">
            <v>WIL21 Panel Location Layout</v>
          </cell>
        </row>
        <row r="1285">
          <cell r="M1285" t="str">
            <v>131236-WIL22-DR-I-XXXX</v>
          </cell>
          <cell r="N1285" t="str">
            <v>WIL22 Panel Location Layout</v>
          </cell>
        </row>
        <row r="1286">
          <cell r="M1286" t="str">
            <v>131236-WIL23-DR-I-XXXX</v>
          </cell>
          <cell r="N1286" t="str">
            <v>WIL23 Panel Location Layout</v>
          </cell>
        </row>
        <row r="1287">
          <cell r="M1287" t="str">
            <v>131236-WNS03-DR-I-XXXX</v>
          </cell>
          <cell r="N1287" t="str">
            <v>WNS03 Panel Location Layout</v>
          </cell>
        </row>
        <row r="1288">
          <cell r="M1288"/>
        </row>
        <row r="1289">
          <cell r="M1289"/>
          <cell r="N1289"/>
        </row>
        <row r="1290">
          <cell r="M1290" t="str">
            <v>131236-WSW46-QA-I-XXXX</v>
          </cell>
          <cell r="N1290" t="str">
            <v xml:space="preserve">Inspection Test Plan (ITP) For RIO Panel </v>
          </cell>
        </row>
        <row r="1291">
          <cell r="M1291" t="str">
            <v>131236-WSW46-QA-I-XXXX</v>
          </cell>
          <cell r="N1291" t="str">
            <v>Factory Acceptance Test Procedures for RIO Panels</v>
          </cell>
        </row>
        <row r="1292">
          <cell r="M1292" t="str">
            <v>131236-WIL21-QA-I-XXXX</v>
          </cell>
          <cell r="N1292" t="str">
            <v>Vendor Manufacturing Inspection and Toxicity Analyzer</v>
          </cell>
        </row>
        <row r="1293">
          <cell r="M1293" t="str">
            <v>131236-WIL23-QA-I-XXXX</v>
          </cell>
          <cell r="N1293" t="str">
            <v>Vendor Manufacturing Inspection and ORP Analyzer</v>
          </cell>
        </row>
        <row r="1294">
          <cell r="M1294" t="str">
            <v>131236-WSW46-QA-I-XXXX</v>
          </cell>
          <cell r="N1294" t="str">
            <v>Vendor Manufacturing Inspection and Test Procedure For Pressure Gauge</v>
          </cell>
        </row>
        <row r="1295">
          <cell r="M1295" t="str">
            <v>131236-WIL21-QA-I-XXXX</v>
          </cell>
          <cell r="N1295" t="str">
            <v>Vendor Manufacturing Inspection and Test Plan For H2S Gas Detector</v>
          </cell>
        </row>
        <row r="1296">
          <cell r="M1296" t="str">
            <v>131236-WIL21-QA-I-XXXX</v>
          </cell>
          <cell r="N1296" t="str">
            <v>Vendor Manufacturing Inspection and Test Plan For Carbon Monoxide Gas Detector</v>
          </cell>
        </row>
        <row r="1297">
          <cell r="M1297" t="str">
            <v>131236-WIL21-QA-I-XXXX</v>
          </cell>
          <cell r="N1297" t="str">
            <v>Vendor Manufacturing Inspection and Test Plan For VOC Analyses</v>
          </cell>
        </row>
        <row r="1298">
          <cell r="M1298" t="str">
            <v>131236-WIL21-QA-I-XXXX</v>
          </cell>
          <cell r="N1298" t="str">
            <v>Vendor Manufacturing Inspection and Test Plan For LEL Gas Detectors</v>
          </cell>
        </row>
        <row r="1299">
          <cell r="M1299" t="str">
            <v>131236-WSW46-QA-I-XXXX</v>
          </cell>
          <cell r="N1299" t="str">
            <v>Factory Acceptance Test Procedure for VMS for IGV Blowers</v>
          </cell>
        </row>
        <row r="1300">
          <cell r="M1300" t="str">
            <v>131236-WNS03-QA-I-XXXX</v>
          </cell>
          <cell r="N1300" t="str">
            <v>Vendor Manufacturing Inspection and Test Plan For Magnetic Level Indicator</v>
          </cell>
        </row>
        <row r="1301">
          <cell r="M1301" t="str">
            <v>131236-WSW46-QA-I-XXXX</v>
          </cell>
          <cell r="N1301" t="str">
            <v>Vendor Manufacturing Inspection and Test Plan For Fiber Optic and CAT 6A Cables</v>
          </cell>
        </row>
        <row r="1302">
          <cell r="M1302" t="str">
            <v>131236-WIL22-QA-I-XXXX</v>
          </cell>
          <cell r="N1302" t="str">
            <v>Vendor Manufacturing Inspection and Test Plan For Total Solid Meter</v>
          </cell>
        </row>
        <row r="1303">
          <cell r="M1303" t="str">
            <v>131236-WSW46-QA-I-XXXX</v>
          </cell>
          <cell r="N1303" t="str">
            <v>Vendor Manufacturing Inspection and Test Plan  For Room Temperature Transmitter</v>
          </cell>
        </row>
        <row r="1304">
          <cell r="M1304" t="str">
            <v>131236-WSW46-QA-I-XXXX</v>
          </cell>
          <cell r="N1304" t="str">
            <v>Vendor Manufacturing Inspection and Test Plan For FFOTP Panels</v>
          </cell>
        </row>
        <row r="1305">
          <cell r="M1305" t="str">
            <v>131236-WSW46-QA-I-XXXX</v>
          </cell>
          <cell r="N1305" t="str">
            <v>Vendor Manufacturing Inspection and Test Plan For FOIP Panels</v>
          </cell>
        </row>
        <row r="1306">
          <cell r="M1306" t="str">
            <v>131236-WIL23-QA-I-XXXX</v>
          </cell>
          <cell r="N1306" t="str">
            <v>Vendor Manufacturing Inspection and Test Plan For Ammonium Analyser</v>
          </cell>
        </row>
        <row r="1307">
          <cell r="M1307" t="str">
            <v>131236-WIL23-QA-I-XXXX</v>
          </cell>
          <cell r="N1307" t="str">
            <v>Vendor Manufacturing Inspection and Test Plan For Nitrate Analyser</v>
          </cell>
        </row>
        <row r="1308">
          <cell r="M1308" t="str">
            <v>131236-WSW46-QA-I-XXXX</v>
          </cell>
          <cell r="N1308" t="str">
            <v>Vendor Manufacturing Inspection and Test Plan For ICA Cable Raceway</v>
          </cell>
        </row>
        <row r="1309">
          <cell r="M1309" t="str">
            <v>131236-WSW46-QA-I-XXXX</v>
          </cell>
          <cell r="N1309" t="str">
            <v xml:space="preserve">Vendor Manufacturing Inspection and Test Plan For ICA Power and Control Cable </v>
          </cell>
        </row>
        <row r="1310">
          <cell r="M1310" t="str">
            <v>131236-WIL22-QA-I-XXXX</v>
          </cell>
          <cell r="N1310" t="str">
            <v>Vendor Manufacturing Inspection and Test Plan For Sludge Blanket Level Switch</v>
          </cell>
        </row>
        <row r="1311">
          <cell r="M1311" t="str">
            <v>131236-WSW46-QA-I-XXXX</v>
          </cell>
          <cell r="N1311" t="str">
            <v>Vendor Manufacturing Inspection and Test Plan For Leak Detector Sensor</v>
          </cell>
        </row>
        <row r="1312">
          <cell r="M1312" t="str">
            <v>131236-WIL21-QA-I-XXXX</v>
          </cell>
          <cell r="N1312" t="str">
            <v>Vendor Manufacturing Inspection and Test Plan For Truck Position Sensor</v>
          </cell>
        </row>
        <row r="1313">
          <cell r="M1313" t="str">
            <v>131236-WIL21-QA-I-XXXX</v>
          </cell>
          <cell r="N1313" t="str">
            <v>Vendor Manufacturing Inspection and Test Plan For Motion Sensor</v>
          </cell>
        </row>
        <row r="1314">
          <cell r="M1314" t="str">
            <v>131236-WSW46-QA-I-XXXX</v>
          </cell>
          <cell r="N1314" t="str">
            <v>Vendor Manufacturing Inspection and Test Plan For Conductive Probe Level Switch</v>
          </cell>
        </row>
        <row r="1315">
          <cell r="M1315" t="str">
            <v>131236-WIL23-QA-I-XXXX</v>
          </cell>
          <cell r="N1315" t="str">
            <v>Vendor Manufacturing Inspection and Test Plan For Turning Fork Level Switch</v>
          </cell>
        </row>
        <row r="1316">
          <cell r="M1316" t="str">
            <v>131236-WSW46-QA-I-XXXX</v>
          </cell>
          <cell r="N1316" t="str">
            <v>Vendor Manufacturing Inspection and Test Plan For Local Display</v>
          </cell>
        </row>
        <row r="1317">
          <cell r="M1317" t="str">
            <v>131236-WIL21-QA-I-XXXX</v>
          </cell>
          <cell r="N1317" t="str">
            <v>Vendor Manufacturing Inspection and Test Plan For Flammable (LEL) Gas Detector</v>
          </cell>
        </row>
        <row r="1318">
          <cell r="M1318" t="str">
            <v>131236-WIL21-QA-I-XXXX</v>
          </cell>
          <cell r="N1318" t="str">
            <v>Vendor Manufacturing Inspection and Test Plan For CO Gas Detector</v>
          </cell>
        </row>
        <row r="1319">
          <cell r="M1319" t="str">
            <v>131237-WIL21-QA-I-XXXX</v>
          </cell>
          <cell r="N1319" t="str">
            <v xml:space="preserve">Vendor Manufacturing Inspection and Test Plan For H2S Gas Detector </v>
          </cell>
        </row>
        <row r="1320">
          <cell r="M1320" t="str">
            <v>131238-WIL21-QA-I-XXXX</v>
          </cell>
          <cell r="N1320" t="str">
            <v xml:space="preserve">Vendor Manufacturing Inspection and Test Plan For Motion Switch </v>
          </cell>
        </row>
        <row r="1321">
          <cell r="M1321" t="str">
            <v>131239-WSW46-QA-I-XXXX</v>
          </cell>
          <cell r="N1321" t="str">
            <v>Vendor Manufacturing Inspection and Test Plan For Low Point Leak Detector</v>
          </cell>
        </row>
        <row r="1322">
          <cell r="M1322" t="str">
            <v>131240-WSW46-QA-I-XXXX</v>
          </cell>
          <cell r="N1322" t="str">
            <v>Vendor Manufacturing Inspection and Test Plan For Pressure Gauge</v>
          </cell>
        </row>
        <row r="1323">
          <cell r="M1323" t="str">
            <v>131241-WSW46-QA-I-XXXX</v>
          </cell>
          <cell r="N1323" t="str">
            <v xml:space="preserve">Vendor Manufacturing Inspection and Test Plan For Temperature Transmitter c/w RTD </v>
          </cell>
        </row>
        <row r="1324">
          <cell r="M1324" t="str">
            <v>131242-WSW46-QA-I-XXXX</v>
          </cell>
          <cell r="N1324" t="str">
            <v>Vendor Manufacturing Inspection and Test Plan For Pressure Transmitter</v>
          </cell>
        </row>
        <row r="1325">
          <cell r="M1325" t="str">
            <v>131243-WSW46-QA-I-XXXX</v>
          </cell>
          <cell r="N1325" t="str">
            <v>Vendor Manufacturing Inspection and Test Plan For Level Transmitter Radar (Non-Contacting)</v>
          </cell>
        </row>
        <row r="1326">
          <cell r="M1326" t="str">
            <v>131244-WSW46-QA-I-XXXX</v>
          </cell>
          <cell r="N1326" t="str">
            <v>Vendor Manufacturing Inspection and Test Plan For Pressure Switch</v>
          </cell>
        </row>
        <row r="1327">
          <cell r="M1327" t="str">
            <v>131245-WSW46-QA-I-XXXX</v>
          </cell>
          <cell r="N1327" t="str">
            <v>Vendor Manufacturing Inspection and Test Plan For Level Transmitter – RF Admittance</v>
          </cell>
        </row>
        <row r="1328">
          <cell r="M1328" t="str">
            <v>131246-WSW46-QA-I-XXXX</v>
          </cell>
          <cell r="N1328" t="str">
            <v>Vendor Manufacturing Inspection and Test Plan For Auto Sampler</v>
          </cell>
        </row>
        <row r="1329">
          <cell r="M1329" t="str">
            <v>131247-WSW46-QA-I-XXXX</v>
          </cell>
          <cell r="N1329" t="str">
            <v>Vendor Manufacturing Inspection and Test Plan For  Thermal Mass Flowmeter</v>
          </cell>
        </row>
        <row r="1330">
          <cell r="M1330" t="str">
            <v>131248-WSW46-QA-I-XXXX</v>
          </cell>
          <cell r="N1330" t="str">
            <v>Vendor Manufacturing Inspection and Test Plan For Thermal Flow Switch</v>
          </cell>
        </row>
        <row r="1331">
          <cell r="M1331" t="str">
            <v>131249-WSW46-QA-I-XXXX</v>
          </cell>
          <cell r="N1331" t="str">
            <v>Vendor Manufacturing Inspection and Test Plan For Turbidity Analyser</v>
          </cell>
        </row>
        <row r="1332">
          <cell r="M1332" t="str">
            <v>131251-WSW46-QA-I-XXXX</v>
          </cell>
          <cell r="N1332" t="str">
            <v>Vendor Manufacturing Inspection and Test Plan For pH Analyser</v>
          </cell>
        </row>
        <row r="1333">
          <cell r="M1333" t="str">
            <v>131253-WIL21-QA-I-XXXX</v>
          </cell>
          <cell r="N1333" t="str">
            <v>Vendor Manufacturing Inspection and Test Plan For Weight Transmitter</v>
          </cell>
        </row>
        <row r="1334">
          <cell r="M1334" t="str">
            <v>131254-WIL21-QA-I-XXXX</v>
          </cell>
          <cell r="N1334" t="str">
            <v>Vendor Manufacturing Inspection and Test Plan For Toxicity Analyser</v>
          </cell>
        </row>
        <row r="1335">
          <cell r="M1335" t="str">
            <v>131255-WIL21-QA-I-XXXX</v>
          </cell>
          <cell r="N1335" t="str">
            <v xml:space="preserve">Vendor Manufacturing Inspection and Test Plan For  Volatile Organic Compound (VOC) Gas Analyser </v>
          </cell>
        </row>
        <row r="1336">
          <cell r="M1336" t="str">
            <v>131256-WIL22-QA-I-XXXX</v>
          </cell>
          <cell r="N1336" t="str">
            <v>Vendor Manufacturing Inspection and Test Plan For Total Solid Analyser</v>
          </cell>
        </row>
        <row r="1337">
          <cell r="M1337" t="str">
            <v>131257-WIL22-QA-I-XXXX</v>
          </cell>
          <cell r="N1337" t="str">
            <v>Vendor Manufacturing Inspection and Test Plan For Level Switch Sludge Blanket – Ultrasonic</v>
          </cell>
        </row>
        <row r="1338">
          <cell r="M1338" t="str">
            <v>131258-WIL23-QA-I-XXXX</v>
          </cell>
          <cell r="N1338" t="str">
            <v>Vendor Manufacturing Inspection and Test Plan For Level Switch – Tuning Fork</v>
          </cell>
        </row>
        <row r="1339">
          <cell r="M1339" t="str">
            <v>131259-WIL23-QA-I-XXXX</v>
          </cell>
          <cell r="N1339" t="str">
            <v>Vendor Manufacturing Inspection and Test Plan For Orthophosphate Analyser</v>
          </cell>
        </row>
        <row r="1340">
          <cell r="M1340" t="str">
            <v>131260-WIL23-QA-I-XXXX</v>
          </cell>
          <cell r="N1340" t="str">
            <v>Vendor Manufacturing Inspection and Test Plan For Conductivity Analyser</v>
          </cell>
        </row>
        <row r="1341">
          <cell r="M1341" t="str">
            <v>131261-WIL23-QA-I-XXXX</v>
          </cell>
          <cell r="N1341" t="str">
            <v>Vendor Manufacturing Inspection and Test Plan For ORP Analyser</v>
          </cell>
        </row>
        <row r="1342">
          <cell r="M1342" t="str">
            <v>131262-WIL23-QA-I-XXXX</v>
          </cell>
          <cell r="N1342" t="str">
            <v>Vendor Manufacturing Inspection and Test Plan For Total Suspended Solid (MLSS) Analyser</v>
          </cell>
        </row>
        <row r="1343">
          <cell r="M1343" t="str">
            <v>131263-WIL23-QA-I-XXXX</v>
          </cell>
          <cell r="N1343" t="str">
            <v xml:space="preserve">Vendor Manufacturing Inspection and Test Plan For Ammonia Analyser </v>
          </cell>
        </row>
        <row r="1344">
          <cell r="M1344" t="str">
            <v>131264-WIL23-QA-I-XXXX</v>
          </cell>
          <cell r="N1344" t="str">
            <v xml:space="preserve">Vendor Manufacturing Inspection and Test Plan For Dissolved Oxygen Analyser </v>
          </cell>
        </row>
        <row r="1345">
          <cell r="M1345" t="str">
            <v>131265-WIL23-QA-I-XXXX</v>
          </cell>
          <cell r="N1345" t="str">
            <v xml:space="preserve">Vendor Manufacturing Inspection and Test Plan For Nitrate / Nitrite Analyser </v>
          </cell>
        </row>
        <row r="1346">
          <cell r="M1346" t="str">
            <v>131266-WNS03-QA-I-XXXX</v>
          </cell>
          <cell r="N1346" t="str">
            <v>Vendor Manufacturing Inspection and Test Plan For Differential Pressure Transmitter</v>
          </cell>
        </row>
        <row r="1347">
          <cell r="M1347" t="str">
            <v>131267-WSW46-QA-I-XXXX</v>
          </cell>
          <cell r="N1347" t="str">
            <v xml:space="preserve">Vendor Manufacturing Inspection and Test Plan For Local Display </v>
          </cell>
        </row>
        <row r="1348">
          <cell r="M1348" t="str">
            <v>131268-WSW46-QA-I-XXXX</v>
          </cell>
          <cell r="N1348" t="str">
            <v>Vendor Manufacturing Inspection and Test Plan For Rotameter c/w Flow (Reed) Switch</v>
          </cell>
        </row>
        <row r="1349">
          <cell r="M1349" t="str">
            <v>131269-WSW46-QA-I-XXXX</v>
          </cell>
          <cell r="N1349" t="str">
            <v>Vendor Manufacturing Inspection and Test Plan For Flowmeter - Electromagnetic</v>
          </cell>
        </row>
        <row r="1350">
          <cell r="M1350" t="str">
            <v>131270-WSW46-QA-I-XXXX</v>
          </cell>
          <cell r="N1350" t="str">
            <v>Vendor Manufacturing Inspection and Test Plan For Flowmeter - Open Channel Ultrasonic</v>
          </cell>
        </row>
        <row r="1351">
          <cell r="M1351" t="str">
            <v>131271-WIL21-QA-I-XXXX</v>
          </cell>
          <cell r="N1351" t="str">
            <v>Vendor Manufacturing Inspection and Test Plan For Truck Position Sensor</v>
          </cell>
        </row>
        <row r="1352">
          <cell r="M1352" t="str">
            <v>131272-WIL23-QA-I-XXXX</v>
          </cell>
          <cell r="N1352" t="str">
            <v>Vendor Manufacturing Inspection and Test Plan For Limit Switch</v>
          </cell>
        </row>
        <row r="1353">
          <cell r="M1353" t="str">
            <v>131273-WIL22-QA-I-XXXX</v>
          </cell>
          <cell r="N1353" t="str">
            <v>Vendor Manufacturing Inspection and Test Plan For Level Switch - Ultrasonic</v>
          </cell>
        </row>
        <row r="1354">
          <cell r="M1354"/>
        </row>
        <row r="1355">
          <cell r="M1355"/>
          <cell r="N1355"/>
        </row>
        <row r="1356">
          <cell r="M1356" t="str">
            <v>131273-WIL06-QA-I-XXXX</v>
          </cell>
          <cell r="N1356" t="str">
            <v>FAT Report For RIO Panel WIL06-RIO-0102A</v>
          </cell>
        </row>
        <row r="1357">
          <cell r="M1357" t="str">
            <v>131273-WIL06-QA-I-XXXX</v>
          </cell>
          <cell r="N1357" t="str">
            <v>FAT Report For RIO Panel WIL06-RIO-0102B</v>
          </cell>
        </row>
        <row r="1358">
          <cell r="M1358" t="str">
            <v>131273-WIL21-QA-I-XXXX</v>
          </cell>
          <cell r="N1358" t="str">
            <v>FAT Report For RIO Panel WIL21-RIO-0101A</v>
          </cell>
        </row>
        <row r="1359">
          <cell r="M1359" t="str">
            <v>131273-WIL21-QA-I-XXXX</v>
          </cell>
          <cell r="N1359" t="str">
            <v>FAT Report For RIO Panel WIL21-RIO-0101B</v>
          </cell>
        </row>
        <row r="1360">
          <cell r="M1360" t="str">
            <v>131273-WIL21-QA-I-XXXX</v>
          </cell>
          <cell r="N1360" t="str">
            <v>FAT Report For RIO Panel WIL21-RIO-0301A</v>
          </cell>
        </row>
        <row r="1361">
          <cell r="M1361" t="str">
            <v>131273-WIL21-QA-I-XXXX</v>
          </cell>
          <cell r="N1361" t="str">
            <v>FAT Report For RIO Panel WIL21-RIO-0301B</v>
          </cell>
        </row>
        <row r="1362">
          <cell r="M1362" t="str">
            <v>131273-WIL21-QA-I-XXXX</v>
          </cell>
          <cell r="N1362" t="str">
            <v>FAT Report For RIO Panel WIL21-RIO-0302A</v>
          </cell>
        </row>
        <row r="1363">
          <cell r="M1363" t="str">
            <v>131273-WIL21-QA-I-XXXX</v>
          </cell>
          <cell r="N1363" t="str">
            <v>FAT Report For RIO Panel WIL21-RIO-0302B</v>
          </cell>
        </row>
        <row r="1364">
          <cell r="M1364" t="str">
            <v>131273-WIL21-QA-I-XXXX</v>
          </cell>
          <cell r="N1364" t="str">
            <v>FAT Report For RIO Panel WIL21-RIO-0303A</v>
          </cell>
        </row>
        <row r="1365">
          <cell r="M1365" t="str">
            <v>131273-WIL21-QA-I-XXXX</v>
          </cell>
          <cell r="N1365" t="str">
            <v>FAT Report For RIO Panel WIL21-RIO-0303B</v>
          </cell>
        </row>
        <row r="1366">
          <cell r="M1366" t="str">
            <v>131273-WIL21-QA-I-XXXX</v>
          </cell>
          <cell r="N1366" t="str">
            <v>FAT Report For RIO Panel WIL21-RIO-0001A</v>
          </cell>
        </row>
        <row r="1367">
          <cell r="M1367" t="str">
            <v>131273-WIL21-QA-I-XXXX</v>
          </cell>
          <cell r="N1367" t="str">
            <v>FAT Report For RIO Panel WIL21-RIO-0001B</v>
          </cell>
        </row>
        <row r="1368">
          <cell r="M1368" t="str">
            <v>131273-WIL22-QA-I-XXXX</v>
          </cell>
          <cell r="N1368" t="str">
            <v>FAT Report For RIO Panel WIL22-RIO-0102A</v>
          </cell>
        </row>
        <row r="1369">
          <cell r="M1369" t="str">
            <v>131273-WIL22-QA-I-XXXX</v>
          </cell>
          <cell r="N1369" t="str">
            <v>FAT Report For RIO Panel WIL22-RIO-0102B</v>
          </cell>
        </row>
        <row r="1370">
          <cell r="M1370" t="str">
            <v>131273-WIL22-QA-I-XXXX</v>
          </cell>
          <cell r="N1370" t="str">
            <v>FAT Report For RIO Panel WIL22-RIO-0103A</v>
          </cell>
        </row>
        <row r="1371">
          <cell r="M1371" t="str">
            <v>131273-WIL22-QA-I-XXXX</v>
          </cell>
          <cell r="N1371" t="str">
            <v>FAT Report For RIO Panel WIL22-RIO-0103B</v>
          </cell>
        </row>
        <row r="1372">
          <cell r="M1372" t="str">
            <v>131273-WIL22-QA-I-XXXX</v>
          </cell>
          <cell r="N1372" t="str">
            <v>FAT Report For RIO Panel WIL22-RIO-0104A</v>
          </cell>
        </row>
        <row r="1373">
          <cell r="M1373" t="str">
            <v>131273-WIL22-QA-I-XXXX</v>
          </cell>
          <cell r="N1373" t="str">
            <v>FAT Report For RIO Panel WIL22-RIO-0104B</v>
          </cell>
        </row>
        <row r="1374">
          <cell r="M1374" t="str">
            <v>131273-WIL22-QA-I-XXXX</v>
          </cell>
          <cell r="N1374" t="str">
            <v>FAT Report For RIO Panel WIL22-RIO-0001A</v>
          </cell>
        </row>
        <row r="1375">
          <cell r="M1375" t="str">
            <v>131273-WIL22-QA-I-XXXX</v>
          </cell>
          <cell r="N1375" t="str">
            <v>FAT Report For RIO Panel WIL22-RIO-0001B</v>
          </cell>
        </row>
        <row r="1376">
          <cell r="M1376" t="str">
            <v>131273-WIL23-QA-I-XXXX</v>
          </cell>
          <cell r="N1376" t="str">
            <v>FAT Report For RIO Panel WIL23-RIO-0101A</v>
          </cell>
        </row>
        <row r="1377">
          <cell r="M1377" t="str">
            <v>131273-WIL23-QA-I-XXXX</v>
          </cell>
          <cell r="N1377" t="str">
            <v>FAT Report For RIO Panel WIL23-RIO-0101B</v>
          </cell>
        </row>
        <row r="1378">
          <cell r="M1378" t="str">
            <v>131273-WIL23-QA-I-XXXX</v>
          </cell>
          <cell r="N1378" t="str">
            <v>FAT Report For RIO Panel WIL23-RIO-0102A</v>
          </cell>
        </row>
        <row r="1379">
          <cell r="M1379" t="str">
            <v>131273-WIL23-QA-I-XXXX</v>
          </cell>
          <cell r="N1379" t="str">
            <v>FAT Report For RIO Panel WIL23-RIO-0102B</v>
          </cell>
        </row>
        <row r="1380">
          <cell r="M1380" t="str">
            <v>131273-WIL23-QA-I-XXXX</v>
          </cell>
          <cell r="N1380" t="str">
            <v>FAT Report For RIO Panel WIL23-RIO-0001A</v>
          </cell>
        </row>
        <row r="1381">
          <cell r="M1381" t="str">
            <v>131273-WIL23-QA-I-XXXX</v>
          </cell>
          <cell r="N1381" t="str">
            <v>FAT Report For RIO Panel WIL23-RIO-0001B</v>
          </cell>
        </row>
        <row r="1382">
          <cell r="M1382" t="str">
            <v>131273-WIL23-QA-I-XXXX</v>
          </cell>
          <cell r="N1382" t="str">
            <v>FAT Report For RIO Panel WIL23-RIO-0201</v>
          </cell>
        </row>
        <row r="1383">
          <cell r="M1383" t="str">
            <v>131273-WIL23-QA-I-XXXX</v>
          </cell>
          <cell r="N1383" t="str">
            <v>FAT Report For RIO Panel WIL23-RIO-0202</v>
          </cell>
        </row>
        <row r="1384">
          <cell r="M1384" t="str">
            <v>131273-WIL23-QA-I-XXXX</v>
          </cell>
          <cell r="N1384" t="str">
            <v>FAT Report For RIO Panel WIL23-RIO-0203</v>
          </cell>
        </row>
        <row r="1385">
          <cell r="M1385" t="str">
            <v>131273-WIL23-QA-I-XXXX</v>
          </cell>
          <cell r="N1385" t="str">
            <v>FAT Report For RIO Panel WIL23-RIO-0204A</v>
          </cell>
        </row>
        <row r="1386">
          <cell r="M1386" t="str">
            <v>131273-WIL23-QA-I-XXXX</v>
          </cell>
          <cell r="N1386" t="str">
            <v>FAT Report For RIO Panel WIL23-RIO-0204B</v>
          </cell>
        </row>
        <row r="1387">
          <cell r="M1387" t="str">
            <v>131273-WIL23-QA-I-XXXX</v>
          </cell>
          <cell r="N1387" t="str">
            <v>FAT Report For RIO Panel WIL23-RIO-0001A</v>
          </cell>
        </row>
        <row r="1388">
          <cell r="M1388" t="str">
            <v>131273-WIL23-QA-I-XXXX</v>
          </cell>
          <cell r="N1388" t="str">
            <v>FAT Report For RIO Panel WIL23-RIO-0001B</v>
          </cell>
        </row>
        <row r="1389">
          <cell r="M1389" t="str">
            <v>131273-WIL23-QA-I-XXXX</v>
          </cell>
          <cell r="N1389" t="str">
            <v>FAT Report For RIO Panel WIL23-RIO-0401</v>
          </cell>
        </row>
        <row r="1390">
          <cell r="M1390" t="str">
            <v>131273-WIL23-QA-I-XXXX</v>
          </cell>
          <cell r="N1390" t="str">
            <v>FAT Report For RIO Panel WIL23-RIO-0402</v>
          </cell>
        </row>
        <row r="1391">
          <cell r="M1391" t="str">
            <v>131273-WIL23-QA-I-XXXX</v>
          </cell>
          <cell r="N1391" t="str">
            <v>FAT Report For RIO Panel WIL23-RIO-0403</v>
          </cell>
        </row>
        <row r="1392">
          <cell r="M1392" t="str">
            <v>131273-WIL23-QA-I-XXXX</v>
          </cell>
          <cell r="N1392" t="str">
            <v>FAT Report For RIO Panel WIL23-RIO-0404</v>
          </cell>
        </row>
        <row r="1393">
          <cell r="M1393" t="str">
            <v>131273-WIL23-QA-I-XXXX</v>
          </cell>
          <cell r="N1393" t="str">
            <v>FAT Report For RIO Panel WIL23-RIO-0405</v>
          </cell>
        </row>
        <row r="1394">
          <cell r="M1394" t="str">
            <v>131273-WIL23-QA-I-XXXX</v>
          </cell>
          <cell r="N1394" t="str">
            <v>FAT Report For RIO Panel WIL23-RIO-0406</v>
          </cell>
        </row>
        <row r="1395">
          <cell r="M1395" t="str">
            <v>131273-WIL23-QA-I-XXXX</v>
          </cell>
          <cell r="N1395" t="str">
            <v>FAT Report For RIO Panel WIL23-RIO-0407</v>
          </cell>
        </row>
        <row r="1396">
          <cell r="M1396" t="str">
            <v>131273-WIL23-QA-I-XXXX</v>
          </cell>
          <cell r="N1396" t="str">
            <v>FAT Report For RIO Panel WIL23-RIO-0408</v>
          </cell>
        </row>
        <row r="1397">
          <cell r="M1397" t="str">
            <v>131273-WIL23-QA-I-XXXX</v>
          </cell>
          <cell r="N1397" t="str">
            <v>FAT Report For RIO Panel WIL23-RIO-0409</v>
          </cell>
        </row>
        <row r="1398">
          <cell r="M1398" t="str">
            <v>131273-WIL23-QA-I-XXXX</v>
          </cell>
          <cell r="N1398" t="str">
            <v>FAT Report For RIO Panel WIL23-RIO-0410</v>
          </cell>
        </row>
        <row r="1399">
          <cell r="M1399" t="str">
            <v>131273-WIL23-QA-I-XXXX</v>
          </cell>
          <cell r="N1399" t="str">
            <v>FAT Report For RIO Panel WIL23-RIO-0001A</v>
          </cell>
        </row>
        <row r="1400">
          <cell r="M1400" t="str">
            <v>131273-WIL23-QA-I-XXXX</v>
          </cell>
          <cell r="N1400" t="str">
            <v>FAT Report For RIO Panel WIL23-RIO-0001B</v>
          </cell>
        </row>
        <row r="1401">
          <cell r="M1401" t="str">
            <v>131273-WIL23-QA-I-XXXX</v>
          </cell>
          <cell r="N1401" t="str">
            <v>FAT Report For RIO Panel WIL23-RIO-0301</v>
          </cell>
        </row>
        <row r="1402">
          <cell r="M1402" t="str">
            <v>131273-WIL23-QA-I-XXXX</v>
          </cell>
          <cell r="N1402" t="str">
            <v>FAT Report For RIO Panel WIL23-RIO-0302</v>
          </cell>
        </row>
        <row r="1403">
          <cell r="M1403" t="str">
            <v>131273-WIL23-QA-I-XXXX</v>
          </cell>
          <cell r="N1403" t="str">
            <v>FAT Report For RIO Panel WIL23-RIO-0303</v>
          </cell>
        </row>
        <row r="1404">
          <cell r="M1404" t="str">
            <v>131273-WIL23-QA-I-XXXX</v>
          </cell>
          <cell r="N1404" t="str">
            <v>FAT Report For RIO Panel WIL23-RIO-0304A</v>
          </cell>
        </row>
        <row r="1405">
          <cell r="M1405" t="str">
            <v>131273-WIL23-QA-I-XXXX</v>
          </cell>
          <cell r="N1405" t="str">
            <v>FAT Report For RIO Panel WIL23-RIO-0304B</v>
          </cell>
        </row>
        <row r="1406">
          <cell r="M1406" t="str">
            <v>131273-WIL23-QA-I-XXXX</v>
          </cell>
          <cell r="N1406" t="str">
            <v>FAT Report For RIO Panel WIL23-RIO-0002A</v>
          </cell>
        </row>
        <row r="1407">
          <cell r="M1407" t="str">
            <v>131273-WIL23-QA-I-XXXX</v>
          </cell>
          <cell r="N1407" t="str">
            <v>FAT Report For RIO Panel WIL23-RIO-0002B</v>
          </cell>
        </row>
        <row r="1408">
          <cell r="M1408" t="str">
            <v>131273-WIL23-QA-I-XXXX</v>
          </cell>
          <cell r="N1408" t="str">
            <v>FAT Report For RIO Panel WIL23-RIO-0501</v>
          </cell>
        </row>
        <row r="1409">
          <cell r="M1409" t="str">
            <v>131273-WIL23-QA-I-XXXX</v>
          </cell>
          <cell r="N1409" t="str">
            <v>FAT Report For RIO Panel WIL23-RIO-0502</v>
          </cell>
        </row>
        <row r="1410">
          <cell r="M1410" t="str">
            <v>131273-WIL23-QA-I-XXXX</v>
          </cell>
          <cell r="N1410" t="str">
            <v>FAT Report For RIO Panel WIL23-RIO-0503</v>
          </cell>
        </row>
        <row r="1411">
          <cell r="M1411" t="str">
            <v>131273-WIL23-QA-I-XXXX</v>
          </cell>
          <cell r="N1411" t="str">
            <v>FAT Report For RIO Panel WIL23-RIO-0504</v>
          </cell>
        </row>
        <row r="1412">
          <cell r="M1412" t="str">
            <v>131273-WIL23-QA-I-XXXX</v>
          </cell>
          <cell r="N1412" t="str">
            <v>FAT Report For RIO Panel WIL23-RIO-0505</v>
          </cell>
        </row>
        <row r="1413">
          <cell r="M1413" t="str">
            <v>131273-WIL23-QA-I-XXXX</v>
          </cell>
          <cell r="N1413" t="str">
            <v>FAT Report For RIO Panel WIL23-RIO-0506</v>
          </cell>
        </row>
        <row r="1414">
          <cell r="M1414" t="str">
            <v>131273-WIL23-QA-I-XXXX</v>
          </cell>
          <cell r="N1414" t="str">
            <v>FAT Report For RIO Panel WIL23-RIO-0507</v>
          </cell>
        </row>
        <row r="1415">
          <cell r="M1415" t="str">
            <v>131273-WIL23-QA-I-XXXX</v>
          </cell>
          <cell r="N1415" t="str">
            <v>FAT Report For RIO Panel WIL23-RIO-0508</v>
          </cell>
        </row>
        <row r="1416">
          <cell r="M1416" t="str">
            <v>131273-WIL23-QA-I-XXXX</v>
          </cell>
          <cell r="N1416" t="str">
            <v>FAT Report For RIO Panel WIL23-RIO-0002A</v>
          </cell>
        </row>
        <row r="1417">
          <cell r="M1417" t="str">
            <v>131273-WIL23-QA-I-XXXX</v>
          </cell>
          <cell r="N1417" t="str">
            <v>FAT Report For RIO Panel WIL23-RIO-0002B</v>
          </cell>
        </row>
        <row r="1418">
          <cell r="M1418" t="str">
            <v>131273-WIL23-QA-I-XXXX</v>
          </cell>
          <cell r="N1418" t="str">
            <v>FAT Report For RIO Panel WIL23-RIO-0601A</v>
          </cell>
        </row>
        <row r="1419">
          <cell r="M1419" t="str">
            <v>131273-WIL23-QA-I-XXXX</v>
          </cell>
          <cell r="N1419" t="str">
            <v>FAT Report For RIO Panel WIL23-RIO-0601B</v>
          </cell>
        </row>
        <row r="1420">
          <cell r="M1420"/>
        </row>
        <row r="1421">
          <cell r="M1421"/>
          <cell r="N1421"/>
        </row>
        <row r="1422">
          <cell r="M1422"/>
        </row>
        <row r="1423">
          <cell r="M1423"/>
        </row>
        <row r="1424">
          <cell r="M1424"/>
        </row>
        <row r="1425">
          <cell r="M1425"/>
        </row>
        <row r="1426">
          <cell r="M1426"/>
          <cell r="N1426"/>
        </row>
        <row r="1427">
          <cell r="M1427" t="str">
            <v>131273-WSW46-MS-I-XXXX</v>
          </cell>
          <cell r="N1427" t="str">
            <v>MSRA For Installation, Testing &amp; Commissioning of ICA Works</v>
          </cell>
        </row>
        <row r="1428">
          <cell r="M1428" t="str">
            <v>131273-WSW46-MS-I-XXXX</v>
          </cell>
          <cell r="N1428" t="str">
            <v>MSRA For Installation of cable raceways and cables, panels and instruments for ICA Works</v>
          </cell>
        </row>
        <row r="1429">
          <cell r="M1429" t="str">
            <v>131273-WSW46-MS-I-XXXX</v>
          </cell>
          <cell r="N1429" t="str">
            <v>MSRA For Loading and Unloading the Cable Raceway Materials from Container</v>
          </cell>
        </row>
        <row r="1430">
          <cell r="M1430" t="str">
            <v>131273-WSW46-MS-I-XXXX</v>
          </cell>
          <cell r="N1430" t="str">
            <v>MSRA For Erection, Modification and Dismantling of Scaffold</v>
          </cell>
        </row>
        <row r="1431">
          <cell r="M1431" t="str">
            <v>131273-WSW46-MS-I-XXXX</v>
          </cell>
          <cell r="N1431" t="str">
            <v>MSRA For Installation, Testing &amp; Commissioning Of ICA Panel Works</v>
          </cell>
        </row>
        <row r="1435">
          <cell r="M1435"/>
          <cell r="N1435"/>
        </row>
        <row r="1436">
          <cell r="M1436" t="str">
            <v>131236-PQ-I</v>
          </cell>
        </row>
        <row r="1437">
          <cell r="M1437" t="str">
            <v>131236-PQ-I</v>
          </cell>
        </row>
        <row r="1438">
          <cell r="M1438" t="str">
            <v>131236-PQ-I</v>
          </cell>
        </row>
        <row r="1439">
          <cell r="M1439" t="str">
            <v>131236-PQ-I</v>
          </cell>
        </row>
        <row r="1440">
          <cell r="M1440" t="str">
            <v>131236-PQ-I</v>
          </cell>
        </row>
        <row r="1441">
          <cell r="M1441" t="str">
            <v>131236-PQ-I</v>
          </cell>
        </row>
        <row r="1442">
          <cell r="M1442" t="str">
            <v>131236-PQ-I</v>
          </cell>
        </row>
        <row r="1443">
          <cell r="M1443" t="str">
            <v>131236-PQ-I</v>
          </cell>
        </row>
        <row r="1444">
          <cell r="M1444" t="str">
            <v>131236-PQ-I</v>
          </cell>
        </row>
        <row r="1445">
          <cell r="M1445" t="str">
            <v>131236-PQ-I</v>
          </cell>
        </row>
        <row r="1446">
          <cell r="M1446" t="str">
            <v>131236-PQ-I</v>
          </cell>
        </row>
        <row r="1447">
          <cell r="M1447" t="str">
            <v>131236-PQ-I</v>
          </cell>
        </row>
        <row r="1448">
          <cell r="M1448" t="str">
            <v>131236-PQ-I</v>
          </cell>
        </row>
        <row r="1449">
          <cell r="M1449" t="str">
            <v>131236-PQ-I</v>
          </cell>
        </row>
        <row r="1450">
          <cell r="M1450" t="str">
            <v>131236-PQ-I</v>
          </cell>
        </row>
        <row r="1451">
          <cell r="M1451" t="str">
            <v>131236-PQ-I</v>
          </cell>
        </row>
        <row r="1452">
          <cell r="M1452" t="str">
            <v>131236-PQ-I</v>
          </cell>
        </row>
        <row r="1453">
          <cell r="M1453" t="str">
            <v>131236-PQ-I</v>
          </cell>
        </row>
        <row r="1454">
          <cell r="M1454" t="str">
            <v>131236-PQ-I</v>
          </cell>
        </row>
        <row r="1455">
          <cell r="M1455" t="str">
            <v>131236-PQ-I</v>
          </cell>
        </row>
        <row r="1456">
          <cell r="M1456" t="str">
            <v>131236-PQ-I</v>
          </cell>
        </row>
        <row r="1457">
          <cell r="M1457" t="str">
            <v>131236-PQ-I</v>
          </cell>
        </row>
        <row r="1458">
          <cell r="M1458" t="str">
            <v>131236-PQ-I</v>
          </cell>
        </row>
        <row r="1459">
          <cell r="M1459" t="str">
            <v>131236-PQ-I</v>
          </cell>
        </row>
        <row r="1460">
          <cell r="M1460" t="str">
            <v>131236-PQ-I</v>
          </cell>
        </row>
        <row r="1461">
          <cell r="M1461" t="str">
            <v>131236-PQ-I</v>
          </cell>
        </row>
        <row r="1462">
          <cell r="M1462" t="str">
            <v>131236-PQ-I</v>
          </cell>
        </row>
        <row r="1463">
          <cell r="M1463" t="str">
            <v>131236-PQ-I</v>
          </cell>
        </row>
        <row r="1464">
          <cell r="M1464" t="str">
            <v>131236-PQ-I</v>
          </cell>
        </row>
        <row r="1465">
          <cell r="M1465" t="str">
            <v>131236-PQ-I</v>
          </cell>
        </row>
        <row r="1466">
          <cell r="M1466" t="str">
            <v>131236-PQ-I</v>
          </cell>
        </row>
        <row r="1467">
          <cell r="M1467" t="str">
            <v>131236-PQ-I</v>
          </cell>
        </row>
        <row r="1468">
          <cell r="M1468" t="str">
            <v>131236-PQ-I</v>
          </cell>
        </row>
        <row r="1469">
          <cell r="M1469" t="str">
            <v>131236-PQ-I</v>
          </cell>
        </row>
        <row r="1470">
          <cell r="M1470" t="str">
            <v>131236-PQ-I</v>
          </cell>
        </row>
        <row r="1471">
          <cell r="M1471" t="str">
            <v>131236-PQ-I</v>
          </cell>
        </row>
        <row r="1472">
          <cell r="M1472" t="str">
            <v>131236-PQ-I</v>
          </cell>
        </row>
        <row r="1473">
          <cell r="M1473" t="str">
            <v>131236-PQ-I</v>
          </cell>
        </row>
        <row r="1474">
          <cell r="M1474" t="str">
            <v>131236-PQ-I</v>
          </cell>
        </row>
        <row r="1475">
          <cell r="M1475" t="str">
            <v>131236-PQ-I</v>
          </cell>
        </row>
        <row r="1476">
          <cell r="M1476" t="str">
            <v>131236-PQ-I</v>
          </cell>
        </row>
        <row r="1477">
          <cell r="M1477" t="str">
            <v>131236-PQ-I</v>
          </cell>
        </row>
        <row r="1478">
          <cell r="M1478" t="str">
            <v>131236-PQ-I</v>
          </cell>
        </row>
        <row r="1479">
          <cell r="M1479" t="str">
            <v>131236-PQ-I</v>
          </cell>
        </row>
        <row r="1480">
          <cell r="M1480" t="str">
            <v>131236-PQ-I</v>
          </cell>
        </row>
        <row r="1481">
          <cell r="M1481" t="str">
            <v>131236-PQ-I</v>
          </cell>
        </row>
        <row r="1482">
          <cell r="M1482" t="str">
            <v>131236-PQ-I</v>
          </cell>
        </row>
        <row r="1483">
          <cell r="M1483" t="str">
            <v>131236-PQ-I</v>
          </cell>
        </row>
        <row r="1484">
          <cell r="M1484" t="str">
            <v>131236-PQ-I</v>
          </cell>
        </row>
        <row r="1485">
          <cell r="M1485" t="str">
            <v>131236-PQ-I</v>
          </cell>
        </row>
        <row r="1486">
          <cell r="M1486" t="str">
            <v>131236-PQ-I</v>
          </cell>
        </row>
        <row r="1487">
          <cell r="M1487" t="str">
            <v>131236-PQ-I</v>
          </cell>
        </row>
        <row r="1488">
          <cell r="M1488" t="str">
            <v>131236-PQ-I</v>
          </cell>
        </row>
        <row r="1489">
          <cell r="M1489" t="str">
            <v>131236-PQ-I</v>
          </cell>
        </row>
        <row r="1490">
          <cell r="M1490" t="str">
            <v>131236-PQ-I</v>
          </cell>
        </row>
        <row r="1491">
          <cell r="M1491" t="str">
            <v>131236-PQ-I</v>
          </cell>
        </row>
        <row r="1492">
          <cell r="M1492" t="str">
            <v>131236-PQ-I</v>
          </cell>
        </row>
        <row r="1493">
          <cell r="M1493" t="str">
            <v>131236-PQ-I</v>
          </cell>
        </row>
        <row r="1494">
          <cell r="M1494" t="str">
            <v>131236-PQ-I</v>
          </cell>
        </row>
        <row r="1495">
          <cell r="M1495" t="str">
            <v>131236-PQ-I</v>
          </cell>
        </row>
        <row r="1496">
          <cell r="M1496" t="str">
            <v>131236-PQ-I</v>
          </cell>
        </row>
        <row r="1497">
          <cell r="M1497" t="str">
            <v>131236-PQ-I</v>
          </cell>
        </row>
        <row r="1498">
          <cell r="M1498" t="str">
            <v>131236-PQ-I</v>
          </cell>
        </row>
        <row r="1499">
          <cell r="M1499" t="str">
            <v>131236-PQ-I</v>
          </cell>
        </row>
        <row r="1500">
          <cell r="M1500" t="str">
            <v>131236-PQ-I</v>
          </cell>
        </row>
        <row r="1501">
          <cell r="M1501" t="str">
            <v>131236-PQ-I</v>
          </cell>
        </row>
        <row r="1502">
          <cell r="M1502" t="str">
            <v>131236-PQ-I</v>
          </cell>
        </row>
        <row r="1503">
          <cell r="M1503" t="str">
            <v>131236-PQ-I</v>
          </cell>
        </row>
        <row r="1504">
          <cell r="M1504" t="str">
            <v>131236-PQ-I</v>
          </cell>
        </row>
        <row r="1505">
          <cell r="M1505" t="str">
            <v>131236-PQ-I</v>
          </cell>
        </row>
        <row r="1506">
          <cell r="M1506" t="str">
            <v>131236-PQ-I</v>
          </cell>
        </row>
        <row r="1507">
          <cell r="M1507" t="str">
            <v>131236-PQ-I</v>
          </cell>
        </row>
        <row r="1508">
          <cell r="M1508" t="str">
            <v>131236-PQ-I</v>
          </cell>
        </row>
        <row r="1509">
          <cell r="M1509" t="str">
            <v>131236-PQ-I</v>
          </cell>
        </row>
        <row r="1510">
          <cell r="M1510" t="str">
            <v>131236-PQ-I</v>
          </cell>
        </row>
        <row r="1511">
          <cell r="M1511" t="str">
            <v>131236-PQ-I</v>
          </cell>
        </row>
        <row r="1512">
          <cell r="M1512" t="str">
            <v>131236-PQ-I</v>
          </cell>
        </row>
        <row r="1513">
          <cell r="M1513" t="str">
            <v>131236-PQ-I</v>
          </cell>
        </row>
        <row r="1514">
          <cell r="M1514" t="str">
            <v>131236-PQ-I</v>
          </cell>
        </row>
        <row r="1515">
          <cell r="M1515" t="str">
            <v>131236-PQ-I</v>
          </cell>
        </row>
        <row r="1516">
          <cell r="M1516" t="str">
            <v>131236-PQ-I</v>
          </cell>
        </row>
        <row r="1517">
          <cell r="M1517" t="str">
            <v>131236-PQ-I</v>
          </cell>
        </row>
        <row r="1518">
          <cell r="M1518" t="str">
            <v>131236-PQ-I</v>
          </cell>
        </row>
        <row r="1519">
          <cell r="M1519" t="str">
            <v>131236-PQ-I</v>
          </cell>
        </row>
        <row r="1520">
          <cell r="M1520" t="str">
            <v>131236-PQ-I</v>
          </cell>
        </row>
        <row r="1521">
          <cell r="M1521" t="str">
            <v>131236-PQ-I</v>
          </cell>
        </row>
        <row r="1522">
          <cell r="M1522" t="str">
            <v>131236-PQ-I</v>
          </cell>
        </row>
        <row r="1523">
          <cell r="M1523" t="str">
            <v>131236-PQ-I</v>
          </cell>
        </row>
        <row r="1524">
          <cell r="M1524" t="str">
            <v>131236-PQ-I</v>
          </cell>
        </row>
        <row r="1525">
          <cell r="M1525" t="str">
            <v>131236-PQ-I</v>
          </cell>
        </row>
        <row r="1526">
          <cell r="M1526" t="str">
            <v>131236-PQ-I</v>
          </cell>
        </row>
        <row r="1527">
          <cell r="M1527" t="str">
            <v>131236-PQ-I</v>
          </cell>
        </row>
        <row r="1528">
          <cell r="M1528" t="str">
            <v>131236-PQ-I</v>
          </cell>
        </row>
        <row r="1529">
          <cell r="M1529" t="str">
            <v>131236-PQ-I</v>
          </cell>
        </row>
        <row r="1530">
          <cell r="M1530" t="str">
            <v>131236-PQ-I</v>
          </cell>
        </row>
        <row r="1531">
          <cell r="M1531" t="str">
            <v>131236-PQ-I</v>
          </cell>
        </row>
        <row r="1532">
          <cell r="M1532" t="str">
            <v>131236-PQ-I</v>
          </cell>
        </row>
        <row r="1533">
          <cell r="M1533" t="str">
            <v>131236-PQ-I</v>
          </cell>
        </row>
        <row r="1534">
          <cell r="M1534" t="str">
            <v>131236-PQ-I</v>
          </cell>
        </row>
        <row r="1535">
          <cell r="M1535" t="str">
            <v>131236-PQ-I</v>
          </cell>
        </row>
        <row r="1536">
          <cell r="M1536" t="str">
            <v>131236-PQ-I</v>
          </cell>
        </row>
        <row r="1537">
          <cell r="M1537" t="str">
            <v>131236-PQ-I</v>
          </cell>
        </row>
        <row r="1538">
          <cell r="M1538" t="str">
            <v>131236-PQ-I</v>
          </cell>
        </row>
        <row r="1539">
          <cell r="M1539" t="str">
            <v>131236-PQ-I</v>
          </cell>
        </row>
        <row r="1540">
          <cell r="M1540" t="str">
            <v>131236-PQ-I</v>
          </cell>
        </row>
        <row r="1541">
          <cell r="M1541" t="str">
            <v>131236-PQ-I</v>
          </cell>
        </row>
        <row r="1542">
          <cell r="M1542" t="str">
            <v>131236-PQ-I</v>
          </cell>
        </row>
        <row r="1543">
          <cell r="M1543" t="str">
            <v>131236-PQ-I</v>
          </cell>
        </row>
        <row r="1544">
          <cell r="M1544" t="str">
            <v>131236-PQ-I</v>
          </cell>
        </row>
        <row r="1545">
          <cell r="M1545" t="str">
            <v>131236-PQ-I</v>
          </cell>
        </row>
        <row r="1546">
          <cell r="M1546" t="str">
            <v>131236-PQ-I</v>
          </cell>
        </row>
        <row r="1547">
          <cell r="M1547" t="str">
            <v>131236-PQ-I</v>
          </cell>
        </row>
        <row r="1548">
          <cell r="M1548" t="str">
            <v>131236-PQ-I</v>
          </cell>
        </row>
        <row r="1549">
          <cell r="M1549" t="str">
            <v>131236-PQ-I</v>
          </cell>
        </row>
        <row r="1550">
          <cell r="M1550" t="str">
            <v>131236-PQ-I</v>
          </cell>
        </row>
        <row r="1551">
          <cell r="M1551" t="str">
            <v>131236-PQ-I</v>
          </cell>
        </row>
        <row r="1552">
          <cell r="M1552" t="str">
            <v>131236-PQ-I</v>
          </cell>
        </row>
        <row r="1553">
          <cell r="M1553" t="str">
            <v>131236-PQ-I</v>
          </cell>
        </row>
        <row r="1554">
          <cell r="M1554" t="str">
            <v>131236-PQ-I</v>
          </cell>
        </row>
        <row r="1555">
          <cell r="M1555" t="str">
            <v>131236-PQ-I</v>
          </cell>
        </row>
        <row r="1556">
          <cell r="M1556" t="str">
            <v>131236-PQ-I</v>
          </cell>
        </row>
        <row r="1557">
          <cell r="M1557" t="str">
            <v>131236-PQ-I</v>
          </cell>
        </row>
        <row r="1558">
          <cell r="M1558" t="str">
            <v>131236-PQ-I</v>
          </cell>
        </row>
        <row r="1559">
          <cell r="M1559" t="str">
            <v>131236-PQ-I</v>
          </cell>
        </row>
        <row r="1560">
          <cell r="M1560" t="str">
            <v>131236-PQ-I</v>
          </cell>
        </row>
        <row r="1561">
          <cell r="M1561" t="str">
            <v>131236-PQ-I</v>
          </cell>
        </row>
        <row r="1562">
          <cell r="M1562" t="str">
            <v>131236-PQ-I</v>
          </cell>
        </row>
        <row r="1563">
          <cell r="M1563" t="str">
            <v>131236-PQ-I</v>
          </cell>
        </row>
        <row r="1564">
          <cell r="M1564" t="str">
            <v>131236-PQ-I</v>
          </cell>
        </row>
        <row r="1565">
          <cell r="M1565" t="str">
            <v>131236-PQ-I</v>
          </cell>
        </row>
        <row r="1566">
          <cell r="M1566" t="str">
            <v>131236-PQ-I</v>
          </cell>
        </row>
        <row r="1567">
          <cell r="M1567" t="str">
            <v>131236-PQ-I</v>
          </cell>
        </row>
        <row r="1568">
          <cell r="M1568" t="str">
            <v>131236-PQ-I</v>
          </cell>
        </row>
        <row r="1569">
          <cell r="M1569" t="str">
            <v>131236-PQ-I</v>
          </cell>
        </row>
        <row r="1570">
          <cell r="M1570" t="str">
            <v>131236-PQ-I</v>
          </cell>
        </row>
        <row r="1571">
          <cell r="M1571" t="str">
            <v>131236-PQ-I</v>
          </cell>
        </row>
        <row r="1572">
          <cell r="M1572" t="str">
            <v>131236-PQ-I</v>
          </cell>
        </row>
        <row r="1573">
          <cell r="M1573" t="str">
            <v>131236-PQ-I</v>
          </cell>
        </row>
        <row r="1574">
          <cell r="M1574" t="str">
            <v>131236-PQ-I</v>
          </cell>
        </row>
        <row r="1575">
          <cell r="M1575" t="str">
            <v>131236-PQ-I</v>
          </cell>
        </row>
        <row r="1576">
          <cell r="M1576" t="str">
            <v>131236-PQ-I</v>
          </cell>
        </row>
        <row r="1577">
          <cell r="M1577" t="str">
            <v>131236-PQ-I</v>
          </cell>
        </row>
        <row r="1578">
          <cell r="M1578" t="str">
            <v>131236-PQ-I</v>
          </cell>
        </row>
        <row r="1579">
          <cell r="M1579" t="str">
            <v>131236-PQ-I</v>
          </cell>
        </row>
        <row r="1580">
          <cell r="M1580" t="str">
            <v>131236-PQ-I</v>
          </cell>
        </row>
        <row r="1581">
          <cell r="M1581" t="str">
            <v>131236-PQ-I</v>
          </cell>
        </row>
        <row r="1582">
          <cell r="M1582" t="str">
            <v>131236-PQ-I</v>
          </cell>
        </row>
        <row r="1583">
          <cell r="M1583" t="str">
            <v>131236-PQ-I</v>
          </cell>
        </row>
        <row r="1584">
          <cell r="M1584" t="str">
            <v>131236-PQ-I</v>
          </cell>
        </row>
        <row r="1585">
          <cell r="M1585" t="str">
            <v>131236-PQ-I</v>
          </cell>
        </row>
        <row r="1586">
          <cell r="M1586" t="str">
            <v>131236-PQ-I</v>
          </cell>
        </row>
        <row r="1587">
          <cell r="M1587" t="str">
            <v>131236-PQ-I</v>
          </cell>
        </row>
        <row r="1588">
          <cell r="M1588" t="str">
            <v>131236-PQ-I</v>
          </cell>
        </row>
        <row r="1589">
          <cell r="M1589" t="str">
            <v>131236-PQ-I</v>
          </cell>
        </row>
        <row r="1590">
          <cell r="M1590" t="str">
            <v>131236-PQ-I</v>
          </cell>
        </row>
        <row r="1591">
          <cell r="M1591" t="str">
            <v>131236-PQ-I</v>
          </cell>
        </row>
        <row r="1592">
          <cell r="M1592" t="str">
            <v>131236-PQ-I</v>
          </cell>
        </row>
        <row r="1593">
          <cell r="M1593" t="str">
            <v>131236-PQ-I</v>
          </cell>
        </row>
        <row r="1594">
          <cell r="M1594" t="str">
            <v>131236-PQ-I</v>
          </cell>
        </row>
        <row r="1595">
          <cell r="M1595" t="str">
            <v>131236-PQ-I</v>
          </cell>
        </row>
        <row r="1596">
          <cell r="M1596" t="str">
            <v>131236-PQ-I</v>
          </cell>
        </row>
        <row r="1597">
          <cell r="M1597" t="str">
            <v>131236-PQ-I</v>
          </cell>
        </row>
        <row r="1598">
          <cell r="M1598" t="str">
            <v>131236-PQ-I</v>
          </cell>
        </row>
        <row r="1599">
          <cell r="M1599" t="str">
            <v>131236-PQ-I</v>
          </cell>
        </row>
        <row r="1600">
          <cell r="M1600" t="str">
            <v>131236-PQ-I</v>
          </cell>
        </row>
        <row r="1601">
          <cell r="M1601" t="str">
            <v>131236-PQ-I</v>
          </cell>
        </row>
        <row r="1602">
          <cell r="M1602" t="str">
            <v>131236-PQ-I</v>
          </cell>
        </row>
        <row r="1603">
          <cell r="M1603" t="str">
            <v>131236-PQ-I</v>
          </cell>
        </row>
        <row r="1604">
          <cell r="M1604" t="str">
            <v>131236-PQ-I</v>
          </cell>
        </row>
        <row r="1605">
          <cell r="M1605" t="str">
            <v>131236-PQ-I</v>
          </cell>
        </row>
        <row r="1606">
          <cell r="M1606" t="str">
            <v>131236-PQ-I</v>
          </cell>
        </row>
        <row r="1607">
          <cell r="M1607" t="str">
            <v>131236-PQ-I</v>
          </cell>
        </row>
        <row r="1608">
          <cell r="M1608" t="str">
            <v>131236-PQ-I</v>
          </cell>
        </row>
        <row r="1609">
          <cell r="M1609" t="str">
            <v>131236-PQ-I</v>
          </cell>
        </row>
        <row r="1610">
          <cell r="M1610" t="str">
            <v>131236-PQ-I</v>
          </cell>
        </row>
        <row r="1611">
          <cell r="M1611" t="str">
            <v>131236-PQ-I</v>
          </cell>
        </row>
        <row r="1612">
          <cell r="M1612" t="str">
            <v>131236-PQ-I</v>
          </cell>
        </row>
        <row r="1613">
          <cell r="M1613" t="str">
            <v>131236-PQ-I</v>
          </cell>
        </row>
        <row r="1614">
          <cell r="M1614" t="str">
            <v>131236-PQ-I</v>
          </cell>
        </row>
        <row r="1615">
          <cell r="M1615" t="str">
            <v>131236-PQ-I</v>
          </cell>
        </row>
        <row r="1616">
          <cell r="M1616" t="str">
            <v>131236-PQ-I</v>
          </cell>
        </row>
        <row r="1617">
          <cell r="M1617" t="str">
            <v>131236-PQ-I</v>
          </cell>
        </row>
        <row r="1618">
          <cell r="M1618" t="str">
            <v>131236-PQ-I</v>
          </cell>
        </row>
        <row r="1619">
          <cell r="M1619" t="str">
            <v>131236-PQ-I</v>
          </cell>
        </row>
        <row r="1620">
          <cell r="M1620" t="str">
            <v>131236-PQ-I</v>
          </cell>
        </row>
        <row r="1621">
          <cell r="M1621" t="str">
            <v>131236-PQ-I</v>
          </cell>
        </row>
        <row r="1622">
          <cell r="M1622" t="str">
            <v>131236-PQ-I</v>
          </cell>
        </row>
        <row r="1623">
          <cell r="M1623" t="str">
            <v>131236-PQ-I</v>
          </cell>
        </row>
        <row r="1624">
          <cell r="M1624" t="str">
            <v>131236-PQ-I</v>
          </cell>
        </row>
        <row r="1625">
          <cell r="M1625" t="str">
            <v>131236-PQ-I</v>
          </cell>
        </row>
        <row r="1626">
          <cell r="M1626" t="str">
            <v>131236-PQ-I</v>
          </cell>
        </row>
        <row r="1627">
          <cell r="M1627" t="str">
            <v>131236-PQ-I</v>
          </cell>
        </row>
        <row r="1628">
          <cell r="M1628" t="str">
            <v>131236-PQ-I</v>
          </cell>
        </row>
        <row r="1629">
          <cell r="M1629" t="str">
            <v>131236-PQ-I</v>
          </cell>
        </row>
        <row r="1630">
          <cell r="M1630" t="str">
            <v>131236-PQ-I</v>
          </cell>
        </row>
        <row r="1631">
          <cell r="M1631" t="str">
            <v>131236-PQ-I</v>
          </cell>
        </row>
        <row r="1632">
          <cell r="M1632" t="str">
            <v>131236-PQ-I</v>
          </cell>
        </row>
        <row r="1633">
          <cell r="M1633" t="str">
            <v>131236-PQ-I</v>
          </cell>
        </row>
        <row r="1634">
          <cell r="M1634" t="str">
            <v>131236-PQ-I</v>
          </cell>
        </row>
        <row r="1635">
          <cell r="M1635" t="str">
            <v>131236-PQ-I</v>
          </cell>
        </row>
        <row r="1636">
          <cell r="M1636" t="str">
            <v>131236-PQ-I</v>
          </cell>
        </row>
        <row r="1637">
          <cell r="M1637" t="str">
            <v>131236-PQ-I</v>
          </cell>
        </row>
        <row r="1638">
          <cell r="M1638" t="str">
            <v>131236-PQ-I</v>
          </cell>
        </row>
        <row r="1639">
          <cell r="M1639" t="str">
            <v>131236-PQ-I</v>
          </cell>
        </row>
        <row r="1640">
          <cell r="M1640" t="str">
            <v>131236-PQ-I</v>
          </cell>
        </row>
        <row r="1641">
          <cell r="M1641" t="str">
            <v>131236-PQ-I</v>
          </cell>
        </row>
        <row r="1642">
          <cell r="M1642" t="str">
            <v>131236-PQ-I</v>
          </cell>
        </row>
        <row r="1643">
          <cell r="M1643" t="str">
            <v>131236-PQ-I</v>
          </cell>
        </row>
        <row r="1644">
          <cell r="M1644" t="str">
            <v>131236-PQ-I</v>
          </cell>
        </row>
        <row r="1645">
          <cell r="M1645" t="str">
            <v>131236-PQ-I</v>
          </cell>
        </row>
        <row r="1646">
          <cell r="M1646" t="str">
            <v>131236-PQ-I</v>
          </cell>
        </row>
        <row r="1647">
          <cell r="M1647" t="str">
            <v>131236-PQ-I</v>
          </cell>
        </row>
        <row r="1648">
          <cell r="M1648" t="str">
            <v>131236-PQ-I</v>
          </cell>
        </row>
        <row r="1649">
          <cell r="M1649" t="str">
            <v>131236-PQ-I</v>
          </cell>
        </row>
        <row r="1650">
          <cell r="M1650" t="str">
            <v>131236-PQ-I</v>
          </cell>
        </row>
        <row r="1651">
          <cell r="M1651" t="str">
            <v>131236-PQ-I</v>
          </cell>
        </row>
        <row r="1652">
          <cell r="M1652" t="str">
            <v>131236-PQ-I</v>
          </cell>
        </row>
        <row r="1653">
          <cell r="M1653" t="str">
            <v>131236-PQ-I</v>
          </cell>
        </row>
        <row r="1654">
          <cell r="M1654" t="str">
            <v>131236-PQ-I</v>
          </cell>
        </row>
        <row r="1655">
          <cell r="M1655" t="str">
            <v>131236-PQ-I</v>
          </cell>
        </row>
        <row r="1656">
          <cell r="M1656" t="str">
            <v>131236-PQ-I</v>
          </cell>
        </row>
        <row r="1657">
          <cell r="M1657" t="str">
            <v>131236-PQ-I</v>
          </cell>
        </row>
        <row r="1658">
          <cell r="M1658" t="str">
            <v>131236-PQ-I</v>
          </cell>
        </row>
        <row r="1659">
          <cell r="M1659" t="str">
            <v>131236-PQ-I</v>
          </cell>
        </row>
        <row r="1660">
          <cell r="M1660" t="str">
            <v>131236-PQ-I</v>
          </cell>
        </row>
        <row r="1661">
          <cell r="M1661" t="str">
            <v>131236-PQ-I</v>
          </cell>
        </row>
        <row r="1662">
          <cell r="M1662" t="str">
            <v>131236-PQ-I</v>
          </cell>
        </row>
        <row r="1663">
          <cell r="M1663" t="str">
            <v>131236-PQ-I</v>
          </cell>
        </row>
        <row r="1664">
          <cell r="M1664" t="str">
            <v>131236-PQ-I</v>
          </cell>
        </row>
        <row r="1665">
          <cell r="M1665" t="str">
            <v>131236-PQ-I</v>
          </cell>
        </row>
        <row r="1666">
          <cell r="M1666" t="str">
            <v>131236-PQ-I</v>
          </cell>
        </row>
        <row r="1667">
          <cell r="M1667" t="str">
            <v>131236-PQ-I</v>
          </cell>
        </row>
        <row r="1668">
          <cell r="M1668" t="str">
            <v>131236-PQ-I</v>
          </cell>
        </row>
        <row r="1669">
          <cell r="M1669" t="str">
            <v>131236-PQ-I</v>
          </cell>
        </row>
        <row r="1670">
          <cell r="M1670" t="str">
            <v>131236-PQ-I</v>
          </cell>
        </row>
        <row r="1671">
          <cell r="M1671" t="str">
            <v>131236-PQ-I</v>
          </cell>
        </row>
        <row r="1672">
          <cell r="M1672" t="str">
            <v>131236-PQ-I</v>
          </cell>
        </row>
        <row r="1673">
          <cell r="M1673" t="str">
            <v>131236-PQ-I</v>
          </cell>
        </row>
        <row r="1674">
          <cell r="M1674" t="str">
            <v>131236-PQ-I</v>
          </cell>
        </row>
        <row r="1675">
          <cell r="M1675" t="str">
            <v>131236-PQ-I</v>
          </cell>
        </row>
        <row r="1676">
          <cell r="M1676" t="str">
            <v>131236-PQ-I</v>
          </cell>
        </row>
        <row r="1677">
          <cell r="M1677" t="str">
            <v>131236-PQ-I</v>
          </cell>
        </row>
        <row r="1678">
          <cell r="M1678" t="str">
            <v>131236-PQ-I</v>
          </cell>
        </row>
        <row r="1679">
          <cell r="M1679" t="str">
            <v>131236-PQ-I</v>
          </cell>
        </row>
        <row r="1680">
          <cell r="M1680" t="str">
            <v>131236-PQ-I</v>
          </cell>
        </row>
        <row r="1681">
          <cell r="M1681" t="str">
            <v>131236-PQ-I</v>
          </cell>
        </row>
        <row r="1682">
          <cell r="M1682" t="str">
            <v>131236-PQ-I</v>
          </cell>
        </row>
        <row r="1683">
          <cell r="M1683" t="str">
            <v>131236-PQ-I</v>
          </cell>
        </row>
        <row r="1684">
          <cell r="M1684" t="str">
            <v>131236-PQ-I</v>
          </cell>
        </row>
        <row r="1685">
          <cell r="M1685" t="str">
            <v>131236-PQ-I</v>
          </cell>
        </row>
        <row r="1686">
          <cell r="M1686" t="str">
            <v>131236-PQ-I</v>
          </cell>
        </row>
        <row r="1687">
          <cell r="M1687" t="str">
            <v>131236-PQ-I</v>
          </cell>
        </row>
        <row r="1688">
          <cell r="M1688" t="str">
            <v>131236-PQ-I</v>
          </cell>
        </row>
        <row r="1689">
          <cell r="M1689" t="str">
            <v>131236-PQ-I</v>
          </cell>
        </row>
        <row r="1690">
          <cell r="M1690" t="str">
            <v>131236-PQ-I</v>
          </cell>
        </row>
        <row r="1691">
          <cell r="M1691" t="str">
            <v>131236-PQ-I</v>
          </cell>
        </row>
        <row r="1692">
          <cell r="M1692" t="str">
            <v>131236-PQ-I</v>
          </cell>
        </row>
        <row r="1693">
          <cell r="M1693" t="str">
            <v>131236-PQ-I</v>
          </cell>
        </row>
        <row r="1694">
          <cell r="M1694" t="str">
            <v>131236-PQ-I</v>
          </cell>
        </row>
        <row r="1695">
          <cell r="M1695" t="str">
            <v>131236-PQ-I</v>
          </cell>
        </row>
        <row r="1696">
          <cell r="M1696" t="str">
            <v>131236-PQ-I</v>
          </cell>
        </row>
        <row r="1697">
          <cell r="M1697" t="str">
            <v>131236-PQ-I</v>
          </cell>
        </row>
        <row r="1698">
          <cell r="M1698" t="str">
            <v>131236-PQ-I</v>
          </cell>
        </row>
        <row r="1699">
          <cell r="M1699" t="str">
            <v>131236-PQ-I</v>
          </cell>
        </row>
        <row r="1700">
          <cell r="M1700" t="str">
            <v>131236-PQ-I</v>
          </cell>
        </row>
        <row r="1701">
          <cell r="M1701" t="str">
            <v>131236-PQ-I</v>
          </cell>
        </row>
        <row r="1702">
          <cell r="M1702" t="str">
            <v>131236-PQ-I</v>
          </cell>
        </row>
        <row r="1703">
          <cell r="M1703" t="str">
            <v>131236-PQ-I</v>
          </cell>
        </row>
        <row r="1704">
          <cell r="M1704" t="str">
            <v>131236-PQ-I</v>
          </cell>
        </row>
        <row r="1705">
          <cell r="M1705" t="str">
            <v>131236-PQ-I</v>
          </cell>
        </row>
        <row r="1706">
          <cell r="M1706" t="str">
            <v>131236-PQ-I</v>
          </cell>
        </row>
        <row r="1707">
          <cell r="M1707" t="str">
            <v>131236-PQ-I</v>
          </cell>
        </row>
        <row r="1708">
          <cell r="M1708" t="str">
            <v>131236-PQ-I</v>
          </cell>
        </row>
        <row r="1709">
          <cell r="M1709" t="str">
            <v>131236-PQ-I</v>
          </cell>
        </row>
        <row r="1710">
          <cell r="M1710" t="str">
            <v>131236-PQ-I</v>
          </cell>
        </row>
        <row r="1711">
          <cell r="M1711" t="str">
            <v>131236-PQ-I</v>
          </cell>
        </row>
        <row r="1712">
          <cell r="M1712" t="str">
            <v>131236-PQ-I</v>
          </cell>
        </row>
        <row r="1713">
          <cell r="M1713" t="str">
            <v>131236-PQ-I</v>
          </cell>
        </row>
        <row r="1714">
          <cell r="M1714" t="str">
            <v>131236-PQ-I</v>
          </cell>
        </row>
        <row r="1715">
          <cell r="M1715" t="str">
            <v>131236-PQ-I</v>
          </cell>
        </row>
        <row r="1716">
          <cell r="M1716" t="str">
            <v>131236-PQ-I</v>
          </cell>
        </row>
        <row r="1717">
          <cell r="M1717" t="str">
            <v>131236-PQ-I</v>
          </cell>
        </row>
        <row r="1718">
          <cell r="M1718" t="str">
            <v>131236-PQ-I</v>
          </cell>
        </row>
        <row r="1719">
          <cell r="M1719" t="str">
            <v>131236-PQ-I</v>
          </cell>
        </row>
        <row r="1720">
          <cell r="M1720" t="str">
            <v>131236-PQ-I</v>
          </cell>
        </row>
        <row r="1721">
          <cell r="M1721" t="str">
            <v>131236-PQ-I</v>
          </cell>
        </row>
        <row r="1722">
          <cell r="M1722" t="str">
            <v>131236-PQ-I</v>
          </cell>
        </row>
        <row r="1723">
          <cell r="M1723" t="str">
            <v>131236-PQ-I</v>
          </cell>
        </row>
        <row r="1724">
          <cell r="M1724" t="str">
            <v>131236-PQ-I</v>
          </cell>
        </row>
        <row r="1725">
          <cell r="M1725" t="str">
            <v>131236-PQ-I</v>
          </cell>
        </row>
        <row r="1726">
          <cell r="M1726" t="str">
            <v>131236-PQ-I</v>
          </cell>
        </row>
        <row r="1727">
          <cell r="M1727" t="str">
            <v>131236-PQ-I</v>
          </cell>
        </row>
        <row r="1728">
          <cell r="M1728" t="str">
            <v>131236-PQ-I</v>
          </cell>
        </row>
        <row r="1729">
          <cell r="M1729" t="str">
            <v>131236-PQ-I</v>
          </cell>
        </row>
        <row r="1730">
          <cell r="M1730" t="str">
            <v>131236-PQ-I</v>
          </cell>
        </row>
        <row r="1731">
          <cell r="M1731" t="str">
            <v>131236-PQ-I</v>
          </cell>
        </row>
        <row r="1732">
          <cell r="M1732" t="str">
            <v>131236-PQ-I</v>
          </cell>
        </row>
        <row r="1733">
          <cell r="M1733" t="str">
            <v>131236-PQ-I</v>
          </cell>
        </row>
        <row r="1734">
          <cell r="M1734" t="str">
            <v>131236-PQ-I</v>
          </cell>
        </row>
        <row r="1735">
          <cell r="M1735" t="str">
            <v>131236-PQ-I</v>
          </cell>
        </row>
        <row r="1736">
          <cell r="M1736" t="str">
            <v>131236-PQ-I</v>
          </cell>
        </row>
        <row r="1737">
          <cell r="M1737" t="str">
            <v>131236-PQ-I</v>
          </cell>
        </row>
        <row r="1738">
          <cell r="M1738" t="str">
            <v>131236-PQ-I</v>
          </cell>
        </row>
        <row r="1739">
          <cell r="M1739" t="str">
            <v>131236-PQ-I</v>
          </cell>
        </row>
        <row r="1740">
          <cell r="M1740" t="str">
            <v>131236-PQ-I</v>
          </cell>
        </row>
        <row r="1741">
          <cell r="M1741" t="str">
            <v>131236-PQ-I</v>
          </cell>
        </row>
        <row r="1742">
          <cell r="M1742" t="str">
            <v>131236-PQ-I</v>
          </cell>
        </row>
        <row r="1743">
          <cell r="M1743" t="str">
            <v>131236-PQ-I</v>
          </cell>
        </row>
        <row r="1744">
          <cell r="M1744" t="str">
            <v>131236-PQ-I</v>
          </cell>
        </row>
        <row r="1745">
          <cell r="M1745" t="str">
            <v>131236-PQ-I</v>
          </cell>
        </row>
        <row r="1746">
          <cell r="M1746" t="str">
            <v>131236-PQ-I</v>
          </cell>
        </row>
        <row r="1747">
          <cell r="M1747" t="str">
            <v>131236-PQ-I</v>
          </cell>
        </row>
        <row r="1748">
          <cell r="M1748" t="str">
            <v>131236-PQ-I</v>
          </cell>
        </row>
        <row r="1749">
          <cell r="M1749" t="str">
            <v>131236-PQ-I</v>
          </cell>
        </row>
        <row r="1750">
          <cell r="M1750" t="str">
            <v>131236-PQ-I</v>
          </cell>
        </row>
        <row r="1751">
          <cell r="M1751" t="str">
            <v>131236-PQ-I</v>
          </cell>
        </row>
        <row r="1752">
          <cell r="M1752" t="str">
            <v>131236-PQ-I</v>
          </cell>
        </row>
        <row r="1753">
          <cell r="M1753" t="str">
            <v>131236-PQ-I</v>
          </cell>
        </row>
        <row r="1754">
          <cell r="M1754" t="str">
            <v>131236-PQ-I</v>
          </cell>
        </row>
        <row r="1755">
          <cell r="M1755" t="str">
            <v>131236-PQ-I</v>
          </cell>
        </row>
        <row r="1756">
          <cell r="M1756" t="str">
            <v>131236-PQ-I</v>
          </cell>
        </row>
        <row r="1757">
          <cell r="M1757" t="str">
            <v>131236-PQ-I</v>
          </cell>
        </row>
        <row r="1758">
          <cell r="M1758" t="str">
            <v>131236-PQ-I</v>
          </cell>
        </row>
        <row r="1759">
          <cell r="M1759" t="str">
            <v>131236-PQ-I</v>
          </cell>
        </row>
        <row r="1760">
          <cell r="M1760" t="str">
            <v>131236-PQ-I</v>
          </cell>
        </row>
        <row r="1761">
          <cell r="M1761" t="str">
            <v>131236-PQ-I</v>
          </cell>
        </row>
        <row r="1762">
          <cell r="M1762" t="str">
            <v>131236-PQ-I</v>
          </cell>
        </row>
        <row r="1763">
          <cell r="M1763" t="str">
            <v>131236-PQ-I</v>
          </cell>
        </row>
        <row r="1764">
          <cell r="M1764" t="str">
            <v>131236-PQ-I</v>
          </cell>
        </row>
        <row r="1765">
          <cell r="M1765" t="str">
            <v>131236-PQ-I</v>
          </cell>
        </row>
        <row r="1766">
          <cell r="M1766" t="str">
            <v>131236-PQ-I</v>
          </cell>
        </row>
        <row r="1767">
          <cell r="M1767" t="str">
            <v>131236-PQ-I</v>
          </cell>
        </row>
        <row r="1768">
          <cell r="M1768" t="str">
            <v>131236-PQ-I</v>
          </cell>
        </row>
        <row r="1769">
          <cell r="M1769" t="str">
            <v>131236-PQ-I</v>
          </cell>
        </row>
        <row r="1770">
          <cell r="M1770" t="str">
            <v>131236-PQ-I</v>
          </cell>
        </row>
        <row r="1771">
          <cell r="M1771" t="str">
            <v>131236-PQ-I</v>
          </cell>
        </row>
        <row r="1772">
          <cell r="M1772" t="str">
            <v>131236-PQ-I</v>
          </cell>
        </row>
        <row r="1773">
          <cell r="M1773" t="str">
            <v>131236-PQ-I</v>
          </cell>
        </row>
        <row r="1774">
          <cell r="M1774" t="str">
            <v>131236-PQ-I</v>
          </cell>
        </row>
        <row r="1775">
          <cell r="M1775" t="str">
            <v>131236-PQ-I</v>
          </cell>
        </row>
        <row r="1776">
          <cell r="M1776" t="str">
            <v>131236-PQ-I</v>
          </cell>
        </row>
        <row r="1777">
          <cell r="M1777" t="str">
            <v>131236-PQ-I</v>
          </cell>
        </row>
        <row r="1778">
          <cell r="M1778" t="str">
            <v>131236-PQ-I</v>
          </cell>
        </row>
        <row r="1779">
          <cell r="M1779" t="str">
            <v>131236-PQ-I</v>
          </cell>
        </row>
        <row r="1780">
          <cell r="M1780" t="str">
            <v>131236-PQ-I</v>
          </cell>
        </row>
        <row r="1781">
          <cell r="M1781" t="str">
            <v>131236-PQ-I</v>
          </cell>
        </row>
        <row r="1782">
          <cell r="M1782" t="str">
            <v>131236-PQ-I</v>
          </cell>
        </row>
        <row r="1783">
          <cell r="M1783" t="str">
            <v>131236-PQ-I</v>
          </cell>
        </row>
        <row r="1784">
          <cell r="M1784" t="str">
            <v>131236-PQ-I</v>
          </cell>
        </row>
        <row r="1785">
          <cell r="M1785" t="str">
            <v>131236-PQ-I</v>
          </cell>
        </row>
        <row r="1786">
          <cell r="M1786" t="str">
            <v>131236-PQ-I</v>
          </cell>
        </row>
        <row r="1787">
          <cell r="M1787" t="str">
            <v>131236-PQ-I</v>
          </cell>
        </row>
        <row r="1788">
          <cell r="M1788" t="str">
            <v>131236-PQ-I</v>
          </cell>
        </row>
        <row r="1789">
          <cell r="M1789" t="str">
            <v>131236-PQ-I</v>
          </cell>
        </row>
        <row r="1790">
          <cell r="M1790" t="str">
            <v>131236-PQ-I</v>
          </cell>
        </row>
        <row r="1791">
          <cell r="M1791" t="str">
            <v>131236-PQ-I</v>
          </cell>
        </row>
        <row r="1792">
          <cell r="M1792" t="str">
            <v>131236-PQ-I</v>
          </cell>
        </row>
        <row r="1793">
          <cell r="M1793" t="str">
            <v>131236-PQ-I</v>
          </cell>
        </row>
        <row r="1794">
          <cell r="M1794" t="str">
            <v>131236-PQ-I</v>
          </cell>
        </row>
        <row r="1795">
          <cell r="M1795" t="str">
            <v>131236-PQ-I</v>
          </cell>
        </row>
        <row r="1796">
          <cell r="M1796" t="str">
            <v>131236-PQ-I</v>
          </cell>
        </row>
        <row r="1797">
          <cell r="M1797" t="str">
            <v>131236-PQ-I</v>
          </cell>
        </row>
        <row r="1798">
          <cell r="M1798" t="str">
            <v>131236-PQ-I</v>
          </cell>
        </row>
        <row r="1799">
          <cell r="M1799" t="str">
            <v>131236-PQ-I</v>
          </cell>
        </row>
        <row r="1800">
          <cell r="M1800" t="str">
            <v>131236-PQ-I</v>
          </cell>
        </row>
        <row r="1801">
          <cell r="M1801" t="str">
            <v>131236-PQ-I</v>
          </cell>
        </row>
        <row r="1802">
          <cell r="M1802" t="str">
            <v>131236-PQ-I</v>
          </cell>
        </row>
        <row r="1803">
          <cell r="M1803" t="str">
            <v>131236-PQ-I</v>
          </cell>
        </row>
        <row r="1804">
          <cell r="M1804" t="str">
            <v>131236-PQ-I</v>
          </cell>
        </row>
        <row r="1805">
          <cell r="M1805" t="str">
            <v>131236-PQ-I</v>
          </cell>
        </row>
        <row r="1806">
          <cell r="M1806" t="str">
            <v>131236-PQ-I</v>
          </cell>
        </row>
        <row r="1807">
          <cell r="M1807" t="str">
            <v>131236-PQ-I</v>
          </cell>
        </row>
        <row r="1808">
          <cell r="M1808" t="str">
            <v>131236-PQ-I</v>
          </cell>
        </row>
        <row r="1809">
          <cell r="M1809" t="str">
            <v>131236-PQ-I</v>
          </cell>
        </row>
        <row r="1810">
          <cell r="M1810" t="str">
            <v>131236-PQ-I</v>
          </cell>
        </row>
        <row r="1811">
          <cell r="M1811" t="str">
            <v>131236-PQ-I</v>
          </cell>
        </row>
        <row r="1812">
          <cell r="M1812" t="str">
            <v>131236-PQ-I</v>
          </cell>
        </row>
        <row r="1813">
          <cell r="M1813" t="str">
            <v>131236-PQ-I</v>
          </cell>
        </row>
        <row r="1814">
          <cell r="M1814" t="str">
            <v>131236-PQ-I</v>
          </cell>
        </row>
        <row r="1815">
          <cell r="M1815" t="str">
            <v>131236-PQ-I</v>
          </cell>
        </row>
        <row r="1816">
          <cell r="M1816" t="str">
            <v>131236-PQ-I</v>
          </cell>
        </row>
        <row r="1817">
          <cell r="M1817" t="str">
            <v>131236-PQ-I</v>
          </cell>
        </row>
        <row r="1818">
          <cell r="M1818" t="str">
            <v>131236-PQ-I</v>
          </cell>
        </row>
        <row r="1819">
          <cell r="M1819" t="str">
            <v>131236-PQ-I</v>
          </cell>
        </row>
        <row r="1820">
          <cell r="M1820" t="str">
            <v>131236-PQ-I</v>
          </cell>
        </row>
        <row r="1821">
          <cell r="M1821" t="str">
            <v>131236-PQ-I</v>
          </cell>
        </row>
        <row r="1822">
          <cell r="M1822" t="str">
            <v>131236-PQ-I</v>
          </cell>
        </row>
        <row r="1823">
          <cell r="M1823" t="str">
            <v>131236-PQ-I</v>
          </cell>
        </row>
        <row r="1824">
          <cell r="M1824" t="str">
            <v>131236-PQ-I</v>
          </cell>
        </row>
        <row r="1825">
          <cell r="M1825" t="str">
            <v>131236-PQ-I</v>
          </cell>
        </row>
        <row r="1826">
          <cell r="M1826" t="str">
            <v>131236-PQ-I</v>
          </cell>
        </row>
        <row r="1827">
          <cell r="M1827" t="str">
            <v>131236-PQ-I</v>
          </cell>
        </row>
        <row r="1828">
          <cell r="M1828" t="str">
            <v>131236-PQ-I</v>
          </cell>
        </row>
        <row r="1829">
          <cell r="M1829" t="str">
            <v>131236-PQ-I</v>
          </cell>
        </row>
        <row r="1830">
          <cell r="M1830" t="str">
            <v>131236-PQ-I</v>
          </cell>
        </row>
        <row r="1831">
          <cell r="M1831" t="str">
            <v>131236-PQ-I</v>
          </cell>
        </row>
        <row r="1832">
          <cell r="M1832" t="str">
            <v>131236-PQ-I</v>
          </cell>
        </row>
        <row r="1833">
          <cell r="M1833" t="str">
            <v>131236-PQ-I</v>
          </cell>
        </row>
        <row r="1834">
          <cell r="M1834" t="str">
            <v>131236-PQ-I</v>
          </cell>
        </row>
        <row r="1835">
          <cell r="M1835" t="str">
            <v>131236-PQ-I</v>
          </cell>
        </row>
      </sheetData>
      <sheetData sheetId="9"/>
      <sheetData sheetId="10"/>
      <sheetData sheetId="11"/>
      <sheetData sheetId="12"/>
      <sheetData sheetId="13">
        <row r="1">
          <cell r="M1" t="str">
            <v>Document No.</v>
          </cell>
          <cell r="N1" t="str">
            <v>Document Title</v>
          </cell>
        </row>
        <row r="2">
          <cell r="M2"/>
          <cell r="N2"/>
        </row>
        <row r="3">
          <cell r="M3" t="str">
            <v>131236-WSW46-VI-E-0001</v>
          </cell>
          <cell r="N3" t="str">
            <v>Vendor Information For Electrical Power Transformer &amp; Distribution Transformer (TECO ELECTRIC &amp; MACHINERY PTE LTD)</v>
          </cell>
        </row>
        <row r="4">
          <cell r="M4" t="str">
            <v>131236-WSW46-VI-E-0002</v>
          </cell>
          <cell r="N4" t="str">
            <v>Vendor Information For Electrical High Voltage Switchgear Panel (SCHNEIDER ELECTRIC PTE LTD)</v>
          </cell>
        </row>
        <row r="5">
          <cell r="M5" t="str">
            <v>131236-WSW46-VI-E-0003</v>
          </cell>
          <cell r="N5" t="str">
            <v>Vendor Information For Low Voltage Electrical Equipment Works (SUNLIGHT ELECTRICAL PTE LTD)</v>
          </cell>
        </row>
        <row r="6">
          <cell r="M6" t="str">
            <v>131236-WSW46-VI-E-0004</v>
          </cell>
          <cell r="N6" t="str">
            <v>Vendor Information For Cable Raceway (TRI-STAR INDUSTRIES PTE LTD)</v>
          </cell>
        </row>
        <row r="7">
          <cell r="M7" t="str">
            <v>131236-WSW46-VI-E-0005</v>
          </cell>
          <cell r="N7" t="str">
            <v>Vendor Information For Electrical High Voltage DOL Panel (SCHNEIDER ELECTRIC PTE LTD)</v>
          </cell>
        </row>
        <row r="8">
          <cell r="M8" t="str">
            <v>131236-WSW46-VI-E-0006</v>
          </cell>
          <cell r="N8" t="str">
            <v>Vendor Information For Emergency Generator (VIBROPOWER PTE LTD)</v>
          </cell>
        </row>
        <row r="9">
          <cell r="M9"/>
        </row>
        <row r="10">
          <cell r="M10"/>
          <cell r="N10"/>
        </row>
        <row r="11">
          <cell r="M11" t="str">
            <v>131236-VI-E</v>
          </cell>
          <cell r="N11" t="str">
            <v>Vendor Approval - Electrical System Analysis Consultant &amp; PE/LEW For The 22kV, 6.6kV And 415V Electrical System</v>
          </cell>
        </row>
        <row r="12">
          <cell r="M12" t="str">
            <v>131236-VI-E</v>
          </cell>
          <cell r="N12" t="str">
            <v xml:space="preserve">Vendor Approval - Earthing &amp; Lightning Consultant </v>
          </cell>
        </row>
        <row r="13">
          <cell r="M13" t="str">
            <v>131236-VI-E</v>
          </cell>
          <cell r="N13" t="str">
            <v xml:space="preserve">Vendor Approval - LPS &amp; Earthing System Accessories </v>
          </cell>
        </row>
        <row r="14">
          <cell r="M14" t="str">
            <v>131236-VI-E</v>
          </cell>
          <cell r="N14" t="str">
            <v>Vendor Approval - Continuous On-line hot spot temperature Monitoring and Alert System</v>
          </cell>
        </row>
        <row r="15">
          <cell r="M15" t="str">
            <v>131236-VI-E</v>
          </cell>
          <cell r="N15" t="str">
            <v xml:space="preserve">Vendor Approval - Low Voltage System Equipment - Standalone LV VFDs </v>
          </cell>
        </row>
        <row r="16">
          <cell r="M16" t="str">
            <v>131236-VI-E</v>
          </cell>
          <cell r="N16" t="str">
            <v xml:space="preserve">Vendor Approval - Low Voltage System Equipment - Standalone LV </v>
          </cell>
        </row>
        <row r="17">
          <cell r="M17" t="str">
            <v>131236-VI-E</v>
          </cell>
          <cell r="N17" t="str">
            <v>Vendor Approval - Electrical Works Sub-Contractor</v>
          </cell>
        </row>
        <row r="18">
          <cell r="M18" t="str">
            <v>131236-VI-E</v>
          </cell>
          <cell r="N18" t="str">
            <v>Vendor Approval -  22kV &amp; 6.6kV Cable</v>
          </cell>
        </row>
        <row r="19">
          <cell r="M19" t="str">
            <v>131236-VI-E</v>
          </cell>
          <cell r="N19" t="str">
            <v xml:space="preserve">Vendor Approval - Low Voltage System Busways  </v>
          </cell>
        </row>
        <row r="20">
          <cell r="M20" t="str">
            <v>131236-VI-E</v>
          </cell>
          <cell r="N20" t="str">
            <v>Vendor Approval - Earthing &amp; Lightning Protection System</v>
          </cell>
        </row>
        <row r="21">
          <cell r="M21" t="str">
            <v>131236-VI-E</v>
          </cell>
          <cell r="N21" t="str">
            <v>Vendor Approval -  Electrical Cast in uPVC Pipe Vendor Approval</v>
          </cell>
        </row>
        <row r="22">
          <cell r="M22" t="str">
            <v>131236-VI-E</v>
          </cell>
          <cell r="N22" t="str">
            <v>Vendor Approval - 30V Battery Charger</v>
          </cell>
        </row>
        <row r="23">
          <cell r="M23" t="str">
            <v>131236-VI-E</v>
          </cell>
          <cell r="N23" t="str">
            <v>Vendor Approval -   Low Voltage Cable Vendor Approval</v>
          </cell>
        </row>
        <row r="24">
          <cell r="M24" t="str">
            <v>131236-VI-E</v>
          </cell>
          <cell r="N24" t="str">
            <v xml:space="preserve">Vendor Approval -   Low Voltage Cable Vendor Approval </v>
          </cell>
        </row>
        <row r="25">
          <cell r="M25" t="str">
            <v>131236-VI-E</v>
          </cell>
          <cell r="N25" t="str">
            <v>Vendor Approval -  Supply Switch, S.S.O, And Isolator</v>
          </cell>
        </row>
        <row r="26">
          <cell r="M26" t="str">
            <v>131236-VI-E</v>
          </cell>
          <cell r="N26" t="str">
            <v xml:space="preserve">Vendor Approval -   Supply Light Fittings   </v>
          </cell>
        </row>
        <row r="27">
          <cell r="M27" t="str">
            <v>131236-VI-E</v>
          </cell>
          <cell r="N27" t="str">
            <v>Vendor Approval -  Electrical Works Sub-Contractor</v>
          </cell>
        </row>
        <row r="28">
          <cell r="M28" t="str">
            <v>131236-WIL23-VI-E</v>
          </cell>
          <cell r="N28" t="str">
            <v xml:space="preserve">Vendor Information For Supply Of Busway System </v>
          </cell>
        </row>
        <row r="29">
          <cell r="M29" t="str">
            <v>131236-VI-E</v>
          </cell>
          <cell r="N29" t="str">
            <v xml:space="preserve"> Vendor Approval  - Preliminary Design Submission For Supply Of High Voltage Cable</v>
          </cell>
        </row>
        <row r="30">
          <cell r="M30" t="str">
            <v>131236-VI-E</v>
          </cell>
          <cell r="N30" t="str">
            <v xml:space="preserve">Vendor Approval - Preliminary Design Submission for Supply of  Raceways </v>
          </cell>
        </row>
        <row r="31">
          <cell r="M31" t="str">
            <v>131236-VI-E</v>
          </cell>
          <cell r="N31" t="str">
            <v xml:space="preserve">Vendor Approval - Preliminary Design Submission For Supply Of Pilot Cable </v>
          </cell>
        </row>
        <row r="32">
          <cell r="M32" t="str">
            <v>131236-VI-E</v>
          </cell>
          <cell r="N32" t="str">
            <v xml:space="preserve">Vendor Information for MCT </v>
          </cell>
        </row>
        <row r="33">
          <cell r="M33" t="str">
            <v>131236-VI-E</v>
          </cell>
          <cell r="N33" t="str">
            <v>Vendor Information for HV Cables</v>
          </cell>
        </row>
        <row r="34">
          <cell r="M34" t="str">
            <v>131236-VI-E</v>
          </cell>
          <cell r="N34" t="str">
            <v xml:space="preserve">Vendor Information for Cable Tester and Jointer </v>
          </cell>
        </row>
        <row r="35">
          <cell r="M35" t="str">
            <v>131236-VI-E</v>
          </cell>
          <cell r="N35" t="str">
            <v>Vendor Information for Rubber &amp; Plastic</v>
          </cell>
        </row>
        <row r="36">
          <cell r="M36" t="str">
            <v>131236-VI-E</v>
          </cell>
          <cell r="N36" t="str">
            <v xml:space="preserve">Vendor Information for Electrical Cable Gland </v>
          </cell>
        </row>
        <row r="38">
          <cell r="M38"/>
          <cell r="N38"/>
        </row>
        <row r="39">
          <cell r="M39"/>
          <cell r="N39"/>
        </row>
        <row r="40">
          <cell r="M40"/>
          <cell r="N40"/>
        </row>
        <row r="41">
          <cell r="M41" t="str">
            <v>131236-CL-E</v>
          </cell>
          <cell r="N41" t="str">
            <v>VFD Heat Dissipation Calculation</v>
          </cell>
        </row>
        <row r="42">
          <cell r="M42" t="str">
            <v>131236-CL-E</v>
          </cell>
          <cell r="N42" t="str">
            <v>LVSG Heat Dissipation Calculation</v>
          </cell>
        </row>
        <row r="43">
          <cell r="M43" t="str">
            <v>131236-CL-E</v>
          </cell>
          <cell r="N43" t="str">
            <v>CT/PT sizing calculations for 22 kV GIS Switchgear (WIL00-HVSG-0002A &amp; 2B)</v>
          </cell>
        </row>
        <row r="44">
          <cell r="M44" t="str">
            <v>131236-CL-E</v>
          </cell>
          <cell r="N44" t="str">
            <v>WIL00-HVSG-0002A &amp; 2B Battery sizing calc</v>
          </cell>
        </row>
        <row r="45">
          <cell r="M45" t="str">
            <v>131236-CL-E</v>
          </cell>
          <cell r="N45" t="str">
            <v>Cable Ladder / Cabble Tray Sizing Calculations - 22kV Main Incoming Cable</v>
          </cell>
        </row>
        <row r="46">
          <cell r="M46" t="str">
            <v>131236-CL-E</v>
          </cell>
          <cell r="N46" t="str">
            <v>Cable Ladder / Cabble Tray Sizing Calculations -WIL06</v>
          </cell>
        </row>
        <row r="47">
          <cell r="M47" t="str">
            <v>131236-CL-E</v>
          </cell>
          <cell r="N47" t="str">
            <v>Raceway Combined Support Structure Outside of WIL06 Switch Room</v>
          </cell>
        </row>
        <row r="48">
          <cell r="M48" t="str">
            <v>131236-CL-E</v>
          </cell>
          <cell r="N48" t="str">
            <v>Lighting Lux Calculations -WIL21</v>
          </cell>
        </row>
        <row r="49">
          <cell r="M49" t="str">
            <v>131236-CL-E</v>
          </cell>
          <cell r="N49" t="str">
            <v>Cable Ladder / Cabble Tray Sizing Calculations -WIL21</v>
          </cell>
        </row>
        <row r="50">
          <cell r="M50" t="str">
            <v>131236-CL-E</v>
          </cell>
          <cell r="N50" t="str">
            <v>Lighting Lux Calculations-WIL21</v>
          </cell>
        </row>
        <row r="51">
          <cell r="M51" t="str">
            <v>131236-CL-E</v>
          </cell>
          <cell r="N51" t="str">
            <v>Transfomer K factor</v>
          </cell>
        </row>
        <row r="52">
          <cell r="M52" t="str">
            <v>131236-CL-E</v>
          </cell>
          <cell r="N52" t="str">
            <v>Cable Ladder / Cabble Tray Sizing Calculations -WIL22</v>
          </cell>
        </row>
        <row r="53">
          <cell r="M53" t="str">
            <v>131236-CL-E</v>
          </cell>
          <cell r="N53" t="str">
            <v>Lighting Lux Calculations-WIL22</v>
          </cell>
        </row>
        <row r="54">
          <cell r="M54" t="str">
            <v>131236-CL-E</v>
          </cell>
          <cell r="N54" t="str">
            <v>Transfomer K factor</v>
          </cell>
        </row>
        <row r="55">
          <cell r="M55" t="str">
            <v>131236-CL-E</v>
          </cell>
          <cell r="N55" t="str">
            <v>01xx series Reserve for Standalone Motor Starters (Soft Starter)</v>
          </cell>
        </row>
        <row r="56">
          <cell r="M56" t="str">
            <v>131236-CL-E</v>
          </cell>
          <cell r="N56" t="str">
            <v>22kV Vertical Cable Support Calculation</v>
          </cell>
        </row>
        <row r="57">
          <cell r="M57" t="str">
            <v>131236-CL-E</v>
          </cell>
          <cell r="N57" t="str">
            <v xml:space="preserve"> WIL23 EICA Combined Cable Support Structure at Membrane Tank Area GL1-16 Calculation</v>
          </cell>
        </row>
        <row r="58">
          <cell r="M58" t="str">
            <v>131236-CL-E</v>
          </cell>
          <cell r="N58" t="str">
            <v>WIL23 EICA Raceway Combined Cable Support Structure at GL A, 1-16 Calculation</v>
          </cell>
        </row>
        <row r="59">
          <cell r="M59" t="str">
            <v>131236-CL-E</v>
          </cell>
          <cell r="N59" t="str">
            <v>WIL23-HVSG-0001A &amp; B Battery sizing calc</v>
          </cell>
        </row>
        <row r="60">
          <cell r="M60" t="str">
            <v>131236-CL-E</v>
          </cell>
          <cell r="N60" t="str">
            <v>Cable Ladder / Cabble Tray Sizing Calculations -WIL23</v>
          </cell>
        </row>
        <row r="61">
          <cell r="M61" t="str">
            <v>131236-CL-E</v>
          </cell>
          <cell r="N61" t="str">
            <v>Lighting Lux Calculations-WIL23</v>
          </cell>
        </row>
        <row r="62">
          <cell r="M62" t="str">
            <v>131236-CL-E</v>
          </cell>
          <cell r="N62" t="str">
            <v>Transfomer K factor</v>
          </cell>
        </row>
        <row r="63">
          <cell r="M63" t="str">
            <v>131236-CL-E</v>
          </cell>
          <cell r="N63" t="str">
            <v>01xx series Reserve for Standalone Motor Starters (VFDs)</v>
          </cell>
        </row>
        <row r="64">
          <cell r="M64" t="str">
            <v>131236-CL-E</v>
          </cell>
          <cell r="N64" t="str">
            <v>Calculation For Earth Conductor Sizing - ILM2 TWRP</v>
          </cell>
        </row>
        <row r="66">
          <cell r="M66"/>
          <cell r="N66"/>
        </row>
        <row r="67">
          <cell r="M67"/>
          <cell r="N67"/>
        </row>
        <row r="68">
          <cell r="M68" t="str">
            <v>131236-RT-E</v>
          </cell>
          <cell r="N68" t="str">
            <v>22kV HT Cable FAT Report</v>
          </cell>
        </row>
        <row r="69">
          <cell r="M69" t="str">
            <v>131236-RT-E</v>
          </cell>
          <cell r="N69" t="str">
            <v>Transformers FAT Report</v>
          </cell>
        </row>
        <row r="70">
          <cell r="M70" t="str">
            <v>131236-RT-E</v>
          </cell>
          <cell r="N70" t="str">
            <v>Battery Charger FAT Reports</v>
          </cell>
        </row>
        <row r="71">
          <cell r="M71" t="str">
            <v>131236-RT-E</v>
          </cell>
          <cell r="N71" t="str">
            <v>HT Cable Sizing &amp; Short Circuit Calculation</v>
          </cell>
        </row>
        <row r="72">
          <cell r="M72" t="str">
            <v>131236-RT-E</v>
          </cell>
          <cell r="N72" t="str">
            <v>FAT Report For 22kV HV Cable (Route A)</v>
          </cell>
        </row>
        <row r="73">
          <cell r="M73" t="str">
            <v>131236-RT-E</v>
          </cell>
          <cell r="N73" t="str">
            <v>WIL06 Detailed Voltage Drop And Cable Sizing Schedule</v>
          </cell>
        </row>
        <row r="74">
          <cell r="M74" t="str">
            <v>131236-RT-E</v>
          </cell>
          <cell r="N74" t="str">
            <v>WIL21 Detailed Voltage Drop And Cable Sizing Schedule</v>
          </cell>
        </row>
        <row r="75">
          <cell r="M75" t="str">
            <v>131236-RT-E</v>
          </cell>
          <cell r="N75" t="str">
            <v>WIL21 ILM2 Power System Study (Load Flow) Report</v>
          </cell>
        </row>
        <row r="76">
          <cell r="M76" t="str">
            <v>131236-RT-E</v>
          </cell>
          <cell r="N76" t="str">
            <v>ILM2 Power System Study (Short Circuit) Report</v>
          </cell>
        </row>
        <row r="77">
          <cell r="M77" t="str">
            <v>131236-RT-E</v>
          </cell>
          <cell r="N77" t="str">
            <v>ILM2 Power System Study (Harmonic Analysis) Report</v>
          </cell>
        </row>
        <row r="78">
          <cell r="M78" t="str">
            <v>131236-RT-E</v>
          </cell>
          <cell r="N78" t="str">
            <v>WIL21 Raceway FAT Report</v>
          </cell>
        </row>
        <row r="79">
          <cell r="M79" t="str">
            <v>131236-RT-E</v>
          </cell>
          <cell r="N79" t="str">
            <v>ILM2 WIL21-LVSG-0001A&amp;B FAT Report</v>
          </cell>
        </row>
        <row r="80">
          <cell r="M80" t="str">
            <v>131236-RT-E</v>
          </cell>
          <cell r="N80" t="str">
            <v>FAT Report for WIL21 LV Cables</v>
          </cell>
        </row>
        <row r="81">
          <cell r="M81" t="str">
            <v>131236-RT-E</v>
          </cell>
          <cell r="N81" t="str">
            <v>WIL21-MCC-0001A&amp;1B FAT Report</v>
          </cell>
        </row>
        <row r="82">
          <cell r="M82" t="str">
            <v>131236-RT-E</v>
          </cell>
          <cell r="N82" t="str">
            <v xml:space="preserve">FAT Report for ILM2 WIL21-MDB-0001A &amp; 1B </v>
          </cell>
        </row>
        <row r="83">
          <cell r="M83" t="str">
            <v>131236-RT-E</v>
          </cell>
          <cell r="N83" t="str">
            <v xml:space="preserve">FAT Report for ILM2 WIL21-MCC-0002A &amp; 2B </v>
          </cell>
        </row>
        <row r="84">
          <cell r="M84" t="str">
            <v>131236-RT-E</v>
          </cell>
          <cell r="N84" t="str">
            <v>WIL22 Detailed Voltage Drop And Cable Sizing Schedule</v>
          </cell>
        </row>
        <row r="85">
          <cell r="M85" t="str">
            <v>131236-RT-E</v>
          </cell>
          <cell r="N85" t="str">
            <v>Cable Sizing And Voltage Drop  Calculation Report</v>
          </cell>
        </row>
        <row r="86">
          <cell r="M86" t="str">
            <v>131236-RT-E</v>
          </cell>
          <cell r="N86" t="str">
            <v>WIL22-LVSG-0001A &amp; WIL22-LVSG-0001B FAT Report</v>
          </cell>
        </row>
        <row r="87">
          <cell r="M87" t="str">
            <v>131236-RT-E</v>
          </cell>
          <cell r="N87" t="str">
            <v>WIL22-LVSG-0002A &amp; WIL22-LVSG-0002B FAT Report</v>
          </cell>
        </row>
        <row r="88">
          <cell r="M88" t="str">
            <v>131236-RT-E</v>
          </cell>
          <cell r="N88" t="str">
            <v>WIL22-MDB-0001A&amp;B, WIL22-MDB-0002A&amp;B, WIL22-MDB-0003A&amp;B FAT Report</v>
          </cell>
        </row>
        <row r="89">
          <cell r="M89" t="str">
            <v>131236-RT-E</v>
          </cell>
          <cell r="N89" t="str">
            <v>WIL23 Detailed Voltage Drop And Cable Sizing Schedule</v>
          </cell>
        </row>
        <row r="90">
          <cell r="M90" t="str">
            <v>131236-RT-E</v>
          </cell>
          <cell r="N90" t="str">
            <v>WIL23 6.6kV DOL FAT Report</v>
          </cell>
        </row>
        <row r="91">
          <cell r="M91" t="str">
            <v>131236-RT-E</v>
          </cell>
          <cell r="N91" t="str">
            <v>WIL23 NER FAT Report</v>
          </cell>
        </row>
        <row r="92">
          <cell r="M92" t="str">
            <v>131236-RT-E</v>
          </cell>
          <cell r="N92" t="str">
            <v>WIL23 22kV HVSG FAT Report</v>
          </cell>
        </row>
        <row r="93">
          <cell r="M93" t="str">
            <v>131236-RT-E</v>
          </cell>
          <cell r="N93" t="str">
            <v>WIL23 6.6kV HVSG FAT Report</v>
          </cell>
        </row>
        <row r="94">
          <cell r="M94" t="str">
            <v>131236-RT-E</v>
          </cell>
          <cell r="N94" t="str">
            <v>WIL23-LVSG-0002A &amp; WIL23-LVSG-0002B FAT Report</v>
          </cell>
        </row>
        <row r="95">
          <cell r="M95" t="str">
            <v>131236-RT-E</v>
          </cell>
          <cell r="N95" t="str">
            <v>WIL23-LVSG-0003A &amp; WIL23-LVSG-0003B FAT Report</v>
          </cell>
        </row>
        <row r="96">
          <cell r="M96" t="str">
            <v>131236-RT-E</v>
          </cell>
          <cell r="N96" t="str">
            <v>90kW, 280kW &amp; 430kW LV VFD FAT Report</v>
          </cell>
        </row>
        <row r="97">
          <cell r="M97" t="str">
            <v>131236-RT-E</v>
          </cell>
          <cell r="N97" t="str">
            <v>WIL23-LVSG-0001A &amp; WIL23-LVSG-0001B FAT Report</v>
          </cell>
        </row>
        <row r="98">
          <cell r="M98" t="str">
            <v>131236-RT-E</v>
          </cell>
          <cell r="N98" t="str">
            <v>Battery Charger FAT Reports</v>
          </cell>
        </row>
        <row r="99">
          <cell r="M99" t="str">
            <v>131236-RT-E</v>
          </cell>
          <cell r="N99" t="str">
            <v>LV VFD FAT Report</v>
          </cell>
        </row>
        <row r="100">
          <cell r="M100" t="str">
            <v>131236-RT-E</v>
          </cell>
          <cell r="N100" t="str">
            <v>LV VFD FAT Report (Batch 3)</v>
          </cell>
        </row>
        <row r="101">
          <cell r="M101" t="str">
            <v>131236-RT-E</v>
          </cell>
          <cell r="N101" t="str">
            <v>WIL23-TRF-0004B Transformer Oil Leakage Investigation Report</v>
          </cell>
        </row>
        <row r="102">
          <cell r="M102" t="str">
            <v>131236-RT-E</v>
          </cell>
          <cell r="N102" t="str">
            <v>LV VFD FAT Report (Batch 4)</v>
          </cell>
        </row>
        <row r="103">
          <cell r="M103" t="str">
            <v>131236-RT-E</v>
          </cell>
          <cell r="N103" t="str">
            <v>LV VFD FAT Report (Batch 5)</v>
          </cell>
        </row>
        <row r="104">
          <cell r="M104" t="str">
            <v>131236-RT-E</v>
          </cell>
          <cell r="N104" t="str">
            <v>WIL23-MDB-0001A&amp;B, WIL23-MDB-0002A&amp;B, WIL23-MDB-0003A&amp;B, WIL23-MDB-0004A&amp;B  FAT Report</v>
          </cell>
        </row>
        <row r="105">
          <cell r="M105" t="str">
            <v>131236-RT-E</v>
          </cell>
          <cell r="N105" t="str">
            <v>ETAP Model</v>
          </cell>
        </row>
        <row r="106">
          <cell r="M106" t="str">
            <v>131236-RT-E</v>
          </cell>
          <cell r="N106" t="str">
            <v>Cable Sizing And Voltage Drop Calculation Report (Detailed)</v>
          </cell>
        </row>
        <row r="107">
          <cell r="M107" t="str">
            <v>131236-RT-E</v>
          </cell>
          <cell r="N107" t="str">
            <v>Power System Study - Load Flow Analysis (Detailed)</v>
          </cell>
        </row>
        <row r="108">
          <cell r="M108" t="str">
            <v>131236-RT-E</v>
          </cell>
          <cell r="N108" t="str">
            <v>Power System Study - Short-circuit Analysis (Detailed)</v>
          </cell>
        </row>
        <row r="109">
          <cell r="M109" t="str">
            <v>131236-RT-E</v>
          </cell>
          <cell r="N109" t="str">
            <v>Power System Study - Motor Starting Analysis (Detailed)</v>
          </cell>
        </row>
        <row r="110">
          <cell r="M110" t="str">
            <v>131236-RT-E</v>
          </cell>
          <cell r="N110" t="str">
            <v>ILM2 Power System Study (Protective Device Coordination Analysis) Report</v>
          </cell>
        </row>
        <row r="111">
          <cell r="M111" t="str">
            <v>131236-RT-E</v>
          </cell>
          <cell r="N111" t="str">
            <v>Power System Study - Harmonic Analysis (Detailed)</v>
          </cell>
        </row>
        <row r="113">
          <cell r="M113"/>
          <cell r="N113"/>
        </row>
        <row r="114">
          <cell r="M114"/>
          <cell r="N114"/>
        </row>
        <row r="115">
          <cell r="M115" t="str">
            <v>131236-SH-E</v>
          </cell>
          <cell r="N115" t="str">
            <v>Electrical Equipment Schedule</v>
          </cell>
        </row>
        <row r="116">
          <cell r="M116" t="str">
            <v>131236-SH-E</v>
          </cell>
          <cell r="N116" t="str">
            <v>C3B2 Load List</v>
          </cell>
        </row>
        <row r="118">
          <cell r="M118"/>
          <cell r="N118"/>
        </row>
        <row r="119">
          <cell r="M119"/>
          <cell r="N119"/>
        </row>
        <row r="120">
          <cell r="M120" t="str">
            <v>131236-DS-E</v>
          </cell>
          <cell r="N120" t="str">
            <v>Data Sheet: 22kV Switchgear - WIL00-HVSG-0002A</v>
          </cell>
        </row>
        <row r="121">
          <cell r="M121" t="str">
            <v>131236-DS-E</v>
          </cell>
          <cell r="N121" t="str">
            <v>Data Sheet: 22kV Switchgear - WIL00-HVSG-0002B</v>
          </cell>
        </row>
        <row r="122">
          <cell r="M122" t="str">
            <v>131236-DS-E</v>
          </cell>
          <cell r="N122" t="str">
            <v>Data Sheet: Low Voltage System Equipment MCC - WIL06-MCC-0002A</v>
          </cell>
        </row>
        <row r="123">
          <cell r="M123" t="str">
            <v>131236-DS-E</v>
          </cell>
          <cell r="N123" t="str">
            <v>Data Sheet: Low Voltage System Equipment MCC - WIL06-MCC-0002B</v>
          </cell>
        </row>
        <row r="124">
          <cell r="M124" t="str">
            <v>131236-DS-E</v>
          </cell>
          <cell r="N124" t="str">
            <v>Data Sheet: Low Voltage System Equipment LCS - WIL06-LCS-0001</v>
          </cell>
        </row>
        <row r="125">
          <cell r="M125" t="str">
            <v>131236-DS-E</v>
          </cell>
          <cell r="N125" t="str">
            <v>Data Sheet: Low Voltage System Equipment MCC - WIL13-MCC-0006</v>
          </cell>
        </row>
        <row r="126">
          <cell r="M126" t="str">
            <v>131236-DS-E</v>
          </cell>
          <cell r="N126" t="str">
            <v>Data Sheet: Low Voltage System Equipment MCC - WIL13-MCC-0007</v>
          </cell>
        </row>
        <row r="127">
          <cell r="M127" t="str">
            <v>131236-DS-E</v>
          </cell>
          <cell r="N127" t="str">
            <v>Data Sheet: Low Voltage System Equipment LVSG - WIL21-LVSG-0001A</v>
          </cell>
        </row>
        <row r="128">
          <cell r="M128" t="str">
            <v>131236-DS-E</v>
          </cell>
          <cell r="N128" t="str">
            <v>Data Sheet: Low Voltage System Equipment LVSG - WIL21-LVSG-0001B</v>
          </cell>
        </row>
        <row r="129">
          <cell r="M129" t="str">
            <v>131236-DS-E</v>
          </cell>
          <cell r="N129" t="str">
            <v>Data Sheet: Low Voltage System Equipment MCC - WIL21-MCC-0001A</v>
          </cell>
        </row>
        <row r="130">
          <cell r="M130" t="str">
            <v>131236-DS-E</v>
          </cell>
          <cell r="N130" t="str">
            <v>Data Sheet: Low Voltage System Equipment MCC - WIL21-MCC-0001B</v>
          </cell>
        </row>
        <row r="131">
          <cell r="M131" t="str">
            <v>131236-DS-E</v>
          </cell>
          <cell r="N131" t="str">
            <v>Data Sheet: Low Voltage System Equipment MCC - WIL21-MCC-0002A</v>
          </cell>
        </row>
        <row r="132">
          <cell r="M132" t="str">
            <v>131236-DS-E</v>
          </cell>
          <cell r="N132" t="str">
            <v>Data Sheet: Low Voltage System Equipment MCC - WIL21-MCC-0002B</v>
          </cell>
        </row>
        <row r="133">
          <cell r="M133" t="str">
            <v>131236-DS-E</v>
          </cell>
          <cell r="N133" t="str">
            <v>Data Sheet: Low Voltage System Equipment MCC - WIL21-MCC-0003A</v>
          </cell>
        </row>
        <row r="134">
          <cell r="M134" t="str">
            <v>131236-DS-E</v>
          </cell>
          <cell r="N134" t="str">
            <v>Data Sheet: Low Voltage System Equipment MCC - WIL21-MCC-0003B</v>
          </cell>
        </row>
        <row r="135">
          <cell r="M135" t="str">
            <v>131236-DS-E</v>
          </cell>
          <cell r="N135" t="str">
            <v>Data Sheet: Low Voltage System Equipment MDB - WIL21-MDB-0001A</v>
          </cell>
        </row>
        <row r="136">
          <cell r="M136" t="str">
            <v>131236-DS-E</v>
          </cell>
          <cell r="N136" t="str">
            <v>Data Sheet: Low Voltage System Equipment MDB - WIL21-MDB-0001B</v>
          </cell>
        </row>
        <row r="137">
          <cell r="M137" t="str">
            <v>131236-DS-E</v>
          </cell>
          <cell r="N137" t="str">
            <v>Data Sheet: Low Voltage System Equipment LCS - WIL21-LCS-0001</v>
          </cell>
        </row>
        <row r="138">
          <cell r="M138" t="str">
            <v>131236-DS-E</v>
          </cell>
          <cell r="N138" t="str">
            <v>Data Sheet: 22/0.415kV Transformer - WIL21-TRF-0001A</v>
          </cell>
        </row>
        <row r="139">
          <cell r="M139" t="str">
            <v>131236-DS-E</v>
          </cell>
          <cell r="N139" t="str">
            <v>Data Sheet: 22/0.415kV Transformer - WIL21-TRF-0001B</v>
          </cell>
        </row>
        <row r="140">
          <cell r="M140" t="str">
            <v>131236-DS-E</v>
          </cell>
          <cell r="N140" t="str">
            <v>Data Sheet: Low Voltage System Equipment LVSG - WIL22-LVSG-0001A</v>
          </cell>
        </row>
        <row r="141">
          <cell r="M141" t="str">
            <v>131236-DS-E</v>
          </cell>
          <cell r="N141" t="str">
            <v>Data Sheet: Low Voltage System Equipment LVSG - WIL22-LVSG-0001B</v>
          </cell>
        </row>
        <row r="142">
          <cell r="M142" t="str">
            <v>131236-DS-E</v>
          </cell>
          <cell r="N142" t="str">
            <v>Data Sheet: Low Voltage System Equipment LVSG - WIL22-LVSG-0002A</v>
          </cell>
        </row>
        <row r="143">
          <cell r="M143" t="str">
            <v>131236-DS-E</v>
          </cell>
          <cell r="N143" t="str">
            <v>Data Sheet: Low Voltage System Equipment LVSG - WIL22-LVSG-0002B</v>
          </cell>
        </row>
        <row r="144">
          <cell r="M144" t="str">
            <v>131236-DS-E</v>
          </cell>
          <cell r="N144" t="str">
            <v>Data Sheet: Low Voltage System Equipment MCC - WIL22-MCC-0001A</v>
          </cell>
        </row>
        <row r="145">
          <cell r="M145" t="str">
            <v>131236-DS-E</v>
          </cell>
          <cell r="N145" t="str">
            <v>Data Sheet: Low Voltage System Equipment MCC - WIL22-MCC-0001B</v>
          </cell>
        </row>
        <row r="146">
          <cell r="M146" t="str">
            <v>131236-DS-E</v>
          </cell>
          <cell r="N146" t="str">
            <v>Data Sheet: Low Voltage System Equipment MCC - WIL22-MCC-0002A</v>
          </cell>
        </row>
        <row r="147">
          <cell r="M147" t="str">
            <v>131236-DS-E</v>
          </cell>
          <cell r="N147" t="str">
            <v>Data Sheet: Low Voltage System Equipment MCC - WIL22-MCC-0002B</v>
          </cell>
        </row>
        <row r="148">
          <cell r="M148" t="str">
            <v>131236-DS-E</v>
          </cell>
          <cell r="N148" t="str">
            <v>Data Sheet: Low Voltage System Equipment MCC - WIL22-MCC-0003A</v>
          </cell>
        </row>
        <row r="149">
          <cell r="M149" t="str">
            <v>131236-DS-E</v>
          </cell>
          <cell r="N149" t="str">
            <v>Data Sheet: Low Voltage System Equipment MCC - WIL22-MCC-0003B</v>
          </cell>
        </row>
        <row r="150">
          <cell r="M150" t="str">
            <v>131236-DS-E</v>
          </cell>
          <cell r="N150" t="str">
            <v>Data Sheet: Low Voltage System Equipment MDB - WIL22-MDB-0001A</v>
          </cell>
        </row>
        <row r="151">
          <cell r="M151" t="str">
            <v>131236-DS-E</v>
          </cell>
          <cell r="N151" t="str">
            <v>Data Sheet: Low Voltage System Equipment MDB - WIL22-MDB-0001B</v>
          </cell>
        </row>
        <row r="152">
          <cell r="M152" t="str">
            <v>131236-DS-E</v>
          </cell>
          <cell r="N152" t="str">
            <v>Data Sheet: Low Voltage System Equipment MDB - WIL22-MDB-0002A</v>
          </cell>
        </row>
        <row r="153">
          <cell r="M153" t="str">
            <v>131236-DS-E</v>
          </cell>
          <cell r="N153" t="str">
            <v>Data Sheet: Low Voltage System Equipment MDB - WIL22-MDB-0002B</v>
          </cell>
        </row>
        <row r="154">
          <cell r="M154" t="str">
            <v>131236-DS-E</v>
          </cell>
          <cell r="N154" t="str">
            <v>Data Sheet: Low Voltage System Equipment MDB - WIL22-MDB-0003A</v>
          </cell>
        </row>
        <row r="155">
          <cell r="M155" t="str">
            <v>131236-DS-E</v>
          </cell>
          <cell r="N155" t="str">
            <v>Data Sheet: Low Voltage System Equipment MDB - WIL22-MDB-0003B</v>
          </cell>
        </row>
        <row r="156">
          <cell r="M156" t="str">
            <v>131236-DS-E</v>
          </cell>
          <cell r="N156" t="str">
            <v>Data Sheet: Low Voltage System Equipment LCS - WIL22-LCS-0001</v>
          </cell>
        </row>
        <row r="157">
          <cell r="M157" t="str">
            <v>131236-DS-E</v>
          </cell>
          <cell r="N157" t="str">
            <v>Data Sheet: 250kW LV Soft Starter</v>
          </cell>
        </row>
        <row r="158">
          <cell r="M158" t="str">
            <v>131236-DS-E</v>
          </cell>
          <cell r="N158" t="str">
            <v>Data Sheet: 22/0.415kV Transformer - WIL22-TRF-0001A</v>
          </cell>
        </row>
        <row r="159">
          <cell r="M159" t="str">
            <v>131236-DS-E</v>
          </cell>
          <cell r="N159" t="str">
            <v>Data Sheet: 22/0.415kV Transformer - WIL22-TRF-0001B</v>
          </cell>
        </row>
        <row r="160">
          <cell r="M160" t="str">
            <v>131236-DS-E</v>
          </cell>
          <cell r="N160" t="str">
            <v>Data Sheet: 22/0.415kV Transformer - WIL22-TRF-0002A</v>
          </cell>
        </row>
        <row r="161">
          <cell r="M161" t="str">
            <v>131236-DS-E</v>
          </cell>
          <cell r="N161" t="str">
            <v>Data Sheet: 22/0.415kV Transformer - WIL22-TRF-0002B</v>
          </cell>
        </row>
        <row r="162">
          <cell r="M162" t="str">
            <v>131236-DS-E</v>
          </cell>
          <cell r="N162" t="str">
            <v>Data Sheet: 6.6kV Switchgear - WIL23-HVSG-0001A</v>
          </cell>
        </row>
        <row r="163">
          <cell r="M163" t="str">
            <v>131236-DS-E</v>
          </cell>
          <cell r="N163" t="str">
            <v>Data Sheet: 6.6kV Switchgear - WIL23-HVSG-0001B</v>
          </cell>
        </row>
        <row r="164">
          <cell r="M164" t="str">
            <v>131236-DS-E</v>
          </cell>
          <cell r="N164" t="str">
            <v>Data Sheet: Low Voltage System Equipment LVSG - WIL23-LVSG-0001A</v>
          </cell>
        </row>
        <row r="165">
          <cell r="M165" t="str">
            <v>131236-DS-E</v>
          </cell>
          <cell r="N165" t="str">
            <v>Data Sheet: Low Voltage System Equipment LVSG - WIL23-LVSG-0001B</v>
          </cell>
        </row>
        <row r="166">
          <cell r="M166" t="str">
            <v>131236-DS-E</v>
          </cell>
          <cell r="N166" t="str">
            <v>Data Sheet: Low Voltage System Equipment LVSG - WIL23-LVSG-0002A</v>
          </cell>
        </row>
        <row r="167">
          <cell r="M167" t="str">
            <v>131236-DS-E</v>
          </cell>
          <cell r="N167" t="str">
            <v>Data Sheet: Low Voltage System Equipment LVSG - WIL23-LVSG-0002B</v>
          </cell>
        </row>
        <row r="168">
          <cell r="M168" t="str">
            <v>131236-DS-E</v>
          </cell>
          <cell r="N168" t="str">
            <v>Data Sheet: Low Voltage System Equipment LVSG - WIL23-LVSG-0003A</v>
          </cell>
        </row>
        <row r="169">
          <cell r="M169" t="str">
            <v>131236-DS-E</v>
          </cell>
          <cell r="N169" t="str">
            <v>Data Sheet: Low Voltage System Equipment LVSG - WIL23-LVSG-0003B</v>
          </cell>
        </row>
        <row r="170">
          <cell r="M170" t="str">
            <v>131236-DS-E</v>
          </cell>
          <cell r="N170" t="str">
            <v>Data Sheet: Low Voltage System Equipment MCC - WIL23-MCC-0001A</v>
          </cell>
        </row>
        <row r="171">
          <cell r="M171" t="str">
            <v>131236-DS-E</v>
          </cell>
          <cell r="N171" t="str">
            <v>Data Sheet: Low Voltage System Equipment MCC - WIL23-MCC-0001B</v>
          </cell>
        </row>
        <row r="172">
          <cell r="M172" t="str">
            <v>131236-DS-E</v>
          </cell>
          <cell r="N172" t="str">
            <v>Data Sheet: Low Voltage System Equipment MCC - WIL23-MCC-0002A</v>
          </cell>
        </row>
        <row r="173">
          <cell r="M173" t="str">
            <v>131236-DS-E</v>
          </cell>
          <cell r="N173" t="str">
            <v>Data Sheet: Low Voltage System Equipment MCC - WIL23-MCC-0002B</v>
          </cell>
        </row>
        <row r="174">
          <cell r="M174" t="str">
            <v>131236-DS-E</v>
          </cell>
          <cell r="N174" t="str">
            <v>Data Sheet: Low Voltage System Equipment MCC - WIL23-MCC-0003A</v>
          </cell>
        </row>
        <row r="175">
          <cell r="M175" t="str">
            <v>131236-DS-E</v>
          </cell>
          <cell r="N175" t="str">
            <v>Data Sheet: Low Voltage System Equipment MCC - WIL23-MCC-0003B</v>
          </cell>
        </row>
        <row r="176">
          <cell r="M176" t="str">
            <v>131236-DS-E</v>
          </cell>
          <cell r="N176" t="str">
            <v>Data Sheet: Low Voltage System Equipment MCC - WIL23-MCC-0004A</v>
          </cell>
        </row>
        <row r="177">
          <cell r="M177" t="str">
            <v>131236-DS-E</v>
          </cell>
          <cell r="N177" t="str">
            <v>Data Sheet: Low Voltage System Equipment MCC - WIL23-MCC-0004B</v>
          </cell>
        </row>
        <row r="178">
          <cell r="M178" t="str">
            <v>131236-DS-E</v>
          </cell>
          <cell r="N178" t="str">
            <v>Data Sheet: Low Voltage System Equipment MCC - WIL23-MCC-0005A</v>
          </cell>
        </row>
        <row r="179">
          <cell r="M179" t="str">
            <v>131236-DS-E</v>
          </cell>
          <cell r="N179" t="str">
            <v>Data Sheet: Low Voltage System Equipment MCC - WIL23-MCC-0005B</v>
          </cell>
        </row>
        <row r="180">
          <cell r="M180" t="str">
            <v>131236-DS-E</v>
          </cell>
          <cell r="N180" t="str">
            <v>Data Sheet: Low Voltage System Equipment MDB - WIL23-MDB-0001A</v>
          </cell>
        </row>
        <row r="181">
          <cell r="M181" t="str">
            <v>131236-DS-E</v>
          </cell>
          <cell r="N181" t="str">
            <v>Data Sheet: Low Voltage System Equipment MDB - WIL23-MDB-0001B</v>
          </cell>
        </row>
        <row r="182">
          <cell r="M182" t="str">
            <v>131236-DS-E</v>
          </cell>
          <cell r="N182" t="str">
            <v>Data Sheet: Low Voltage System Equipment MDB - WIL23-MDB-0002A</v>
          </cell>
        </row>
        <row r="183">
          <cell r="M183" t="str">
            <v>131236-DS-E</v>
          </cell>
          <cell r="N183" t="str">
            <v>Data Sheet: Low Voltage System Equipment MDB - WIL23-MDB-0002B</v>
          </cell>
        </row>
        <row r="184">
          <cell r="M184" t="str">
            <v>131236-DS-E</v>
          </cell>
          <cell r="N184" t="str">
            <v>Data Sheet: Low Voltage System Equipment MDB - WIL23-MDB-0003A</v>
          </cell>
        </row>
        <row r="185">
          <cell r="M185" t="str">
            <v>131236-DS-E</v>
          </cell>
          <cell r="N185" t="str">
            <v>Data Sheet: Low Voltage System Equipment MDB - WIL23-MDB-0003B</v>
          </cell>
        </row>
        <row r="186">
          <cell r="M186" t="str">
            <v>131236-DS-E</v>
          </cell>
          <cell r="N186" t="str">
            <v>Data Sheet: Low Voltage System Equipment MDB - WIL23-MDB-0004A</v>
          </cell>
        </row>
        <row r="187">
          <cell r="M187" t="str">
            <v>131236-DS-E</v>
          </cell>
          <cell r="N187" t="str">
            <v>Data Sheet: Low Voltage System Equipment MDB - WIL23-MDB-0004B</v>
          </cell>
        </row>
        <row r="188">
          <cell r="M188" t="str">
            <v>131236-DS-E</v>
          </cell>
          <cell r="N188" t="str">
            <v>Data Sheet: Low Voltage System Equipment LCS - WIL23-LCS-0001</v>
          </cell>
        </row>
        <row r="189">
          <cell r="M189" t="str">
            <v>131236-DS-E</v>
          </cell>
          <cell r="N189" t="str">
            <v>Data Sheet: 6.6kV DOL Starter</v>
          </cell>
        </row>
        <row r="190">
          <cell r="M190" t="str">
            <v>131236-DS-E</v>
          </cell>
          <cell r="N190" t="str">
            <v>Data Sheet: 400kW LV VFD</v>
          </cell>
        </row>
        <row r="191">
          <cell r="M191" t="str">
            <v>131236-DS-E</v>
          </cell>
          <cell r="N191" t="str">
            <v>Data Sheet: 225kW LV VFD</v>
          </cell>
        </row>
        <row r="192">
          <cell r="M192" t="str">
            <v>131236-DS-E</v>
          </cell>
          <cell r="N192" t="str">
            <v>Data Sheet: 160kW LV VFD</v>
          </cell>
        </row>
        <row r="193">
          <cell r="M193" t="str">
            <v>131236-DS-E</v>
          </cell>
          <cell r="N193" t="str">
            <v>Data Sheet: 75kW LV VFD</v>
          </cell>
        </row>
        <row r="194">
          <cell r="M194" t="str">
            <v>131236-DS-E</v>
          </cell>
          <cell r="N194" t="str">
            <v>Data Sheet: 22/6.6kV Transformer - WIL23-TRF-0001A</v>
          </cell>
        </row>
        <row r="195">
          <cell r="M195" t="str">
            <v>131236-DS-E</v>
          </cell>
          <cell r="N195" t="str">
            <v>Data Sheet: 22/6.6kV Transformer - WIL23-TRF-0001B</v>
          </cell>
        </row>
        <row r="196">
          <cell r="M196" t="str">
            <v>131236-DS-E</v>
          </cell>
          <cell r="N196" t="str">
            <v>Data Sheet: 22/0.415kV Transformer - WIL23-TRF-0002A</v>
          </cell>
        </row>
        <row r="197">
          <cell r="M197" t="str">
            <v>131236-DS-E</v>
          </cell>
          <cell r="N197" t="str">
            <v>Data Sheet: 22/0.415kV Transformer - WIL23-TRF-0002B</v>
          </cell>
        </row>
        <row r="198">
          <cell r="M198" t="str">
            <v>131236-DS-E</v>
          </cell>
          <cell r="N198" t="str">
            <v>Data Sheet: 22/0.415kV Transformer - WIL23-TRF-0003A</v>
          </cell>
        </row>
        <row r="199">
          <cell r="M199" t="str">
            <v>131236-DS-E</v>
          </cell>
          <cell r="N199" t="str">
            <v>Data Sheet: 22/0.415kV Transformer - WIL23-TRF-0003B</v>
          </cell>
        </row>
        <row r="200">
          <cell r="M200" t="str">
            <v>131236-DS-E</v>
          </cell>
          <cell r="N200" t="str">
            <v>Data Sheet: 22/0.415kV Transformer - WIL23-TRF-0004A</v>
          </cell>
        </row>
        <row r="201">
          <cell r="M201" t="str">
            <v>131236-DS-E</v>
          </cell>
          <cell r="N201" t="str">
            <v>Data Sheet: 22/0.415kV Transformer - WIL23-TRF-0004B</v>
          </cell>
        </row>
        <row r="203">
          <cell r="M203"/>
          <cell r="N203"/>
        </row>
        <row r="204">
          <cell r="M204"/>
          <cell r="N204"/>
        </row>
        <row r="205">
          <cell r="M205"/>
          <cell r="N205"/>
        </row>
        <row r="206">
          <cell r="M206" t="str">
            <v>131236-SD-E</v>
          </cell>
          <cell r="N206" t="str">
            <v>Shop Drawings - High Voltage System Equipment - 22kV Switchgear Battery &amp; Battery Chargers (1 of 5)</v>
          </cell>
        </row>
        <row r="207">
          <cell r="M207" t="str">
            <v>131236-SD-E</v>
          </cell>
          <cell r="N207" t="str">
            <v>Shop Drawings - High Voltage System Equipment - 22kV Switchgear Battery &amp; Battery Chargers (2 of 5)</v>
          </cell>
        </row>
        <row r="208">
          <cell r="M208" t="str">
            <v>131236-SD-E</v>
          </cell>
          <cell r="N208" t="str">
            <v>Shop Drawings - High Voltage System Equipment - 22kV Switchgear Battery &amp; Battery Chargers (3 of 5)</v>
          </cell>
        </row>
        <row r="209">
          <cell r="M209" t="str">
            <v>131236-SD-E</v>
          </cell>
          <cell r="N209" t="str">
            <v>Shop Drawings - High Voltage System Equipment - 22kV Switchgear Battery &amp; Battery Chargers (4 of 5)</v>
          </cell>
        </row>
        <row r="210">
          <cell r="M210" t="str">
            <v>131236-SD-E</v>
          </cell>
          <cell r="N210" t="str">
            <v>Shop Drawings - High Voltage System Equipment - 22kV Switchgear Battery &amp; Battery Chargers (5 of 5)</v>
          </cell>
        </row>
        <row r="211">
          <cell r="M211" t="str">
            <v>131236-DR-E</v>
          </cell>
          <cell r="N211" t="str">
            <v>Panel GA - 22kV Switchgear - WIL00-HVSG-0002A (Sheet 1 of 12) - General Arrangement</v>
          </cell>
        </row>
        <row r="212">
          <cell r="M212" t="str">
            <v>131236-DR-E</v>
          </cell>
          <cell r="N212" t="str">
            <v>Panel GA - 22kV Switchgear - WIL00-HVSG-0002A (Sheet 2 of 12) - General Arrangement</v>
          </cell>
        </row>
        <row r="213">
          <cell r="M213" t="str">
            <v>131236-DR-E</v>
          </cell>
          <cell r="N213" t="str">
            <v>Panel GA - 22kV Switchgear - WIL00-HVSG-0002A (Sheet 3 of 12) - Constructional Data</v>
          </cell>
        </row>
        <row r="214">
          <cell r="M214" t="str">
            <v>131236-DR-E</v>
          </cell>
          <cell r="N214" t="str">
            <v>Panel GA - 22kV Switchgear - WIL00-HVSG-0002A (Sheet 4 of 12) - Constructional Data</v>
          </cell>
        </row>
        <row r="215">
          <cell r="M215" t="str">
            <v>131236-DR-E</v>
          </cell>
          <cell r="N215" t="str">
            <v>Panel GA - 22kV Switchgear - WIL00-HVSG-0002A (Sheet 5 of 12) - In Details (JZ03a)</v>
          </cell>
        </row>
        <row r="216">
          <cell r="M216" t="str">
            <v>131236-DR-E</v>
          </cell>
          <cell r="N216" t="str">
            <v>Panel GA - 22kV Switchgear - WIL00-HVSG-0002A (Sheet 6 of 12) - In Details (JZ03)</v>
          </cell>
        </row>
        <row r="217">
          <cell r="M217" t="str">
            <v>131236-DR-E</v>
          </cell>
          <cell r="N217" t="str">
            <v>Panel GA - 22kV Switchgear - WIL00-HVSG-0002A (Sheet 7 of 12) - In Details (JZ01)</v>
          </cell>
        </row>
        <row r="218">
          <cell r="M218" t="str">
            <v>131236-DR-E</v>
          </cell>
          <cell r="N218" t="str">
            <v>Panel GA - 22kV Switchgear - WIL00-HVSG-0002A (Sheet 8 of 12) - In Details (JZ04)</v>
          </cell>
        </row>
        <row r="219">
          <cell r="M219" t="str">
            <v>131236-DR-E</v>
          </cell>
          <cell r="N219" t="str">
            <v>Panel GA - 22kV Switchgear - WIL00-HVSG-0002A (Sheet 9 of 12) - In Details (JZ02)</v>
          </cell>
        </row>
        <row r="220">
          <cell r="M220" t="str">
            <v>131236-DR-E</v>
          </cell>
          <cell r="N220" t="str">
            <v>Panel GA - 22kV Switchgear - WIL00-HVSG-0002A (Sheet 10 of 12) - In Details (JZ05)</v>
          </cell>
        </row>
        <row r="221">
          <cell r="M221" t="str">
            <v>131236-DR-E</v>
          </cell>
          <cell r="N221" t="str">
            <v>Panel GA - 22kV Switchgear - WIL00-HVSG-0002A (Sheet 11 of 12) - Gas Compartment</v>
          </cell>
        </row>
        <row r="222">
          <cell r="M222" t="str">
            <v>131236-DR-E</v>
          </cell>
          <cell r="N222" t="str">
            <v>Panel GA - 22kV Switchgear - WIL00-HVSG-0002A (Sheet 12 of 12)  - Gas Compartment</v>
          </cell>
        </row>
        <row r="223">
          <cell r="M223" t="str">
            <v>131236-DR-E</v>
          </cell>
          <cell r="N223" t="str">
            <v>Panel GA - 22kV Switchgear - WIL00-HVSG-0002B (Sheet 1 of 11) - General Arrangement</v>
          </cell>
        </row>
        <row r="224">
          <cell r="M224" t="str">
            <v>131236-DR-E</v>
          </cell>
          <cell r="N224" t="str">
            <v>Panel GA - 22kV Switchgear - WIL00-HVSG-0002B (Sheet 2 of 11) - General Arrangement</v>
          </cell>
        </row>
        <row r="225">
          <cell r="M225" t="str">
            <v>131236-DR-E</v>
          </cell>
          <cell r="N225" t="str">
            <v>Panel GA - 22kV Switchgear - WIL00-HVSG-0002B (Sheet 3 of 11) - Constructional Data</v>
          </cell>
        </row>
        <row r="226">
          <cell r="M226" t="str">
            <v>131236-DR-E</v>
          </cell>
          <cell r="N226" t="str">
            <v>Panel GA - 22kV Switchgear - WIL00-HVSG-0002B (Sheet 4 of 11) - Constructional Data</v>
          </cell>
        </row>
        <row r="227">
          <cell r="M227" t="str">
            <v>131236-DR-E</v>
          </cell>
          <cell r="N227" t="str">
            <v>Panel GA - 22kV Switchgear - WIL00-HVSG-0002B (Sheet 5 of 11) - In Details (JZ05)</v>
          </cell>
        </row>
        <row r="228">
          <cell r="M228" t="str">
            <v>131236-DR-E</v>
          </cell>
          <cell r="N228" t="str">
            <v>Panel GA - 22kV Switchgear - WIL00-HVSG-0002B (Sheet 6 of 11) - In Details (JZ02)</v>
          </cell>
        </row>
        <row r="229">
          <cell r="M229" t="str">
            <v>131236-DR-E</v>
          </cell>
          <cell r="N229" t="str">
            <v>Panel GA - 22kV Switchgear - WIL00-HVSG-0002B (Sheet 7 of 11) - In Details (JZ03)</v>
          </cell>
        </row>
        <row r="230">
          <cell r="M230" t="str">
            <v>131236-DR-E</v>
          </cell>
          <cell r="N230" t="str">
            <v>Panel GA - 22kV Switchgear - WIL00-HVSG-0002B (Sheet 8 of 11) - In Details (JZ01)</v>
          </cell>
        </row>
        <row r="231">
          <cell r="M231" t="str">
            <v>131236-DR-E</v>
          </cell>
          <cell r="N231" t="str">
            <v>Panel GA - 22kV Switchgear - WIL00-HVSG-0002B (Sheet 9 of 11) - In Details (JZ04)</v>
          </cell>
        </row>
        <row r="232">
          <cell r="M232" t="str">
            <v>131236-DR-E</v>
          </cell>
          <cell r="N232" t="str">
            <v>Panel GA - 22kV Switchgear - WIL00-HVSG-0002B (Sheet 10 of 11) - In Details {JZ03a}</v>
          </cell>
        </row>
        <row r="233">
          <cell r="M233" t="str">
            <v>131236-DR-E</v>
          </cell>
          <cell r="N233" t="str">
            <v>Panel GA - 22kV Switchgear - WIL00-HVSG-0002B (Sheet 11 of 11)  - Gas Compartment</v>
          </cell>
        </row>
        <row r="234">
          <cell r="M234" t="str">
            <v>131236-DR-E</v>
          </cell>
          <cell r="N234" t="str">
            <v>Panel GA - 22kV Switchgear - WIL00-HVSG-0002B (Sheet 11 of 11)  - Gas Compartment</v>
          </cell>
        </row>
        <row r="235">
          <cell r="M235" t="str">
            <v>131236-DR-E</v>
          </cell>
          <cell r="N235" t="str">
            <v>Remote Control Panel WIL00-HVSG-0002A General Arrangement</v>
          </cell>
        </row>
        <row r="236">
          <cell r="M236" t="str">
            <v>131236-DR-E</v>
          </cell>
          <cell r="N236" t="str">
            <v>Remote Control Panel WIL00-HVSG-0002A Schematic</v>
          </cell>
        </row>
        <row r="237">
          <cell r="M237" t="str">
            <v>131236-DR-E</v>
          </cell>
          <cell r="N237" t="str">
            <v>Remote Control Panel WIL00-HVSG-0002A Termination List</v>
          </cell>
        </row>
        <row r="238">
          <cell r="M238" t="str">
            <v>131236-DR-E</v>
          </cell>
          <cell r="N238" t="str">
            <v>Remote Control Panel WIL00-HVSG-0002A Bill Of Materials</v>
          </cell>
        </row>
        <row r="239">
          <cell r="M239" t="str">
            <v>131236-DR-E</v>
          </cell>
          <cell r="N239" t="str">
            <v>Remote Control Panel WIL00-HVSG-0002B General Arrangement</v>
          </cell>
        </row>
        <row r="240">
          <cell r="M240" t="str">
            <v>131236-DR-E</v>
          </cell>
          <cell r="N240" t="str">
            <v>Remote Control Panel WIL00-HVSG-0002B Schematic</v>
          </cell>
        </row>
        <row r="241">
          <cell r="M241" t="str">
            <v>131236-DR-E</v>
          </cell>
          <cell r="N241" t="str">
            <v>Remote Control Panel WIL00-HVSG-0002B Termination List</v>
          </cell>
        </row>
        <row r="242">
          <cell r="M242" t="str">
            <v>131236-DR-E</v>
          </cell>
          <cell r="N242" t="str">
            <v>Remote Control Panel WIL00-HVSG-0002B Bill Of Materials</v>
          </cell>
        </row>
        <row r="243">
          <cell r="M243" t="str">
            <v>131236-DR-E</v>
          </cell>
          <cell r="N243" t="str">
            <v>WIL06-MCC-0002A GA Legend</v>
          </cell>
        </row>
        <row r="244">
          <cell r="M244" t="str">
            <v>131236-DR-E</v>
          </cell>
          <cell r="N244" t="str">
            <v>WIL06-MCC-0002A Technical Data</v>
          </cell>
        </row>
        <row r="245">
          <cell r="M245" t="str">
            <v>131236-DR-E</v>
          </cell>
          <cell r="N245" t="str">
            <v>WIL06-MCC-0002A General Arrangement - 1</v>
          </cell>
        </row>
        <row r="246">
          <cell r="M246" t="str">
            <v>131236-DR-E</v>
          </cell>
          <cell r="N246" t="str">
            <v>WIL06-MCC-0002A General Arrangement - 2</v>
          </cell>
        </row>
        <row r="247">
          <cell r="M247" t="str">
            <v>131236-DR-E</v>
          </cell>
          <cell r="N247" t="str">
            <v>WIL06-MCC-0002A General Arrangement - 3</v>
          </cell>
        </row>
        <row r="248">
          <cell r="M248" t="str">
            <v>131236-DR-E</v>
          </cell>
          <cell r="N248" t="str">
            <v>WIL06-MCC-0002A General Arrangement - 4</v>
          </cell>
        </row>
        <row r="249">
          <cell r="M249" t="str">
            <v>131236-DR-E</v>
          </cell>
          <cell r="N249" t="str">
            <v>WIL06-MCC-0002A General Arrangement - 5</v>
          </cell>
        </row>
        <row r="250">
          <cell r="M250" t="str">
            <v>131236-DR-E</v>
          </cell>
          <cell r="N250" t="str">
            <v>WIL06-MCC-0002B GA Legend</v>
          </cell>
        </row>
        <row r="251">
          <cell r="M251" t="str">
            <v>131236-DR-E</v>
          </cell>
          <cell r="N251" t="str">
            <v>WIL06-MCC-0002B Technical Data</v>
          </cell>
        </row>
        <row r="252">
          <cell r="M252" t="str">
            <v>131236-DR-E</v>
          </cell>
          <cell r="N252" t="str">
            <v>WIL06-MCC-0002B General Arrangement - 1</v>
          </cell>
        </row>
        <row r="253">
          <cell r="M253" t="str">
            <v>131236-DR-E</v>
          </cell>
          <cell r="N253" t="str">
            <v>WIL06-MCC-0002B General Arrangement - 2</v>
          </cell>
        </row>
        <row r="254">
          <cell r="M254" t="str">
            <v>131236-DR-E</v>
          </cell>
          <cell r="N254" t="str">
            <v>WIL06-MCC-0002B General Arrangement - 3</v>
          </cell>
        </row>
        <row r="255">
          <cell r="M255" t="str">
            <v>131236-DR-E</v>
          </cell>
          <cell r="N255" t="str">
            <v>WIL06-MCC-0002B General Arrangement - 4</v>
          </cell>
        </row>
        <row r="256">
          <cell r="M256" t="str">
            <v>131236-DR-E</v>
          </cell>
          <cell r="N256" t="str">
            <v>WIL06-MCC-0001B General Arrangement - 5</v>
          </cell>
        </row>
        <row r="257">
          <cell r="M257" t="str">
            <v>131236-DR-E</v>
          </cell>
          <cell r="N257" t="str">
            <v>Panel GA -  Low Voltage System Equipment LCS - WIL06-LCS-0001 (Sheet 1 of XXX)</v>
          </cell>
        </row>
        <row r="258">
          <cell r="M258" t="str">
            <v>131236-DR-E</v>
          </cell>
          <cell r="N258" t="str">
            <v>WIL13-MCC-0006 GA Legend</v>
          </cell>
        </row>
        <row r="259">
          <cell r="M259" t="str">
            <v>131236-DR-E</v>
          </cell>
          <cell r="N259" t="str">
            <v>WIL13-MCC-0006 Technical Data</v>
          </cell>
        </row>
        <row r="260">
          <cell r="M260" t="str">
            <v>131236-DR-E</v>
          </cell>
          <cell r="N260" t="str">
            <v>WIL13-MCC-0006 General Arrangement - 1</v>
          </cell>
        </row>
        <row r="261">
          <cell r="M261" t="str">
            <v>131236-DR-E</v>
          </cell>
          <cell r="N261" t="str">
            <v>WIL13-MCC-0006 General Arrangement - 2</v>
          </cell>
        </row>
        <row r="262">
          <cell r="M262" t="str">
            <v>131236-DR-E</v>
          </cell>
          <cell r="N262" t="str">
            <v>WIL13-MCC-0006 General Arrangement - 3</v>
          </cell>
        </row>
        <row r="263">
          <cell r="M263" t="str">
            <v>131236-DR-E</v>
          </cell>
          <cell r="N263" t="str">
            <v>WIL13-MCC-0006 General Arrangement - 4</v>
          </cell>
        </row>
        <row r="264">
          <cell r="M264" t="str">
            <v>131236-DR-E</v>
          </cell>
          <cell r="N264" t="str">
            <v>WIL13-MCC-0006 General Arrangement - 5</v>
          </cell>
        </row>
        <row r="265">
          <cell r="M265" t="str">
            <v>131236-DR-E</v>
          </cell>
          <cell r="N265" t="str">
            <v>WIL13-MCC-0006 General Arrangement - 6</v>
          </cell>
        </row>
        <row r="266">
          <cell r="M266" t="str">
            <v>131236-DR-E</v>
          </cell>
          <cell r="N266" t="str">
            <v>WIL13-MCC-0007 GA Legend</v>
          </cell>
        </row>
        <row r="267">
          <cell r="M267" t="str">
            <v>131236-DR-E</v>
          </cell>
          <cell r="N267" t="str">
            <v>WIL13-MCC-0007 Technical Data</v>
          </cell>
        </row>
        <row r="268">
          <cell r="M268" t="str">
            <v>131236-DR-E</v>
          </cell>
          <cell r="N268" t="str">
            <v>WIL13-MCC-0007 General Arrangement - 1</v>
          </cell>
        </row>
        <row r="269">
          <cell r="M269" t="str">
            <v>131236-DR-E</v>
          </cell>
          <cell r="N269" t="str">
            <v>WIL13-MCC-0007 General Arrangement - 2</v>
          </cell>
        </row>
        <row r="270">
          <cell r="M270" t="str">
            <v>131236-DR-E</v>
          </cell>
          <cell r="N270" t="str">
            <v>WIL13-MCC-0007 General Arrangement - 3</v>
          </cell>
        </row>
        <row r="271">
          <cell r="M271" t="str">
            <v>131236-DR-E</v>
          </cell>
          <cell r="N271" t="str">
            <v>WIL13-MCC-0007 General Arrangement - 4</v>
          </cell>
        </row>
        <row r="272">
          <cell r="M272" t="str">
            <v>131236-DR-E</v>
          </cell>
          <cell r="N272" t="str">
            <v>WIL13-MCC-0007 General Arrangement - 5</v>
          </cell>
        </row>
        <row r="273">
          <cell r="M273" t="str">
            <v>131236-DR-E</v>
          </cell>
          <cell r="N273" t="str">
            <v>WIL13-MCC-0007 General Arrangement - 6</v>
          </cell>
        </row>
        <row r="274">
          <cell r="M274" t="str">
            <v>131236-DR-E</v>
          </cell>
          <cell r="N274" t="str">
            <v>Panel GA -  Low Voltage System Equipment LCS - WIL13-LCS-0001 (Sheet 1 of XXX)</v>
          </cell>
        </row>
        <row r="275">
          <cell r="M275" t="str">
            <v>131236-DR-E</v>
          </cell>
          <cell r="N275" t="str">
            <v>WIL21-LVSG-0001A LEGEND</v>
          </cell>
        </row>
        <row r="276">
          <cell r="M276" t="str">
            <v>131236-DR-E</v>
          </cell>
          <cell r="N276" t="str">
            <v>WIL21-LVSG-0001A TECHNICAL DATA</v>
          </cell>
        </row>
        <row r="277">
          <cell r="M277" t="str">
            <v>131236-DR-E</v>
          </cell>
          <cell r="N277" t="str">
            <v>WIL21-LVSG-0001A GENERAL ARRANGEMENT - 1</v>
          </cell>
        </row>
        <row r="278">
          <cell r="M278" t="str">
            <v>131236-DR-E</v>
          </cell>
          <cell r="N278" t="str">
            <v>WIL21-LVSG-0001A GENERAL ARRANGEMENT - 2</v>
          </cell>
        </row>
        <row r="279">
          <cell r="M279" t="str">
            <v>131236-DR-E</v>
          </cell>
          <cell r="N279" t="str">
            <v>WIL21-LVSG-0001A GENERAL ARRANGEMENT - 3</v>
          </cell>
        </row>
        <row r="280">
          <cell r="M280" t="str">
            <v>131236-DR-E</v>
          </cell>
          <cell r="N280" t="str">
            <v>WIL21-LVSG-0001A GENERAL ARRANGEMENT - 3</v>
          </cell>
        </row>
        <row r="281">
          <cell r="M281" t="str">
            <v>131236-DR-E</v>
          </cell>
          <cell r="N281" t="str">
            <v xml:space="preserve">Panel GA - Low Voltage System Equipment LVSG - WIL21-LVSG-0001A </v>
          </cell>
        </row>
        <row r="282">
          <cell r="M282" t="str">
            <v>131236-DR-E</v>
          </cell>
          <cell r="N282" t="str">
            <v xml:space="preserve">Panel GA - Low Voltage System Equipment LVSG - WIL21-LVSG-0001A </v>
          </cell>
        </row>
        <row r="283">
          <cell r="M283" t="str">
            <v>131236-DR-E</v>
          </cell>
          <cell r="N283" t="str">
            <v xml:space="preserve">Panel GA - Low Voltage System Equipment LVSG - WIL21-LVSG-0001A </v>
          </cell>
        </row>
        <row r="284">
          <cell r="M284" t="str">
            <v>131236-DR-E</v>
          </cell>
          <cell r="N284" t="str">
            <v xml:space="preserve">Panel GA - Low Voltage System Equipment LVSG - WIL21-LVSG-0001A </v>
          </cell>
        </row>
        <row r="285">
          <cell r="M285" t="str">
            <v>131236-DR-E</v>
          </cell>
          <cell r="N285" t="str">
            <v xml:space="preserve">Panel GA - Low Voltage System Equipment LVSG - WIL21-LVSG-0001A </v>
          </cell>
        </row>
        <row r="286">
          <cell r="M286" t="str">
            <v>131236-DR-E</v>
          </cell>
          <cell r="N286" t="str">
            <v xml:space="preserve">Panel GA - Low Voltage System Equipment LVSG - WIL21-LVSG-0001A </v>
          </cell>
        </row>
        <row r="287">
          <cell r="M287" t="str">
            <v>131236-DR-E</v>
          </cell>
          <cell r="N287" t="str">
            <v xml:space="preserve">Panel GA - Low Voltage System Equipment LVSG - WIL21-LVSG-0001A </v>
          </cell>
        </row>
        <row r="288">
          <cell r="M288" t="str">
            <v>131236-DR-E</v>
          </cell>
          <cell r="N288" t="str">
            <v xml:space="preserve">Panel GA - Low Voltage System Equipment LVSG - WIL21-LVSG-0001A </v>
          </cell>
        </row>
        <row r="289">
          <cell r="M289" t="str">
            <v>131236-DR-E</v>
          </cell>
          <cell r="N289" t="str">
            <v>Part List -  Low Voltage System Equipment LVSG - WIL21-LVSG-0001A</v>
          </cell>
        </row>
        <row r="290">
          <cell r="M290" t="str">
            <v>131236-DR-E</v>
          </cell>
          <cell r="N290" t="str">
            <v>Part List -  Low Voltage System Equipment LVSG - WIL21-LVSG-0001A</v>
          </cell>
        </row>
        <row r="291">
          <cell r="M291" t="str">
            <v>131236-DR-E</v>
          </cell>
          <cell r="N291" t="str">
            <v>Part List -  Low Voltage System Equipment LVSG - WIL21-LVSG-0001A</v>
          </cell>
        </row>
        <row r="292">
          <cell r="M292" t="str">
            <v>131236-DR-E</v>
          </cell>
          <cell r="N292" t="str">
            <v>WIL21-LVSG-0001B LEGEND</v>
          </cell>
        </row>
        <row r="293">
          <cell r="M293" t="str">
            <v>131236-DR-E</v>
          </cell>
          <cell r="N293" t="str">
            <v>WIL21-LVSG-0001B TECHNICAL DATA</v>
          </cell>
        </row>
        <row r="294">
          <cell r="M294" t="str">
            <v>131236-DR-E</v>
          </cell>
          <cell r="N294" t="str">
            <v>WIL21-LVSG-0001B GENERAL ARRANGEMENT - 1</v>
          </cell>
        </row>
        <row r="295">
          <cell r="M295" t="str">
            <v>131236-DR-E</v>
          </cell>
          <cell r="N295" t="str">
            <v>WIL21-LVSG-0001B GENERAL ARRANGEMENT - 2</v>
          </cell>
        </row>
        <row r="296">
          <cell r="M296" t="str">
            <v>131236-DR-E</v>
          </cell>
          <cell r="N296" t="str">
            <v>WIL21-LVSG-0001B GENERAL ARRANGEMENT - 3</v>
          </cell>
        </row>
        <row r="297">
          <cell r="M297" t="str">
            <v>131236-DR-E</v>
          </cell>
          <cell r="N297" t="str">
            <v>WIL21-LVSG-0001B GENERAL ARRANGEMENT - 3</v>
          </cell>
        </row>
        <row r="298">
          <cell r="M298" t="str">
            <v>131236-DR-E</v>
          </cell>
          <cell r="N298" t="str">
            <v xml:space="preserve">Panel GA - Low Voltage System Equipment LVSG - WIL21-LVSG-0001B </v>
          </cell>
        </row>
        <row r="299">
          <cell r="M299" t="str">
            <v>131236-DR-E</v>
          </cell>
          <cell r="N299" t="str">
            <v xml:space="preserve">Panel GA - Low Voltage System Equipment LVSG - WIL21-LVSG-0001B </v>
          </cell>
        </row>
        <row r="300">
          <cell r="M300" t="str">
            <v>131236-DR-E</v>
          </cell>
          <cell r="N300" t="str">
            <v xml:space="preserve">Panel GA - Low Voltage System Equipment LVSG - WIL21-LVSG-0001B </v>
          </cell>
        </row>
        <row r="301">
          <cell r="M301" t="str">
            <v>131236-DR-E</v>
          </cell>
          <cell r="N301" t="str">
            <v xml:space="preserve">Panel GA - Low Voltage System Equipment LVSG - WIL21-LVSG-0001B </v>
          </cell>
        </row>
        <row r="302">
          <cell r="M302" t="str">
            <v>131236-DR-E</v>
          </cell>
          <cell r="N302" t="str">
            <v xml:space="preserve">Panel GA - Low Voltage System Equipment LVSG - WIL21-LVSG-0001B </v>
          </cell>
        </row>
        <row r="303">
          <cell r="M303" t="str">
            <v>131236-DR-E</v>
          </cell>
          <cell r="N303" t="str">
            <v xml:space="preserve">Panel GA - Low Voltage System Equipment LVSG - WIL21-LVSG-0001B </v>
          </cell>
        </row>
        <row r="304">
          <cell r="M304" t="str">
            <v>131236-DR-E</v>
          </cell>
          <cell r="N304" t="str">
            <v xml:space="preserve">Panel GA - Low Voltage System Equipment LVSG - WIL21-LVSG-0001B </v>
          </cell>
        </row>
        <row r="305">
          <cell r="M305" t="str">
            <v>131236-DR-E</v>
          </cell>
          <cell r="N305" t="str">
            <v xml:space="preserve">Panel GA - Low Voltage System Equipment LVSG - WIL21-LVSG-0001B </v>
          </cell>
        </row>
        <row r="306">
          <cell r="M306" t="str">
            <v>131236-DR-E</v>
          </cell>
          <cell r="N306" t="str">
            <v xml:space="preserve">Parts List - Low Voltage System Equipment LVSG - WIL21-LVSG-0001B </v>
          </cell>
        </row>
        <row r="307">
          <cell r="M307" t="str">
            <v>131236-DR-E</v>
          </cell>
          <cell r="N307" t="str">
            <v xml:space="preserve">Parts List - Low Voltage System Equipment LVSG - WIL21-LVSG-0001B </v>
          </cell>
        </row>
        <row r="308">
          <cell r="M308" t="str">
            <v>131236-DR-E</v>
          </cell>
          <cell r="N308" t="str">
            <v xml:space="preserve">Parts List - Low Voltage System Equipment LVSG - WIL21-LVSG-0001B </v>
          </cell>
        </row>
        <row r="309">
          <cell r="M309" t="str">
            <v>131236-DR-E</v>
          </cell>
          <cell r="N309" t="str">
            <v>Panel GA -  Low Voltage System Equipment MCC - WIL21-MCC-0001A (Sheet 1 of 5)</v>
          </cell>
        </row>
        <row r="310">
          <cell r="M310" t="str">
            <v>131236-DR-E</v>
          </cell>
          <cell r="N310" t="str">
            <v>Panel GA -  Low Voltage System Equipment MCC - WIL21-MCC-0001A (Sheet 2 of 5)</v>
          </cell>
        </row>
        <row r="311">
          <cell r="M311" t="str">
            <v>131236-DR-E</v>
          </cell>
          <cell r="N311" t="str">
            <v>Panel GA -  Low Voltage System Equipment MCC - WIL21-MCC-0001A (Sheet 3 of 5)</v>
          </cell>
        </row>
        <row r="312">
          <cell r="M312" t="str">
            <v>131236-DR-E</v>
          </cell>
          <cell r="N312" t="str">
            <v>Panel GA -  Low Voltage System Equipment MCC - WIL21-MCC-0001A (Sheet 4 of 5)</v>
          </cell>
        </row>
        <row r="313">
          <cell r="M313" t="str">
            <v>131236-DR-E</v>
          </cell>
          <cell r="N313" t="str">
            <v>Panel GA -  Low Voltage System Equipment MCC - WIL21-MCC-0001A (Sheet 5 of 5)</v>
          </cell>
        </row>
        <row r="314">
          <cell r="M314" t="str">
            <v>131236-DR-E</v>
          </cell>
          <cell r="N314" t="str">
            <v>Panel GA -  Low Voltage System Equipment MCC - WIL21-MCC-0001A (Sheet 5 of 5)</v>
          </cell>
        </row>
        <row r="315">
          <cell r="M315" t="str">
            <v>131236-DR-E</v>
          </cell>
          <cell r="N315" t="str">
            <v>Panel GA -  Low Voltage System Equipment MCC - WIL21-MCC-0001A (Sheet 5 of 5)</v>
          </cell>
        </row>
        <row r="316">
          <cell r="M316" t="str">
            <v>131236-DR-E</v>
          </cell>
          <cell r="N316" t="str">
            <v xml:space="preserve">Panel GA -  Low Voltage System Equipment MCC - WIL21-MCC-0001A </v>
          </cell>
        </row>
        <row r="317">
          <cell r="M317" t="str">
            <v>131236-DR-E</v>
          </cell>
          <cell r="N317" t="str">
            <v>Panel GA -  Low Voltage System Equipment MCC - WIL21-MCC-0001B (Sheet 1 of 5)</v>
          </cell>
        </row>
        <row r="318">
          <cell r="M318" t="str">
            <v>131236-DR-E</v>
          </cell>
          <cell r="N318" t="str">
            <v>Panel GA -  Low Voltage System Equipment MCC - WIL21-MCC-0001B (Sheet 2 of 5)</v>
          </cell>
        </row>
        <row r="319">
          <cell r="M319" t="str">
            <v>131236-DR-E</v>
          </cell>
          <cell r="N319" t="str">
            <v>Panel GA -  Low Voltage System Equipment MCC - WIL21-MCC-0001B (Sheet 3 of 5)</v>
          </cell>
        </row>
        <row r="320">
          <cell r="M320" t="str">
            <v>131236-DR-E</v>
          </cell>
          <cell r="N320" t="str">
            <v>Panel GA -  Low Voltage System Equipment MCC - WIL21-MCC-0001B (Sheet 4 of 5)</v>
          </cell>
        </row>
        <row r="321">
          <cell r="M321" t="str">
            <v>131236-DR-E</v>
          </cell>
          <cell r="N321" t="str">
            <v>Panel GA -  Low Voltage System Equipment MCC - WIL21-MCC-0001B (Sheet 5 of 5)</v>
          </cell>
        </row>
        <row r="322">
          <cell r="M322" t="str">
            <v>131236-DR-E</v>
          </cell>
          <cell r="N322" t="str">
            <v>Panel GA -  Low Voltage System Equipment MCC - WIL21-MCC-0001B</v>
          </cell>
        </row>
        <row r="323">
          <cell r="M323" t="str">
            <v>131236-DR-E</v>
          </cell>
          <cell r="N323" t="str">
            <v>Panel GA -  Low Voltage System Equipment MCC - WIL21-MCC-0001B</v>
          </cell>
        </row>
        <row r="324">
          <cell r="M324" t="str">
            <v>131236-DR-E</v>
          </cell>
          <cell r="N324" t="str">
            <v>Panel GA -  Low Voltage System Equipment MCC - WIL21-MCC-0001B</v>
          </cell>
        </row>
        <row r="325">
          <cell r="M325" t="str">
            <v>131236-DR-E</v>
          </cell>
          <cell r="N325" t="str">
            <v>WIL21-MCC-0002A GA Legend</v>
          </cell>
        </row>
        <row r="326">
          <cell r="M326" t="str">
            <v>131236-DR-E</v>
          </cell>
          <cell r="N326" t="str">
            <v>WIL21-MCC-0002A Technical Data</v>
          </cell>
        </row>
        <row r="327">
          <cell r="M327" t="str">
            <v>131236-DR-E</v>
          </cell>
          <cell r="N327" t="str">
            <v>WIL21-MCC-0002A General Arrangement - 1</v>
          </cell>
        </row>
        <row r="328">
          <cell r="M328" t="str">
            <v>131236-DR-E</v>
          </cell>
          <cell r="N328" t="str">
            <v>WIL21-MCC-0002A General Arrangement - 2</v>
          </cell>
        </row>
        <row r="329">
          <cell r="M329" t="str">
            <v>131236-DR-E</v>
          </cell>
          <cell r="N329" t="str">
            <v>WIL21-MCC-0002A General Arrangement - 3</v>
          </cell>
        </row>
        <row r="330">
          <cell r="M330" t="str">
            <v>131236-DR-E</v>
          </cell>
          <cell r="N330" t="str">
            <v>WIL21-MCC-0002A General Arrangement - 4</v>
          </cell>
        </row>
        <row r="331">
          <cell r="M331" t="str">
            <v>131236-DR-E</v>
          </cell>
          <cell r="N331" t="str">
            <v>WIL21-MCC-0002A General Arrangement - 5</v>
          </cell>
        </row>
        <row r="332">
          <cell r="M332" t="str">
            <v>131236-DR-E</v>
          </cell>
          <cell r="N332" t="str">
            <v>WIL21-MCC-0002A General Arrangement - 6</v>
          </cell>
        </row>
        <row r="333">
          <cell r="M333" t="str">
            <v>131236-DR-E</v>
          </cell>
          <cell r="N333" t="str">
            <v>WIL21-MCC-0002B GA Legend</v>
          </cell>
        </row>
        <row r="334">
          <cell r="M334" t="str">
            <v>131236-DR-E</v>
          </cell>
          <cell r="N334" t="str">
            <v>WIL21-MCC-0002B Technical Data</v>
          </cell>
        </row>
        <row r="335">
          <cell r="M335" t="str">
            <v>131236-DR-E</v>
          </cell>
          <cell r="N335" t="str">
            <v>WIL21-MCC-0002B General Arrangement - 1</v>
          </cell>
        </row>
        <row r="336">
          <cell r="M336" t="str">
            <v>131236-DR-E</v>
          </cell>
          <cell r="N336" t="str">
            <v>WIL21-MCC-0002B General Arrangement - 2</v>
          </cell>
        </row>
        <row r="337">
          <cell r="M337" t="str">
            <v>131236-DR-E</v>
          </cell>
          <cell r="N337" t="str">
            <v>WIL21-MCC-0002B General Arrangement - 3</v>
          </cell>
        </row>
        <row r="338">
          <cell r="M338" t="str">
            <v>131236-DR-E</v>
          </cell>
          <cell r="N338" t="str">
            <v>WIL21-MCC-0002B General Arrangement - 4</v>
          </cell>
        </row>
        <row r="339">
          <cell r="M339" t="str">
            <v>131236-DR-E</v>
          </cell>
          <cell r="N339" t="str">
            <v>WIL21-MCC-0002B General Arrangement - 5</v>
          </cell>
        </row>
        <row r="340">
          <cell r="M340" t="str">
            <v>131236-DR-E</v>
          </cell>
          <cell r="N340" t="str">
            <v>WIL21-MCC-0002B General Arrangement - 6</v>
          </cell>
        </row>
        <row r="341">
          <cell r="M341" t="str">
            <v>131236-DR-E</v>
          </cell>
          <cell r="N341" t="str">
            <v>WIL21-MCC-0003A GA Legend</v>
          </cell>
        </row>
        <row r="342">
          <cell r="M342" t="str">
            <v>131236-DR-E</v>
          </cell>
          <cell r="N342" t="str">
            <v>WIL21-MCC-0003A Technical Data</v>
          </cell>
        </row>
        <row r="343">
          <cell r="M343" t="str">
            <v>131236-DR-E</v>
          </cell>
          <cell r="N343" t="str">
            <v>WIL21-MCC-0003A General Arrangement - 1</v>
          </cell>
        </row>
        <row r="344">
          <cell r="M344" t="str">
            <v>131236-DR-E</v>
          </cell>
          <cell r="N344" t="str">
            <v>WIL21-MCC-0003A General Arrangement - 2</v>
          </cell>
        </row>
        <row r="345">
          <cell r="M345" t="str">
            <v>131236-DR-E</v>
          </cell>
          <cell r="N345" t="str">
            <v>WIL21-MCC-0003A General Arrangement - 3</v>
          </cell>
        </row>
        <row r="346">
          <cell r="M346" t="str">
            <v>131236-DR-E</v>
          </cell>
          <cell r="N346" t="str">
            <v>WIL21-MCC-0003A General Arrangement - 4</v>
          </cell>
        </row>
        <row r="347">
          <cell r="M347" t="str">
            <v>131236-DR-E</v>
          </cell>
          <cell r="N347" t="str">
            <v>WIL21-MCC-0003A General Arrangement - 5</v>
          </cell>
        </row>
        <row r="348">
          <cell r="M348" t="str">
            <v>131236-DR-E</v>
          </cell>
          <cell r="N348" t="str">
            <v>WIL21-MCC-0003A General Arrangement - 6</v>
          </cell>
        </row>
        <row r="349">
          <cell r="M349" t="str">
            <v>131236-DR-E</v>
          </cell>
          <cell r="N349" t="str">
            <v>WIL21-MCC-0003B GA Legend</v>
          </cell>
        </row>
        <row r="350">
          <cell r="M350" t="str">
            <v>131236-DR-E</v>
          </cell>
          <cell r="N350" t="str">
            <v>WIL21-MCC-0003B Technical Data</v>
          </cell>
        </row>
        <row r="351">
          <cell r="M351" t="str">
            <v>131236-DR-E</v>
          </cell>
          <cell r="N351" t="str">
            <v>WIL21-MCC-0003B General Arrangement - 1</v>
          </cell>
        </row>
        <row r="352">
          <cell r="M352" t="str">
            <v>131236-DR-E</v>
          </cell>
          <cell r="N352" t="str">
            <v>WIL21-MCC-0003B General Arrangement - 2</v>
          </cell>
        </row>
        <row r="353">
          <cell r="M353" t="str">
            <v>131236-DR-E</v>
          </cell>
          <cell r="N353" t="str">
            <v>WIL21-MCC-0003B General Arrangement - 3</v>
          </cell>
        </row>
        <row r="354">
          <cell r="M354" t="str">
            <v>131236-DR-E</v>
          </cell>
          <cell r="N354" t="str">
            <v>WIL21-MCC-0003B General Arrangement - 4</v>
          </cell>
        </row>
        <row r="355">
          <cell r="M355" t="str">
            <v>131236-DR-E</v>
          </cell>
          <cell r="N355" t="str">
            <v>WIL21-MCC-0003B General Arrangement - 5</v>
          </cell>
        </row>
        <row r="356">
          <cell r="M356" t="str">
            <v>131236-DR-E</v>
          </cell>
          <cell r="N356" t="str">
            <v>WIL21-MCC-0003B General Arrangement - 6</v>
          </cell>
        </row>
        <row r="357">
          <cell r="M357" t="str">
            <v>131236-DR-E</v>
          </cell>
          <cell r="N357" t="str">
            <v>WIL21-MDB-0001A GA LEGEND</v>
          </cell>
        </row>
        <row r="358">
          <cell r="M358" t="str">
            <v>131236-DR-E</v>
          </cell>
          <cell r="N358" t="str">
            <v>WIL21-MDB-0001A TECHNICAL DATA</v>
          </cell>
        </row>
        <row r="359">
          <cell r="M359" t="str">
            <v>131236-DR-E</v>
          </cell>
          <cell r="N359" t="str">
            <v>WIL21-MDB-0001A GENERAL ARRANGEMENT - 1</v>
          </cell>
        </row>
        <row r="360">
          <cell r="M360" t="str">
            <v>131236-DR-E</v>
          </cell>
          <cell r="N360" t="str">
            <v>WIL21-MDB-0001A GENERAL ARRANGEMENT - 2</v>
          </cell>
        </row>
        <row r="361">
          <cell r="M361" t="str">
            <v>131236-DR-E</v>
          </cell>
          <cell r="N361" t="str">
            <v>WIL21-MDB-0001A GENERAL ARRANGEMENT - 3</v>
          </cell>
        </row>
        <row r="362">
          <cell r="M362" t="str">
            <v>131236-DR-E</v>
          </cell>
          <cell r="N362" t="str">
            <v>WIL21-MDB-0001A GENERAL ARRANGEMENT - 4</v>
          </cell>
        </row>
        <row r="363">
          <cell r="M363" t="str">
            <v>131236-DR-E</v>
          </cell>
          <cell r="N363" t="str">
            <v>Panel GA -  Low Voltage System Equipment MDB - WIL21-MDB-0001A (Sheet 4 of 9)</v>
          </cell>
        </row>
        <row r="364">
          <cell r="M364" t="str">
            <v>131236-DR-E</v>
          </cell>
          <cell r="N364" t="str">
            <v>Panel GA -  Low Voltage System Equipment MDB - WIL21-MDB-0001A (Sheet 5 of 9)</v>
          </cell>
        </row>
        <row r="365">
          <cell r="M365" t="str">
            <v>131236-DR-E</v>
          </cell>
          <cell r="N365" t="str">
            <v>Panel GA -  Low Voltage System Equipment MDB - WIL21-MDB-0001A (Sheet 6 of 9)</v>
          </cell>
        </row>
        <row r="366">
          <cell r="M366" t="str">
            <v>131236-DR-E</v>
          </cell>
          <cell r="N366" t="str">
            <v>Panel GA -  Low Voltage System Equipment MDB - WIL21-MDB-0001A (Sheet 7 of 9)</v>
          </cell>
        </row>
        <row r="367">
          <cell r="M367" t="str">
            <v>131236-DR-E</v>
          </cell>
          <cell r="N367" t="str">
            <v>Panel GA -  Low Voltage System Equipment MDB - WIL21-MDB-0001A (Sheet 8 of 9)</v>
          </cell>
        </row>
        <row r="368">
          <cell r="M368" t="str">
            <v>131236-DR-E</v>
          </cell>
          <cell r="N368" t="str">
            <v>Panel GA -  Low Voltage System Equipment MDB - WIL21-MDB-0001A (Sheet 9 of 9)</v>
          </cell>
        </row>
        <row r="369">
          <cell r="M369" t="str">
            <v>131236-DR-E</v>
          </cell>
          <cell r="N369" t="str">
            <v>WIL21-MDB-0001B GA LEGEND</v>
          </cell>
        </row>
        <row r="370">
          <cell r="M370" t="str">
            <v>131236-DR-E</v>
          </cell>
          <cell r="N370" t="str">
            <v>WIL21-MDB-0001B TECHNICAL DATA</v>
          </cell>
        </row>
        <row r="371">
          <cell r="M371" t="str">
            <v>131236-DR-E</v>
          </cell>
          <cell r="N371" t="str">
            <v>WIL21-MDB-0001B GENERAL ARRANGEMENT - 1</v>
          </cell>
        </row>
        <row r="372">
          <cell r="M372" t="str">
            <v>131236-DR-E</v>
          </cell>
          <cell r="N372" t="str">
            <v>WIL21-MDB-0001B GENERAL ARRANGEMENT - 2</v>
          </cell>
        </row>
        <row r="373">
          <cell r="M373" t="str">
            <v>131236-DR-E</v>
          </cell>
          <cell r="N373" t="str">
            <v>WIL21-MDB-0001B GENERAL ARRANGEMENT - 3</v>
          </cell>
        </row>
        <row r="374">
          <cell r="M374" t="str">
            <v>131236-DR-E</v>
          </cell>
          <cell r="N374" t="str">
            <v>WIL21-MDB-0001B GENERAL ARRANGEMENT - 4</v>
          </cell>
        </row>
        <row r="375">
          <cell r="M375" t="str">
            <v>131236-DR-E</v>
          </cell>
          <cell r="N375" t="str">
            <v>Panel GA - Low Voltage System Equipment MDB - WIL21-MDB-0001B (Sheet 7 of 9)</v>
          </cell>
        </row>
        <row r="376">
          <cell r="M376" t="str">
            <v>131236-DR-E</v>
          </cell>
          <cell r="N376" t="str">
            <v>Panel GA - Low Voltage System Equipment MDB - WIL21-MDB-0001B (Sheet 8 of 9)</v>
          </cell>
        </row>
        <row r="377">
          <cell r="M377" t="str">
            <v>131236-DR-E</v>
          </cell>
          <cell r="N377" t="str">
            <v>Panel GA - Low Voltage System Equipment MDB - WIL21-MDB-0001B (Sheet 9 of 9)</v>
          </cell>
        </row>
        <row r="378">
          <cell r="M378" t="str">
            <v>131236-DR-E</v>
          </cell>
          <cell r="N378" t="str">
            <v>Panel GA -  Low Voltage System Equipment LCS - WIL21-LCS-0001 (Sheet 1 of XXX)</v>
          </cell>
        </row>
        <row r="379">
          <cell r="M379" t="str">
            <v>131236-DR-E</v>
          </cell>
          <cell r="N379" t="str">
            <v>Panel GA -  Low Voltage System Equipment LCS - WIL21-LCS-0001 (Sheet 1 of XXX)</v>
          </cell>
        </row>
        <row r="380">
          <cell r="M380" t="str">
            <v>131236-DR-E</v>
          </cell>
          <cell r="N380" t="str">
            <v>Panel GA -  Low Voltage System Equipment LCS - WIL21-LCS-0001 (Sheet 1 of XXX)</v>
          </cell>
        </row>
        <row r="381">
          <cell r="M381" t="str">
            <v>131236-DR-E</v>
          </cell>
          <cell r="N381" t="str">
            <v>Panel GA -  Low Voltage System Equipment LCS - WIL21-LCS-0001 (Sheet 1 of XXX)</v>
          </cell>
        </row>
        <row r="382">
          <cell r="M382" t="str">
            <v>131236-DR-E</v>
          </cell>
          <cell r="N382" t="str">
            <v>Panel GA -  Low Voltage System Equipment LCS - WIL21-LCS-0001 (Sheet 1 of XXX)</v>
          </cell>
        </row>
        <row r="383">
          <cell r="M383" t="str">
            <v>131236-DR-E</v>
          </cell>
          <cell r="N383" t="str">
            <v>Panel GA -  Low Voltage System Equipment LCS - WIL21-LCS-0001 (Sheet 1 of XXX)</v>
          </cell>
        </row>
        <row r="384">
          <cell r="M384" t="str">
            <v>131236-DR-E</v>
          </cell>
          <cell r="N384" t="str">
            <v>Panel GA -  Low Voltage System Equipment LCS - WIL21-LCS-0001 (Sheet 1 of XXX)</v>
          </cell>
        </row>
        <row r="385">
          <cell r="M385" t="str">
            <v>131236-DR-E</v>
          </cell>
          <cell r="N385" t="str">
            <v>Panel GA -  Low Voltage System Equipment LCS - WIL21-LCS-0001 (Sheet 1 of XXX)</v>
          </cell>
        </row>
        <row r="386">
          <cell r="M386" t="str">
            <v>131236-DR-E</v>
          </cell>
          <cell r="N386" t="str">
            <v>Panel GA -  Low Voltage System Equipment LCS - WIL21-LCS-0001 (Sheet 1 of XXX)</v>
          </cell>
        </row>
        <row r="387">
          <cell r="M387" t="str">
            <v>131236-DR-E</v>
          </cell>
          <cell r="N387" t="str">
            <v>Panel GA -  Low Voltage System Equipment LCS - WIL21-LCS-0001 (Sheet 1 of XXX)</v>
          </cell>
        </row>
        <row r="388">
          <cell r="M388" t="str">
            <v>131236-DR-E</v>
          </cell>
          <cell r="N388" t="str">
            <v>Panel GA -  Low Voltage System Equipment LCS - WIL21-LCS-0001 (Sheet 1 of XXX)</v>
          </cell>
        </row>
        <row r="389">
          <cell r="M389" t="str">
            <v>131236-DR-E</v>
          </cell>
          <cell r="N389" t="str">
            <v>Panel GA -  Low Voltage System Equipment LCS - WIL21-LCS-0001 (Sheet 1 of XXX)</v>
          </cell>
        </row>
        <row r="390">
          <cell r="M390" t="str">
            <v>131236-DR-E</v>
          </cell>
          <cell r="N390" t="str">
            <v>Panel GA -  Low Voltage System Equipment LCS - WIL21-LCS-0001 (Sheet 1 of XXX)</v>
          </cell>
        </row>
        <row r="391">
          <cell r="M391" t="str">
            <v>131236-DR-E</v>
          </cell>
          <cell r="N391" t="str">
            <v>Panel GA -  Low Voltage System Equipment LCS - WIL21-LCS-0001 (Sheet 1 of XXX)</v>
          </cell>
        </row>
        <row r="392">
          <cell r="M392" t="str">
            <v>131236-DR-E</v>
          </cell>
          <cell r="N392" t="str">
            <v>GA - Low Voltage System Equipment - 22/0.415kV Transformer (3MVA) - WIL21-TRF-0001A &amp; WIL21-TRF-0001B</v>
          </cell>
        </row>
        <row r="393">
          <cell r="M393" t="str">
            <v>131236-DR-E</v>
          </cell>
          <cell r="N393" t="str">
            <v>The transformer vendor GA into the layout: 22/0.415kV Transformer (3MVA) - WIL21-TRF-0001A &amp; WIL21-TRF-0001B</v>
          </cell>
        </row>
        <row r="394">
          <cell r="M394" t="str">
            <v>131236-DR-E</v>
          </cell>
          <cell r="N394" t="str">
            <v>WIL22-LVSG-0001A GA Legend</v>
          </cell>
        </row>
        <row r="395">
          <cell r="M395" t="str">
            <v>131236-DR-E</v>
          </cell>
          <cell r="N395" t="str">
            <v>WIL22-LVSG-0001A Technical Data</v>
          </cell>
        </row>
        <row r="396">
          <cell r="M396" t="str">
            <v>131236-DR-E</v>
          </cell>
          <cell r="N396" t="str">
            <v>WIL22-LVSG-0001A General Arrangement - 1</v>
          </cell>
        </row>
        <row r="397">
          <cell r="M397" t="str">
            <v>131236-DR-E</v>
          </cell>
          <cell r="N397" t="str">
            <v>WIL22-LVSG-0001A General Arrangement - 2</v>
          </cell>
        </row>
        <row r="398">
          <cell r="M398" t="str">
            <v>131236-DR-E</v>
          </cell>
          <cell r="N398" t="str">
            <v>WIL22-LVSG-0001A General Arrangement - 3</v>
          </cell>
        </row>
        <row r="399">
          <cell r="M399" t="str">
            <v>131236-DR-E</v>
          </cell>
          <cell r="N399" t="str">
            <v>WIL22-LVSG-0001A General Arrangement - 4</v>
          </cell>
        </row>
        <row r="400">
          <cell r="M400" t="str">
            <v>131236-DR-E</v>
          </cell>
          <cell r="N400" t="str">
            <v xml:space="preserve">Panel GA - Low Voltage System Equipment LVSG - WIL22-LVSG-0001A </v>
          </cell>
        </row>
        <row r="401">
          <cell r="M401" t="str">
            <v>131236-DR-E</v>
          </cell>
          <cell r="N401" t="str">
            <v xml:space="preserve">Panel GA - Low Voltage System Equipment LVSG - WIL22-LVSG-0001A </v>
          </cell>
        </row>
        <row r="402">
          <cell r="M402" t="str">
            <v>131236-DR-E</v>
          </cell>
          <cell r="N402" t="str">
            <v xml:space="preserve">Panel GA - Low Voltage System Equipment LVSG - WIL22-LVSG-0001A </v>
          </cell>
        </row>
        <row r="403">
          <cell r="M403" t="str">
            <v>131236-DR-E</v>
          </cell>
          <cell r="N403" t="str">
            <v xml:space="preserve">Panel GA - Low Voltage System Equipment LVSG - WIL22-LVSG-0001A </v>
          </cell>
        </row>
        <row r="404">
          <cell r="M404" t="str">
            <v>131236-DR-E</v>
          </cell>
          <cell r="N404" t="str">
            <v>WIL22-LVSG-0001B Legend</v>
          </cell>
        </row>
        <row r="405">
          <cell r="M405" t="str">
            <v>131236-DR-E</v>
          </cell>
          <cell r="N405" t="str">
            <v>WIL22-LVSG-0001B Technical Data</v>
          </cell>
        </row>
        <row r="406">
          <cell r="M406" t="str">
            <v>131236-DR-E</v>
          </cell>
          <cell r="N406" t="str">
            <v>WIL22-LVSG-0001B General Arrangement - 1</v>
          </cell>
        </row>
        <row r="407">
          <cell r="M407" t="str">
            <v>131236-DR-E</v>
          </cell>
          <cell r="N407" t="str">
            <v>WIL22-LVSG-0001B General Arrangement - 2</v>
          </cell>
        </row>
        <row r="408">
          <cell r="M408" t="str">
            <v>131236-DR-E</v>
          </cell>
          <cell r="N408" t="str">
            <v>WIL22-LVSG-0001B General Arrangement - 3</v>
          </cell>
        </row>
        <row r="409">
          <cell r="M409" t="str">
            <v>131236-DR-E</v>
          </cell>
          <cell r="N409" t="str">
            <v>WIL22-LVSG-0001B General Arrangement - 3</v>
          </cell>
        </row>
        <row r="410">
          <cell r="M410" t="str">
            <v>131236-DR-E</v>
          </cell>
          <cell r="N410" t="str">
            <v xml:space="preserve">Panel GA - Low Voltage System Equipment LVSG - WIL22-LVSG-0001B </v>
          </cell>
        </row>
        <row r="411">
          <cell r="M411" t="str">
            <v>131236-DR-E</v>
          </cell>
          <cell r="N411" t="str">
            <v xml:space="preserve">Panel GA - Low Voltage System Equipment LVSG - WIL22-LVSG-0001B </v>
          </cell>
        </row>
        <row r="412">
          <cell r="M412" t="str">
            <v>131236-DR-E</v>
          </cell>
          <cell r="N412" t="str">
            <v xml:space="preserve">Panel GA - Low Voltage System Equipment LVSG - WIL22-LVSG-0001B </v>
          </cell>
        </row>
        <row r="413">
          <cell r="M413" t="str">
            <v>131236-DR-E</v>
          </cell>
          <cell r="N413" t="str">
            <v xml:space="preserve">Panel GA - Low Voltage System Equipment LVSG - WIL22-LVSG-0001B </v>
          </cell>
        </row>
        <row r="414">
          <cell r="M414" t="str">
            <v>131236-DR-E</v>
          </cell>
          <cell r="N414" t="str">
            <v>WIL22-LVSG-0002A GA Legend</v>
          </cell>
        </row>
        <row r="415">
          <cell r="M415" t="str">
            <v>131236-DR-E</v>
          </cell>
          <cell r="N415" t="str">
            <v>WIL22-LVSG-0002A Technical Data</v>
          </cell>
        </row>
        <row r="416">
          <cell r="M416" t="str">
            <v>131236-DR-E</v>
          </cell>
          <cell r="N416" t="str">
            <v>WIL22-LVSG-0002A General Arrangement - 1</v>
          </cell>
        </row>
        <row r="417">
          <cell r="M417" t="str">
            <v>131236-DR-E</v>
          </cell>
          <cell r="N417" t="str">
            <v>WIL22-LVSG-0002A General Arrangement - 2</v>
          </cell>
        </row>
        <row r="418">
          <cell r="M418" t="str">
            <v>131236-DR-E</v>
          </cell>
          <cell r="N418" t="str">
            <v>WIL22-LVSG-0002A General Arrangement - 3</v>
          </cell>
        </row>
        <row r="419">
          <cell r="M419" t="str">
            <v>131236-DR-E</v>
          </cell>
          <cell r="N419" t="str">
            <v>WIL22-LVSG-0002A General Arrangement - 4</v>
          </cell>
        </row>
        <row r="420">
          <cell r="M420" t="str">
            <v>131236-DR-E</v>
          </cell>
          <cell r="N420" t="str">
            <v xml:space="preserve">Panel GA - Low Voltage System Equipment LVSG - WIL22-LVSG-0002A </v>
          </cell>
        </row>
        <row r="421">
          <cell r="M421" t="str">
            <v>131236-DR-E</v>
          </cell>
          <cell r="N421" t="str">
            <v xml:space="preserve">Panel GA - Low Voltage System Equipment LVSG - WIL22-LVSG-0002A </v>
          </cell>
        </row>
        <row r="422">
          <cell r="M422" t="str">
            <v>131236-DR-E</v>
          </cell>
          <cell r="N422" t="str">
            <v xml:space="preserve">Panel GA - Low Voltage System Equipment LVSG - WIL22-LVSG-0002A </v>
          </cell>
        </row>
        <row r="423">
          <cell r="M423" t="str">
            <v>131236-DR-E</v>
          </cell>
          <cell r="N423" t="str">
            <v xml:space="preserve">Panel GA - Low Voltage System Equipment LVSG - WIL22-LVSG-0002A </v>
          </cell>
        </row>
        <row r="424">
          <cell r="M424" t="str">
            <v>131236-DR-E</v>
          </cell>
          <cell r="N424" t="str">
            <v>WIL22-LVSG-0002B GA Legend</v>
          </cell>
        </row>
        <row r="425">
          <cell r="M425" t="str">
            <v>131236-DR-E</v>
          </cell>
          <cell r="N425" t="str">
            <v>WIL22-LVSG-0002B Technical Data</v>
          </cell>
        </row>
        <row r="426">
          <cell r="M426" t="str">
            <v>131236-DR-E</v>
          </cell>
          <cell r="N426" t="str">
            <v>WIL22-LVSG-0002B General Arrangement - 1</v>
          </cell>
        </row>
        <row r="427">
          <cell r="M427" t="str">
            <v>131236-DR-E</v>
          </cell>
          <cell r="N427" t="str">
            <v>WIL22-LVSG-0002B General Arrangement - 2</v>
          </cell>
        </row>
        <row r="428">
          <cell r="M428" t="str">
            <v>131236-DR-E</v>
          </cell>
          <cell r="N428" t="str">
            <v>WIL22-LVSG-0002B General Arrangement - 3</v>
          </cell>
        </row>
        <row r="429">
          <cell r="M429" t="str">
            <v>131236-DR-E</v>
          </cell>
          <cell r="N429" t="str">
            <v>WIL22-LVSG-0002B General Arrangement - 4</v>
          </cell>
        </row>
        <row r="430">
          <cell r="M430" t="str">
            <v>131236-DR-E</v>
          </cell>
          <cell r="N430" t="str">
            <v xml:space="preserve">Panel GA - Low Voltage System Equipment LVSG - WIL22-LVSG-0002B </v>
          </cell>
        </row>
        <row r="431">
          <cell r="M431" t="str">
            <v>131236-DR-E</v>
          </cell>
          <cell r="N431" t="str">
            <v xml:space="preserve">Panel GA - Low Voltage System Equipment LVSG - WIL22-LVSG-0002B </v>
          </cell>
        </row>
        <row r="432">
          <cell r="M432" t="str">
            <v>131236-DR-E</v>
          </cell>
          <cell r="N432" t="str">
            <v xml:space="preserve">Panel GA - Low Voltage System Equipment LVSG - WIL22-LVSG-0002B </v>
          </cell>
        </row>
        <row r="433">
          <cell r="M433" t="str">
            <v>131236-DR-E</v>
          </cell>
          <cell r="N433" t="str">
            <v>WIL22-MCC-0001A GA Legend</v>
          </cell>
        </row>
        <row r="434">
          <cell r="M434" t="str">
            <v>131236-DR-E</v>
          </cell>
          <cell r="N434" t="str">
            <v>WIL22-MCC-0001A Technical Data</v>
          </cell>
        </row>
        <row r="435">
          <cell r="M435" t="str">
            <v>131236-DR-E</v>
          </cell>
          <cell r="N435" t="str">
            <v>WIL22-MCC-0001A General Arrangement - 1</v>
          </cell>
        </row>
        <row r="436">
          <cell r="M436" t="str">
            <v>131236-DR-E</v>
          </cell>
          <cell r="N436" t="str">
            <v>WIL22-MCC-0001A General Arrangement - 2</v>
          </cell>
        </row>
        <row r="437">
          <cell r="M437" t="str">
            <v>131236-DR-E</v>
          </cell>
          <cell r="N437" t="str">
            <v>WIL22-MCC-0001A General Arrangement - 3</v>
          </cell>
        </row>
        <row r="438">
          <cell r="M438" t="str">
            <v>131236-DR-E</v>
          </cell>
          <cell r="N438" t="str">
            <v>WIL22-MCC-0001A General Arrangement - 4</v>
          </cell>
        </row>
        <row r="439">
          <cell r="M439" t="str">
            <v>131236-DR-E</v>
          </cell>
          <cell r="N439" t="str">
            <v>WIL22-MCC-0001A General Arrangement - 5</v>
          </cell>
        </row>
        <row r="440">
          <cell r="M440" t="str">
            <v>131236-DR-E</v>
          </cell>
          <cell r="N440" t="str">
            <v>WIL22-MCC-0001A General Arrangement - 6</v>
          </cell>
        </row>
        <row r="441">
          <cell r="M441" t="str">
            <v>131236-DR-E</v>
          </cell>
          <cell r="N441" t="str">
            <v>WIL22-MCC-0001B GA Legend</v>
          </cell>
        </row>
        <row r="442">
          <cell r="M442" t="str">
            <v>131236-DR-E</v>
          </cell>
          <cell r="N442" t="str">
            <v>WIL22-MCC-0001B Technical Data</v>
          </cell>
        </row>
        <row r="443">
          <cell r="M443" t="str">
            <v>131236-DR-E</v>
          </cell>
          <cell r="N443" t="str">
            <v>WIL22-MCC-0001B General Arrangement - 1</v>
          </cell>
        </row>
        <row r="444">
          <cell r="M444" t="str">
            <v>131236-DR-E</v>
          </cell>
          <cell r="N444" t="str">
            <v>WIL22-MCC-0001B General Arrangement - 2</v>
          </cell>
        </row>
        <row r="445">
          <cell r="M445" t="str">
            <v>131236-DR-E</v>
          </cell>
          <cell r="N445" t="str">
            <v>WIL22-MCC-0001B General Arrangement - 3</v>
          </cell>
        </row>
        <row r="446">
          <cell r="M446" t="str">
            <v>131236-DR-E</v>
          </cell>
          <cell r="N446" t="str">
            <v>WIL22-MCC-0001B General Arrangement - 4</v>
          </cell>
        </row>
        <row r="447">
          <cell r="M447" t="str">
            <v>131236-DR-E</v>
          </cell>
          <cell r="N447" t="str">
            <v>WIL22-MCC-0001B General Arrangement - 5</v>
          </cell>
        </row>
        <row r="448">
          <cell r="M448" t="str">
            <v>131236-DR-E</v>
          </cell>
          <cell r="N448" t="str">
            <v>WIL22-MCC-0001B General Arrangement - 6</v>
          </cell>
        </row>
        <row r="449">
          <cell r="M449" t="str">
            <v>131236-DR-E</v>
          </cell>
          <cell r="N449" t="str">
            <v>WIL22-MCC-0002A GA Legend</v>
          </cell>
        </row>
        <row r="450">
          <cell r="M450" t="str">
            <v>131236-DR-E</v>
          </cell>
          <cell r="N450" t="str">
            <v>WIL22-MCC-0002A Technical Data</v>
          </cell>
        </row>
        <row r="451">
          <cell r="M451" t="str">
            <v>131236-DR-E</v>
          </cell>
          <cell r="N451" t="str">
            <v>WIL22-MCC-0002A General Arrangement - 1</v>
          </cell>
        </row>
        <row r="452">
          <cell r="M452" t="str">
            <v>131236-DR-E</v>
          </cell>
          <cell r="N452" t="str">
            <v>WIL22-MCC-0002A General Arrangement - 2</v>
          </cell>
        </row>
        <row r="453">
          <cell r="M453" t="str">
            <v>131236-DR-E</v>
          </cell>
          <cell r="N453" t="str">
            <v>WIL22-MCC-0002A General Arrangement - 3</v>
          </cell>
        </row>
        <row r="454">
          <cell r="M454" t="str">
            <v>131236-DR-E</v>
          </cell>
          <cell r="N454" t="str">
            <v>WIL22-MCC-0002A General Arrangement - 4</v>
          </cell>
        </row>
        <row r="455">
          <cell r="M455" t="str">
            <v>131236-DR-E</v>
          </cell>
          <cell r="N455" t="str">
            <v>WIL22-MCC-0002A General Arrangement - 5</v>
          </cell>
        </row>
        <row r="456">
          <cell r="M456" t="str">
            <v>131236-DR-E</v>
          </cell>
          <cell r="N456" t="str">
            <v>WIL22-MCC-0002A General Arrangement - 6</v>
          </cell>
        </row>
        <row r="457">
          <cell r="M457" t="str">
            <v>131236-DR-E</v>
          </cell>
          <cell r="N457" t="str">
            <v>WIL22-MCC-0002B GA Legend</v>
          </cell>
        </row>
        <row r="458">
          <cell r="M458" t="str">
            <v>131236-DR-E</v>
          </cell>
          <cell r="N458" t="str">
            <v>WIL22-MCC-0002B Technical Data</v>
          </cell>
        </row>
        <row r="459">
          <cell r="M459" t="str">
            <v>131236-DR-E</v>
          </cell>
          <cell r="N459" t="str">
            <v>WIL22-MCC-0002B General Arrangement - 1</v>
          </cell>
        </row>
        <row r="460">
          <cell r="M460" t="str">
            <v>131236-DR-E</v>
          </cell>
          <cell r="N460" t="str">
            <v>WIL22-MCC-0002B General Arrangement - 2</v>
          </cell>
        </row>
        <row r="461">
          <cell r="M461" t="str">
            <v>131236-DR-E</v>
          </cell>
          <cell r="N461" t="str">
            <v>WIL22-MCC-0002B General Arrangement - 3</v>
          </cell>
        </row>
        <row r="462">
          <cell r="M462" t="str">
            <v>131236-DR-E</v>
          </cell>
          <cell r="N462" t="str">
            <v>WIL22-MCC-0002B General Arrangement - 4</v>
          </cell>
        </row>
        <row r="463">
          <cell r="M463" t="str">
            <v>131236-DR-E</v>
          </cell>
          <cell r="N463" t="str">
            <v>WIL22-MCC-0002B General Arrangement - 5</v>
          </cell>
        </row>
        <row r="464">
          <cell r="M464" t="str">
            <v>131236-DR-E</v>
          </cell>
          <cell r="N464" t="str">
            <v>WIL22-MCC-0002B General Arrangement - 6</v>
          </cell>
        </row>
        <row r="465">
          <cell r="M465" t="str">
            <v>131236-DR-E</v>
          </cell>
          <cell r="N465" t="str">
            <v>WIL22-MCC-0003A GA Legend</v>
          </cell>
        </row>
        <row r="466">
          <cell r="M466" t="str">
            <v>131236-DR-E</v>
          </cell>
          <cell r="N466" t="str">
            <v>WIL22-MCC-0003A Technical Data</v>
          </cell>
        </row>
        <row r="467">
          <cell r="M467" t="str">
            <v>131236-DR-E</v>
          </cell>
          <cell r="N467" t="str">
            <v>WIL22-MCC-0003A General Arrangement - 1</v>
          </cell>
        </row>
        <row r="468">
          <cell r="M468" t="str">
            <v>131236-DR-E</v>
          </cell>
          <cell r="N468" t="str">
            <v>WIL22-MCC-0003A General Arrangement - 2</v>
          </cell>
        </row>
        <row r="469">
          <cell r="M469" t="str">
            <v>131236-DR-E</v>
          </cell>
          <cell r="N469" t="str">
            <v>WIL22-MCC-0003A General Arrangement - 3</v>
          </cell>
        </row>
        <row r="470">
          <cell r="M470" t="str">
            <v>131236-DR-E</v>
          </cell>
          <cell r="N470" t="str">
            <v>WIL22-MCC-0003A General Arrangement - 4</v>
          </cell>
        </row>
        <row r="471">
          <cell r="M471" t="str">
            <v>131236-DR-E</v>
          </cell>
          <cell r="N471" t="str">
            <v>WIL22-MCC-0003A General Arrangement - 5</v>
          </cell>
        </row>
        <row r="472">
          <cell r="M472" t="str">
            <v>131236-DR-E</v>
          </cell>
          <cell r="N472" t="str">
            <v>WIL22-MCC-0003A General Arrangement - 6</v>
          </cell>
        </row>
        <row r="473">
          <cell r="M473" t="str">
            <v>131236-DR-E</v>
          </cell>
          <cell r="N473" t="str">
            <v>WIL22-MCC-0003B GA Legend</v>
          </cell>
        </row>
        <row r="474">
          <cell r="M474" t="str">
            <v>131236-DR-E</v>
          </cell>
          <cell r="N474" t="str">
            <v>WIL22-MCC-0003B Technical Data</v>
          </cell>
        </row>
        <row r="475">
          <cell r="M475" t="str">
            <v>131236-DR-E</v>
          </cell>
          <cell r="N475" t="str">
            <v>WIL22-MCC-0003B General Arrangement - 1</v>
          </cell>
        </row>
        <row r="476">
          <cell r="M476" t="str">
            <v>131236-DR-E</v>
          </cell>
          <cell r="N476" t="str">
            <v>WIL22-MCC-0003B General Arrangement - 2</v>
          </cell>
        </row>
        <row r="477">
          <cell r="M477" t="str">
            <v>131236-DR-E</v>
          </cell>
          <cell r="N477" t="str">
            <v>WIL22-MCC-0003B General Arrangement - 3</v>
          </cell>
        </row>
        <row r="478">
          <cell r="M478" t="str">
            <v>131236-DR-E</v>
          </cell>
          <cell r="N478" t="str">
            <v>WIL22-MCC-0003B General Arrangement - 4</v>
          </cell>
        </row>
        <row r="479">
          <cell r="M479" t="str">
            <v>131236-DR-E</v>
          </cell>
          <cell r="N479" t="str">
            <v>WIL22-MCC-0003B General Arrangement - 5</v>
          </cell>
        </row>
        <row r="480">
          <cell r="M480" t="str">
            <v>131236-DR-E</v>
          </cell>
          <cell r="N480" t="str">
            <v>WIL22-MCC-0003B General Arrangement - 6</v>
          </cell>
        </row>
        <row r="481">
          <cell r="M481" t="str">
            <v>131236-DR-E</v>
          </cell>
          <cell r="N481" t="str">
            <v>WIL22-MDB-0001A GA Legend</v>
          </cell>
        </row>
        <row r="482">
          <cell r="M482" t="str">
            <v>131236-DR-E</v>
          </cell>
          <cell r="N482" t="str">
            <v>WIL22-MDB-0001A Technical Data</v>
          </cell>
        </row>
        <row r="483">
          <cell r="M483" t="str">
            <v>131236-DR-E</v>
          </cell>
          <cell r="N483" t="str">
            <v>WIL22-MDB-0001A General Arrangement - 1</v>
          </cell>
        </row>
        <row r="484">
          <cell r="M484" t="str">
            <v>131236-DR-E</v>
          </cell>
          <cell r="N484" t="str">
            <v>WIL22-MDB-0001A General Arrangement - 2</v>
          </cell>
        </row>
        <row r="485">
          <cell r="M485" t="str">
            <v>131236-DR-E</v>
          </cell>
          <cell r="N485" t="str">
            <v>WIL22-MDB-0001A General Arrangement - 3</v>
          </cell>
        </row>
        <row r="486">
          <cell r="M486" t="str">
            <v>131236-DR-E</v>
          </cell>
          <cell r="N486" t="str">
            <v>WIL22-MDB-0001A General Arrangement - 4</v>
          </cell>
        </row>
        <row r="487">
          <cell r="M487" t="str">
            <v>131236-DR-E</v>
          </cell>
          <cell r="N487" t="str">
            <v>WIL22-MDB-0001B GA Legend</v>
          </cell>
        </row>
        <row r="488">
          <cell r="M488" t="str">
            <v>131236-DR-E</v>
          </cell>
          <cell r="N488" t="str">
            <v>WIL22-MDB-0001B Technical Data</v>
          </cell>
        </row>
        <row r="489">
          <cell r="M489" t="str">
            <v>131236-DR-E</v>
          </cell>
          <cell r="N489" t="str">
            <v>WIL22-MDB-0001B General Arrangement - 1</v>
          </cell>
        </row>
        <row r="490">
          <cell r="M490" t="str">
            <v>131236-DR-E</v>
          </cell>
          <cell r="N490" t="str">
            <v>WIL22-MDB-0001B General Arrangement - 2</v>
          </cell>
        </row>
        <row r="491">
          <cell r="M491" t="str">
            <v>131236-DR-E</v>
          </cell>
          <cell r="N491" t="str">
            <v>WIL22-MDB-0001B General Arrangement - 3</v>
          </cell>
        </row>
        <row r="492">
          <cell r="M492" t="str">
            <v>131236-DR-E</v>
          </cell>
          <cell r="N492" t="str">
            <v>WIL22-MDB-0001B General Arrangement - 4</v>
          </cell>
        </row>
        <row r="493">
          <cell r="M493" t="str">
            <v>131236-DR-E</v>
          </cell>
          <cell r="N493" t="str">
            <v>WIL22-MDB-0002A GA Legend</v>
          </cell>
        </row>
        <row r="494">
          <cell r="M494" t="str">
            <v>131236-DR-E</v>
          </cell>
          <cell r="N494" t="str">
            <v>WIL22-MDB-0002A Technical Data</v>
          </cell>
        </row>
        <row r="495">
          <cell r="M495" t="str">
            <v>131236-DR-E</v>
          </cell>
          <cell r="N495" t="str">
            <v>WIL22-MDB-0002A General Arrangement - 1</v>
          </cell>
        </row>
        <row r="496">
          <cell r="M496" t="str">
            <v>131236-DR-E</v>
          </cell>
          <cell r="N496" t="str">
            <v>WIL22-MDB-0002A General Arrangement - 2</v>
          </cell>
        </row>
        <row r="497">
          <cell r="M497" t="str">
            <v>131236-DR-E</v>
          </cell>
          <cell r="N497" t="str">
            <v>WIL22-MDB-0002A General Arrangement - 3</v>
          </cell>
        </row>
        <row r="498">
          <cell r="M498" t="str">
            <v>131236-DR-E</v>
          </cell>
          <cell r="N498" t="str">
            <v>WIL22-MDB-0002A General Arrangement - 4</v>
          </cell>
        </row>
        <row r="499">
          <cell r="M499" t="str">
            <v>131236-DR-E</v>
          </cell>
          <cell r="N499" t="str">
            <v>WIL22-MDB-0002B GA Legend</v>
          </cell>
        </row>
        <row r="500">
          <cell r="M500" t="str">
            <v>131236-DR-E</v>
          </cell>
          <cell r="N500" t="str">
            <v>WIL22-MDB-0002B Technical Data</v>
          </cell>
        </row>
        <row r="501">
          <cell r="M501" t="str">
            <v>131236-DR-E</v>
          </cell>
          <cell r="N501" t="str">
            <v>WIL22-MDB-0002B General Arrangement - 1</v>
          </cell>
        </row>
        <row r="502">
          <cell r="M502" t="str">
            <v>131236-DR-E</v>
          </cell>
          <cell r="N502" t="str">
            <v>WIL22-MDB-0002B General Arrangement - 2</v>
          </cell>
        </row>
        <row r="503">
          <cell r="M503" t="str">
            <v>131236-DR-E</v>
          </cell>
          <cell r="N503" t="str">
            <v>WIL22-MDB-0002B General Arrangement - 3</v>
          </cell>
        </row>
        <row r="504">
          <cell r="M504" t="str">
            <v>131236-DR-E</v>
          </cell>
          <cell r="N504" t="str">
            <v>WIL22-MDB-0002B General Arrangement - 4</v>
          </cell>
        </row>
        <row r="505">
          <cell r="M505" t="str">
            <v>131236-DR-E</v>
          </cell>
          <cell r="N505" t="str">
            <v>WIL22-MDB-0003A GA Legend</v>
          </cell>
        </row>
        <row r="506">
          <cell r="M506" t="str">
            <v>131236-DR-E</v>
          </cell>
          <cell r="N506" t="str">
            <v>WIL22-MDB-0003A Technical Data</v>
          </cell>
        </row>
        <row r="507">
          <cell r="M507" t="str">
            <v>131236-DR-E</v>
          </cell>
          <cell r="N507" t="str">
            <v>WIL22-MDB-0003A General Arrangement - 1</v>
          </cell>
        </row>
        <row r="508">
          <cell r="M508" t="str">
            <v>131236-DR-E</v>
          </cell>
          <cell r="N508" t="str">
            <v>WIL22-MDB-0003A General Arrangement - 2</v>
          </cell>
        </row>
        <row r="509">
          <cell r="M509" t="str">
            <v>131236-DR-E</v>
          </cell>
          <cell r="N509" t="str">
            <v>WIL22-MDB-0003A General Arrangement - 3</v>
          </cell>
        </row>
        <row r="510">
          <cell r="M510" t="str">
            <v>131236-DR-E</v>
          </cell>
          <cell r="N510" t="str">
            <v>WIL22-MDB-0003A General Arrangement - 4</v>
          </cell>
        </row>
        <row r="511">
          <cell r="M511" t="str">
            <v>131236-DR-E</v>
          </cell>
          <cell r="N511" t="str">
            <v>WIL22-MDB-0003B GA Legend</v>
          </cell>
        </row>
        <row r="512">
          <cell r="M512" t="str">
            <v>131236-DR-E</v>
          </cell>
          <cell r="N512" t="str">
            <v>WIL22-MDB-0003B Technical Data</v>
          </cell>
        </row>
        <row r="513">
          <cell r="M513" t="str">
            <v>131236-DR-E</v>
          </cell>
          <cell r="N513" t="str">
            <v>WIL22-MDB-0003B General Arrangement - 1</v>
          </cell>
        </row>
        <row r="514">
          <cell r="M514" t="str">
            <v>131236-DR-E</v>
          </cell>
          <cell r="N514" t="str">
            <v>WIL22-MDB-0003B General Arrangement - 2</v>
          </cell>
        </row>
        <row r="515">
          <cell r="M515" t="str">
            <v>131236-DR-E</v>
          </cell>
          <cell r="N515" t="str">
            <v>WIL22-MDB-0003B General Arrangement - 3</v>
          </cell>
        </row>
        <row r="516">
          <cell r="M516" t="str">
            <v>131236-DR-E</v>
          </cell>
          <cell r="N516" t="str">
            <v>WIL22-MDB-0003B General Arrangement - 4</v>
          </cell>
        </row>
        <row r="517">
          <cell r="M517" t="str">
            <v>131236-DR-E</v>
          </cell>
          <cell r="N517" t="str">
            <v>Panel GA Low Voltage System Equipment - MDB
WIL22-MDB-0003B
(Sheet 3 of 8)</v>
          </cell>
        </row>
        <row r="518">
          <cell r="M518" t="str">
            <v>131236-DR-E</v>
          </cell>
          <cell r="N518" t="str">
            <v>Panel GA Low Voltage System Equipment - MDB
WIL22-MDB-0003B
(Sheet 4 of 8)</v>
          </cell>
        </row>
        <row r="519">
          <cell r="M519" t="str">
            <v>131236-DR-E</v>
          </cell>
          <cell r="N519" t="str">
            <v>Panel GA Low Voltage System Equipment - MDB
WIL22-MDB-0003B
(Sheet 5 of 8)</v>
          </cell>
        </row>
        <row r="520">
          <cell r="M520" t="str">
            <v>131236-DR-E</v>
          </cell>
          <cell r="N520" t="str">
            <v>Panel GA Low Voltage System Equipment - MDB
WIL22-MDB-0003A
(Sheet 6 of 8)</v>
          </cell>
        </row>
        <row r="521">
          <cell r="M521" t="str">
            <v>131236-DR-E</v>
          </cell>
          <cell r="N521" t="str">
            <v>Panel GA Low Voltage System Equipment - MDB
WIL22-MDB-0003B
(Sheet 7 of 8)</v>
          </cell>
        </row>
        <row r="522">
          <cell r="M522" t="str">
            <v>131236-DR-E</v>
          </cell>
          <cell r="N522" t="str">
            <v>Panel GA Low Voltage System Equipment - MDB
WIL22-MDB-0003B
(Sheet 8 of 8)</v>
          </cell>
        </row>
        <row r="523">
          <cell r="M523" t="str">
            <v>131236-DR-E</v>
          </cell>
          <cell r="N523" t="str">
            <v>Panel GA -  Low Voltage System Equipment LCS - WIL22-LCS-0001 (Sheet 1 of XXX)</v>
          </cell>
        </row>
        <row r="524">
          <cell r="M524" t="str">
            <v>131236-DR-E</v>
          </cell>
          <cell r="N524" t="str">
            <v>Panel GA -  Low Voltage System Equipment LCS - WIL22-LCS-0001 (Sheet 1 of XXX)</v>
          </cell>
        </row>
        <row r="525">
          <cell r="M525" t="str">
            <v>131236-DR-E</v>
          </cell>
          <cell r="N525" t="str">
            <v>Panel GA -  Low Voltage System Equipment LCS - WIL22-LCS-0001 (Sheet 1 of XXX)</v>
          </cell>
        </row>
        <row r="526">
          <cell r="M526" t="str">
            <v>131236-DR-E</v>
          </cell>
          <cell r="N526" t="str">
            <v>Panel GA -  Low Voltage System Equipment LCS - WIL22-LCS-0001 (Sheet 1 of XXX)</v>
          </cell>
        </row>
        <row r="527">
          <cell r="M527" t="str">
            <v>131236-DR-E</v>
          </cell>
          <cell r="N527" t="str">
            <v>Panel GA -  Low Voltage System Equipment LCS - WIL22-LCS-0001 (Sheet 1 of XXX)</v>
          </cell>
        </row>
        <row r="528">
          <cell r="M528" t="str">
            <v>131236-DR-E</v>
          </cell>
          <cell r="N528" t="str">
            <v>Panel GA -  Low Voltage System Equipment LCS - WIL22-LCS-0001 (Sheet 1 of XXX)</v>
          </cell>
        </row>
        <row r="529">
          <cell r="M529" t="str">
            <v>131236-DR-E</v>
          </cell>
          <cell r="N529" t="str">
            <v>Panel GA -  Low Voltage System Equipment LCS - WIL22-LCS-0001 (Sheet 1 of XXX)</v>
          </cell>
        </row>
        <row r="530">
          <cell r="M530" t="str">
            <v>131236-DR-E</v>
          </cell>
          <cell r="N530" t="str">
            <v>Panel GA -  Low Voltage System Equipment LCS - WIL22-LCS-0001 (Sheet 1 of XXX)</v>
          </cell>
        </row>
        <row r="531">
          <cell r="M531" t="str">
            <v>131236-DR-E</v>
          </cell>
          <cell r="N531" t="str">
            <v>Panel GA -  Low Voltage System Equipment LCS - WIL22-LCS-0001 (Sheet 1 of XXX)</v>
          </cell>
        </row>
        <row r="532">
          <cell r="M532" t="str">
            <v>131236-DR-E</v>
          </cell>
          <cell r="N532" t="str">
            <v>Panel GA -  Low Voltage System Equipment LCS - WIL22-LCS-0001 (Sheet 1 of XXX)</v>
          </cell>
        </row>
        <row r="533">
          <cell r="M533" t="str">
            <v>131236-DR-E</v>
          </cell>
          <cell r="N533" t="str">
            <v>Panel GA -  Low Voltage System Equipment LCS - WIL22-LCS-0001 (Sheet 1 of XXX)</v>
          </cell>
        </row>
        <row r="534">
          <cell r="M534" t="str">
            <v>131236-DR-E</v>
          </cell>
          <cell r="N534" t="str">
            <v>Panel GA -  Low Voltage System Equipment LCS - WIL22-LCS-0001 (Sheet 1 of XXX)</v>
          </cell>
        </row>
        <row r="535">
          <cell r="M535" t="str">
            <v>131236-DR-E</v>
          </cell>
          <cell r="N535" t="str">
            <v>Panel GA -  Low Voltage System Equipment LCS - WIL22-LCS-0001 (Sheet 1 of XXX)</v>
          </cell>
        </row>
        <row r="536">
          <cell r="M536" t="str">
            <v>131236-DR-E</v>
          </cell>
          <cell r="N536" t="str">
            <v>Panel GA -  Low Voltage System Equipment LCS - WIL22-LCS-0001 (Sheet 1 of XXX)</v>
          </cell>
        </row>
        <row r="537">
          <cell r="M537" t="str">
            <v>131236-DR-E</v>
          </cell>
          <cell r="N537" t="str">
            <v>Panel GA -  250kW LV SS (Sheet 01 of 04)</v>
          </cell>
        </row>
        <row r="538">
          <cell r="M538" t="str">
            <v>131236-DR-E</v>
          </cell>
          <cell r="N538" t="str">
            <v>Panel GA -  250kW LV SS (Sheet 02 of 04)</v>
          </cell>
        </row>
        <row r="539">
          <cell r="M539" t="str">
            <v>131236-DR-E</v>
          </cell>
          <cell r="N539" t="str">
            <v>Panel GA -  250kW LV SS (Sheet 03 of 04)</v>
          </cell>
        </row>
        <row r="540">
          <cell r="M540" t="str">
            <v>131236-DR-E</v>
          </cell>
          <cell r="N540" t="str">
            <v>Panel GA -  250kW LV SS (Sheet 04 of 04)</v>
          </cell>
        </row>
        <row r="541">
          <cell r="M541" t="str">
            <v>131236-DR-E</v>
          </cell>
          <cell r="N541" t="str">
            <v>General Arrangement: 22/0.415kV Transformer (2MVA) - WIL22-TRF-0001A, WIL22-TRF-0001B, WIL22-TRF-0002A, WIL22-TRF-0002B</v>
          </cell>
        </row>
        <row r="542">
          <cell r="M542" t="str">
            <v>131236-DR-E</v>
          </cell>
          <cell r="N542" t="str">
            <v>GA into the layout: 22/0.415kV Transformer (2MVA) - WIL22-TRF-0001A, WIL22-TRF-0001B, WIL22-TRF-0002A, WIL22-TRF-0002B</v>
          </cell>
        </row>
        <row r="543">
          <cell r="M543" t="str">
            <v>131236-DR-E</v>
          </cell>
          <cell r="N543" t="str">
            <v>Shop Drawings - High Voltage System Equipment - 6.6kV Switchgear Battery &amp; Battery Chargers (1 of 5)</v>
          </cell>
        </row>
        <row r="544">
          <cell r="M544" t="str">
            <v>131236-DR-E</v>
          </cell>
          <cell r="N544" t="str">
            <v>Shop Drawings - High Voltage System Equipment - 6.6kV Switchgear Battery &amp; Battery Chargers (2 of 5)</v>
          </cell>
        </row>
        <row r="545">
          <cell r="M545" t="str">
            <v>131236-DR-E</v>
          </cell>
          <cell r="N545" t="str">
            <v>Shop Drawings - High Voltage System Equipment - 6.6kV Switchgear Battery &amp; Battery Chargers (3 of 5)</v>
          </cell>
        </row>
        <row r="546">
          <cell r="M546" t="str">
            <v>131236-DR-E</v>
          </cell>
          <cell r="N546" t="str">
            <v>Shop Drawings - High Voltage System Equipment - 6.6kV Switchgear Battery &amp; Battery Chargers (4 of 5)</v>
          </cell>
        </row>
        <row r="547">
          <cell r="M547" t="str">
            <v>131236-DR-E</v>
          </cell>
          <cell r="N547" t="str">
            <v>Shop Drawings - High Voltage System Equipment - 6.6kV Switchgear Battery &amp; Battery Chargers (5 of 5)</v>
          </cell>
        </row>
        <row r="548">
          <cell r="M548" t="str">
            <v>131236-DR-E</v>
          </cell>
          <cell r="N548">
            <v>0</v>
          </cell>
        </row>
        <row r="549">
          <cell r="M549" t="str">
            <v>131236-DR-E</v>
          </cell>
          <cell r="N549" t="str">
            <v>Panel GA - 6.6kV Switchgear - WIL23-HVSG-0001A - Constructional Data</v>
          </cell>
        </row>
        <row r="550">
          <cell r="M550" t="str">
            <v>131236-DR-E</v>
          </cell>
          <cell r="N550" t="str">
            <v>Panel GA - 6.6kV Switchgear - WIL23-HVSG-0001A - In Detail (LZ02 = LZ03) - Circuit Breaker Panel 1000A</v>
          </cell>
        </row>
        <row r="551">
          <cell r="M551" t="str">
            <v>131236-DR-E</v>
          </cell>
          <cell r="N551" t="str">
            <v>Panel GA - 6.6kV Switchgear - WIL23-HVSG-0001A - In Detail (LZ01 = LZ05) - Circuit Breaker Panel 1250A</v>
          </cell>
        </row>
        <row r="552">
          <cell r="M552" t="str">
            <v>131236-DR-E</v>
          </cell>
          <cell r="N552" t="str">
            <v>Panel GA - 6.6kV Switchgear - WIL23-HVSG-0001B - General Arrangement</v>
          </cell>
        </row>
        <row r="553">
          <cell r="M553" t="str">
            <v>131236-DR-E</v>
          </cell>
          <cell r="N553" t="str">
            <v>Panel GA - 6.6kV Switchgear - WIL23-HVSG-0001B - Constructional Data</v>
          </cell>
        </row>
        <row r="554">
          <cell r="M554" t="str">
            <v>131236-DR-E</v>
          </cell>
          <cell r="N554" t="str">
            <v>Panel GA - 6.6kV Switchgear - WIL23-HVSG-0001B - In Detail (LZ01 = LZ05) - Circuit Breaker Panel 1250A</v>
          </cell>
        </row>
        <row r="555">
          <cell r="M555" t="str">
            <v>131236-DR-E</v>
          </cell>
          <cell r="N555" t="str">
            <v>Panel GA - 6.6kV Switchgear - WIL23-HVSG-0001B - In Detail (LZ02 = LZ03) - Circuit Breaker Panel 1000A</v>
          </cell>
        </row>
        <row r="556">
          <cell r="M556" t="str">
            <v>131236-DR-E</v>
          </cell>
          <cell r="N556" t="str">
            <v>Panel GA - 6.6kV DOL Starter - Membrane Air Blower 510kW - General Arrangement (Sheet 01 of 02)</v>
          </cell>
        </row>
        <row r="557">
          <cell r="M557" t="str">
            <v>131236-DR-E</v>
          </cell>
          <cell r="N557" t="str">
            <v>Panel GA - 6.6kV DOL Starter - Membrane Air Blower 510kW - Foundation details (Sheet 02 of 02)</v>
          </cell>
        </row>
        <row r="558">
          <cell r="M558" t="str">
            <v>131236-DR-E</v>
          </cell>
          <cell r="N558" t="str">
            <v>Panel GA - 6.6kV DOL Starter - Process Air Blower 1205kW- General Arrangement (Sheet 01 of 02)</v>
          </cell>
        </row>
        <row r="559">
          <cell r="M559" t="str">
            <v>131236-DR-E</v>
          </cell>
          <cell r="N559" t="str">
            <v>Panel GA - 6.6kV DOL Starter - Process Air Blower 1205kW - Foundation details (Sheet 02 of 02)</v>
          </cell>
        </row>
        <row r="560">
          <cell r="M560" t="str">
            <v>131236-DR-E</v>
          </cell>
          <cell r="N560" t="str">
            <v>WIL23-LVSG-0001A GA Legend</v>
          </cell>
        </row>
        <row r="561">
          <cell r="M561" t="str">
            <v>131236-DR-E</v>
          </cell>
          <cell r="N561" t="str">
            <v>WIL23-LVSG-0001A Technical Data</v>
          </cell>
        </row>
        <row r="562">
          <cell r="M562" t="str">
            <v>131236-DR-E</v>
          </cell>
          <cell r="N562" t="str">
            <v>WIL23-LVSG-0001A General Arrangement - 1</v>
          </cell>
        </row>
        <row r="563">
          <cell r="M563" t="str">
            <v>131236-DR-E</v>
          </cell>
          <cell r="N563" t="str">
            <v>WIL23-LVSG-0001A General Arrangement - 2</v>
          </cell>
        </row>
        <row r="564">
          <cell r="M564" t="str">
            <v>131236-DR-E</v>
          </cell>
          <cell r="N564" t="str">
            <v>WIL23-LVSG-0001A General Arrangement - 3</v>
          </cell>
        </row>
        <row r="565">
          <cell r="M565" t="str">
            <v>131236-DR-E</v>
          </cell>
          <cell r="N565" t="str">
            <v>WIL23-LVSG-0001A General Arrangement - 4</v>
          </cell>
        </row>
        <row r="566">
          <cell r="M566" t="str">
            <v>131236-DR-E</v>
          </cell>
          <cell r="N566" t="str">
            <v>Panel GA -  Low Voltage System Equipment LVSG - WIL23-LVSG-0001A</v>
          </cell>
        </row>
        <row r="567">
          <cell r="M567" t="str">
            <v>131236-DR-E</v>
          </cell>
          <cell r="N567" t="str">
            <v>Panel GA -  Low Voltage System Equipment LVSG - WIL23-LVSG-0001A</v>
          </cell>
        </row>
        <row r="568">
          <cell r="M568" t="str">
            <v>131236-DR-E</v>
          </cell>
          <cell r="N568" t="str">
            <v>Panel GA -  Low Voltage System Equipment LVSG - WIL23-LVSG-0001A</v>
          </cell>
        </row>
        <row r="569">
          <cell r="M569" t="str">
            <v>131236-DR-E</v>
          </cell>
          <cell r="N569" t="str">
            <v>Part List -  Low Voltage System Equipment LVSG - WIL23-LVSG-0001A</v>
          </cell>
        </row>
        <row r="570">
          <cell r="M570" t="str">
            <v>131236-DR-E</v>
          </cell>
          <cell r="N570" t="str">
            <v>Part List -  Low Voltage System Equipment LVSG - WIL23-LVSG-0001A</v>
          </cell>
        </row>
        <row r="571">
          <cell r="M571" t="str">
            <v>131236-DR-E</v>
          </cell>
          <cell r="N571" t="str">
            <v>Part List -  Low Voltage System Equipment LVSG - WIL23-LVSG-0001A</v>
          </cell>
        </row>
        <row r="572">
          <cell r="M572" t="str">
            <v>131236-DR-E</v>
          </cell>
          <cell r="N572" t="str">
            <v>WIL23-LVSG-0001B GA Legend</v>
          </cell>
        </row>
        <row r="573">
          <cell r="M573" t="str">
            <v>131236-DR-E</v>
          </cell>
          <cell r="N573" t="str">
            <v>WIL23-LVSG-0001B Technical Data</v>
          </cell>
        </row>
        <row r="574">
          <cell r="M574" t="str">
            <v>131236-DR-E</v>
          </cell>
          <cell r="N574" t="str">
            <v>WIL23-LVSG-0001B General Arrangement - 1</v>
          </cell>
        </row>
        <row r="575">
          <cell r="M575" t="str">
            <v>131236-DR-E</v>
          </cell>
          <cell r="N575" t="str">
            <v>WIL23-LVSG-0001B General Arrangement - 2</v>
          </cell>
        </row>
        <row r="576">
          <cell r="M576" t="str">
            <v>131236-DR-E</v>
          </cell>
          <cell r="N576" t="str">
            <v>WIL23-LVSG-0001B General Arrangement - 3</v>
          </cell>
        </row>
        <row r="577">
          <cell r="M577" t="str">
            <v>131236-DR-E</v>
          </cell>
          <cell r="N577" t="str">
            <v>WIL23-LVSG-0001B General Arrangement - 4</v>
          </cell>
        </row>
        <row r="578">
          <cell r="M578" t="str">
            <v>131236-DR-E</v>
          </cell>
          <cell r="N578" t="str">
            <v>WIL23-LVSG-0002A GA Legend</v>
          </cell>
        </row>
        <row r="579">
          <cell r="M579" t="str">
            <v>131236-DR-E</v>
          </cell>
          <cell r="N579" t="str">
            <v>WIL23-LVSG-0002A Technical Data</v>
          </cell>
        </row>
        <row r="580">
          <cell r="M580" t="str">
            <v>131236-DR-E</v>
          </cell>
          <cell r="N580" t="str">
            <v>WIL23-LVSG-0002A General Arrangement - 1</v>
          </cell>
        </row>
        <row r="581">
          <cell r="M581" t="str">
            <v>131236-DR-E</v>
          </cell>
          <cell r="N581" t="str">
            <v>WIL23-LVSG-0002A General Arrangement - 2</v>
          </cell>
        </row>
        <row r="582">
          <cell r="M582" t="str">
            <v>131236-DR-E</v>
          </cell>
          <cell r="N582" t="str">
            <v>WIL23-LVSG-0002A General Arrangement - 3</v>
          </cell>
        </row>
        <row r="583">
          <cell r="M583" t="str">
            <v>131236-DR-E</v>
          </cell>
          <cell r="N583" t="str">
            <v>WIL23-LVSG-0002A General Arrangement - 4</v>
          </cell>
        </row>
        <row r="584">
          <cell r="M584" t="str">
            <v>131236-DR-E</v>
          </cell>
          <cell r="N584" t="str">
            <v>Legend Symbol -  Low Voltage System Equipment LVSG - WIL23-LVSG-0002A</v>
          </cell>
        </row>
        <row r="585">
          <cell r="M585" t="str">
            <v>131236-DR-E</v>
          </cell>
          <cell r="N585" t="str">
            <v>Data Sheet -  Low Voltage System Equipment LVSG - WIL23-LVSG-0002A</v>
          </cell>
        </row>
        <row r="586">
          <cell r="M586" t="str">
            <v>131236-DR-E</v>
          </cell>
          <cell r="N586" t="str">
            <v>Panel GA -  Low Voltage System Equipment LVSG - WIL23-LVSG-0002A</v>
          </cell>
        </row>
        <row r="587">
          <cell r="M587" t="str">
            <v>131236-DR-E</v>
          </cell>
          <cell r="N587" t="str">
            <v>Panel GA -  Low Voltage System Equipment LVSG - WIL23-LVSG-0002A</v>
          </cell>
        </row>
        <row r="588">
          <cell r="M588" t="str">
            <v>131236-DR-E</v>
          </cell>
          <cell r="N588" t="str">
            <v>Panel GA -  Low Voltage System Equipment LVSG - WIL23-LVSG-0002A</v>
          </cell>
        </row>
        <row r="589">
          <cell r="M589" t="str">
            <v>131236-DR-E</v>
          </cell>
          <cell r="N589" t="str">
            <v>Panel GA -  Low Voltage System Equipment LVSG - WIL23-LVSG-0002A</v>
          </cell>
        </row>
        <row r="590">
          <cell r="M590" t="str">
            <v>131236-DR-E</v>
          </cell>
          <cell r="N590" t="str">
            <v>Panel GA -  Low Voltage System Equipment LVSG - WIL23-LVSG-0002A</v>
          </cell>
        </row>
        <row r="591">
          <cell r="M591" t="str">
            <v>131236-DR-E</v>
          </cell>
          <cell r="N591" t="str">
            <v>Part List -  Low Voltage System Equipment LVSG - WIL23-LVSG-0002A</v>
          </cell>
        </row>
        <row r="592">
          <cell r="M592" t="str">
            <v>131236-DR-E</v>
          </cell>
          <cell r="N592" t="str">
            <v>Part List -  Low Voltage System Equipment LVSG - WIL23-LVSG-0002A</v>
          </cell>
        </row>
        <row r="593">
          <cell r="M593" t="str">
            <v>131236-DR-E</v>
          </cell>
          <cell r="N593" t="str">
            <v>Part List -  Low Voltage System Equipment LVSG - WIL23-LVSG-0002A</v>
          </cell>
        </row>
        <row r="594">
          <cell r="M594" t="str">
            <v>131236-DR-E</v>
          </cell>
          <cell r="N594" t="str">
            <v>WIL23-LVSG-0002B GA Legend</v>
          </cell>
        </row>
        <row r="595">
          <cell r="M595" t="str">
            <v>131236-DR-E</v>
          </cell>
          <cell r="N595" t="str">
            <v>WIL23-LVSG-0002B Technical Data</v>
          </cell>
        </row>
        <row r="596">
          <cell r="M596" t="str">
            <v>131236-DR-E</v>
          </cell>
          <cell r="N596" t="str">
            <v>WIL23-LVSG-0002B General Arrangement - 1</v>
          </cell>
        </row>
        <row r="597">
          <cell r="M597" t="str">
            <v>131236-DR-E</v>
          </cell>
          <cell r="N597" t="str">
            <v>WIL23-LVSG-0002B General Arrangement - 2</v>
          </cell>
        </row>
        <row r="598">
          <cell r="M598" t="str">
            <v>131236-DR-E</v>
          </cell>
          <cell r="N598" t="str">
            <v>WIL23-LVSG-0002B General Arrangement - 3</v>
          </cell>
        </row>
        <row r="599">
          <cell r="M599" t="str">
            <v>131236-DR-E</v>
          </cell>
          <cell r="N599" t="str">
            <v>WIL23-LVSG-0002B General Arrangement - 4</v>
          </cell>
        </row>
        <row r="600">
          <cell r="M600" t="str">
            <v>131236-DR-E</v>
          </cell>
          <cell r="N600" t="str">
            <v>Panel GA -  Low Voltage System Equipment LVSG - WIL23-LVSG-0002B</v>
          </cell>
        </row>
        <row r="601">
          <cell r="M601" t="str">
            <v>131236-DR-E</v>
          </cell>
          <cell r="N601" t="str">
            <v>Part List -  Low Voltage System Equipment LVSG - WIL23-LVSG-0002B</v>
          </cell>
        </row>
        <row r="602">
          <cell r="M602" t="str">
            <v>131236-DR-E</v>
          </cell>
          <cell r="N602" t="str">
            <v>Part List -  Low Voltage System Equipment LVSG - WIL23-LVSG-0002B</v>
          </cell>
        </row>
        <row r="603">
          <cell r="M603" t="str">
            <v>131236-DR-E</v>
          </cell>
          <cell r="N603" t="str">
            <v>Part List -  Low Voltage System Equipment LVSG - WIL23-LVSG-0002B</v>
          </cell>
        </row>
        <row r="604">
          <cell r="M604" t="str">
            <v>131236-DR-E</v>
          </cell>
          <cell r="N604" t="str">
            <v>WIL23-LVSG-0003A GA Legend</v>
          </cell>
        </row>
        <row r="605">
          <cell r="M605" t="str">
            <v>131236-DR-E</v>
          </cell>
          <cell r="N605" t="str">
            <v>WIL23-LVSG-0003A Technical Data</v>
          </cell>
        </row>
        <row r="606">
          <cell r="M606" t="str">
            <v>131236-DR-E</v>
          </cell>
          <cell r="N606" t="str">
            <v>WIL23-LVSG-0003A General Arrangement - 1</v>
          </cell>
        </row>
        <row r="607">
          <cell r="M607" t="str">
            <v>131236-DR-E</v>
          </cell>
          <cell r="N607" t="str">
            <v>WIL23-LVSG-0003A General Arrangement - 2</v>
          </cell>
        </row>
        <row r="608">
          <cell r="M608" t="str">
            <v>131236-DR-E</v>
          </cell>
          <cell r="N608" t="str">
            <v>WIL23-LVSG-0003A General Arrangement - 3</v>
          </cell>
        </row>
        <row r="609">
          <cell r="M609" t="str">
            <v>131236-DR-E</v>
          </cell>
          <cell r="N609" t="str">
            <v>WIL23-LVSG-0003A General Arrangement - 4</v>
          </cell>
        </row>
        <row r="610">
          <cell r="M610" t="str">
            <v>131236-DR-E</v>
          </cell>
          <cell r="N610" t="str">
            <v>Panel GA -  Low Voltage System Equipment LVSG - WIL23-LVSG-0003A</v>
          </cell>
        </row>
        <row r="611">
          <cell r="M611" t="str">
            <v>131236-DR-E</v>
          </cell>
          <cell r="N611" t="str">
            <v>Part List -  Low Voltage System Equipment LVSG - WIL23-LVSG-0003A</v>
          </cell>
        </row>
        <row r="612">
          <cell r="M612" t="str">
            <v>131236-DR-E</v>
          </cell>
          <cell r="N612" t="str">
            <v>Part List -  Low Voltage System Equipment LVSG - WIL23-LVSG-0003A</v>
          </cell>
        </row>
        <row r="613">
          <cell r="M613" t="str">
            <v>131236-DR-E</v>
          </cell>
          <cell r="N613" t="str">
            <v>Part List -  Low Voltage System Equipment LVSG - WIL23-LVSG-0003A</v>
          </cell>
        </row>
        <row r="614">
          <cell r="M614" t="str">
            <v>131236-DR-E</v>
          </cell>
          <cell r="N614" t="str">
            <v>Legend Symbol -  Low Voltage System Equipment LVSG - WIL23-LVSG-0003B</v>
          </cell>
        </row>
        <row r="615">
          <cell r="M615" t="str">
            <v>131236-DR-E</v>
          </cell>
          <cell r="N615" t="str">
            <v>Data Sheet -  Low Voltage System Equipment LVSG - WIL23-LVSG-0003B</v>
          </cell>
        </row>
        <row r="616">
          <cell r="M616" t="str">
            <v>131236-DR-E</v>
          </cell>
          <cell r="N616" t="str">
            <v>Panel GA -  Low Voltage System Equipment LVSG - WIL23-LVSG-0003B</v>
          </cell>
        </row>
        <row r="617">
          <cell r="M617" t="str">
            <v>131236-DR-E</v>
          </cell>
          <cell r="N617" t="str">
            <v>Panel GA -  Low Voltage System Equipment LVSG - WIL23-LVSG-0003B</v>
          </cell>
        </row>
        <row r="618">
          <cell r="M618" t="str">
            <v>131236-DR-E</v>
          </cell>
          <cell r="N618" t="str">
            <v>Panel GA -  Low Voltage System Equipment LVSG - WIL23-LVSG-0003B</v>
          </cell>
        </row>
        <row r="619">
          <cell r="M619" t="str">
            <v>131236-DR-E</v>
          </cell>
          <cell r="N619" t="str">
            <v>Panel GA -  Low Voltage System Equipment LVSG - WIL23-LVSG-0003B</v>
          </cell>
        </row>
        <row r="620">
          <cell r="M620" t="str">
            <v>131236-DR-E</v>
          </cell>
          <cell r="N620" t="str">
            <v>Panel GA -  Low Voltage System Equipment LVSG - WIL23-LVSG-0003B</v>
          </cell>
        </row>
        <row r="621">
          <cell r="M621" t="str">
            <v>131236-DR-E</v>
          </cell>
          <cell r="N621" t="str">
            <v>Part List -  Low Voltage System Equipment LVSG - WIL23-LVSG-0003B</v>
          </cell>
        </row>
        <row r="622">
          <cell r="M622" t="str">
            <v>131236-DR-E</v>
          </cell>
          <cell r="N622" t="str">
            <v>Part List -  Low Voltage System Equipment LVSG - WIL23-LVSG-0003B</v>
          </cell>
        </row>
        <row r="623">
          <cell r="M623" t="str">
            <v>131236-DR-E</v>
          </cell>
          <cell r="N623" t="str">
            <v>Part List -  Low Voltage System Equipment LVSG - WIL23-LVSG-0003B</v>
          </cell>
        </row>
        <row r="624">
          <cell r="M624" t="str">
            <v>131236-DR-E</v>
          </cell>
          <cell r="N624" t="str">
            <v>WIL23-MCC-0001A GA Legend</v>
          </cell>
        </row>
        <row r="625">
          <cell r="M625" t="str">
            <v>131236-DR-E</v>
          </cell>
          <cell r="N625" t="str">
            <v>WIL23-MCC-0001A Technical Data</v>
          </cell>
        </row>
        <row r="626">
          <cell r="M626" t="str">
            <v>131236-DR-E</v>
          </cell>
          <cell r="N626" t="str">
            <v>WIL23-MCC-0001A General Arrangement - 1</v>
          </cell>
        </row>
        <row r="627">
          <cell r="M627" t="str">
            <v>131236-DR-E</v>
          </cell>
          <cell r="N627" t="str">
            <v>WIL23-MCC-0001A General Arrangement - 2</v>
          </cell>
        </row>
        <row r="628">
          <cell r="M628" t="str">
            <v>131236-DR-E</v>
          </cell>
          <cell r="N628" t="str">
            <v>WIL23-MCC-0001A General Arrangement - 3</v>
          </cell>
        </row>
        <row r="629">
          <cell r="M629" t="str">
            <v>131236-DR-E</v>
          </cell>
          <cell r="N629" t="str">
            <v>WIL23-MCC-0001A General Arrangement - 4</v>
          </cell>
        </row>
        <row r="630">
          <cell r="M630" t="str">
            <v>131236-DR-E</v>
          </cell>
          <cell r="N630" t="str">
            <v>WIL23-MCC-0001A General Arrangement - 5</v>
          </cell>
        </row>
        <row r="631">
          <cell r="M631" t="str">
            <v>131236-DR-E</v>
          </cell>
          <cell r="N631" t="str">
            <v>WIL23-MCC-0001A General Arrangement - 6</v>
          </cell>
        </row>
        <row r="632">
          <cell r="M632" t="str">
            <v>131236-DR-E</v>
          </cell>
          <cell r="N632" t="str">
            <v>WIL23-MCC-0001B GA Legend</v>
          </cell>
        </row>
        <row r="633">
          <cell r="M633" t="str">
            <v>131236-DR-E</v>
          </cell>
          <cell r="N633" t="str">
            <v>WIL23-MCC-0001B Technical Data</v>
          </cell>
        </row>
        <row r="634">
          <cell r="M634" t="str">
            <v>131236-DR-E</v>
          </cell>
          <cell r="N634" t="str">
            <v>WIL23-MCC-0001B General Arrangement - 1</v>
          </cell>
        </row>
        <row r="635">
          <cell r="M635" t="str">
            <v>131236-DR-E</v>
          </cell>
          <cell r="N635" t="str">
            <v>WIL23-MCC-0001B General Arrangement - 2</v>
          </cell>
        </row>
        <row r="636">
          <cell r="M636" t="str">
            <v>131236-DR-E</v>
          </cell>
          <cell r="N636" t="str">
            <v>WIL23-MCC-0001B General Arrangement - 3</v>
          </cell>
        </row>
        <row r="637">
          <cell r="M637" t="str">
            <v>131236-DR-E</v>
          </cell>
          <cell r="N637" t="str">
            <v>WIL23-MCC-0001B General Arrangement - 4</v>
          </cell>
        </row>
        <row r="638">
          <cell r="M638" t="str">
            <v>131236-DR-E</v>
          </cell>
          <cell r="N638" t="str">
            <v>WIL23-MCC-0001B General Arrangement - 5</v>
          </cell>
        </row>
        <row r="639">
          <cell r="M639" t="str">
            <v>131236-DR-E</v>
          </cell>
          <cell r="N639" t="str">
            <v>WIL23-MCC-0001B General Arrangement - 6</v>
          </cell>
        </row>
        <row r="640">
          <cell r="M640" t="str">
            <v>131236-DR-E</v>
          </cell>
          <cell r="N640" t="str">
            <v>WIL23-MCC-0002A GA Legend</v>
          </cell>
        </row>
        <row r="641">
          <cell r="M641" t="str">
            <v>131236-DR-E</v>
          </cell>
          <cell r="N641" t="str">
            <v>WIL23-MCC-0002A Technical Data</v>
          </cell>
        </row>
        <row r="642">
          <cell r="M642" t="str">
            <v>131236-DR-E</v>
          </cell>
          <cell r="N642" t="str">
            <v>WIL23-MCC-0002A General Arrangement - 1</v>
          </cell>
        </row>
        <row r="643">
          <cell r="M643" t="str">
            <v>131236-DR-E</v>
          </cell>
          <cell r="N643" t="str">
            <v>WIL23-MCC-0002A General Arrangement - 2</v>
          </cell>
        </row>
        <row r="644">
          <cell r="M644" t="str">
            <v>131236-DR-E</v>
          </cell>
          <cell r="N644" t="str">
            <v>WIL23-MCC-0002A General Arrangement - 3</v>
          </cell>
        </row>
        <row r="645">
          <cell r="M645" t="str">
            <v>131236-DR-E</v>
          </cell>
          <cell r="N645" t="str">
            <v>WIL23-MCC-0002A General Arrangement - 4</v>
          </cell>
        </row>
        <row r="646">
          <cell r="M646" t="str">
            <v>131236-DR-E</v>
          </cell>
          <cell r="N646" t="str">
            <v>WIL23-MCC-0002A General Arrangement - 5</v>
          </cell>
        </row>
        <row r="647">
          <cell r="M647" t="str">
            <v>131236-DR-E</v>
          </cell>
          <cell r="N647" t="str">
            <v>WIL23-MCC-0002A General Arrangement - 6</v>
          </cell>
        </row>
        <row r="648">
          <cell r="M648" t="str">
            <v>131236-DR-E</v>
          </cell>
          <cell r="N648" t="str">
            <v>WIL23-MCC-0002B GA Legend</v>
          </cell>
        </row>
        <row r="649">
          <cell r="M649" t="str">
            <v>131236-DR-E</v>
          </cell>
          <cell r="N649" t="str">
            <v>WIL23-MCC-0002B Technical Data</v>
          </cell>
        </row>
        <row r="650">
          <cell r="M650" t="str">
            <v>131236-DR-E</v>
          </cell>
          <cell r="N650" t="str">
            <v>WIL23-MCC-0002B General Arrangement - 1</v>
          </cell>
        </row>
        <row r="651">
          <cell r="M651" t="str">
            <v>131236-DR-E</v>
          </cell>
          <cell r="N651" t="str">
            <v>WIL23-MCC-0002B General Arrangement - 2</v>
          </cell>
        </row>
        <row r="652">
          <cell r="M652" t="str">
            <v>131236-DR-E</v>
          </cell>
          <cell r="N652" t="str">
            <v>WIL23-MCC-0002B General Arrangement - 3</v>
          </cell>
        </row>
        <row r="653">
          <cell r="M653" t="str">
            <v>131236-DR-E</v>
          </cell>
          <cell r="N653" t="str">
            <v>WIL23-MCC-0002B General Arrangement - 4</v>
          </cell>
        </row>
        <row r="654">
          <cell r="M654" t="str">
            <v>131236-DR-E</v>
          </cell>
          <cell r="N654" t="str">
            <v>WIL23-MCC-0002B General Arrangement - 5</v>
          </cell>
        </row>
        <row r="655">
          <cell r="M655" t="str">
            <v>131236-DR-E</v>
          </cell>
          <cell r="N655" t="str">
            <v>WIL23-MCC-0002B General Arrangement - 6</v>
          </cell>
        </row>
        <row r="656">
          <cell r="M656" t="str">
            <v>131236-DR-E</v>
          </cell>
          <cell r="N656" t="str">
            <v>WIL23-MCC-0003A GA Legend</v>
          </cell>
        </row>
        <row r="657">
          <cell r="M657" t="str">
            <v>131236-DR-E</v>
          </cell>
          <cell r="N657" t="str">
            <v>WIL23-MCC-0003A Technical Data</v>
          </cell>
        </row>
        <row r="658">
          <cell r="M658" t="str">
            <v>131236-DR-E</v>
          </cell>
          <cell r="N658" t="str">
            <v>WIL23-MCC-0003A General Arrangement - 1</v>
          </cell>
        </row>
        <row r="659">
          <cell r="M659" t="str">
            <v>131236-DR-E</v>
          </cell>
          <cell r="N659" t="str">
            <v>WIL23-MCC-0003A General Arrangement - 2</v>
          </cell>
        </row>
        <row r="660">
          <cell r="M660" t="str">
            <v>131236-DR-E</v>
          </cell>
          <cell r="N660" t="str">
            <v>WIL23-MCC-0003A General Arrangement - 3</v>
          </cell>
        </row>
        <row r="661">
          <cell r="M661" t="str">
            <v>131236-DR-E</v>
          </cell>
          <cell r="N661" t="str">
            <v>WIL23-MCC-0003A General Arrangement - 4</v>
          </cell>
        </row>
        <row r="662">
          <cell r="M662" t="str">
            <v>131236-DR-E</v>
          </cell>
          <cell r="N662" t="str">
            <v>WIL23-MCC-0003A General Arrangement - 5</v>
          </cell>
        </row>
        <row r="663">
          <cell r="M663" t="str">
            <v>131236-DR-E</v>
          </cell>
          <cell r="N663" t="str">
            <v>WIL23-MCC-0003A General Arrangement - 6</v>
          </cell>
        </row>
        <row r="664">
          <cell r="M664" t="str">
            <v>131236-DR-E</v>
          </cell>
          <cell r="N664" t="str">
            <v>WIL23-MCC-0003B GA Legend</v>
          </cell>
        </row>
        <row r="665">
          <cell r="M665" t="str">
            <v>131236-DR-E</v>
          </cell>
          <cell r="N665" t="str">
            <v>WIL23-MCC-0003B Technical Data</v>
          </cell>
        </row>
        <row r="666">
          <cell r="M666" t="str">
            <v>131236-DR-E</v>
          </cell>
          <cell r="N666" t="str">
            <v>WIL23-MCC-0003B General Arrangement - 1</v>
          </cell>
        </row>
        <row r="667">
          <cell r="M667" t="str">
            <v>131236-DR-E</v>
          </cell>
          <cell r="N667" t="str">
            <v>WIL23-MCC-0003B General Arrangement - 2</v>
          </cell>
        </row>
        <row r="668">
          <cell r="M668" t="str">
            <v>131236-DR-E</v>
          </cell>
          <cell r="N668" t="str">
            <v>WIL23-MCC-0003B General Arrangement - 3</v>
          </cell>
        </row>
        <row r="669">
          <cell r="M669" t="str">
            <v>131236-DR-E</v>
          </cell>
          <cell r="N669" t="str">
            <v>WIL23-MCC-0003B General Arrangement - 4</v>
          </cell>
        </row>
        <row r="670">
          <cell r="M670" t="str">
            <v>131236-DR-E</v>
          </cell>
          <cell r="N670" t="str">
            <v>WIL23-MCC-0003B General Arrangement - 5</v>
          </cell>
        </row>
        <row r="671">
          <cell r="M671" t="str">
            <v>131236-DR-E</v>
          </cell>
          <cell r="N671" t="str">
            <v>WIL23-MCC-0004A GA Legend</v>
          </cell>
        </row>
        <row r="672">
          <cell r="M672" t="str">
            <v>131236-DR-E</v>
          </cell>
          <cell r="N672" t="str">
            <v>WIL23-MCC-0004A Technical Data</v>
          </cell>
        </row>
        <row r="673">
          <cell r="M673" t="str">
            <v>131236-DR-E</v>
          </cell>
          <cell r="N673" t="str">
            <v>WIL23-MCC-0004A General Arrangement - 1</v>
          </cell>
        </row>
        <row r="674">
          <cell r="M674" t="str">
            <v>131236-DR-E</v>
          </cell>
          <cell r="N674" t="str">
            <v>WIL23-MCC-0004A General Arrangement - 2</v>
          </cell>
        </row>
        <row r="675">
          <cell r="M675" t="str">
            <v>131236-DR-E</v>
          </cell>
          <cell r="N675" t="str">
            <v>WIL23-MCC-0004A General Arrangement - 3</v>
          </cell>
        </row>
        <row r="676">
          <cell r="M676" t="str">
            <v>131236-DR-E</v>
          </cell>
          <cell r="N676" t="str">
            <v>WIL23-MCC-0004A General Arrangement - 4</v>
          </cell>
        </row>
        <row r="677">
          <cell r="M677" t="str">
            <v>131236-DR-E</v>
          </cell>
          <cell r="N677" t="str">
            <v>WIL23-MCC-0004A General Arrangement - 5</v>
          </cell>
        </row>
        <row r="678">
          <cell r="M678" t="str">
            <v>131236-DR-E</v>
          </cell>
          <cell r="N678" t="str">
            <v>WIL23-MCC-0004B GA Legend</v>
          </cell>
        </row>
        <row r="679">
          <cell r="M679" t="str">
            <v>131236-DR-E</v>
          </cell>
          <cell r="N679" t="str">
            <v>WIL23-MCC-0004B Technical Data</v>
          </cell>
        </row>
        <row r="680">
          <cell r="M680" t="str">
            <v>131236-DR-E</v>
          </cell>
          <cell r="N680" t="str">
            <v>WIL23-MCC-0004B General Arrangement - 1</v>
          </cell>
        </row>
        <row r="681">
          <cell r="M681" t="str">
            <v>131236-DR-E</v>
          </cell>
          <cell r="N681" t="str">
            <v>WIL23-MCC-0004B General Arrangement - 2</v>
          </cell>
        </row>
        <row r="682">
          <cell r="M682" t="str">
            <v>131236-DR-E</v>
          </cell>
          <cell r="N682" t="str">
            <v>WIL23-MCC-0004B General Arrangement - 3</v>
          </cell>
        </row>
        <row r="683">
          <cell r="M683" t="str">
            <v>131236-DR-E</v>
          </cell>
          <cell r="N683" t="str">
            <v>WIL23-MCC-0004B General Arrangement - 4</v>
          </cell>
        </row>
        <row r="684">
          <cell r="M684" t="str">
            <v>131236-DR-E</v>
          </cell>
          <cell r="N684" t="str">
            <v>WIL23-MCC-0004B General Arrangement - 5</v>
          </cell>
        </row>
        <row r="685">
          <cell r="M685" t="str">
            <v>131236-DR-E</v>
          </cell>
          <cell r="N685" t="str">
            <v>WIL23-MCC-0005A GA Legend</v>
          </cell>
        </row>
        <row r="686">
          <cell r="M686" t="str">
            <v>131236-DR-E</v>
          </cell>
          <cell r="N686" t="str">
            <v>WIL23-MCC-0005A Technical Data</v>
          </cell>
        </row>
        <row r="687">
          <cell r="M687" t="str">
            <v>131236-DR-E</v>
          </cell>
          <cell r="N687" t="str">
            <v>WIL23-MCC-0005A General Arrangement - 1</v>
          </cell>
        </row>
        <row r="688">
          <cell r="M688" t="str">
            <v>131236-DR-E</v>
          </cell>
          <cell r="N688" t="str">
            <v>WIL23-MCC-0005A General Arrangement - 2</v>
          </cell>
        </row>
        <row r="689">
          <cell r="M689" t="str">
            <v>131236-DR-E</v>
          </cell>
          <cell r="N689" t="str">
            <v>WIL23-MCC-0005A General Arrangement - 3</v>
          </cell>
        </row>
        <row r="690">
          <cell r="M690" t="str">
            <v>131236-DR-E</v>
          </cell>
          <cell r="N690" t="str">
            <v>WIL23-MCC-0005A General Arrangement - 4</v>
          </cell>
        </row>
        <row r="691">
          <cell r="M691" t="str">
            <v>131236-DR-E</v>
          </cell>
          <cell r="N691" t="str">
            <v>WIL23-MCC-0005A General Arrangement - 5</v>
          </cell>
        </row>
        <row r="692">
          <cell r="M692" t="str">
            <v>131236-DR-E</v>
          </cell>
          <cell r="N692" t="str">
            <v>WIL23-MCC-0005A General Arrangement - 6</v>
          </cell>
        </row>
        <row r="693">
          <cell r="M693" t="str">
            <v>131236-DR-E</v>
          </cell>
          <cell r="N693" t="str">
            <v>WIL23-MCC-0005B GA Legend</v>
          </cell>
        </row>
        <row r="694">
          <cell r="M694" t="str">
            <v>131236-DR-E</v>
          </cell>
          <cell r="N694" t="str">
            <v>WIL23-MCC-0005B Technical Data</v>
          </cell>
        </row>
        <row r="695">
          <cell r="M695" t="str">
            <v>131236-DR-E</v>
          </cell>
          <cell r="N695" t="str">
            <v>WIL23-MCC-0005B General Arrangement - 1</v>
          </cell>
        </row>
        <row r="696">
          <cell r="M696" t="str">
            <v>131236-DR-E</v>
          </cell>
          <cell r="N696" t="str">
            <v>WIL23-MCC-0005B General Arrangement - 2</v>
          </cell>
        </row>
        <row r="697">
          <cell r="M697" t="str">
            <v>131236-DR-E</v>
          </cell>
          <cell r="N697" t="str">
            <v>WIL23-MCC-0005B General Arrangement - 3</v>
          </cell>
        </row>
        <row r="698">
          <cell r="M698" t="str">
            <v>131236-DR-E</v>
          </cell>
          <cell r="N698" t="str">
            <v>WIL23-MCC-0005B General Arrangement - 4</v>
          </cell>
        </row>
        <row r="699">
          <cell r="M699" t="str">
            <v>131236-DR-E</v>
          </cell>
          <cell r="N699" t="str">
            <v>WIL23-MCC-0005B General Arrangement - 5</v>
          </cell>
        </row>
        <row r="700">
          <cell r="M700" t="str">
            <v>131236-DR-E</v>
          </cell>
          <cell r="N700" t="str">
            <v>WIL23-MCC-0005B General Arrangement - 6</v>
          </cell>
        </row>
        <row r="701">
          <cell r="M701" t="str">
            <v>131236-DR-E</v>
          </cell>
          <cell r="N701" t="str">
            <v>WIL23-MDB-0001A GA Legend</v>
          </cell>
        </row>
        <row r="702">
          <cell r="M702" t="str">
            <v>131236-DR-E</v>
          </cell>
          <cell r="N702" t="str">
            <v>WIL23-MDB-0001A Technical Data</v>
          </cell>
        </row>
        <row r="703">
          <cell r="M703" t="str">
            <v>131236-DR-E</v>
          </cell>
          <cell r="N703" t="str">
            <v>WIL23-MDB-0001A General Arrangement - 1</v>
          </cell>
        </row>
        <row r="704">
          <cell r="M704" t="str">
            <v>131236-DR-E</v>
          </cell>
          <cell r="N704" t="str">
            <v>WIL23-MDB-0001A General Arrangement - 2</v>
          </cell>
        </row>
        <row r="705">
          <cell r="M705" t="str">
            <v>131236-DR-E</v>
          </cell>
          <cell r="N705" t="str">
            <v>WIL23-MDB-0001A General Arrangement - 3</v>
          </cell>
        </row>
        <row r="706">
          <cell r="M706" t="str">
            <v>131236-DR-E</v>
          </cell>
          <cell r="N706" t="str">
            <v>WIL23-MDB-0001A General Arrangement - 4</v>
          </cell>
        </row>
        <row r="707">
          <cell r="M707" t="str">
            <v>131236-DR-E</v>
          </cell>
          <cell r="N707" t="str">
            <v>WIL23-MDB-0001B GA Legend</v>
          </cell>
        </row>
        <row r="708">
          <cell r="M708" t="str">
            <v>131236-DR-E</v>
          </cell>
          <cell r="N708" t="str">
            <v>WIL23-MDB-0001B Technical Data</v>
          </cell>
        </row>
        <row r="709">
          <cell r="M709" t="str">
            <v>131236-DR-E</v>
          </cell>
          <cell r="N709" t="str">
            <v>WIL23-MDB-0001B General Arrangement - 1</v>
          </cell>
        </row>
        <row r="710">
          <cell r="M710" t="str">
            <v>131236-DR-E</v>
          </cell>
          <cell r="N710" t="str">
            <v>WIL23-MDB-0001B General Arrangement - 2</v>
          </cell>
        </row>
        <row r="711">
          <cell r="M711" t="str">
            <v>131236-DR-E</v>
          </cell>
          <cell r="N711" t="str">
            <v>WIL23-MDB-0001B General Arrangement - 3</v>
          </cell>
        </row>
        <row r="712">
          <cell r="M712" t="str">
            <v>131236-DR-E</v>
          </cell>
          <cell r="N712" t="str">
            <v>WIL23-MDB-0001B General Arrangement - 4</v>
          </cell>
        </row>
        <row r="713">
          <cell r="M713" t="str">
            <v>131236-DR-E</v>
          </cell>
          <cell r="N713" t="str">
            <v>WIL23-MDB-0002A GA Legend</v>
          </cell>
        </row>
        <row r="714">
          <cell r="M714" t="str">
            <v>131236-DR-E</v>
          </cell>
          <cell r="N714" t="str">
            <v>WIL23-MDB-0002A Technical Data</v>
          </cell>
        </row>
        <row r="715">
          <cell r="M715" t="str">
            <v>131236-DR-E</v>
          </cell>
          <cell r="N715" t="str">
            <v>WIL23-MDB-0002A General Arrangement - 1</v>
          </cell>
        </row>
        <row r="716">
          <cell r="M716" t="str">
            <v>131236-DR-E</v>
          </cell>
          <cell r="N716" t="str">
            <v>WIL23-MDB-0002A General Arrangement - 2</v>
          </cell>
        </row>
        <row r="717">
          <cell r="M717" t="str">
            <v>131236-DR-E</v>
          </cell>
          <cell r="N717" t="str">
            <v>WIL23-MDB-0002A General Arrangement - 3</v>
          </cell>
        </row>
        <row r="718">
          <cell r="M718" t="str">
            <v>131236-DR-E</v>
          </cell>
          <cell r="N718" t="str">
            <v>WIL23-MDB-0002A General Arrangement - 4</v>
          </cell>
        </row>
        <row r="719">
          <cell r="M719" t="str">
            <v>131236-DR-E</v>
          </cell>
          <cell r="N719" t="str">
            <v>WIL23-MDB-0002B GA Legend</v>
          </cell>
        </row>
        <row r="720">
          <cell r="M720" t="str">
            <v>131236-DR-E</v>
          </cell>
          <cell r="N720" t="str">
            <v>WIL23-MDB-0002B Technical Data</v>
          </cell>
        </row>
        <row r="721">
          <cell r="M721" t="str">
            <v>131236-DR-E</v>
          </cell>
          <cell r="N721" t="str">
            <v>WIL23-MDB-0002B General Arrangement - 1</v>
          </cell>
        </row>
        <row r="722">
          <cell r="M722" t="str">
            <v>131236-DR-E</v>
          </cell>
          <cell r="N722" t="str">
            <v>WIL23-MDB-0002B General Arrangement - 2</v>
          </cell>
        </row>
        <row r="723">
          <cell r="M723" t="str">
            <v>131236-DR-E</v>
          </cell>
          <cell r="N723" t="str">
            <v>WIL23-MDB-0002B General Arrangement - 3</v>
          </cell>
        </row>
        <row r="724">
          <cell r="M724" t="str">
            <v>131236-DR-E</v>
          </cell>
          <cell r="N724" t="str">
            <v>WIL23-MDB-0002B General Arrangement - 4</v>
          </cell>
        </row>
        <row r="725">
          <cell r="M725" t="str">
            <v>131236-DR-E</v>
          </cell>
          <cell r="N725" t="str">
            <v>WIL23-MDB-0003A GA Legend</v>
          </cell>
        </row>
        <row r="726">
          <cell r="M726" t="str">
            <v>131236-DR-E</v>
          </cell>
          <cell r="N726" t="str">
            <v>WIL23-MDB-0003A Technical Data</v>
          </cell>
        </row>
        <row r="727">
          <cell r="M727" t="str">
            <v>131236-DR-E</v>
          </cell>
          <cell r="N727" t="str">
            <v>WIL23-MDB-0003A General Arrangement - 1</v>
          </cell>
        </row>
        <row r="728">
          <cell r="M728" t="str">
            <v>131236-DR-E</v>
          </cell>
          <cell r="N728" t="str">
            <v>WIL23-MDB-0003A General Arrangement - 2</v>
          </cell>
        </row>
        <row r="729">
          <cell r="M729" t="str">
            <v>131236-DR-E</v>
          </cell>
          <cell r="N729" t="str">
            <v>WIL23-MDB-0003A General Arrangement - 3</v>
          </cell>
        </row>
        <row r="730">
          <cell r="M730" t="str">
            <v>131236-DR-E</v>
          </cell>
          <cell r="N730" t="str">
            <v>WIL23-MDB-0003A General Arrangement - 4</v>
          </cell>
        </row>
        <row r="731">
          <cell r="M731" t="str">
            <v>131236-DR-E</v>
          </cell>
          <cell r="N731" t="str">
            <v>WIL23-MDB-0003B GA Legend</v>
          </cell>
        </row>
        <row r="732">
          <cell r="M732" t="str">
            <v>131236-DR-E</v>
          </cell>
          <cell r="N732" t="str">
            <v>WIL23-MDB-0003B Technical Data</v>
          </cell>
        </row>
        <row r="733">
          <cell r="M733" t="str">
            <v>131236-DR-E</v>
          </cell>
          <cell r="N733" t="str">
            <v>WIL23-MDB-0003B General Arrangement - 1</v>
          </cell>
        </row>
        <row r="734">
          <cell r="M734" t="str">
            <v>131236-DR-E</v>
          </cell>
          <cell r="N734" t="str">
            <v>WIL23-MDB-0003B General Arrangement - 2</v>
          </cell>
        </row>
        <row r="735">
          <cell r="M735" t="str">
            <v>131236-DR-E</v>
          </cell>
          <cell r="N735" t="str">
            <v>WIL23-MDB-0003B General Arrangement - 3</v>
          </cell>
        </row>
        <row r="736">
          <cell r="M736" t="str">
            <v>131236-DR-E</v>
          </cell>
          <cell r="N736" t="str">
            <v>WIL23-MDB-0003B General Arrangement - 4</v>
          </cell>
        </row>
        <row r="737">
          <cell r="M737" t="str">
            <v>131236-DR-E</v>
          </cell>
          <cell r="N737" t="str">
            <v>WIL23-MDB-0004A GA Legend</v>
          </cell>
        </row>
        <row r="738">
          <cell r="M738" t="str">
            <v>131236-DR-E</v>
          </cell>
          <cell r="N738" t="str">
            <v>WIL23-MDB-0004A Technical Data</v>
          </cell>
        </row>
        <row r="739">
          <cell r="M739" t="str">
            <v>131236-DR-E</v>
          </cell>
          <cell r="N739" t="str">
            <v>WIL23-MDB-0004A General Arrangement - 1</v>
          </cell>
        </row>
        <row r="740">
          <cell r="M740" t="str">
            <v>131236-DR-E</v>
          </cell>
          <cell r="N740" t="str">
            <v>WIL23-MDB-0004A General Arrangement - 2</v>
          </cell>
        </row>
        <row r="741">
          <cell r="M741" t="str">
            <v>131236-DR-E</v>
          </cell>
          <cell r="N741" t="str">
            <v>WIL23-MDB-0004A General Arrangement - 3</v>
          </cell>
        </row>
        <row r="742">
          <cell r="M742" t="str">
            <v>131236-DR-E</v>
          </cell>
          <cell r="N742" t="str">
            <v>WIL23-MDB-0004A General Arrangement - 4</v>
          </cell>
        </row>
        <row r="743">
          <cell r="M743" t="str">
            <v>131236-DR-E</v>
          </cell>
          <cell r="N743" t="str">
            <v>WIL23-MDB-0004B GA Legend</v>
          </cell>
        </row>
        <row r="744">
          <cell r="M744" t="str">
            <v>131236-DR-E</v>
          </cell>
          <cell r="N744" t="str">
            <v>WIL23-MDB-0004B Technical Data</v>
          </cell>
        </row>
        <row r="745">
          <cell r="M745" t="str">
            <v>131236-DR-E</v>
          </cell>
          <cell r="N745" t="str">
            <v>WIL23-MDB-0004B General Arrangement - 1</v>
          </cell>
        </row>
        <row r="746">
          <cell r="M746" t="str">
            <v>131236-DR-E</v>
          </cell>
          <cell r="N746" t="str">
            <v>WIL23-MDB-0004B General Arrangement - 2</v>
          </cell>
        </row>
        <row r="747">
          <cell r="M747" t="str">
            <v>131236-DR-E</v>
          </cell>
          <cell r="N747" t="str">
            <v>WIL23-MDB-0004B General Arrangement - 3</v>
          </cell>
        </row>
        <row r="748">
          <cell r="M748" t="str">
            <v>131236-DR-E</v>
          </cell>
          <cell r="N748" t="str">
            <v>WIL23-MDB-0004B General Arrangement - 4</v>
          </cell>
        </row>
        <row r="749">
          <cell r="M749" t="str">
            <v>131236-DR-E</v>
          </cell>
          <cell r="N749" t="str">
            <v>Panel GA -  Low Voltage System Equipment MDB - WIL23-MDB-0003B (Sheet 01 of XXX)</v>
          </cell>
        </row>
        <row r="750">
          <cell r="M750" t="str">
            <v>131236-DR-E</v>
          </cell>
          <cell r="N750" t="str">
            <v>Panel GA -  Low Voltage System Equipment MDB - WIL23-MDB-0004A (Sheet 01 of XXX)</v>
          </cell>
        </row>
        <row r="751">
          <cell r="M751" t="str">
            <v>131236-DR-E</v>
          </cell>
          <cell r="N751" t="str">
            <v>Panel GA -  Low Voltage System Equipment MDB - WIL23-MDB-0004A (Sheet 01 of XXX)</v>
          </cell>
        </row>
        <row r="752">
          <cell r="M752" t="str">
            <v>131236-DR-E</v>
          </cell>
          <cell r="N752" t="str">
            <v>Panel GA -  Low Voltage System Equipment MDB - WIL23-MDB-0004A (Sheet 01 of XXX)</v>
          </cell>
        </row>
        <row r="753">
          <cell r="M753" t="str">
            <v>131236-DR-E</v>
          </cell>
          <cell r="N753" t="str">
            <v>Panel GA -  Low Voltage System Equipment MDB - WIL23-MDB-0004A (Sheet 01 of XXX)</v>
          </cell>
        </row>
        <row r="754">
          <cell r="M754" t="str">
            <v>131236-DR-E</v>
          </cell>
          <cell r="N754" t="str">
            <v>Panel GA -  Low Voltage System Equipment MDB - WIL23-MDB-0004A (Sheet 01 of XXX)</v>
          </cell>
        </row>
        <row r="755">
          <cell r="M755" t="str">
            <v>131236-DR-E</v>
          </cell>
          <cell r="N755" t="str">
            <v>Panel GA -  Low Voltage System Equipment MDB - WIL23-MDB-0004A (Sheet 01 of XXX)</v>
          </cell>
        </row>
        <row r="756">
          <cell r="M756" t="str">
            <v>131236-DR-E</v>
          </cell>
          <cell r="N756" t="str">
            <v>Panel GA -  Low Voltage System Equipment MDB - WIL23-MDB-0004A (Sheet 01 of XXX)</v>
          </cell>
        </row>
        <row r="757">
          <cell r="M757" t="str">
            <v>131236-DR-E</v>
          </cell>
          <cell r="N757" t="str">
            <v>Panel GA -  Low Voltage System Equipment MDB - WIL23-MDB-0004A (Sheet 01 of XXX)</v>
          </cell>
        </row>
        <row r="758">
          <cell r="M758" t="str">
            <v>131236-DR-E</v>
          </cell>
          <cell r="N758" t="str">
            <v>Panel GA -  Low Voltage System Equipment MDB - WIL23-MDB-0004B (Sheet 01 of XXX)</v>
          </cell>
        </row>
        <row r="759">
          <cell r="M759" t="str">
            <v>131236-DR-E</v>
          </cell>
          <cell r="N759" t="str">
            <v>Panel GA -  Low Voltage System Equipment MDB - WIL23-MDB-0004B (Sheet 01 of XXX)</v>
          </cell>
        </row>
        <row r="760">
          <cell r="M760" t="str">
            <v>131236-DR-E</v>
          </cell>
          <cell r="N760" t="str">
            <v>Panel GA -  Low Voltage System Equipment MDB - WIL23-MDB-0004B (Sheet 01 of XXX)</v>
          </cell>
        </row>
        <row r="761">
          <cell r="M761" t="str">
            <v>131236-DR-E</v>
          </cell>
          <cell r="N761" t="str">
            <v>Panel GA -  Low Voltage System Equipment MDB - WIL23-MDB-0004B (Sheet 01 of XXX)</v>
          </cell>
        </row>
        <row r="762">
          <cell r="M762" t="str">
            <v>131236-DR-E</v>
          </cell>
          <cell r="N762" t="str">
            <v>Panel GA -  Low Voltage System Equipment MDB - WIL23-MDB-0004B (Sheet 01 of XXX)</v>
          </cell>
        </row>
        <row r="763">
          <cell r="M763" t="str">
            <v>131236-DR-E</v>
          </cell>
          <cell r="N763" t="str">
            <v>Panel GA -  Low Voltage System Equipment MDB - WIL23-MDB-0004B (Sheet 01 of XXX)</v>
          </cell>
        </row>
        <row r="764">
          <cell r="M764" t="str">
            <v>131236-DR-E</v>
          </cell>
          <cell r="N764" t="str">
            <v>Panel GA -  Low Voltage System Equipment MDB - WIL23-MDB-0004B (Sheet 01 of XXX)</v>
          </cell>
        </row>
        <row r="765">
          <cell r="M765" t="str">
            <v>131236-DR-E</v>
          </cell>
          <cell r="N765" t="str">
            <v>Panel GA -  Low Voltage System Equipment MDB - WIL23-MDB-0004B (Sheet 01 of XXX)</v>
          </cell>
        </row>
        <row r="766">
          <cell r="M766" t="str">
            <v>131236-DR-E</v>
          </cell>
          <cell r="N766" t="str">
            <v>Panel GA -  Low Voltage System Equipment LCS - WIL23-LCS-0001 (Sheet 01 of XXX)</v>
          </cell>
        </row>
        <row r="767">
          <cell r="M767" t="str">
            <v>131236-DR-E</v>
          </cell>
          <cell r="N767" t="str">
            <v>Panel GA -  450kW LV VFD (Sheet 01 of 06)</v>
          </cell>
        </row>
        <row r="768">
          <cell r="M768" t="str">
            <v>131236-DR-E</v>
          </cell>
          <cell r="N768" t="str">
            <v>Panel GA -  450kW LV VFD (Sheet 02 of 06)</v>
          </cell>
        </row>
        <row r="769">
          <cell r="M769" t="str">
            <v>131236-DR-E</v>
          </cell>
          <cell r="N769" t="str">
            <v>Panel GA -  450kW LV VFD (Sheet 03 of 06)</v>
          </cell>
        </row>
        <row r="770">
          <cell r="M770" t="str">
            <v>131236-DR-E</v>
          </cell>
          <cell r="N770" t="str">
            <v>Panel GA -  450kW LV VFD (Sheet 04 of 06)</v>
          </cell>
        </row>
        <row r="771">
          <cell r="M771" t="str">
            <v>131236-DR-E</v>
          </cell>
          <cell r="N771" t="str">
            <v>Panel GA -  450kW LV VFD (Sheet 05 of 06)</v>
          </cell>
        </row>
        <row r="772">
          <cell r="M772" t="str">
            <v>131236-DR-E</v>
          </cell>
          <cell r="N772" t="str">
            <v>Panel GA -  450kW LV VFD (Sheet 06 of 06)</v>
          </cell>
        </row>
        <row r="773">
          <cell r="M773" t="str">
            <v>131236-DR-E</v>
          </cell>
          <cell r="N773" t="str">
            <v>Panel GA -  280kW LV VFD (Sheet 01 of 06)</v>
          </cell>
        </row>
        <row r="774">
          <cell r="M774" t="str">
            <v>131236-DR-E</v>
          </cell>
          <cell r="N774" t="str">
            <v>Panel GA -  280kW LV VFD (Sheet 02 of 06)</v>
          </cell>
        </row>
        <row r="775">
          <cell r="M775" t="str">
            <v>131236-DR-E</v>
          </cell>
          <cell r="N775" t="str">
            <v>Panel GA -  280kW LV VFD (Sheet 03 of 06)</v>
          </cell>
        </row>
        <row r="776">
          <cell r="M776" t="str">
            <v>131236-DR-E</v>
          </cell>
          <cell r="N776" t="str">
            <v>Panel GA -  280kW LV VFD (Sheet 04 of 06)</v>
          </cell>
        </row>
        <row r="777">
          <cell r="M777" t="str">
            <v>131236-DR-E</v>
          </cell>
          <cell r="N777" t="str">
            <v>Panel GA -  280kW LV VFD (Sheet 05 of 06)</v>
          </cell>
        </row>
        <row r="778">
          <cell r="M778" t="str">
            <v>131236-DR-E</v>
          </cell>
          <cell r="N778" t="str">
            <v>Panel GA -  280kW LV VFD (Sheet 06 of 06)</v>
          </cell>
        </row>
        <row r="779">
          <cell r="M779" t="str">
            <v>131236-DR-E</v>
          </cell>
          <cell r="N779" t="str">
            <v>Panel GA -  315kW LV VFD (Sheet 01 of 06)</v>
          </cell>
        </row>
        <row r="780">
          <cell r="M780" t="str">
            <v>131236-DR-E</v>
          </cell>
          <cell r="N780" t="str">
            <v>Panel GA -  315kW LV VFD (Sheet 02 of 06)</v>
          </cell>
        </row>
        <row r="781">
          <cell r="M781" t="str">
            <v>131236-DR-E</v>
          </cell>
          <cell r="N781" t="str">
            <v>Panel GA -  315kW LV VFD (Sheet 03 of 06)</v>
          </cell>
        </row>
        <row r="782">
          <cell r="M782" t="str">
            <v>131236-DR-E</v>
          </cell>
          <cell r="N782" t="str">
            <v>Panel GA -  315kW LV VFD (Sheet 04 of 06)</v>
          </cell>
        </row>
        <row r="783">
          <cell r="M783" t="str">
            <v>131236-DR-E</v>
          </cell>
          <cell r="N783" t="str">
            <v>Panel GA -  315kW LV VFD (Sheet 05 of 06)</v>
          </cell>
        </row>
        <row r="784">
          <cell r="M784" t="str">
            <v>131236-DR-E</v>
          </cell>
          <cell r="N784" t="str">
            <v>Panel GA -  315kW LV VFD (Sheet 06 of 06)</v>
          </cell>
        </row>
        <row r="785">
          <cell r="M785" t="str">
            <v>131236-DR-E</v>
          </cell>
          <cell r="N785" t="str">
            <v>Panel GA -  225kW LV VFD (Sheet 01 of 04)</v>
          </cell>
        </row>
        <row r="786">
          <cell r="M786" t="str">
            <v>131236-DR-E</v>
          </cell>
          <cell r="N786" t="str">
            <v>Panel GA -  225kW LV VFD (Sheet 02 of 04)</v>
          </cell>
        </row>
        <row r="787">
          <cell r="M787" t="str">
            <v>131236-DR-E</v>
          </cell>
          <cell r="N787" t="str">
            <v>Panel GA -  225kW LV VFD (Sheet 03 of 04)</v>
          </cell>
        </row>
        <row r="788">
          <cell r="M788" t="str">
            <v>131236-DR-E</v>
          </cell>
          <cell r="N788" t="str">
            <v>Panel GA -  225kW LV VFD (Sheet 04 of 04)</v>
          </cell>
        </row>
        <row r="789">
          <cell r="M789" t="str">
            <v>131236-DR-E</v>
          </cell>
          <cell r="N789" t="str">
            <v>Panel GA -  160kW LV VFD (Sheet 01 of 04)</v>
          </cell>
        </row>
        <row r="790">
          <cell r="M790" t="str">
            <v>131236-DR-E</v>
          </cell>
          <cell r="N790" t="str">
            <v>Panel GA -  160kW LV VFD (Sheet 02 of 04)</v>
          </cell>
        </row>
        <row r="791">
          <cell r="M791" t="str">
            <v>131236-DR-E</v>
          </cell>
          <cell r="N791" t="str">
            <v>Panel GA -  160kW LV VFD (Sheet 03 of 04)</v>
          </cell>
        </row>
        <row r="792">
          <cell r="M792" t="str">
            <v>131236-DR-E</v>
          </cell>
          <cell r="N792" t="str">
            <v>Panel GA -  160kW LV VFD (Sheet 04 of 04)</v>
          </cell>
        </row>
        <row r="793">
          <cell r="M793" t="str">
            <v>131236-DR-E</v>
          </cell>
          <cell r="N793" t="str">
            <v>Panel GA -  90kW LV VFD (Sheet 01 of 06)</v>
          </cell>
        </row>
        <row r="794">
          <cell r="M794" t="str">
            <v>131236-DR-E</v>
          </cell>
          <cell r="N794" t="str">
            <v>Panel GA - 90kW LV VFD (Sheet 02 of 06)</v>
          </cell>
        </row>
        <row r="795">
          <cell r="M795" t="str">
            <v>131236-DR-E</v>
          </cell>
          <cell r="N795" t="str">
            <v>Panel GA -  90kW LV VFD (Sheet 03 of 06)</v>
          </cell>
        </row>
        <row r="796">
          <cell r="M796" t="str">
            <v>131236-DR-E</v>
          </cell>
          <cell r="N796" t="str">
            <v>Panel GA -  90kW LV VFD (Sheet 04 of 06)</v>
          </cell>
        </row>
        <row r="797">
          <cell r="M797" t="str">
            <v>131236-DR-E</v>
          </cell>
          <cell r="N797" t="str">
            <v>Panel GA -  90kW LV VFD (Sheet 05 of 06)</v>
          </cell>
        </row>
        <row r="798">
          <cell r="M798" t="str">
            <v>131236-DR-E</v>
          </cell>
          <cell r="N798" t="str">
            <v>Panel GA -  90kW LV VFD (Sheet 06 of 06)</v>
          </cell>
        </row>
        <row r="799">
          <cell r="M799" t="str">
            <v>131236-DR-E</v>
          </cell>
          <cell r="N799" t="str">
            <v>Panel GA -  75kW LV VFD (Sheet 01 of 04)</v>
          </cell>
        </row>
        <row r="800">
          <cell r="M800" t="str">
            <v>131236-DR-E</v>
          </cell>
          <cell r="N800" t="str">
            <v>Panel GA -  75kW LV VFD (Sheet 02 of 04)</v>
          </cell>
        </row>
        <row r="801">
          <cell r="M801" t="str">
            <v>131236-DR-E</v>
          </cell>
          <cell r="N801" t="str">
            <v>Panel GA -  75kW LV VFD (Sheet 03 of 04)</v>
          </cell>
        </row>
        <row r="802">
          <cell r="M802" t="str">
            <v>131236-DR-E</v>
          </cell>
          <cell r="N802" t="str">
            <v>Panel GA -  75kW LV VFD (Sheet 04 of 04)</v>
          </cell>
        </row>
        <row r="803">
          <cell r="M803" t="str">
            <v>131236-DR-E</v>
          </cell>
          <cell r="N803" t="str">
            <v>General Arrangement: 22/6.6kV Transformer (8/11MVA) - WIL23-TRF-0001A &amp; WIL23-TRF-0001B</v>
          </cell>
        </row>
        <row r="804">
          <cell r="M804" t="str">
            <v>131236-DR-E</v>
          </cell>
          <cell r="N804" t="str">
            <v>General Arrangement: 22/0.415kV Transformer (2.5MVA) - WIL23-TRF-0002A &amp; WIL23-TRF-0002B</v>
          </cell>
        </row>
        <row r="805">
          <cell r="M805" t="str">
            <v>131236-DR-E</v>
          </cell>
          <cell r="N805" t="str">
            <v>General Arrangement: 22/0.415kV Transformer (2MVA) - WIL23-TRF-0003A &amp; WIL23-TRF-0003B</v>
          </cell>
        </row>
        <row r="806">
          <cell r="M806" t="str">
            <v>131236-DR-E</v>
          </cell>
          <cell r="N806" t="str">
            <v>General Arrangement: 22/0.415kV Transformer (3MVA) - WIL23-TRF-0004A &amp; WIL23-TRF-0004B</v>
          </cell>
        </row>
        <row r="807">
          <cell r="M807" t="str">
            <v>131236-DR-E</v>
          </cell>
          <cell r="N807" t="str">
            <v>The transformer vendor GA into the layout: 22/6.6kV Transformer (8/11MVA) - WIL23-TRF-0001A &amp; WIL23-TRF-0001B</v>
          </cell>
        </row>
        <row r="808">
          <cell r="M808" t="str">
            <v>131236-DR-E</v>
          </cell>
          <cell r="N808" t="str">
            <v>The transformer vendor GA into the layout: 22/0.415kV Transformer (2.5MVA) - WIL23-TRF-0002A &amp; WIL23-TRF-0002B</v>
          </cell>
        </row>
        <row r="809">
          <cell r="M809" t="str">
            <v>131236-DR-E</v>
          </cell>
          <cell r="N809" t="str">
            <v>The transformer vendor GA into the layout: 22/0.415kV Transformer (2MVA) - WIL23-TRF-0003A &amp; WIL23-TRF-0003B</v>
          </cell>
        </row>
        <row r="810">
          <cell r="M810" t="str">
            <v>131236-DR-E</v>
          </cell>
          <cell r="N810" t="str">
            <v>The transformer vendor GA into the layout: 22/0.415kV Transformer (3MVA) - WIL23-TRF-0004A &amp; WIL23-TRF-0004B</v>
          </cell>
        </row>
        <row r="811">
          <cell r="M811" t="str">
            <v>131236-DR-E</v>
          </cell>
          <cell r="N811" t="str">
            <v>Remote Control Panel WIL23-HVSG-0001A General Arrangement</v>
          </cell>
        </row>
        <row r="812">
          <cell r="M812" t="str">
            <v>131236-DR-E</v>
          </cell>
          <cell r="N812" t="str">
            <v>Remote Control Panel WIL23-HVSG-0001A Schematic</v>
          </cell>
        </row>
        <row r="813">
          <cell r="M813" t="str">
            <v>131236-DR-E</v>
          </cell>
          <cell r="N813" t="str">
            <v>Remote Control Panel WIL23-HVSG-0001A Termination List</v>
          </cell>
        </row>
        <row r="814">
          <cell r="M814" t="str">
            <v>131236-DR-E</v>
          </cell>
          <cell r="N814" t="str">
            <v>Remote Control Panel WIL23-HVSG-0001A Bill Of Materials</v>
          </cell>
        </row>
        <row r="815">
          <cell r="M815" t="str">
            <v>131236-DR-E</v>
          </cell>
          <cell r="N815" t="str">
            <v>Remote Control Panel WIL23-HVSG-0001B General Arrangement</v>
          </cell>
        </row>
        <row r="816">
          <cell r="M816" t="str">
            <v>131236-DR-E</v>
          </cell>
          <cell r="N816" t="str">
            <v>Remote Control Panel WIL23-HVSG-0001B Schematic</v>
          </cell>
        </row>
        <row r="817">
          <cell r="M817" t="str">
            <v>131236-DR-E</v>
          </cell>
          <cell r="N817" t="str">
            <v>Remote Control Panel WIL23-HVSG-0001B Termination List</v>
          </cell>
        </row>
        <row r="818">
          <cell r="M818" t="str">
            <v>131236-DR-E</v>
          </cell>
          <cell r="N818" t="str">
            <v>Remote Control Panel WIL23-HVSG-0001B Bill Of Materials</v>
          </cell>
        </row>
        <row r="820">
          <cell r="M820"/>
          <cell r="N820"/>
        </row>
        <row r="821">
          <cell r="M821"/>
          <cell r="N821"/>
        </row>
        <row r="822">
          <cell r="M822" t="str">
            <v>131236-DR-E</v>
          </cell>
          <cell r="N822" t="str">
            <v>Reserved for Overall Schematic</v>
          </cell>
        </row>
        <row r="823">
          <cell r="M823" t="str">
            <v>131236-DR-E</v>
          </cell>
          <cell r="N823" t="str">
            <v>Reserved for Overall Schematic</v>
          </cell>
        </row>
        <row r="824">
          <cell r="M824" t="str">
            <v>131236-DR-E</v>
          </cell>
          <cell r="N824" t="str">
            <v>Reserved for Overall Schematic</v>
          </cell>
        </row>
        <row r="825">
          <cell r="M825" t="str">
            <v>131236-DR-E</v>
          </cell>
          <cell r="N825" t="str">
            <v>Reserved for Overall Schematic</v>
          </cell>
        </row>
        <row r="826">
          <cell r="M826" t="str">
            <v>131236-DR-E</v>
          </cell>
          <cell r="N826" t="str">
            <v>Reserved for Overall Schematic</v>
          </cell>
        </row>
        <row r="827">
          <cell r="M827" t="str">
            <v>131236-DR-E</v>
          </cell>
          <cell r="N827" t="str">
            <v>Reserved for Overall Schematic</v>
          </cell>
        </row>
        <row r="828">
          <cell r="M828" t="str">
            <v>131236-DR-E</v>
          </cell>
          <cell r="N828" t="str">
            <v>Reserved for Overall Schematic</v>
          </cell>
        </row>
        <row r="829">
          <cell r="M829" t="str">
            <v>131236-DR-E</v>
          </cell>
          <cell r="N829" t="str">
            <v>Reserved for Overall Schematic</v>
          </cell>
        </row>
        <row r="830">
          <cell r="M830" t="str">
            <v>131236-DR-E</v>
          </cell>
          <cell r="N830" t="str">
            <v>Reserved for Overall Schematic</v>
          </cell>
        </row>
        <row r="831">
          <cell r="M831" t="str">
            <v>131236-DR-E</v>
          </cell>
          <cell r="N831" t="str">
            <v>Reserved for Overall Schematic</v>
          </cell>
        </row>
        <row r="832">
          <cell r="M832" t="str">
            <v>131236-DR-E</v>
          </cell>
          <cell r="N832" t="str">
            <v>Reserved for Overall Schematic</v>
          </cell>
        </row>
        <row r="833">
          <cell r="M833" t="str">
            <v>131236-DR-E</v>
          </cell>
          <cell r="N833" t="str">
            <v>Reserved for Overall Schematic</v>
          </cell>
        </row>
        <row r="834">
          <cell r="M834" t="str">
            <v>131236-DR-E</v>
          </cell>
          <cell r="N834" t="str">
            <v>Reserved for Overall Schematic</v>
          </cell>
        </row>
        <row r="835">
          <cell r="M835" t="str">
            <v>131236-DR-E</v>
          </cell>
          <cell r="N835" t="str">
            <v>Reserved for Overall Schematic</v>
          </cell>
        </row>
        <row r="836">
          <cell r="M836" t="str">
            <v>131236-DR-E</v>
          </cell>
          <cell r="N836" t="str">
            <v>Reserved for Overall Schematic</v>
          </cell>
        </row>
        <row r="837">
          <cell r="M837" t="str">
            <v>131236-DR-E</v>
          </cell>
          <cell r="N837" t="str">
            <v>Reserved for Overall Schematic</v>
          </cell>
        </row>
        <row r="838">
          <cell r="M838" t="str">
            <v>131236-DR-E</v>
          </cell>
          <cell r="N838" t="str">
            <v>Reserved for Overall Schematic</v>
          </cell>
        </row>
        <row r="839">
          <cell r="M839" t="str">
            <v>131236-DR-E</v>
          </cell>
          <cell r="N839" t="str">
            <v>LCS Type 9A Bill of Material</v>
          </cell>
        </row>
        <row r="840">
          <cell r="M840" t="str">
            <v>131236-DR-E</v>
          </cell>
          <cell r="N840" t="str">
            <v>LCS Type 9A Control Schematic Diagram</v>
          </cell>
        </row>
        <row r="841">
          <cell r="M841" t="str">
            <v>131236-DR-E</v>
          </cell>
          <cell r="N841" t="str">
            <v>LCS Type 9B Bill of Material</v>
          </cell>
        </row>
        <row r="842">
          <cell r="M842" t="str">
            <v>131236-DR-E</v>
          </cell>
          <cell r="N842" t="str">
            <v>LCS Type 9B Control Schematic Diagram</v>
          </cell>
        </row>
        <row r="843">
          <cell r="M843" t="str">
            <v>131236-DR-E</v>
          </cell>
          <cell r="N843" t="str">
            <v>Panel SLD - 22kV Switchgear - WIL00-HVSG-0002A (Sheet 1 of 4)</v>
          </cell>
        </row>
        <row r="844">
          <cell r="M844" t="str">
            <v>131236-DR-E</v>
          </cell>
          <cell r="N844" t="str">
            <v>Panel SLD - 22kV Switchgear - WIL00-HVSG-0002A (Sheet 2 of 4)</v>
          </cell>
        </row>
        <row r="845">
          <cell r="M845" t="str">
            <v>131236-DR-E</v>
          </cell>
          <cell r="N845" t="str">
            <v>Panel SLD - 22kV Switchgear - WIL00-HVSG-0002A (Sheet 3 of 4)</v>
          </cell>
        </row>
        <row r="846">
          <cell r="M846" t="str">
            <v>131236-DR-E</v>
          </cell>
          <cell r="N846" t="str">
            <v>Panel SLD - 22kV Switchgear - WIL00-HVSG-0002A (Sheet 4 of 4)</v>
          </cell>
        </row>
        <row r="847">
          <cell r="M847" t="str">
            <v>131236-DR-E</v>
          </cell>
          <cell r="N847" t="str">
            <v>Panel SLD - 22kV Switchgear - WIL00-HVSG-0002B (Sheet 1 of 4)</v>
          </cell>
        </row>
        <row r="848">
          <cell r="M848" t="str">
            <v>131236-DR-E</v>
          </cell>
          <cell r="N848" t="str">
            <v>Panel SLD - 22kV Switchgear - WIL00-HVSG-0002B (Sheet 2 of 4)</v>
          </cell>
        </row>
        <row r="849">
          <cell r="M849" t="str">
            <v>131236-DR-E</v>
          </cell>
          <cell r="N849" t="str">
            <v>Panel SLD - 22kV Switchgear - WIL00-HVSG-0002B (Sheet 3 of 4)</v>
          </cell>
        </row>
        <row r="850">
          <cell r="M850" t="str">
            <v>131236-DR-E</v>
          </cell>
          <cell r="N850" t="str">
            <v>Panel SLD - 22kV Switchgear - WIL00-HVSG-0002B (Sheet 4 of 4)</v>
          </cell>
        </row>
        <row r="851">
          <cell r="M851" t="str">
            <v>131236-DR-E</v>
          </cell>
          <cell r="N851" t="str">
            <v>WIL06-MCC-0002A SLD Legend</v>
          </cell>
        </row>
        <row r="852">
          <cell r="M852" t="str">
            <v>131236-DR-E</v>
          </cell>
          <cell r="N852" t="str">
            <v>WIL06-MCC-0002A Single Line Diagram</v>
          </cell>
        </row>
        <row r="853">
          <cell r="M853" t="str">
            <v>131236-DR-E</v>
          </cell>
          <cell r="N853" t="str">
            <v>WIL06-MCC-0002A Bill of Material</v>
          </cell>
        </row>
        <row r="854">
          <cell r="M854" t="str">
            <v>131236-DR-E</v>
          </cell>
          <cell r="N854" t="str">
            <v>WIL06-MCC-0002B SLD Legend</v>
          </cell>
        </row>
        <row r="855">
          <cell r="M855" t="str">
            <v>131236-DR-E</v>
          </cell>
          <cell r="N855" t="str">
            <v>WIL06-MCC-0002B Single Line Diagram</v>
          </cell>
        </row>
        <row r="856">
          <cell r="M856" t="str">
            <v>131236-DR-E</v>
          </cell>
          <cell r="N856" t="str">
            <v>WIL06-MCC-0002B Bill of Material</v>
          </cell>
        </row>
        <row r="857">
          <cell r="M857" t="str">
            <v>131236-DR-E</v>
          </cell>
          <cell r="N857" t="str">
            <v>WIL13-MCC-0006 Legend</v>
          </cell>
        </row>
        <row r="858">
          <cell r="M858" t="str">
            <v>131236-DR-E</v>
          </cell>
          <cell r="N858" t="str">
            <v>WIL13-MCC-0006 Single Line Diagram</v>
          </cell>
        </row>
        <row r="859">
          <cell r="M859" t="str">
            <v>131236-DR-E</v>
          </cell>
          <cell r="N859" t="str">
            <v xml:space="preserve">WIL13-MCC-0006 Bill of Material </v>
          </cell>
        </row>
        <row r="860">
          <cell r="M860" t="str">
            <v>131236-DR-E</v>
          </cell>
          <cell r="N860" t="str">
            <v>WIL13-MCC-0007 Legend</v>
          </cell>
        </row>
        <row r="861">
          <cell r="M861" t="str">
            <v>131236-DR-E</v>
          </cell>
          <cell r="N861" t="str">
            <v>WIL13-MCC-0007 Single Line Diagram</v>
          </cell>
        </row>
        <row r="862">
          <cell r="M862" t="str">
            <v>131236-DR-E</v>
          </cell>
          <cell r="N862" t="str">
            <v xml:space="preserve">WIL13-MCC-0007 Bill of Material </v>
          </cell>
        </row>
        <row r="863">
          <cell r="M863" t="str">
            <v>131236-DR-E</v>
          </cell>
          <cell r="N863" t="str">
            <v>WIL21-LVSG-0001A LEGEND</v>
          </cell>
        </row>
        <row r="864">
          <cell r="M864" t="str">
            <v>131236-DR-E</v>
          </cell>
          <cell r="N864" t="str">
            <v>WIL21-LVSG-0001A SINGLE LINE DIAGRAM – 1
(Sheet 1 of 2)</v>
          </cell>
        </row>
        <row r="865">
          <cell r="M865" t="str">
            <v>131236-DR-E</v>
          </cell>
          <cell r="N865" t="str">
            <v>WIL21-LVSG-0001A SINGLE LINE DIAGRAM – 1
(Sheet 2 of 2)</v>
          </cell>
        </row>
        <row r="866">
          <cell r="M866" t="str">
            <v>131236-DR-E</v>
          </cell>
          <cell r="N866" t="str">
            <v>WIL21-LVSG-0001A LEGEND</v>
          </cell>
        </row>
        <row r="867">
          <cell r="M867" t="str">
            <v>131236-DR-E</v>
          </cell>
          <cell r="N867" t="str">
            <v>WIL21-LVSG-0001B LEGEND</v>
          </cell>
        </row>
        <row r="868">
          <cell r="M868" t="str">
            <v>131236-DR-E</v>
          </cell>
          <cell r="N868" t="str">
            <v>WIL21-LVSG-0001B SINGLE LINE DIAGRAM – 1
(Sheet 1 of 2)</v>
          </cell>
        </row>
        <row r="869">
          <cell r="M869" t="str">
            <v>131236-DR-E</v>
          </cell>
          <cell r="N869" t="str">
            <v>WIL21-LVSG-0001B SINGLE LINE DIAGRAM – 1
(Sheet 2 of 2)</v>
          </cell>
        </row>
        <row r="870">
          <cell r="M870" t="str">
            <v>131236-DR-E</v>
          </cell>
          <cell r="N870" t="str">
            <v>WIL21-LVSG-0001B BILL OF MATERIALS</v>
          </cell>
        </row>
        <row r="871">
          <cell r="M871" t="str">
            <v>131236-DR-E</v>
          </cell>
          <cell r="N871" t="str">
            <v>Panel SLD -  Low Voltage System Equipment MCC - WIL21-MCC-0001A</v>
          </cell>
        </row>
        <row r="872">
          <cell r="M872" t="str">
            <v>131236-DR-E</v>
          </cell>
          <cell r="N872" t="str">
            <v>Panel SLD -  Low Voltage System Equipment MCC - WIL21-MCC-0001A</v>
          </cell>
        </row>
        <row r="873">
          <cell r="M873" t="str">
            <v>131236-DR-E</v>
          </cell>
          <cell r="N873" t="str">
            <v>Panel SLD - Low Voltage System Equipment MCC - WIL21-MCC-0001A</v>
          </cell>
        </row>
        <row r="874">
          <cell r="M874" t="str">
            <v>131236-DR-E</v>
          </cell>
          <cell r="N874" t="str">
            <v>Panel SLD -  Low Voltage System Equipment MCC - WIL21-MCC-0001B</v>
          </cell>
        </row>
        <row r="875">
          <cell r="M875" t="str">
            <v>131236-DR-E</v>
          </cell>
          <cell r="N875" t="str">
            <v>Panel SLD -  Low Voltage System Equipment MCC - WIL21-MCC-0001B</v>
          </cell>
        </row>
        <row r="876">
          <cell r="M876" t="str">
            <v>131236-DR-E</v>
          </cell>
          <cell r="N876" t="str">
            <v>Panel SLD - Low Voltage System Equipment MCC - WIL21-MCC-0001B</v>
          </cell>
        </row>
        <row r="877">
          <cell r="M877" t="str">
            <v>131236-DR-E</v>
          </cell>
          <cell r="N877" t="str">
            <v>Panel SLD - Low Voltage System Equipment MCC - WIL21-MCC-0001B</v>
          </cell>
        </row>
        <row r="878">
          <cell r="M878" t="str">
            <v>131236-DR-E</v>
          </cell>
          <cell r="N878" t="str">
            <v>WIL21-MCC-0002A Legend</v>
          </cell>
        </row>
        <row r="879">
          <cell r="M879" t="str">
            <v>131236-DR-E</v>
          </cell>
          <cell r="N879" t="str">
            <v>WIL21-MCC-0002A Single Line Diagram - 1</v>
          </cell>
        </row>
        <row r="880">
          <cell r="M880" t="str">
            <v>131236-DR-E</v>
          </cell>
          <cell r="N880" t="str">
            <v>WIL21-MCC-0002A Single Line Diagram - 2</v>
          </cell>
        </row>
        <row r="881">
          <cell r="M881" t="str">
            <v>131236-DR-E</v>
          </cell>
          <cell r="N881" t="str">
            <v>WIL21-MCC-0002A Single Line Diagram - 3</v>
          </cell>
        </row>
        <row r="882">
          <cell r="M882" t="str">
            <v>131236-DR-E</v>
          </cell>
          <cell r="N882" t="str">
            <v>WIL21-MCC-0002A Single Line Diagram - 4</v>
          </cell>
        </row>
        <row r="883">
          <cell r="M883" t="str">
            <v>131236-DR-E</v>
          </cell>
          <cell r="N883" t="str">
            <v>WIL21-MCC-0002A Single Line Diagram - 5</v>
          </cell>
        </row>
        <row r="884">
          <cell r="M884" t="str">
            <v>131236-DR-E</v>
          </cell>
          <cell r="N884" t="str">
            <v>WIL21-MCC-0002A Bill of Material - 1</v>
          </cell>
        </row>
        <row r="885">
          <cell r="M885" t="str">
            <v>131236-DR-E</v>
          </cell>
          <cell r="N885" t="str">
            <v>WIL21-MCC-0002A Bill of Material - 2</v>
          </cell>
        </row>
        <row r="886">
          <cell r="M886" t="str">
            <v>131236-DR-E</v>
          </cell>
          <cell r="N886" t="str">
            <v>WIL21-MCC-0002A Bill of Material - 3</v>
          </cell>
        </row>
        <row r="887">
          <cell r="M887" t="str">
            <v>131236-DR-E</v>
          </cell>
          <cell r="N887" t="str">
            <v>WIL21-MCC-0002A Bill of Material - 4</v>
          </cell>
        </row>
        <row r="888">
          <cell r="M888" t="str">
            <v>131236-DR-E</v>
          </cell>
          <cell r="N888" t="str">
            <v>WIL21-MCC-0002A Bill of Material - 5</v>
          </cell>
        </row>
        <row r="889">
          <cell r="M889" t="str">
            <v>131236-DR-E</v>
          </cell>
          <cell r="N889" t="str">
            <v>WIL21-MCC-0002B Legend</v>
          </cell>
        </row>
        <row r="890">
          <cell r="M890" t="str">
            <v>131236-DR-E</v>
          </cell>
          <cell r="N890" t="str">
            <v>WIL21-MCC-0002B Single Line Diagram - 1</v>
          </cell>
        </row>
        <row r="891">
          <cell r="M891" t="str">
            <v>131236-DR-E</v>
          </cell>
          <cell r="N891" t="str">
            <v>WIL21-MCC-0002B Single Line Diagram - 2</v>
          </cell>
        </row>
        <row r="892">
          <cell r="M892" t="str">
            <v>131236-DR-E</v>
          </cell>
          <cell r="N892" t="str">
            <v>WIL21-MCC-0002B Single Line Diagram - 3</v>
          </cell>
        </row>
        <row r="893">
          <cell r="M893" t="str">
            <v>131236-DR-E</v>
          </cell>
          <cell r="N893" t="str">
            <v>WIL21-MCC-0002B Single Line Diagram - 4</v>
          </cell>
        </row>
        <row r="894">
          <cell r="M894" t="str">
            <v>131236-DR-E</v>
          </cell>
          <cell r="N894" t="str">
            <v>WIL21-MCC-0002B Bill of Material - 1</v>
          </cell>
        </row>
        <row r="895">
          <cell r="M895" t="str">
            <v>131236-DR-E</v>
          </cell>
          <cell r="N895" t="str">
            <v>WIL21-MCC-0002B Bill of Material - 2</v>
          </cell>
        </row>
        <row r="896">
          <cell r="M896" t="str">
            <v>131236-DR-E</v>
          </cell>
          <cell r="N896" t="str">
            <v>WIL21-MCC-0002B Bill of Material - 3</v>
          </cell>
        </row>
        <row r="897">
          <cell r="M897" t="str">
            <v>131236-DR-E</v>
          </cell>
          <cell r="N897" t="str">
            <v>WIL21-MCC-0002B Bill of Material - 4</v>
          </cell>
        </row>
        <row r="898">
          <cell r="M898" t="str">
            <v>131236-DR-E</v>
          </cell>
          <cell r="N898" t="str">
            <v>WIL21-MCC-0002B Bill of Material - 5</v>
          </cell>
        </row>
        <row r="899">
          <cell r="M899" t="str">
            <v>131236-DR-E</v>
          </cell>
          <cell r="N899" t="str">
            <v>WIL21-MCC-0003A Legend</v>
          </cell>
        </row>
        <row r="900">
          <cell r="M900" t="str">
            <v>131236-DR-E</v>
          </cell>
          <cell r="N900" t="str">
            <v>WIL21-MCC-0003A Single Line Diagram - 1</v>
          </cell>
        </row>
        <row r="901">
          <cell r="M901" t="str">
            <v>131236-DR-E</v>
          </cell>
          <cell r="N901" t="str">
            <v>WIL21-MCC-0003A Single Line Diagram - 2</v>
          </cell>
        </row>
        <row r="902">
          <cell r="M902" t="str">
            <v>131236-DR-E</v>
          </cell>
          <cell r="N902" t="str">
            <v>WIL21-MCC-0003A Single Line Diagram - 3</v>
          </cell>
        </row>
        <row r="903">
          <cell r="M903" t="str">
            <v>131236-DR-E</v>
          </cell>
          <cell r="N903" t="str">
            <v>WIL21-MCC-0003A Single Line Diagram - 4</v>
          </cell>
        </row>
        <row r="904">
          <cell r="M904" t="str">
            <v>131236-DR-E</v>
          </cell>
          <cell r="N904" t="str">
            <v>WIL21-MCC-0003A Bill of Material - 1</v>
          </cell>
        </row>
        <row r="905">
          <cell r="M905" t="str">
            <v>131236-DR-E</v>
          </cell>
          <cell r="N905" t="str">
            <v>WIL21-MCC-0003A Bill of Material - 2</v>
          </cell>
        </row>
        <row r="906">
          <cell r="M906" t="str">
            <v>131236-DR-E</v>
          </cell>
          <cell r="N906" t="str">
            <v>WIL21-MCC-0003A Bill of Material - 3</v>
          </cell>
        </row>
        <row r="907">
          <cell r="M907" t="str">
            <v>131236-DR-E</v>
          </cell>
          <cell r="N907" t="str">
            <v>WIL21-MCC-0003A Bill of Material - 4</v>
          </cell>
        </row>
        <row r="908">
          <cell r="M908" t="str">
            <v>131236-DR-E</v>
          </cell>
          <cell r="N908" t="str">
            <v>WIL21-MCC-0003A Bill of Material - 5</v>
          </cell>
        </row>
        <row r="909">
          <cell r="M909" t="str">
            <v>131236-DR-E</v>
          </cell>
          <cell r="N909" t="str">
            <v>WIL21-MCC-0003B Legend</v>
          </cell>
        </row>
        <row r="910">
          <cell r="M910" t="str">
            <v>131236-DR-E</v>
          </cell>
          <cell r="N910" t="str">
            <v>WIL21-MCC-0003B Single Line Diagram - 1</v>
          </cell>
        </row>
        <row r="911">
          <cell r="M911" t="str">
            <v>131236-DR-E</v>
          </cell>
          <cell r="N911" t="str">
            <v>WIL21-MCC-0003B Single Line Diagram - 2</v>
          </cell>
        </row>
        <row r="912">
          <cell r="M912" t="str">
            <v>131236-DR-E</v>
          </cell>
          <cell r="N912" t="str">
            <v>WIL21-MCC-0003B Single Line Diagram - 3</v>
          </cell>
        </row>
        <row r="913">
          <cell r="M913" t="str">
            <v>131236-DR-E</v>
          </cell>
          <cell r="N913" t="str">
            <v>WIL21-MCC-0003B Bill of Material - 1</v>
          </cell>
        </row>
        <row r="914">
          <cell r="M914" t="str">
            <v>131236-DR-E</v>
          </cell>
          <cell r="N914" t="str">
            <v>WIL21-MCC-0003B Bill of Material - 2</v>
          </cell>
        </row>
        <row r="915">
          <cell r="M915" t="str">
            <v>131236-DR-E</v>
          </cell>
          <cell r="N915" t="str">
            <v>WIL21-MCC-0003B Bill of Material - 3</v>
          </cell>
        </row>
        <row r="916">
          <cell r="M916" t="str">
            <v>131236-DR-E</v>
          </cell>
          <cell r="N916" t="str">
            <v>WIL21-MCC-0003B Bill of Material - 4</v>
          </cell>
        </row>
        <row r="917">
          <cell r="M917" t="str">
            <v>131236-DR-E</v>
          </cell>
          <cell r="N917" t="str">
            <v>WIL21-MDB-0001A SLD LEGEND</v>
          </cell>
        </row>
        <row r="918">
          <cell r="M918" t="str">
            <v>131236-DR-E</v>
          </cell>
          <cell r="N918" t="str">
            <v>WIL21-MDB-0001A SINGLE LINE DIAGRAM - 1</v>
          </cell>
        </row>
        <row r="919">
          <cell r="M919" t="str">
            <v>131236-DR-E</v>
          </cell>
          <cell r="N919" t="str">
            <v>WIL21-MDB-0001A SINGLE LINE DIAGRAM - 2</v>
          </cell>
        </row>
        <row r="920">
          <cell r="M920" t="str">
            <v>131236-DR-E</v>
          </cell>
          <cell r="N920" t="str">
            <v>WIL21-MDB-0001A SINGLE LINE DIAGRAM - 3</v>
          </cell>
        </row>
        <row r="921">
          <cell r="M921" t="str">
            <v>131236-DR-E</v>
          </cell>
          <cell r="N921" t="str">
            <v>WIL21-MDB-0001A BILL OF MATERIAL</v>
          </cell>
        </row>
        <row r="922">
          <cell r="M922" t="str">
            <v>131236-DR-E</v>
          </cell>
          <cell r="N922" t="str">
            <v>WIL21-MDB-0001B SLDLEGEND</v>
          </cell>
        </row>
        <row r="923">
          <cell r="M923" t="str">
            <v>131236-DR-E</v>
          </cell>
          <cell r="N923" t="str">
            <v>WIL21-MDB-0001B SINGLE LINE DIAGRAM - 1</v>
          </cell>
        </row>
        <row r="924">
          <cell r="M924" t="str">
            <v>131236-DR-E</v>
          </cell>
          <cell r="N924" t="str">
            <v>WIL21-MDB-0001B SINGLE LINE DIAGRAM - 2</v>
          </cell>
        </row>
        <row r="925">
          <cell r="M925" t="str">
            <v>131236-DR-E</v>
          </cell>
          <cell r="N925" t="str">
            <v>WIL21-MDB-0001B SINGLE LINE DIAGRAM - 3</v>
          </cell>
        </row>
        <row r="926">
          <cell r="M926" t="str">
            <v>131236-DR-E</v>
          </cell>
          <cell r="N926" t="str">
            <v>WIL21-MDB-0001B SINGLE LINE DIAGRAM - 4</v>
          </cell>
        </row>
        <row r="927">
          <cell r="M927" t="str">
            <v>131236-DR-E</v>
          </cell>
          <cell r="N927" t="str">
            <v>WIL22-LVSG-0001A Legend</v>
          </cell>
        </row>
        <row r="928">
          <cell r="M928" t="str">
            <v>131236-DR-E</v>
          </cell>
          <cell r="N928" t="str">
            <v>WIL22-LVSG-0001A Single Line Diagram - 1</v>
          </cell>
        </row>
        <row r="929">
          <cell r="M929" t="str">
            <v>131236-DR-E</v>
          </cell>
          <cell r="N929" t="str">
            <v>WIL22-LVSG-0001A Single Line Diagram - 2</v>
          </cell>
        </row>
        <row r="930">
          <cell r="M930" t="str">
            <v>131236-DR-E</v>
          </cell>
          <cell r="N930" t="str">
            <v>WIL22-LVSG-0001A Bill of Materials</v>
          </cell>
        </row>
        <row r="931">
          <cell r="M931" t="str">
            <v>131236-DR-E</v>
          </cell>
          <cell r="N931" t="str">
            <v>WIL22-LVSG-0001B Legend</v>
          </cell>
        </row>
        <row r="932">
          <cell r="M932" t="str">
            <v>131236-DR-E</v>
          </cell>
          <cell r="N932" t="str">
            <v>WIL22-LVSG-0001B Single Line Diagram - 1</v>
          </cell>
        </row>
        <row r="933">
          <cell r="M933" t="str">
            <v>131236-DR-E</v>
          </cell>
          <cell r="N933" t="str">
            <v>WIL22-LVSG-0001B Single Line Diagram - 2</v>
          </cell>
        </row>
        <row r="934">
          <cell r="M934" t="str">
            <v>131236-DR-E</v>
          </cell>
          <cell r="N934" t="str">
            <v>WIL22-LVSG-0001B Bill of Materials</v>
          </cell>
        </row>
        <row r="935">
          <cell r="M935" t="str">
            <v>131236-DR-E</v>
          </cell>
          <cell r="N935" t="str">
            <v>WIL22-LVSG-0002A Legend</v>
          </cell>
        </row>
        <row r="936">
          <cell r="M936" t="str">
            <v>131236-DR-E</v>
          </cell>
          <cell r="N936" t="str">
            <v>WIL22-LVSG-0002A Single Line Diagram - 1</v>
          </cell>
        </row>
        <row r="937">
          <cell r="M937" t="str">
            <v>131236-DR-E</v>
          </cell>
          <cell r="N937" t="str">
            <v>WIL22-LVSG-0002A Single Line Diagram - 2</v>
          </cell>
        </row>
        <row r="938">
          <cell r="M938" t="str">
            <v>131236-DR-E</v>
          </cell>
          <cell r="N938" t="str">
            <v>WIL22-LVSG-0002A Bill of Materials</v>
          </cell>
        </row>
        <row r="939">
          <cell r="M939" t="str">
            <v>131236-DR-E</v>
          </cell>
          <cell r="N939" t="str">
            <v>WIL22-LVSG-0002B Legend</v>
          </cell>
        </row>
        <row r="940">
          <cell r="M940" t="str">
            <v>131236-DR-E</v>
          </cell>
          <cell r="N940" t="str">
            <v>WIL22-LVSG-0002B Single Line Diagram - 1</v>
          </cell>
        </row>
        <row r="941">
          <cell r="M941" t="str">
            <v>131236-DR-E</v>
          </cell>
          <cell r="N941" t="str">
            <v>WIL22-LVSG-0002B Bill of Materials</v>
          </cell>
        </row>
        <row r="942">
          <cell r="M942" t="str">
            <v>131236-DR-E</v>
          </cell>
          <cell r="N942" t="str">
            <v>WIL22-MCC-0001A Legend</v>
          </cell>
        </row>
        <row r="943">
          <cell r="M943" t="str">
            <v>131236-DR-E</v>
          </cell>
          <cell r="N943" t="str">
            <v>WIL22-MCC-0001A Single Line Diagram - 1</v>
          </cell>
        </row>
        <row r="944">
          <cell r="M944" t="str">
            <v>131236-DR-E</v>
          </cell>
          <cell r="N944" t="str">
            <v>WIL22-MCC-0001A Single Line Diagram - 2</v>
          </cell>
        </row>
        <row r="945">
          <cell r="M945" t="str">
            <v>131236-DR-E</v>
          </cell>
          <cell r="N945" t="str">
            <v>WIL22-MCC-0001A Single Line Diagram - 3</v>
          </cell>
        </row>
        <row r="946">
          <cell r="M946" t="str">
            <v>131236-DR-E</v>
          </cell>
          <cell r="N946" t="str">
            <v>WIL22-MCC-0001A Bill of Material - 1</v>
          </cell>
        </row>
        <row r="947">
          <cell r="M947" t="str">
            <v>131236-DR-E</v>
          </cell>
          <cell r="N947" t="str">
            <v>WIL22-MCC-0001A Bill of Material - 2</v>
          </cell>
        </row>
        <row r="948">
          <cell r="M948" t="str">
            <v>131236-DR-E</v>
          </cell>
          <cell r="N948" t="str">
            <v>WIL22-MCC-0001A Bill of Material - 3</v>
          </cell>
        </row>
        <row r="949">
          <cell r="M949" t="str">
            <v>131236-DR-E</v>
          </cell>
          <cell r="N949" t="str">
            <v>WIL22-MCC-0001A Bill of Material - 4</v>
          </cell>
        </row>
        <row r="950">
          <cell r="M950" t="str">
            <v>131236-DR-E</v>
          </cell>
          <cell r="N950" t="str">
            <v>WIL22-MCC-0001B Legend</v>
          </cell>
        </row>
        <row r="951">
          <cell r="M951" t="str">
            <v>131236-DR-E</v>
          </cell>
          <cell r="N951" t="str">
            <v>WIL22-MCC-0001B Single Line Diagram - 1</v>
          </cell>
        </row>
        <row r="952">
          <cell r="M952" t="str">
            <v>131236-DR-E</v>
          </cell>
          <cell r="N952" t="str">
            <v>WIL22-MCC-0001B Single Line Diagram - 2</v>
          </cell>
        </row>
        <row r="953">
          <cell r="M953" t="str">
            <v>131236-DR-E</v>
          </cell>
          <cell r="N953" t="str">
            <v>WIL22-MCC-0001B Single Line Diagram - 3</v>
          </cell>
        </row>
        <row r="954">
          <cell r="M954" t="str">
            <v>131236-DR-E</v>
          </cell>
          <cell r="N954" t="str">
            <v>WIL22-MCC-0001B Bill of Material - 1</v>
          </cell>
        </row>
        <row r="955">
          <cell r="M955" t="str">
            <v>131236-DR-E</v>
          </cell>
          <cell r="N955" t="str">
            <v>WIL22-MCC-0001B Bill of Material - 2</v>
          </cell>
        </row>
        <row r="956">
          <cell r="M956" t="str">
            <v>131236-DR-E</v>
          </cell>
          <cell r="N956" t="str">
            <v>WIL22-MCC-0001B Bill of Material - 3</v>
          </cell>
        </row>
        <row r="957">
          <cell r="M957" t="str">
            <v>131236-DR-E</v>
          </cell>
          <cell r="N957" t="str">
            <v>WIL22-MCC-0001B Bill of Material - 4</v>
          </cell>
        </row>
        <row r="958">
          <cell r="M958" t="str">
            <v>131236-DR-E</v>
          </cell>
          <cell r="N958" t="str">
            <v>WIL22-MCC-0002A Legend</v>
          </cell>
        </row>
        <row r="959">
          <cell r="M959" t="str">
            <v>131236-DR-E</v>
          </cell>
          <cell r="N959" t="str">
            <v>WIL22-MCC-0002A Single Line Diagram - 1</v>
          </cell>
        </row>
        <row r="960">
          <cell r="M960" t="str">
            <v>131236-DR-E</v>
          </cell>
          <cell r="N960" t="str">
            <v>WIL22-MCC-0002A Single Line Diagram - 2</v>
          </cell>
        </row>
        <row r="961">
          <cell r="M961" t="str">
            <v>131236-DR-E</v>
          </cell>
          <cell r="N961" t="str">
            <v>WIL22-MCC-0002A Single Line Diagram - 3</v>
          </cell>
        </row>
        <row r="962">
          <cell r="M962" t="str">
            <v>131236-DR-E</v>
          </cell>
          <cell r="N962" t="str">
            <v>WIL22-MCC-0002A Bill of Material - 1</v>
          </cell>
        </row>
        <row r="963">
          <cell r="M963" t="str">
            <v>131236-DR-E</v>
          </cell>
          <cell r="N963" t="str">
            <v>WIL22-MCC-0002A Bill of Material - 2</v>
          </cell>
        </row>
        <row r="964">
          <cell r="M964" t="str">
            <v>131236-DR-E</v>
          </cell>
          <cell r="N964" t="str">
            <v>WIL22-MCC-0002A Bill of Material - 3</v>
          </cell>
        </row>
        <row r="965">
          <cell r="M965" t="str">
            <v>131236-DR-E</v>
          </cell>
          <cell r="N965" t="str">
            <v>WIL22-MCC-0002B Legend</v>
          </cell>
        </row>
        <row r="966">
          <cell r="M966" t="str">
            <v>131236-DR-E</v>
          </cell>
          <cell r="N966" t="str">
            <v>WIL22-MCC-0002B Single Line Diagram - 1</v>
          </cell>
        </row>
        <row r="967">
          <cell r="M967" t="str">
            <v>131236-DR-E</v>
          </cell>
          <cell r="N967" t="str">
            <v>WIL22-MCC-0002B Single Line Diagram - 2</v>
          </cell>
        </row>
        <row r="968">
          <cell r="M968" t="str">
            <v>131236-DR-E</v>
          </cell>
          <cell r="N968" t="str">
            <v>WIL22-MCC-0002B Single Line Diagram - 3</v>
          </cell>
        </row>
        <row r="969">
          <cell r="M969" t="str">
            <v>131236-DR-E</v>
          </cell>
          <cell r="N969" t="str">
            <v>WIL22-MCC-0002B Bill of Material - 1</v>
          </cell>
        </row>
        <row r="970">
          <cell r="M970" t="str">
            <v>131236-DR-E</v>
          </cell>
          <cell r="N970" t="str">
            <v>WIL22-MCC-0002B Bill of Material - 2</v>
          </cell>
        </row>
        <row r="971">
          <cell r="M971" t="str">
            <v>131236-DR-E</v>
          </cell>
          <cell r="N971" t="str">
            <v>WIL22-MCC-0002B Bill of Material - 3</v>
          </cell>
        </row>
        <row r="972">
          <cell r="M972" t="str">
            <v>131236-DR-E</v>
          </cell>
          <cell r="N972" t="str">
            <v>WIL22-MCC-0003A Legend</v>
          </cell>
        </row>
        <row r="973">
          <cell r="M973" t="str">
            <v>131236-DR-E</v>
          </cell>
          <cell r="N973" t="str">
            <v>WIL22-MCC-0003A Single Line Diagram - 1</v>
          </cell>
        </row>
        <row r="974">
          <cell r="M974" t="str">
            <v>131236-DR-E</v>
          </cell>
          <cell r="N974" t="str">
            <v>WIL22-MCC-0003A Single Line Diagram - 2</v>
          </cell>
        </row>
        <row r="975">
          <cell r="M975" t="str">
            <v>131236-DR-E</v>
          </cell>
          <cell r="N975" t="str">
            <v>WIL22-MCC-0003A Single Line Diagram - 3</v>
          </cell>
        </row>
        <row r="976">
          <cell r="M976" t="str">
            <v>131236-DR-E</v>
          </cell>
          <cell r="N976" t="str">
            <v>WIL22-MCC-0003A Bill of Material - 1</v>
          </cell>
        </row>
        <row r="977">
          <cell r="M977" t="str">
            <v>131236-DR-E</v>
          </cell>
          <cell r="N977" t="str">
            <v>WIL22-MCC-0003A Bill of Material - 2</v>
          </cell>
        </row>
        <row r="978">
          <cell r="M978" t="str">
            <v>131236-DR-E</v>
          </cell>
          <cell r="N978" t="str">
            <v>WIL22-MCC-0003A Bill of Material - 3</v>
          </cell>
        </row>
        <row r="979">
          <cell r="M979" t="str">
            <v>131236-DR-E</v>
          </cell>
          <cell r="N979" t="str">
            <v>WIL22-MCC-0003B Legend</v>
          </cell>
        </row>
        <row r="980">
          <cell r="M980" t="str">
            <v>131236-DR-E</v>
          </cell>
          <cell r="N980" t="str">
            <v>WIL22-MCC-0003B Single Line Diagram - 1</v>
          </cell>
        </row>
        <row r="981">
          <cell r="M981" t="str">
            <v>131236-DR-E</v>
          </cell>
          <cell r="N981" t="str">
            <v>WIL22-MCC-0003B Single Line Diagram - 2</v>
          </cell>
        </row>
        <row r="982">
          <cell r="M982" t="str">
            <v>131236-DR-E</v>
          </cell>
          <cell r="N982" t="str">
            <v>WIL22-MCC-0003B Single Line Diagram - 3</v>
          </cell>
        </row>
        <row r="983">
          <cell r="M983" t="str">
            <v>131236-DR-E</v>
          </cell>
          <cell r="N983" t="str">
            <v>WIL22-MCC-0003B Bill of Material - 1</v>
          </cell>
        </row>
        <row r="984">
          <cell r="M984" t="str">
            <v>131236-DR-E</v>
          </cell>
          <cell r="N984" t="str">
            <v>WIL22-MCC-0003B Bill of Material - 2</v>
          </cell>
        </row>
        <row r="985">
          <cell r="M985" t="str">
            <v>131236-DR-E</v>
          </cell>
          <cell r="N985" t="str">
            <v>WIL22-MCC-0003B Bill of Material - 3</v>
          </cell>
        </row>
        <row r="986">
          <cell r="M986" t="str">
            <v>131236-DR-E</v>
          </cell>
          <cell r="N986" t="str">
            <v>WIL22-MDB-0001A SLD Legend</v>
          </cell>
        </row>
        <row r="987">
          <cell r="M987" t="str">
            <v>131236-DR-E</v>
          </cell>
          <cell r="N987" t="str">
            <v>WIL22-MDB-0001A Single Line Diagram - 1</v>
          </cell>
        </row>
        <row r="988">
          <cell r="M988" t="str">
            <v>131236-DR-E</v>
          </cell>
          <cell r="N988" t="str">
            <v>WIL22-MDB-0001A Single Line Diagram - 2</v>
          </cell>
        </row>
        <row r="989">
          <cell r="M989" t="str">
            <v>131236-DR-E</v>
          </cell>
          <cell r="N989" t="str">
            <v>WIL22-MDB-0001A Bill of Material</v>
          </cell>
        </row>
        <row r="990">
          <cell r="M990" t="str">
            <v>131236-DR-E</v>
          </cell>
          <cell r="N990" t="str">
            <v>WIL22-MDB-0001B SLD Legend</v>
          </cell>
        </row>
        <row r="991">
          <cell r="M991" t="str">
            <v>131236-DR-E</v>
          </cell>
          <cell r="N991" t="str">
            <v>WIL22-MDB-0001B Single Line Diagram - 1</v>
          </cell>
        </row>
        <row r="992">
          <cell r="M992" t="str">
            <v>131236-DR-E</v>
          </cell>
          <cell r="N992" t="str">
            <v>WIL22-MDB-0001B Single Line Diagram - 2</v>
          </cell>
        </row>
        <row r="993">
          <cell r="M993" t="str">
            <v>131236-DR-E</v>
          </cell>
          <cell r="N993" t="str">
            <v>WIL22-MDB-0001B Bill of Material</v>
          </cell>
        </row>
        <row r="994">
          <cell r="M994" t="str">
            <v>131236-DR-E</v>
          </cell>
          <cell r="N994" t="str">
            <v>WIL22-MDB-0002A SLD Legend</v>
          </cell>
        </row>
        <row r="995">
          <cell r="M995" t="str">
            <v>131236-DR-E</v>
          </cell>
          <cell r="N995" t="str">
            <v>WIL22-MDB-0002A Single Line Diagram - 1</v>
          </cell>
        </row>
        <row r="996">
          <cell r="M996" t="str">
            <v>131236-DR-E</v>
          </cell>
          <cell r="N996" t="str">
            <v>WIL22-MDB-0002A Bill of Material</v>
          </cell>
        </row>
        <row r="997">
          <cell r="M997" t="str">
            <v>131236-DR-E</v>
          </cell>
          <cell r="N997" t="str">
            <v>WIL22-MDB-0002B SLD Legend</v>
          </cell>
        </row>
        <row r="998">
          <cell r="M998" t="str">
            <v>131236-DR-E</v>
          </cell>
          <cell r="N998" t="str">
            <v>WIL22-MDB-0002B Single Line Diagram - 1</v>
          </cell>
        </row>
        <row r="999">
          <cell r="M999" t="str">
            <v>131236-DR-E</v>
          </cell>
          <cell r="N999" t="str">
            <v>WIL22-MDB-0002B Bill of Material</v>
          </cell>
        </row>
        <row r="1000">
          <cell r="M1000" t="str">
            <v>131236-DR-E</v>
          </cell>
          <cell r="N1000" t="str">
            <v>WIL22-MDB-0003A SLD Legend</v>
          </cell>
        </row>
        <row r="1001">
          <cell r="M1001" t="str">
            <v>131236-DR-E</v>
          </cell>
          <cell r="N1001" t="str">
            <v>WIL22-MDB-0003A Single Line Diagram - 1</v>
          </cell>
        </row>
        <row r="1002">
          <cell r="M1002" t="str">
            <v>131236-DR-E</v>
          </cell>
          <cell r="N1002" t="str">
            <v>WIL22-MDB-0003A Bill of Material</v>
          </cell>
        </row>
        <row r="1003">
          <cell r="M1003" t="str">
            <v>131236-DR-E</v>
          </cell>
          <cell r="N1003" t="str">
            <v>WIL22-MDB-0003B SLD Legend</v>
          </cell>
        </row>
        <row r="1004">
          <cell r="M1004" t="str">
            <v>131236-DR-E</v>
          </cell>
          <cell r="N1004" t="str">
            <v>WIL22-MDB-0003B Single Line Diagram - 1</v>
          </cell>
        </row>
        <row r="1005">
          <cell r="M1005" t="str">
            <v>131236-DR-E</v>
          </cell>
          <cell r="N1005" t="str">
            <v>WIL22-MDB-0003B Bill of Material</v>
          </cell>
        </row>
        <row r="1006">
          <cell r="M1006" t="str">
            <v>131236-DR-E</v>
          </cell>
          <cell r="N1006" t="str">
            <v>Panel SLD - 6.6kV Switchgear - WIL23-HVSG-0001A (Sheet 1 of 3)</v>
          </cell>
        </row>
        <row r="1007">
          <cell r="M1007" t="str">
            <v>131236-DR-E</v>
          </cell>
          <cell r="N1007" t="str">
            <v>Panel SLD - 6.6kV Switchgear - WIL23-HVSG-0001A (Sheet 2 of 3)</v>
          </cell>
        </row>
        <row r="1008">
          <cell r="M1008" t="str">
            <v>131236-DR-E</v>
          </cell>
          <cell r="N1008" t="str">
            <v>Panel SLD - 6.6kV Switchgear - WIL23-HVSG-0001A (Sheet 3 of 3)</v>
          </cell>
        </row>
        <row r="1009">
          <cell r="M1009" t="str">
            <v>131236-DR-E</v>
          </cell>
          <cell r="N1009" t="str">
            <v>Panel SLD - 6.6kV Switchgear - WIL23-HVSG-0001B (Sheet 1 of 3)</v>
          </cell>
        </row>
        <row r="1010">
          <cell r="M1010" t="str">
            <v>131236-DR-E</v>
          </cell>
          <cell r="N1010" t="str">
            <v>Panel SLD - 6.6kV Switchgear - WIL23-HVSG-0001B (Sheet 2 of 3)</v>
          </cell>
        </row>
        <row r="1011">
          <cell r="M1011" t="str">
            <v>131236-DR-E</v>
          </cell>
          <cell r="N1011" t="str">
            <v>Panel SLD - 6.6kV Switchgear - WIL23-HVSG-0001B (Sheet 3 of 3)</v>
          </cell>
        </row>
        <row r="1012">
          <cell r="M1012" t="str">
            <v>131236-DR-E</v>
          </cell>
          <cell r="N1012" t="str">
            <v>WIL23-LVSG-0001A SLD Legend</v>
          </cell>
        </row>
        <row r="1013">
          <cell r="M1013" t="str">
            <v>131236-DR-E</v>
          </cell>
          <cell r="N1013" t="str">
            <v>WIL23-LVSG-0001A Single Line Diagram - 1</v>
          </cell>
        </row>
        <row r="1014">
          <cell r="M1014" t="str">
            <v>131236-DR-E</v>
          </cell>
          <cell r="N1014" t="str">
            <v>WIL23-LVSG-0001A Single Line Diagram - 2</v>
          </cell>
        </row>
        <row r="1015">
          <cell r="M1015" t="str">
            <v>131236-DR-E</v>
          </cell>
          <cell r="N1015" t="str">
            <v>WIL23-LVSG-0001A Bill of Material</v>
          </cell>
        </row>
        <row r="1016">
          <cell r="M1016" t="str">
            <v>131236-DR-E</v>
          </cell>
          <cell r="N1016" t="str">
            <v>WIL23-LVSG-0001A Bill of Material</v>
          </cell>
        </row>
        <row r="1017">
          <cell r="M1017" t="str">
            <v>131236-DR-E</v>
          </cell>
          <cell r="N1017" t="str">
            <v>WIL23-LVSG-0001B SLD Legend</v>
          </cell>
        </row>
        <row r="1018">
          <cell r="M1018" t="str">
            <v>131236-DR-E</v>
          </cell>
          <cell r="N1018" t="str">
            <v>WIL23-LVSG-0001B Single Line Diagram - 1</v>
          </cell>
        </row>
        <row r="1019">
          <cell r="M1019" t="str">
            <v>131236-DR-E</v>
          </cell>
          <cell r="N1019" t="str">
            <v>WIL23-LVSG-0001B Single Line Diagram - 2</v>
          </cell>
        </row>
        <row r="1020">
          <cell r="M1020" t="str">
            <v>131236-DR-E</v>
          </cell>
          <cell r="N1020" t="str">
            <v>WIL23-LVSG-0001B Bill of Material</v>
          </cell>
        </row>
        <row r="1021">
          <cell r="M1021" t="str">
            <v>131236-DR-E</v>
          </cell>
          <cell r="N1021" t="str">
            <v>WIL23-LVSG-0001B Bill of Material</v>
          </cell>
        </row>
        <row r="1022">
          <cell r="M1022" t="str">
            <v>131236-DR-E</v>
          </cell>
          <cell r="N1022" t="str">
            <v>WIL23-LVSG-0002A SLD Legend</v>
          </cell>
        </row>
        <row r="1023">
          <cell r="M1023" t="str">
            <v>131236-DR-E</v>
          </cell>
          <cell r="N1023" t="str">
            <v>WIL23-LVSG-0002A Single Line Diagram - 1</v>
          </cell>
        </row>
        <row r="1024">
          <cell r="M1024" t="str">
            <v>131236-DR-E</v>
          </cell>
          <cell r="N1024" t="str">
            <v>WIL23-LVSG-0002A Single Line Diagram - 2</v>
          </cell>
        </row>
        <row r="1025">
          <cell r="M1025" t="str">
            <v>131236-DR-E</v>
          </cell>
          <cell r="N1025" t="str">
            <v>WIL23-LVSG-0002A Bill of Material</v>
          </cell>
        </row>
        <row r="1026">
          <cell r="M1026" t="str">
            <v>131236-DR-E</v>
          </cell>
          <cell r="N1026" t="str">
            <v>WIL23-LVSG-0002A Bill of Material</v>
          </cell>
        </row>
        <row r="1027">
          <cell r="M1027" t="str">
            <v>131236-DR-E</v>
          </cell>
          <cell r="N1027" t="str">
            <v>WIL23-LVSG-0002B SLD Legend</v>
          </cell>
        </row>
        <row r="1028">
          <cell r="M1028" t="str">
            <v>131236-DR-E</v>
          </cell>
          <cell r="N1028" t="str">
            <v>WIL23-LVSG-0002B Single Line Diagram - 1</v>
          </cell>
        </row>
        <row r="1029">
          <cell r="M1029" t="str">
            <v>131236-DR-E</v>
          </cell>
          <cell r="N1029" t="str">
            <v>WIL23-LVSG-0002B Single Line Diagram - 2</v>
          </cell>
        </row>
        <row r="1030">
          <cell r="M1030" t="str">
            <v>131236-DR-E</v>
          </cell>
          <cell r="N1030" t="str">
            <v>WIL23-LVSG-0002B Bill of Material</v>
          </cell>
        </row>
        <row r="1031">
          <cell r="M1031" t="str">
            <v>131236-DR-E</v>
          </cell>
          <cell r="N1031" t="str">
            <v>WIL23-LVSG-0002B Bill of Material</v>
          </cell>
        </row>
        <row r="1032">
          <cell r="M1032" t="str">
            <v>131236-DR-E</v>
          </cell>
          <cell r="N1032" t="str">
            <v>WIL23-LVSG-0003A SLD Legend</v>
          </cell>
        </row>
        <row r="1033">
          <cell r="M1033" t="str">
            <v>131236-DR-E</v>
          </cell>
          <cell r="N1033" t="str">
            <v>WIL23-LVSG-0003A Single Line Diagram - 1</v>
          </cell>
        </row>
        <row r="1034">
          <cell r="M1034" t="str">
            <v>131236-DR-E</v>
          </cell>
          <cell r="N1034" t="str">
            <v>WIL23-LVSG-0003A Single Line Diagram - 2</v>
          </cell>
        </row>
        <row r="1035">
          <cell r="M1035" t="str">
            <v>131236-DR-E</v>
          </cell>
          <cell r="N1035" t="str">
            <v>WIL23-LVSG-0003A Bill of Material</v>
          </cell>
        </row>
        <row r="1036">
          <cell r="M1036" t="str">
            <v>131236-DR-E</v>
          </cell>
          <cell r="N1036" t="str">
            <v>WIL23-LVSG-0003A Bill of Material</v>
          </cell>
        </row>
        <row r="1037">
          <cell r="M1037" t="str">
            <v>131236-DR-E</v>
          </cell>
          <cell r="N1037" t="str">
            <v>WIL23-LVSG-0003B SLD Legend</v>
          </cell>
        </row>
        <row r="1038">
          <cell r="M1038" t="str">
            <v>131236-DR-E</v>
          </cell>
          <cell r="N1038" t="str">
            <v>WIL23-LVSG-0003B Single Line Diagram - 1</v>
          </cell>
        </row>
        <row r="1039">
          <cell r="M1039" t="str">
            <v>131236-DR-E</v>
          </cell>
          <cell r="N1039" t="str">
            <v>WIL23-LVSG-0003B Single Line Diagram - 2</v>
          </cell>
        </row>
        <row r="1040">
          <cell r="M1040" t="str">
            <v>131236-DR-E</v>
          </cell>
          <cell r="N1040" t="str">
            <v>WIL23-LVSG-0003B Bill of Material</v>
          </cell>
        </row>
        <row r="1041">
          <cell r="M1041" t="str">
            <v>131236-DR-E</v>
          </cell>
          <cell r="N1041" t="str">
            <v>WIL23-LVSG-0003B Bill of Material</v>
          </cell>
        </row>
        <row r="1042">
          <cell r="M1042" t="str">
            <v>131236-DR-E</v>
          </cell>
          <cell r="N1042" t="str">
            <v>WIL23-MCC-0001A Legend</v>
          </cell>
        </row>
        <row r="1043">
          <cell r="M1043" t="str">
            <v>131236-DR-E</v>
          </cell>
          <cell r="N1043" t="str">
            <v>WIL23-MCC-0001A Single Line Diagram - 1</v>
          </cell>
        </row>
        <row r="1044">
          <cell r="M1044" t="str">
            <v>131236-DR-E</v>
          </cell>
          <cell r="N1044" t="str">
            <v>WIL23-MCC-0001A Single Line Diagram - 2</v>
          </cell>
        </row>
        <row r="1045">
          <cell r="M1045" t="str">
            <v>131236-DR-E</v>
          </cell>
          <cell r="N1045" t="str">
            <v>WIL23-MCC-0001A Single Line Diagram - 3</v>
          </cell>
        </row>
        <row r="1046">
          <cell r="M1046" t="str">
            <v>131236-DR-E</v>
          </cell>
          <cell r="N1046" t="str">
            <v>WIL23-MCC-0001A Bill of Material - 1</v>
          </cell>
        </row>
        <row r="1047">
          <cell r="M1047" t="str">
            <v>131236-DR-E</v>
          </cell>
          <cell r="N1047" t="str">
            <v>WIL23-MCC-0001A Bill of Material - 2</v>
          </cell>
        </row>
        <row r="1048">
          <cell r="M1048" t="str">
            <v>131236-DR-E</v>
          </cell>
          <cell r="N1048" t="str">
            <v>WIL23-MCC-0001A Bill of Material - 3</v>
          </cell>
        </row>
        <row r="1049">
          <cell r="M1049" t="str">
            <v>131236-DR-E</v>
          </cell>
          <cell r="N1049" t="str">
            <v>WIL23-MCC-0001B Legend</v>
          </cell>
        </row>
        <row r="1050">
          <cell r="M1050" t="str">
            <v>131236-DR-E</v>
          </cell>
          <cell r="N1050" t="str">
            <v>WIL23-MCC-0001B Single Line Diagram - 1</v>
          </cell>
        </row>
        <row r="1051">
          <cell r="M1051" t="str">
            <v>131236-DR-E</v>
          </cell>
          <cell r="N1051" t="str">
            <v>WIL23-MCC-0001B Single Line Diagram - 2</v>
          </cell>
        </row>
        <row r="1052">
          <cell r="M1052" t="str">
            <v>131236-DR-E</v>
          </cell>
          <cell r="N1052" t="str">
            <v>WIL23-MCC-0001B Single Line Diagram - 3</v>
          </cell>
        </row>
        <row r="1053">
          <cell r="M1053" t="str">
            <v>131236-DR-E</v>
          </cell>
          <cell r="N1053" t="str">
            <v>WIL23-MCC-0001B Bill of Material - 1</v>
          </cell>
        </row>
        <row r="1054">
          <cell r="M1054" t="str">
            <v>131236-DR-E</v>
          </cell>
          <cell r="N1054" t="str">
            <v>WIL23-MCC-0001B Bill of Material - 2</v>
          </cell>
        </row>
        <row r="1055">
          <cell r="M1055" t="str">
            <v>131236-DR-E</v>
          </cell>
          <cell r="N1055" t="str">
            <v>WIL23-MCC-0001B Bill of Material - 3</v>
          </cell>
        </row>
        <row r="1056">
          <cell r="M1056" t="str">
            <v>131236-DR-E</v>
          </cell>
          <cell r="N1056" t="str">
            <v>WIL23-MCC-0002A Legend</v>
          </cell>
        </row>
        <row r="1057">
          <cell r="M1057" t="str">
            <v>131236-DR-E</v>
          </cell>
          <cell r="N1057" t="str">
            <v>WIL23-MCC-0002A Single Line Diagram - 1</v>
          </cell>
        </row>
        <row r="1058">
          <cell r="M1058" t="str">
            <v>131236-DR-E</v>
          </cell>
          <cell r="N1058" t="str">
            <v>WIL23-MCC-0002A Single Line Diagram - 2</v>
          </cell>
        </row>
        <row r="1059">
          <cell r="M1059" t="str">
            <v>131236-DR-E</v>
          </cell>
          <cell r="N1059" t="str">
            <v>WIL23-MCC-0002A Single Line Diagram - 3</v>
          </cell>
        </row>
        <row r="1060">
          <cell r="M1060" t="str">
            <v>131236-DR-E</v>
          </cell>
          <cell r="N1060" t="str">
            <v>WIL23-MCC-0002A Bill of Material - 1</v>
          </cell>
        </row>
        <row r="1061">
          <cell r="M1061" t="str">
            <v>131236-DR-E</v>
          </cell>
          <cell r="N1061" t="str">
            <v>WIL23-MCC-0002A Bill of Material - 2</v>
          </cell>
        </row>
        <row r="1062">
          <cell r="M1062" t="str">
            <v>131236-DR-E</v>
          </cell>
          <cell r="N1062" t="str">
            <v>WIL23-MCC-0002B Legend</v>
          </cell>
        </row>
        <row r="1063">
          <cell r="M1063" t="str">
            <v>131236-DR-E</v>
          </cell>
          <cell r="N1063" t="str">
            <v>WIL23-MCC-0002B Single Line Diagram - 1</v>
          </cell>
        </row>
        <row r="1064">
          <cell r="M1064" t="str">
            <v>131236-DR-E</v>
          </cell>
          <cell r="N1064" t="str">
            <v>WIL23-MCC-0002B Single Line Diagram - 2</v>
          </cell>
        </row>
        <row r="1065">
          <cell r="M1065" t="str">
            <v>131236-DR-E</v>
          </cell>
          <cell r="N1065" t="str">
            <v>WIL23-MCC-0002B Single Line Diagram - 3</v>
          </cell>
        </row>
        <row r="1066">
          <cell r="M1066" t="str">
            <v>131236-DR-E</v>
          </cell>
          <cell r="N1066" t="str">
            <v>WIL23-MCC-0002B Bill of Material - 1</v>
          </cell>
        </row>
        <row r="1067">
          <cell r="M1067" t="str">
            <v>131236-DR-E</v>
          </cell>
          <cell r="N1067" t="str">
            <v>WIL23-MCC-0002B Bill of Material - 2</v>
          </cell>
        </row>
        <row r="1068">
          <cell r="M1068" t="str">
            <v>131236-DR-E</v>
          </cell>
          <cell r="N1068" t="str">
            <v>WIL23-MCC-0003A Legend</v>
          </cell>
        </row>
        <row r="1069">
          <cell r="M1069" t="str">
            <v>131236-DR-E</v>
          </cell>
          <cell r="N1069" t="str">
            <v>WIL23-MCC-0003A Single Line Diagram - 1</v>
          </cell>
        </row>
        <row r="1070">
          <cell r="M1070" t="str">
            <v>131236-DR-E</v>
          </cell>
          <cell r="N1070" t="str">
            <v>WIL23-MCC-0003A Single Line Diagram - 2</v>
          </cell>
        </row>
        <row r="1071">
          <cell r="M1071" t="str">
            <v>131236-DR-E</v>
          </cell>
          <cell r="N1071" t="str">
            <v>WIL23-MCC-0003A Single Line Diagram - 3</v>
          </cell>
        </row>
        <row r="1072">
          <cell r="M1072" t="str">
            <v>131236-DR-E</v>
          </cell>
          <cell r="N1072" t="str">
            <v>WIL23-MCC-0003A Bill of Material - 1</v>
          </cell>
        </row>
        <row r="1073">
          <cell r="M1073" t="str">
            <v>131236-DR-E</v>
          </cell>
          <cell r="N1073" t="str">
            <v>WIL23-MCC-0003A Bill of Material - 2</v>
          </cell>
        </row>
        <row r="1074">
          <cell r="M1074" t="str">
            <v>131236-DR-E</v>
          </cell>
          <cell r="N1074" t="str">
            <v>WIL23-MCC-0003A Bill of Material - 3</v>
          </cell>
        </row>
        <row r="1075">
          <cell r="M1075" t="str">
            <v>131236-DR-E</v>
          </cell>
          <cell r="N1075" t="str">
            <v>WIL23-MCC-0003B Legend</v>
          </cell>
        </row>
        <row r="1076">
          <cell r="M1076" t="str">
            <v>131236-DR-E</v>
          </cell>
          <cell r="N1076" t="str">
            <v>WIL23-MCC-0003B Single Line Diagram - 1</v>
          </cell>
        </row>
        <row r="1077">
          <cell r="M1077" t="str">
            <v>131236-DR-E</v>
          </cell>
          <cell r="N1077" t="str">
            <v>WIL23-MCC-0003B Single Line Diagram - 2</v>
          </cell>
        </row>
        <row r="1078">
          <cell r="M1078" t="str">
            <v>131236-DR-E</v>
          </cell>
          <cell r="N1078" t="str">
            <v>WIL23-MCC-0003B Bill of Material - 1</v>
          </cell>
        </row>
        <row r="1079">
          <cell r="M1079" t="str">
            <v>131236-DR-E</v>
          </cell>
          <cell r="N1079" t="str">
            <v>WIL23-MCC-0003B Bill of Material - 2</v>
          </cell>
        </row>
        <row r="1080">
          <cell r="M1080" t="str">
            <v>131236-DR-E</v>
          </cell>
          <cell r="N1080" t="str">
            <v>WIL23-MCC-0003B Bill of Material - 3</v>
          </cell>
        </row>
        <row r="1081">
          <cell r="M1081" t="str">
            <v>131236-DR-E</v>
          </cell>
          <cell r="N1081" t="str">
            <v>WIL23-MCC-0004A Legend</v>
          </cell>
        </row>
        <row r="1082">
          <cell r="M1082" t="str">
            <v>131236-DR-E</v>
          </cell>
          <cell r="N1082" t="str">
            <v>WIL23-MCC-0004A Single Line Diagram - 1</v>
          </cell>
        </row>
        <row r="1083">
          <cell r="M1083" t="str">
            <v>131236-DR-E</v>
          </cell>
          <cell r="N1083" t="str">
            <v>WIL23-MCC-0004A Single Line Diagram - 2</v>
          </cell>
        </row>
        <row r="1084">
          <cell r="M1084" t="str">
            <v>131236-DR-E</v>
          </cell>
          <cell r="N1084" t="str">
            <v>WIL23-MCC-0004A Single Line Diagram - 3</v>
          </cell>
        </row>
        <row r="1085">
          <cell r="M1085" t="str">
            <v>131236-DR-E</v>
          </cell>
          <cell r="N1085" t="str">
            <v>WIL23-MCC-0004A Single Line Diagram - 4</v>
          </cell>
        </row>
        <row r="1086">
          <cell r="M1086" t="str">
            <v>131236-DR-E</v>
          </cell>
          <cell r="N1086" t="str">
            <v>WIL23-MCC-0004A Bill of Material - 1</v>
          </cell>
        </row>
        <row r="1087">
          <cell r="M1087" t="str">
            <v>131236-DR-E</v>
          </cell>
          <cell r="N1087" t="str">
            <v>WIL23-MCC-0004A Bill of Material - 2</v>
          </cell>
        </row>
        <row r="1088">
          <cell r="M1088" t="str">
            <v>131236-DR-E</v>
          </cell>
          <cell r="N1088" t="str">
            <v>WIL23-MCC-0004B Legend</v>
          </cell>
        </row>
        <row r="1089">
          <cell r="M1089" t="str">
            <v>131236-DR-E</v>
          </cell>
          <cell r="N1089" t="str">
            <v>WIL23-MCC-0004B Single Line Diagram - 1</v>
          </cell>
        </row>
        <row r="1090">
          <cell r="M1090" t="str">
            <v>131236-DR-E</v>
          </cell>
          <cell r="N1090" t="str">
            <v>WIL23-MCC-0004B Single Line Diagram - 2</v>
          </cell>
        </row>
        <row r="1091">
          <cell r="M1091" t="str">
            <v>131236-DR-E</v>
          </cell>
          <cell r="N1091" t="str">
            <v>WIL23-MCC-0004B Single Line Diagram - 3</v>
          </cell>
        </row>
        <row r="1092">
          <cell r="M1092" t="str">
            <v>131236-DR-E</v>
          </cell>
          <cell r="N1092" t="str">
            <v>WIL23-MCC-0004B Single Line Diagram - 4</v>
          </cell>
        </row>
        <row r="1093">
          <cell r="M1093" t="str">
            <v>131236-DR-E</v>
          </cell>
          <cell r="N1093" t="str">
            <v>WIL23-MCC-0004B Bill of Material - 1</v>
          </cell>
        </row>
        <row r="1094">
          <cell r="M1094" t="str">
            <v>131236-DR-E</v>
          </cell>
          <cell r="N1094" t="str">
            <v>WIL23-MCC-0004B Bill of Material - 2</v>
          </cell>
        </row>
        <row r="1095">
          <cell r="M1095" t="str">
            <v>131236-DR-E</v>
          </cell>
          <cell r="N1095" t="str">
            <v>WIL23-MCC-0005A Legend</v>
          </cell>
        </row>
        <row r="1096">
          <cell r="M1096" t="str">
            <v>131236-DR-E</v>
          </cell>
          <cell r="N1096" t="str">
            <v>WIL23-MCC-0005A Single Line Diagram - 1</v>
          </cell>
        </row>
        <row r="1097">
          <cell r="M1097" t="str">
            <v>131236-DR-E</v>
          </cell>
          <cell r="N1097" t="str">
            <v>WIL23-MCC-0005A Single Line Diagram - 2</v>
          </cell>
        </row>
        <row r="1098">
          <cell r="M1098" t="str">
            <v>131236-DR-E</v>
          </cell>
          <cell r="N1098" t="str">
            <v>WIL23-MCC-0005A Single Line Diagram - 3</v>
          </cell>
        </row>
        <row r="1099">
          <cell r="M1099" t="str">
            <v>131236-DR-E</v>
          </cell>
          <cell r="N1099" t="str">
            <v>WIL23-MCC-0005A Single Line Diagram - 4</v>
          </cell>
        </row>
        <row r="1100">
          <cell r="M1100" t="str">
            <v>131236-DR-E</v>
          </cell>
          <cell r="N1100" t="str">
            <v>WIL23-MCC-0005A Single Line Diagram - 5</v>
          </cell>
        </row>
        <row r="1101">
          <cell r="M1101" t="str">
            <v>131236-DR-E</v>
          </cell>
          <cell r="N1101" t="str">
            <v>WIL23-MCC-0005A Bill of Material - 1</v>
          </cell>
        </row>
        <row r="1102">
          <cell r="M1102" t="str">
            <v>131236-DR-E</v>
          </cell>
          <cell r="N1102" t="str">
            <v>WIL23-MCC-0005B Legend</v>
          </cell>
        </row>
        <row r="1103">
          <cell r="M1103" t="str">
            <v>131236-DR-E</v>
          </cell>
          <cell r="N1103" t="str">
            <v>WIL23-MCC-0005B Single Line Diagram - 1</v>
          </cell>
        </row>
        <row r="1104">
          <cell r="M1104" t="str">
            <v>131236-DR-E</v>
          </cell>
          <cell r="N1104" t="str">
            <v>WIL23-MCC-0005B Single Line Diagram - 2</v>
          </cell>
        </row>
        <row r="1105">
          <cell r="M1105" t="str">
            <v>131236-DR-E</v>
          </cell>
          <cell r="N1105" t="str">
            <v>WIL23-MCC-0005B Single Line Diagram - 3</v>
          </cell>
        </row>
        <row r="1106">
          <cell r="M1106" t="str">
            <v>131236-DR-E</v>
          </cell>
          <cell r="N1106" t="str">
            <v>WIL23-MCC-0005B Single Line Diagram - 4</v>
          </cell>
        </row>
        <row r="1107">
          <cell r="M1107" t="str">
            <v>131236-DR-E</v>
          </cell>
          <cell r="N1107" t="str">
            <v>WIL23-MCC-0005B Single Line Diagram - 5</v>
          </cell>
        </row>
        <row r="1108">
          <cell r="M1108" t="str">
            <v>131236-DR-E</v>
          </cell>
          <cell r="N1108" t="str">
            <v>WIL23-MCC-0005B Bill of Material - 1</v>
          </cell>
        </row>
        <row r="1109">
          <cell r="M1109" t="str">
            <v>131236-DR-E</v>
          </cell>
          <cell r="N1109" t="str">
            <v>WIL23-MCC-0005B Bill of Material - 2</v>
          </cell>
        </row>
        <row r="1110">
          <cell r="M1110" t="str">
            <v>131236-DR-E</v>
          </cell>
          <cell r="N1110" t="str">
            <v>WIL23-MCC-0005B Bill of Material - 3</v>
          </cell>
        </row>
        <row r="1111">
          <cell r="M1111" t="str">
            <v>131236-DR-E</v>
          </cell>
          <cell r="N1111" t="str">
            <v>WIL23-MDB-0001A SLD Legend</v>
          </cell>
        </row>
        <row r="1112">
          <cell r="M1112" t="str">
            <v>131236-DR-E</v>
          </cell>
          <cell r="N1112" t="str">
            <v>WIL23-MDB-0001A Single Line Diagram - 1</v>
          </cell>
        </row>
        <row r="1113">
          <cell r="M1113" t="str">
            <v>131236-DR-E</v>
          </cell>
          <cell r="N1113" t="str">
            <v>WIL23-MDB-0001A Single Line Diagram - 2</v>
          </cell>
        </row>
        <row r="1114">
          <cell r="M1114" t="str">
            <v>131236-DR-E</v>
          </cell>
          <cell r="N1114" t="str">
            <v>WIL23-MDB-0001A Bill of Material</v>
          </cell>
        </row>
        <row r="1115">
          <cell r="M1115" t="str">
            <v>131236-DR-E</v>
          </cell>
          <cell r="N1115" t="str">
            <v>WIL23-MDB-0001B SLD Legend</v>
          </cell>
        </row>
        <row r="1116">
          <cell r="M1116" t="str">
            <v>131236-DR-E</v>
          </cell>
          <cell r="N1116" t="str">
            <v>WIL23-MDB-0001B Single Line Diagram - 1</v>
          </cell>
        </row>
        <row r="1117">
          <cell r="M1117" t="str">
            <v>131236-DR-E</v>
          </cell>
          <cell r="N1117" t="str">
            <v>WIL23-MDB-0001B Single Line Diagram - 2</v>
          </cell>
        </row>
        <row r="1118">
          <cell r="M1118" t="str">
            <v>131236-DR-E</v>
          </cell>
          <cell r="N1118" t="str">
            <v>WIL23-MDB-0001B Bill of Material</v>
          </cell>
        </row>
        <row r="1119">
          <cell r="M1119" t="str">
            <v>131236-DR-E</v>
          </cell>
          <cell r="N1119" t="str">
            <v>WIL23-MDB-0002A SLD Legend</v>
          </cell>
        </row>
        <row r="1120">
          <cell r="M1120" t="str">
            <v>131236-DR-E</v>
          </cell>
          <cell r="N1120" t="str">
            <v>WIL23-MDB-0002A Single Line Diagram - 1</v>
          </cell>
        </row>
        <row r="1121">
          <cell r="M1121" t="str">
            <v>131236-DR-E</v>
          </cell>
          <cell r="N1121" t="str">
            <v>WIL23-MDB-0002A Single Line Diagram - 2</v>
          </cell>
        </row>
        <row r="1122">
          <cell r="M1122" t="str">
            <v>131236-DR-E</v>
          </cell>
          <cell r="N1122" t="str">
            <v>WIL23-MDB-0002A Bill of Material</v>
          </cell>
        </row>
        <row r="1123">
          <cell r="M1123" t="str">
            <v>131236-DR-E</v>
          </cell>
          <cell r="N1123" t="str">
            <v>WIL23-MDB-0002B SLD Legend</v>
          </cell>
        </row>
        <row r="1124">
          <cell r="M1124" t="str">
            <v>131236-DR-E</v>
          </cell>
          <cell r="N1124" t="str">
            <v>WIL23-MDB-0002B Single Line Diagram - 1</v>
          </cell>
        </row>
        <row r="1125">
          <cell r="M1125" t="str">
            <v>131236-DR-E</v>
          </cell>
          <cell r="N1125" t="str">
            <v>WIL23-MDB-0002B Single Line Diagram - 2</v>
          </cell>
        </row>
        <row r="1126">
          <cell r="M1126" t="str">
            <v>131236-DR-E</v>
          </cell>
          <cell r="N1126" t="str">
            <v>WIL23-MDB-0002B Bill of Material</v>
          </cell>
        </row>
        <row r="1127">
          <cell r="M1127" t="str">
            <v>131236-DR-E</v>
          </cell>
          <cell r="N1127" t="str">
            <v>WIL23-MDB-0003A SLD Legend</v>
          </cell>
        </row>
        <row r="1128">
          <cell r="M1128" t="str">
            <v>131236-DR-E</v>
          </cell>
          <cell r="N1128" t="str">
            <v>WIL23-MDB-0003A Single Line Diagram - 1</v>
          </cell>
        </row>
        <row r="1129">
          <cell r="M1129" t="str">
            <v>131236-DR-E</v>
          </cell>
          <cell r="N1129" t="str">
            <v>WIL23-MDB-0003A Single Line Diagram - 2</v>
          </cell>
        </row>
        <row r="1130">
          <cell r="M1130" t="str">
            <v>131236-DR-E</v>
          </cell>
          <cell r="N1130" t="str">
            <v>WIL23-MDB-0003A Bill of Material</v>
          </cell>
        </row>
        <row r="1131">
          <cell r="M1131" t="str">
            <v>131236-DR-E</v>
          </cell>
          <cell r="N1131" t="str">
            <v>WIL23-MDB-0003B SLD Legend</v>
          </cell>
        </row>
        <row r="1132">
          <cell r="M1132" t="str">
            <v>131236-DR-E</v>
          </cell>
          <cell r="N1132" t="str">
            <v>WIL23-MDB-0003B Single Line Diagram - 1</v>
          </cell>
        </row>
        <row r="1133">
          <cell r="M1133" t="str">
            <v>131236-DR-E</v>
          </cell>
          <cell r="N1133" t="str">
            <v>WIL23-MDB-0003B Single Line Diagram - 2</v>
          </cell>
        </row>
        <row r="1134">
          <cell r="M1134" t="str">
            <v>131236-DR-E</v>
          </cell>
          <cell r="N1134" t="str">
            <v>WIL23-MDB-0003B Bill of Material</v>
          </cell>
        </row>
        <row r="1135">
          <cell r="M1135" t="str">
            <v>131236-DR-E</v>
          </cell>
          <cell r="N1135" t="str">
            <v>WIL23-MDB-0004A SLD Legend</v>
          </cell>
        </row>
        <row r="1136">
          <cell r="M1136" t="str">
            <v>131236-DR-E</v>
          </cell>
          <cell r="N1136" t="str">
            <v>WIL23-MDB-0004A Single Line Diagram - 1</v>
          </cell>
        </row>
        <row r="1137">
          <cell r="M1137" t="str">
            <v>131236-DR-E</v>
          </cell>
          <cell r="N1137" t="str">
            <v>WIL23-MDB-0004A Single Line Diagram - 2</v>
          </cell>
        </row>
        <row r="1138">
          <cell r="M1138" t="str">
            <v>131236-DR-E</v>
          </cell>
          <cell r="N1138" t="str">
            <v>WIL23-MDB-0004A Bill of Material</v>
          </cell>
        </row>
        <row r="1139">
          <cell r="M1139" t="str">
            <v>131236-DR-E</v>
          </cell>
          <cell r="N1139" t="str">
            <v>WIL23-MDB-0004B SLD Legend</v>
          </cell>
        </row>
        <row r="1140">
          <cell r="M1140" t="str">
            <v>131236-DR-E</v>
          </cell>
          <cell r="N1140" t="str">
            <v>WIL23-MDB-0004B Single Line Diagram - 1</v>
          </cell>
        </row>
        <row r="1141">
          <cell r="M1141" t="str">
            <v>131236-DR-E</v>
          </cell>
          <cell r="N1141" t="str">
            <v>WIL23-MDB-0004B Single Line Diagram - 2</v>
          </cell>
        </row>
        <row r="1142">
          <cell r="M1142" t="str">
            <v>131236-DR-E</v>
          </cell>
          <cell r="N1142" t="str">
            <v>WIL23-MDB-0004B Bill of Material</v>
          </cell>
        </row>
        <row r="1144">
          <cell r="M1144"/>
          <cell r="N1144"/>
        </row>
        <row r="1145">
          <cell r="M1145"/>
          <cell r="N1145"/>
        </row>
        <row r="1146">
          <cell r="M1146" t="str">
            <v>131236-DR-E</v>
          </cell>
          <cell r="N1146" t="str">
            <v>Panel Schematics -22kV Switchgear Battery &amp; Battery Chargers (1 of 6)</v>
          </cell>
        </row>
        <row r="1147">
          <cell r="M1147" t="str">
            <v>131236-DR-E</v>
          </cell>
          <cell r="N1147" t="str">
            <v>Panel Schematics -22kV Switchgear Battery &amp; Battery Chargers (2 of 6)</v>
          </cell>
        </row>
        <row r="1148">
          <cell r="M1148" t="str">
            <v>131236-DR-E</v>
          </cell>
          <cell r="N1148" t="str">
            <v>Panel Schematics -22kV Switchgear Battery &amp; Battery Chargers (3 of 6)</v>
          </cell>
        </row>
        <row r="1149">
          <cell r="M1149" t="str">
            <v>131236-DR-E</v>
          </cell>
          <cell r="N1149" t="str">
            <v>Panel Schematics -22kV Switchgear Battery &amp; Battery Chargers (4 of 6)</v>
          </cell>
        </row>
        <row r="1150">
          <cell r="M1150" t="str">
            <v>131236-DR-E</v>
          </cell>
          <cell r="N1150" t="str">
            <v>Panel Schematics -22kV Switchgear Battery &amp; Battery Chargers (5 of 6)</v>
          </cell>
        </row>
        <row r="1151">
          <cell r="M1151" t="str">
            <v>131236-DR-E</v>
          </cell>
          <cell r="N1151" t="str">
            <v>Panel Schematics -22kV Switchgear Battery &amp; Battery Chargers (6 of 6)</v>
          </cell>
        </row>
        <row r="1152">
          <cell r="M1152" t="str">
            <v>131236-DR-E</v>
          </cell>
          <cell r="N1152" t="str">
            <v>Panel Schematics - 22kV Switchgear WIL00-HVSG-0002A LV DOOR LAYOUT = JZ01</v>
          </cell>
        </row>
        <row r="1153">
          <cell r="M1153" t="str">
            <v>131236-DR-E</v>
          </cell>
          <cell r="N1153" t="str">
            <v>Panel Schematics - 22kV Switchgear WIL00-HVSG-0002A LV LAYOUT = JZ01</v>
          </cell>
        </row>
        <row r="1154">
          <cell r="M1154" t="str">
            <v>131236-DR-E</v>
          </cell>
          <cell r="N1154" t="str">
            <v>Panel Schematics - 22kV Switchgear WIL00-HVSG-0002A LV DOOR LAYOUT = JZ02</v>
          </cell>
        </row>
        <row r="1155">
          <cell r="M1155" t="str">
            <v>131236-DR-E</v>
          </cell>
          <cell r="N1155" t="str">
            <v>Panel Schematics - 22kV Switchgear WIL00-HVSG-0002A LV LAYOUT = JZ02</v>
          </cell>
        </row>
        <row r="1156">
          <cell r="M1156" t="str">
            <v>131236-DR-E</v>
          </cell>
          <cell r="N1156" t="str">
            <v>Panel Schematics - 22kV Switchgear WIL00-HVSG-0002A LV DOOR LAYOUT = JZ05</v>
          </cell>
        </row>
        <row r="1157">
          <cell r="M1157" t="str">
            <v>131236-DR-E</v>
          </cell>
          <cell r="N1157" t="str">
            <v>Panel Schematics - 22kV Switchgear WIL00-HVSG-0002A LV LAYOUT = JZ05</v>
          </cell>
        </row>
        <row r="1158">
          <cell r="M1158" t="str">
            <v>131236-DR-E</v>
          </cell>
          <cell r="N1158" t="str">
            <v>Panel Schematics - 22kV Switchgear WIL00-HVSG-0002A LV DOOR LAYOUT = JZ03a, JZ03</v>
          </cell>
        </row>
        <row r="1159">
          <cell r="M1159" t="str">
            <v>131236-DR-E</v>
          </cell>
          <cell r="N1159" t="str">
            <v>Panel Schematics - 22kV Switchgear WIL00-HVSG-0002A LV LAYOUT = JZ03a</v>
          </cell>
        </row>
        <row r="1160">
          <cell r="M1160" t="str">
            <v>131236-DR-E</v>
          </cell>
          <cell r="N1160" t="str">
            <v>Panel Schematics - 22kV Switchgear WIL00-HVSG-0002A LV LAYOUT = JZ03</v>
          </cell>
        </row>
        <row r="1161">
          <cell r="M1161" t="str">
            <v>131236-DR-E</v>
          </cell>
          <cell r="N1161" t="str">
            <v>Panel Schematics - 22kV Switchgear WIL00-HVSG-0002A LV DOOR LAYOUT = JZ04, JZ04a</v>
          </cell>
        </row>
        <row r="1162">
          <cell r="M1162" t="str">
            <v>131236-DR-E</v>
          </cell>
          <cell r="N1162" t="str">
            <v>Panel Schematics - 22kV Switchgear WIL00-HVSG-0002A LV LAYOUT = JZ04</v>
          </cell>
        </row>
        <row r="1163">
          <cell r="M1163" t="str">
            <v>131236-DR-E</v>
          </cell>
          <cell r="N1163" t="str">
            <v>Panel Schematics - 22kV Switchgear WIL00-HVSG-0002A LV LAYOUT = JZ04a</v>
          </cell>
        </row>
        <row r="1164">
          <cell r="M1164" t="str">
            <v>131236-DR-E</v>
          </cell>
          <cell r="N1164" t="str">
            <v>Panel Schematics - 22kV Switchgear WIL00-HVSG-0002A LV LABEL</v>
          </cell>
        </row>
        <row r="1165">
          <cell r="M1165" t="str">
            <v>131236-DR-E</v>
          </cell>
          <cell r="N1165" t="str">
            <v>Panel Schematics - 22kV Switchgear WIL00-HVSG-0002A ATS/ MTS TRANSFER SCHEME &amp; LOGIC DIAGRAM</v>
          </cell>
        </row>
        <row r="1166">
          <cell r="M1166" t="str">
            <v>131236-DR-E</v>
          </cell>
          <cell r="N1166" t="str">
            <v>Panel Schematics - 22kV Switchgear WIL00-HVSG-0002A ATS/ MTS TRANSFER SCHEME &amp; LOGIC DIAGRAM</v>
          </cell>
        </row>
        <row r="1167">
          <cell r="M1167" t="str">
            <v>131236-DR-E</v>
          </cell>
          <cell r="N1167" t="str">
            <v>Panel Schematics - 22kV Switchgear WIL00-HVSG-0002A ATS/ MTS TRANSFER SCHEME &amp; LOGIC DIAGRAM</v>
          </cell>
        </row>
        <row r="1168">
          <cell r="M1168" t="str">
            <v>131236-DR-E</v>
          </cell>
          <cell r="N1168" t="str">
            <v>Panel Schematics - 22kV Switchgear WIL00-HVSG-0002A ATS/ MTS TRANSFER SCHEME &amp; LOGIC DIAGRAM</v>
          </cell>
        </row>
        <row r="1169">
          <cell r="M1169" t="str">
            <v>131236-DR-E</v>
          </cell>
          <cell r="N1169" t="str">
            <v>Panel Schematics - 22kV Switchgear WIL00-HVSG-0002A ATS/ MTS TRANSFER SCHEME &amp; LOGIC DIAGRAM</v>
          </cell>
        </row>
        <row r="1170">
          <cell r="M1170" t="str">
            <v>131236-DR-E</v>
          </cell>
          <cell r="N1170" t="str">
            <v>Panel Schematics - 22kV Switchgear WIL00-HVSG-0002A POWER/ BB VT/ BUS VT/ BUS WIRE DIAGRAMS</v>
          </cell>
        </row>
        <row r="1171">
          <cell r="M1171" t="str">
            <v>131236-DR-E</v>
          </cell>
          <cell r="N1171" t="str">
            <v>Panel Schematics - 22kV Switchgear WIL00-HVSG-0002A POWER/ BB VT/ BUS VT/ BUS WIRE DIAGRAMS</v>
          </cell>
        </row>
        <row r="1172">
          <cell r="M1172" t="str">
            <v>131236-DR-E</v>
          </cell>
          <cell r="N1172" t="str">
            <v>Panel Schematics - 22kV Switchgear WIL00-HVSG-0002A POWER/ BB VT/ BUS VT/ BUS WIRE DIAGRAMS</v>
          </cell>
        </row>
        <row r="1173">
          <cell r="M1173" t="str">
            <v>131236-DR-E</v>
          </cell>
          <cell r="N1173" t="str">
            <v>Panel Schematics - 22kV Switchgear WIL00-HVSG-0002A POWER/ BB VT/ BUS VT/ BUS WIRE DIAGRAMS</v>
          </cell>
        </row>
        <row r="1174">
          <cell r="M1174" t="str">
            <v>131236-DR-E</v>
          </cell>
          <cell r="N1174" t="str">
            <v>Panel Schematics - 22kV Switchgear WIL00-HVSG-0002A POWER/ BB VT/ BUS VT/ BUS WIRE DIAGRAMS</v>
          </cell>
        </row>
        <row r="1175">
          <cell r="M1175" t="str">
            <v>131236-DR-E</v>
          </cell>
          <cell r="N1175" t="str">
            <v>Panel Schematics - 22kV Switchgear WIL00-HVSG-0002A POWER/ BB VT/ BUS VT/ BUS WIRE DIAGRAMS</v>
          </cell>
        </row>
        <row r="1176">
          <cell r="M1176" t="str">
            <v>131236-DR-E</v>
          </cell>
          <cell r="N1176" t="str">
            <v>Panel Schematics - 22kV Switchgear WIL00-HVSG-0002A POWER/ BB VT/ BUS VT/ BUS WIRE DIAGRAMS</v>
          </cell>
        </row>
        <row r="1177">
          <cell r="M1177" t="str">
            <v>131236-DR-E</v>
          </cell>
          <cell r="N1177" t="str">
            <v>Panel Schematics - 22kV Switchgear WIL00-HVSG-0002A POWER/ BB VT/ BUS VT/ BUS WIRE DIAGRAMS</v>
          </cell>
        </row>
        <row r="1178">
          <cell r="M1178" t="str">
            <v>131236-DR-E</v>
          </cell>
          <cell r="N1178" t="str">
            <v>Panel Schematics - 22kV Switchgear WIL00-HVSG-0002A INCOMER SCHEMATIC DIAGRAM  = JZ01</v>
          </cell>
        </row>
        <row r="1179">
          <cell r="M1179" t="str">
            <v>131236-DR-E</v>
          </cell>
          <cell r="N1179" t="str">
            <v>Panel Schematics - 22kV Switchgear WIL00-HVSG-0002A INCOMER SCHEMATIC DIAGRAM  = JZ01</v>
          </cell>
        </row>
        <row r="1180">
          <cell r="M1180" t="str">
            <v>131236-DR-E</v>
          </cell>
          <cell r="N1180" t="str">
            <v>Panel Schematics - 22kV Switchgear WIL00-HVSG-0002A INCOMER SCHEMATIC DIAGRAM  = JZ01</v>
          </cell>
        </row>
        <row r="1181">
          <cell r="M1181" t="str">
            <v>131236-DR-E</v>
          </cell>
          <cell r="N1181" t="str">
            <v>Panel Schematics - 22kV Switchgear WIL00-HVSG-0002A INCOMER SCHEMATIC DIAGRAM  = JZ01</v>
          </cell>
        </row>
        <row r="1182">
          <cell r="M1182" t="str">
            <v>131236-DR-E</v>
          </cell>
          <cell r="N1182" t="str">
            <v>Panel Schematics - 22kV Switchgear WIL00-HVSG-0002A INCOMER SCHEMATIC DIAGRAM  = JZ01</v>
          </cell>
        </row>
        <row r="1183">
          <cell r="M1183" t="str">
            <v>131236-DR-E</v>
          </cell>
          <cell r="N1183" t="str">
            <v>Panel Schematics - 22kV Switchgear WIL00-HVSG-0002A INCOMER SCHEMATIC DIAGRAM  = JZ01</v>
          </cell>
        </row>
        <row r="1184">
          <cell r="M1184" t="str">
            <v>131236-DR-E</v>
          </cell>
          <cell r="N1184" t="str">
            <v>Panel Schematics - 22kV Switchgear WIL00-HVSG-0002A INCOMER SCHEMATIC DIAGRAM  = JZ01</v>
          </cell>
        </row>
        <row r="1185">
          <cell r="M1185" t="str">
            <v>131236-DR-E</v>
          </cell>
          <cell r="N1185" t="str">
            <v>Panel Schematics - 22kV Switchgear WIL00-HVSG-0002A INCOMER SCHEMATIC DIAGRAM  = JZ01</v>
          </cell>
        </row>
        <row r="1186">
          <cell r="M1186" t="str">
            <v>131236-DR-E</v>
          </cell>
          <cell r="N1186" t="str">
            <v>Panel Schematics - 22kV Switchgear WIL00-HVSG-0002A INCOMER SCHEMATIC DIAGRAM  = JZ01</v>
          </cell>
        </row>
        <row r="1187">
          <cell r="M1187" t="str">
            <v>131236-DR-E</v>
          </cell>
          <cell r="N1187" t="str">
            <v>Panel Schematics - 22kV Switchgear WIL00-HVSG-0002A INCOMER SCHEMATIC DIAGRAM  = JZ01</v>
          </cell>
        </row>
        <row r="1188">
          <cell r="M1188" t="str">
            <v>131236-DR-E</v>
          </cell>
          <cell r="N1188" t="str">
            <v>Panel Schematics - 22kV Switchgear WIL00-HVSG-0002A INCOMER SCHEMATIC DIAGRAM  = JZ01</v>
          </cell>
        </row>
        <row r="1189">
          <cell r="M1189" t="str">
            <v>131236-DR-E</v>
          </cell>
          <cell r="N1189" t="str">
            <v>Panel Schematics - 22kV Switchgear WIL00-HVSG-0002A INCOMER SCHEMATIC DIAGRAM  = JZ01</v>
          </cell>
        </row>
        <row r="1190">
          <cell r="M1190" t="str">
            <v>131236-DR-E</v>
          </cell>
          <cell r="N1190" t="str">
            <v>Panel Schematics - 22kV Switchgear WIL00-HVSG-0002A INCOMER SCHEMATIC DIAGRAM  = JZ01</v>
          </cell>
        </row>
        <row r="1191">
          <cell r="M1191" t="str">
            <v>131236-DR-E</v>
          </cell>
          <cell r="N1191" t="str">
            <v>Panel Schematics - 22kV Switchgear WIL00-HVSG-0002A INCOMER SCHEMATIC DIAGRAM  = JZ01</v>
          </cell>
        </row>
        <row r="1192">
          <cell r="M1192" t="str">
            <v>131236-DR-E</v>
          </cell>
          <cell r="N1192" t="str">
            <v>Panel Schematics - 22kV Switchgear WIL00-HVSG-0002A INCOMER SCHEMATIC DIAGRAM  = JZ01</v>
          </cell>
        </row>
        <row r="1193">
          <cell r="M1193" t="str">
            <v>131236-DR-E</v>
          </cell>
          <cell r="N1193" t="str">
            <v>Panel Schematics - 22kV Switchgear WIL00-HVSG-0002A INCOMER SCHEMATIC DIAGRAM  = JZ01</v>
          </cell>
        </row>
        <row r="1194">
          <cell r="M1194" t="str">
            <v>131236-DR-E</v>
          </cell>
          <cell r="N1194" t="str">
            <v>Panel Schematics - 22kV Switchgear WIL00-HVSG-0002A INCOMER SCHEMATIC DIAGRAM  = JZ01</v>
          </cell>
        </row>
        <row r="1195">
          <cell r="M1195" t="str">
            <v>131236-DR-E</v>
          </cell>
          <cell r="N1195" t="str">
            <v>Panel Schematics - 22kV Switchgear WIL00-HVSG-0002A INCOMER SCHEMATIC DIAGRAM  = JZ01</v>
          </cell>
        </row>
        <row r="1196">
          <cell r="M1196" t="str">
            <v>131236-DR-E</v>
          </cell>
          <cell r="N1196" t="str">
            <v>Panel Schematics - 22kV Switchgear WIL00-HVSG-0002A INCOMER SCHEMATIC DIAGRAM  = JZ01</v>
          </cell>
        </row>
        <row r="1197">
          <cell r="M1197" t="str">
            <v>131236-DR-E</v>
          </cell>
          <cell r="N1197" t="str">
            <v>Panel Schematics - 22kV Switchgear WIL00-HVSG-0002A INCOMER SCHEMATIC DIAGRAM  = JZ01</v>
          </cell>
        </row>
        <row r="1198">
          <cell r="M1198" t="str">
            <v>131236-DR-E</v>
          </cell>
          <cell r="N1198" t="str">
            <v>Panel Schematics - 22kV Switchgear WIL00-HVSG-0002A INCOMER SCHEMATIC DIAGRAM  = JZ01</v>
          </cell>
        </row>
        <row r="1199">
          <cell r="M1199" t="str">
            <v>131236-DR-E</v>
          </cell>
          <cell r="N1199" t="str">
            <v>Panel Schematics - 22kV Switchgear WIL00-HVSG-0002A INCOMER SCHEMATIC DIAGRAM  = JZ01</v>
          </cell>
        </row>
        <row r="1200">
          <cell r="M1200" t="str">
            <v>131236-DR-E</v>
          </cell>
          <cell r="N1200" t="str">
            <v>Panel Schematics - 22kV Switchgear WIL00-HVSG-0002A INCOMER SCHEMATIC DIAGRAM  = JZ01</v>
          </cell>
        </row>
        <row r="1201">
          <cell r="M1201" t="str">
            <v>131236-DR-E</v>
          </cell>
          <cell r="N1201" t="str">
            <v>Panel Schematics - 22kV Switchgear WIL00-HVSG-0002A INCOMER SCHEMATIC DIAGRAM  = JZ01</v>
          </cell>
        </row>
        <row r="1202">
          <cell r="M1202" t="str">
            <v>131236-DR-E</v>
          </cell>
          <cell r="N1202" t="str">
            <v>Panel Schematics - 22kV Switchgear WIL00-HVSG-0002A INCOMER SCHEMATIC DIAGRAM  = JZ01</v>
          </cell>
        </row>
        <row r="1203">
          <cell r="M1203" t="str">
            <v>131236-DR-E</v>
          </cell>
          <cell r="N1203" t="str">
            <v>Panel Schematics - 22kV Switchgear WIL00-HVSG-0002A INCOMER SCHEMATIC DIAGRAM  = JZ01</v>
          </cell>
        </row>
        <row r="1204">
          <cell r="M1204" t="str">
            <v>131236-DR-E</v>
          </cell>
          <cell r="N1204" t="str">
            <v>Panel Schematics - 22kV Switchgear WIL00-HVSG-0002A INCOMER SCHEMATIC DIAGRAM  = JZ01</v>
          </cell>
        </row>
        <row r="1205">
          <cell r="M1205" t="str">
            <v>131236-DR-E</v>
          </cell>
          <cell r="N1205" t="str">
            <v>Panel Schematics - 22kV Switchgear WIL00-HVSG-0002A TERMINAL CONNECTION TABLE = JZ01</v>
          </cell>
        </row>
        <row r="1206">
          <cell r="M1206" t="str">
            <v>131236-DR-E</v>
          </cell>
          <cell r="N1206" t="str">
            <v>Panel Schematics - 22kV Switchgear WIL00-HVSG-0002A TERMINAL CONNECTION TABLE = JZ01</v>
          </cell>
        </row>
        <row r="1207">
          <cell r="M1207" t="str">
            <v>131236-DR-E</v>
          </cell>
          <cell r="N1207" t="str">
            <v>Panel Schematics - 22kV Switchgear WIL00-HVSG-0002A TERMINAL CONNECTION TABLE = JZ01</v>
          </cell>
        </row>
        <row r="1208">
          <cell r="M1208" t="str">
            <v>131236-DR-E</v>
          </cell>
          <cell r="N1208" t="str">
            <v>Panel Schematics - 22kV Switchgear WIL00-HVSG-0002A TERMINAL CONNECTION TABLE = JZ01</v>
          </cell>
        </row>
        <row r="1209">
          <cell r="M1209" t="str">
            <v>131236-DR-E</v>
          </cell>
          <cell r="N1209" t="str">
            <v>Panel Schematics - 22kV Switchgear WIL00-HVSG-0002A TERMINAL CONNECTION TABLE = JZ01</v>
          </cell>
        </row>
        <row r="1210">
          <cell r="M1210" t="str">
            <v>131236-DR-E</v>
          </cell>
          <cell r="N1210" t="str">
            <v>Panel Schematics - 22kV Switchgear WIL00-HVSG-0002A TERMINAL CONNECTION TABLE = JZ01</v>
          </cell>
        </row>
        <row r="1211">
          <cell r="M1211" t="str">
            <v>131236-DR-E</v>
          </cell>
          <cell r="N1211" t="str">
            <v>Panel Schematics - 22kV Switchgear WIL00-HVSG-0002A TERMINAL CONNECTION TABLE = JZ01</v>
          </cell>
        </row>
        <row r="1212">
          <cell r="M1212" t="str">
            <v>131236-DR-E</v>
          </cell>
          <cell r="N1212" t="str">
            <v>Panel Schematics - 22kV Switchgear WIL00-HVSG-0002A TERMINAL CONNECTION TABLE = JZ01</v>
          </cell>
        </row>
        <row r="1213">
          <cell r="M1213" t="str">
            <v>131236-DR-E</v>
          </cell>
          <cell r="N1213" t="str">
            <v>Panel Schematics - 22kV Switchgear WIL00-HVSG-0002A TERMINAL CONNECTION TABLE = JZ01</v>
          </cell>
        </row>
        <row r="1214">
          <cell r="M1214" t="str">
            <v>131236-DR-E</v>
          </cell>
          <cell r="N1214" t="str">
            <v>Panel Schematics - 22kV Switchgear WIL00-HVSG-0002A TERMINAL CONNECTION TABLE = JZ01</v>
          </cell>
        </row>
        <row r="1215">
          <cell r="M1215" t="str">
            <v>131236-DR-E</v>
          </cell>
          <cell r="N1215" t="str">
            <v>Panel Schematics - 22kV Switchgear WIL00-HVSG-0002A TERMINAL CONNECTION TABLE = JZ01</v>
          </cell>
        </row>
        <row r="1216">
          <cell r="M1216" t="str">
            <v>131236-DR-E</v>
          </cell>
          <cell r="N1216" t="str">
            <v>Panel Schematics - 22kV Switchgear WIL00-HVSG-0002A TERMINAL CONNECTION TABLE = JZ01</v>
          </cell>
        </row>
        <row r="1217">
          <cell r="M1217" t="str">
            <v>131236-DR-E</v>
          </cell>
          <cell r="N1217" t="str">
            <v>Panel Schematics - 22kV Switchgear WIL00-HVSG-0002A TERMINAL CONNECTION TABLE = JZ01</v>
          </cell>
        </row>
        <row r="1218">
          <cell r="M1218" t="str">
            <v>131236-DR-E</v>
          </cell>
          <cell r="N1218" t="str">
            <v>Panel Schematics - 22kV Switchgear WIL00-HVSG-0002A TERMINAL CONNECTION TABLE = JZ01</v>
          </cell>
        </row>
        <row r="1219">
          <cell r="M1219" t="str">
            <v>131236-DR-E</v>
          </cell>
          <cell r="N1219" t="str">
            <v>Panel Schematics - 22kV Switchgear WIL00-HVSG-0002A TERMINAL CONNECTION TABLE = JZ01</v>
          </cell>
        </row>
        <row r="1220">
          <cell r="M1220" t="str">
            <v>131236-DR-E</v>
          </cell>
          <cell r="N1220" t="str">
            <v>Panel Schematics - 22kV Switchgear WIL00-HVSG-0002A TERMINAL CONNECTION TABLE = JZ01</v>
          </cell>
        </row>
        <row r="1221">
          <cell r="M1221" t="str">
            <v>131236-DR-E</v>
          </cell>
          <cell r="N1221" t="str">
            <v>Panel Schematics - 22kV Switchgear WIL00-HVSG-0002A TERMINAL CONNECTION TABLE = JZ01</v>
          </cell>
        </row>
        <row r="1222">
          <cell r="M1222" t="str">
            <v>131236-DR-E</v>
          </cell>
          <cell r="N1222" t="str">
            <v>Panel Schematics - 22kV Switchgear WIL00-HVSG-0002A TERMINAL CONNECTION TABLE = JZ01</v>
          </cell>
        </row>
        <row r="1223">
          <cell r="M1223" t="str">
            <v>131236-DR-E</v>
          </cell>
          <cell r="N1223" t="str">
            <v>Panel Schematics - 22kV Switchgear WIL00-HVSG-0002A TERMINAL CONNECTION TABLE = JZ01</v>
          </cell>
        </row>
        <row r="1224">
          <cell r="M1224" t="str">
            <v>131236-DR-E</v>
          </cell>
          <cell r="N1224" t="str">
            <v>Panel Schematics - 22kV Switchgear WIL00-HVSG-0002A OUTGOING FEEDER SCHEMATIC = JZ02</v>
          </cell>
        </row>
        <row r="1225">
          <cell r="M1225" t="str">
            <v>131236-DR-E</v>
          </cell>
          <cell r="N1225" t="str">
            <v>Panel Schematics - 22kV Switchgear WIL00-HVSG-0002A OUTGOING FEEDER SCHEMATIC = JZ02</v>
          </cell>
        </row>
        <row r="1226">
          <cell r="M1226" t="str">
            <v>131236-DR-E</v>
          </cell>
          <cell r="N1226" t="str">
            <v>Panel Schematics - 22kV Switchgear WIL00-HVSG-0002A OUTGOING FEEDER SCHEMATIC = JZ02</v>
          </cell>
        </row>
        <row r="1227">
          <cell r="M1227" t="str">
            <v>131236-DR-E</v>
          </cell>
          <cell r="N1227" t="str">
            <v>Panel Schematics - 22kV Switchgear WIL00-HVSG-0002A OUTGOING FEEDER SCHEMATIC = JZ02</v>
          </cell>
        </row>
        <row r="1228">
          <cell r="M1228" t="str">
            <v>131236-DR-E</v>
          </cell>
          <cell r="N1228" t="str">
            <v>Panel Schematics - 22kV Switchgear WIL00-HVSG-0002A OUTGOING FEEDER SCHEMATIC = JZ02</v>
          </cell>
        </row>
        <row r="1229">
          <cell r="M1229" t="str">
            <v>131236-DR-E</v>
          </cell>
          <cell r="N1229" t="str">
            <v>Panel Schematics - 22kV Switchgear WIL00-HVSG-0002A OUTGOING FEEDER SCHEMATIC = JZ02</v>
          </cell>
        </row>
        <row r="1230">
          <cell r="M1230" t="str">
            <v>131236-DR-E</v>
          </cell>
          <cell r="N1230" t="str">
            <v>Panel Schematics - 22kV Switchgear WIL00-HVSG-0002A OUTGOING FEEDER SCHEMATIC = JZ02</v>
          </cell>
        </row>
        <row r="1231">
          <cell r="M1231" t="str">
            <v>131236-DR-E</v>
          </cell>
          <cell r="N1231" t="str">
            <v>Panel Schematics - 22kV Switchgear WIL00-HVSG-0002A OUTGOING FEEDER SCHEMATIC = JZ02</v>
          </cell>
        </row>
        <row r="1232">
          <cell r="M1232" t="str">
            <v>131236-DR-E</v>
          </cell>
          <cell r="N1232" t="str">
            <v>Panel Schematics - 22kV Switchgear WIL00-HVSG-0002A OUTGOING FEEDER SCHEMATIC = JZ02</v>
          </cell>
        </row>
        <row r="1233">
          <cell r="M1233" t="str">
            <v>131236-DR-E</v>
          </cell>
          <cell r="N1233" t="str">
            <v>Panel Schematics - 22kV Switchgear WIL00-HVSG-0002A OUTGOING FEEDER SCHEMATIC = JZ02</v>
          </cell>
        </row>
        <row r="1234">
          <cell r="M1234" t="str">
            <v>131236-DR-E</v>
          </cell>
          <cell r="N1234" t="str">
            <v>Panel Schematics - 22kV Switchgear WIL00-HVSG-0002A OUTGOING FEEDER SCHEMATIC = JZ02</v>
          </cell>
        </row>
        <row r="1235">
          <cell r="M1235" t="str">
            <v>131236-DR-E</v>
          </cell>
          <cell r="N1235" t="str">
            <v>Panel Schematics - 22kV Switchgear WIL00-HVSG-0002A OUTGOING FEEDER SCHEMATIC = JZ02</v>
          </cell>
        </row>
        <row r="1236">
          <cell r="M1236" t="str">
            <v>131236-DR-E</v>
          </cell>
          <cell r="N1236" t="str">
            <v>Panel Schematics - 22kV Switchgear WIL00-HVSG-0002A OUTGOING FEEDER SCHEMATIC = JZ02</v>
          </cell>
        </row>
        <row r="1237">
          <cell r="M1237" t="str">
            <v>131236-DR-E</v>
          </cell>
          <cell r="N1237" t="str">
            <v>Panel Schematics - 22kV Switchgear WIL00-HVSG-0002A OUTGOING FEEDER SCHEMATIC = JZ02</v>
          </cell>
        </row>
        <row r="1238">
          <cell r="M1238" t="str">
            <v>131236-DR-E</v>
          </cell>
          <cell r="N1238" t="str">
            <v>Panel Schematics - 22kV Switchgear WIL00-HVSG-0002A OUTGOING FEEDER SCHEMATIC = JZ02</v>
          </cell>
        </row>
        <row r="1239">
          <cell r="M1239" t="str">
            <v>131236-DR-E</v>
          </cell>
          <cell r="N1239" t="str">
            <v>Panel Schematics - 22kV Switchgear WIL00-HVSG-0002A OUTGOING FEEDER SCHEMATIC = JZ02</v>
          </cell>
        </row>
        <row r="1240">
          <cell r="M1240" t="str">
            <v>131236-DR-E</v>
          </cell>
          <cell r="N1240" t="str">
            <v>Panel Schematics - 22kV Switchgear WIL00-HVSG-0002A OUTGOING FEEDER SCHEMATIC = JZ02</v>
          </cell>
        </row>
        <row r="1241">
          <cell r="M1241" t="str">
            <v>131236-DR-E</v>
          </cell>
          <cell r="N1241" t="str">
            <v>Panel Schematics - 22kV Switchgear WIL00-HVSG-0002A OUTGOING FEEDER SCHEMATIC = JZ02</v>
          </cell>
        </row>
        <row r="1242">
          <cell r="M1242" t="str">
            <v>131236-DR-E</v>
          </cell>
          <cell r="N1242" t="str">
            <v>Panel Schematics - 22kV Switchgear WIL00-HVSG-0002A OUTGOING FEEDER SCHEMATIC = JZ02</v>
          </cell>
        </row>
        <row r="1243">
          <cell r="M1243" t="str">
            <v>131236-DR-E</v>
          </cell>
          <cell r="N1243" t="str">
            <v>Panel Schematics - 22kV Switchgear WIL00-HVSG-0002A OUTGOING FEEDER SCHEMATIC = JZ02</v>
          </cell>
        </row>
        <row r="1244">
          <cell r="M1244" t="str">
            <v>131236-DR-E</v>
          </cell>
          <cell r="N1244" t="str">
            <v>Panel Schematics - 22kV Switchgear WIL00-HVSG-0002A OUTGOING FEEDER SCHEMATIC = JZ02</v>
          </cell>
        </row>
        <row r="1245">
          <cell r="M1245" t="str">
            <v>131236-DR-E</v>
          </cell>
          <cell r="N1245" t="str">
            <v>Panel Schematics - 22kV Switchgear WIL00-HVSG-0002A OUTGOING FEEDER SCHEMATIC = JZ02</v>
          </cell>
        </row>
        <row r="1246">
          <cell r="M1246" t="str">
            <v>131236-DR-E</v>
          </cell>
          <cell r="N1246" t="str">
            <v>Panel Schematics - 22kV Switchgear WIL00-HVSG-0002A OUTGOING FEEDER SCHEMATIC = JZ02</v>
          </cell>
        </row>
        <row r="1247">
          <cell r="M1247" t="str">
            <v>131236-DR-E</v>
          </cell>
          <cell r="N1247" t="str">
            <v>Panel Schematics - 22kV Switchgear WIL00-HVSG-0002A OUTGOING FEEDER SCHEMATIC = JZ02</v>
          </cell>
        </row>
        <row r="1248">
          <cell r="M1248" t="str">
            <v>131236-DR-E</v>
          </cell>
          <cell r="N1248" t="str">
            <v>Panel Schematics - 22kV Switchgear WIL00-HVSG-0002A OUTGOING FEEDER SCHEMATIC = JZ02</v>
          </cell>
        </row>
        <row r="1249">
          <cell r="M1249" t="str">
            <v>131236-DR-E</v>
          </cell>
          <cell r="N1249" t="str">
            <v>Panel Schematics - 22kV Switchgear WIL00-HVSG-0002A OUTGOING FEEDER SCHEMATIC = JZ02</v>
          </cell>
        </row>
        <row r="1250">
          <cell r="M1250" t="str">
            <v>131236-DR-E</v>
          </cell>
          <cell r="N1250" t="str">
            <v>Panel Schematics - 22kV Switchgear WIL00-HVSG-0002A OUTGOING FEEDER SCHEMATIC = JZ02</v>
          </cell>
        </row>
        <row r="1251">
          <cell r="M1251" t="str">
            <v>131236-DR-E</v>
          </cell>
          <cell r="N1251" t="str">
            <v>Panel Schematics - 22kV Switchgear WIL00-HVSG-0002A TERMINAL CONNECTION TABLE = JZ02</v>
          </cell>
        </row>
        <row r="1252">
          <cell r="M1252" t="str">
            <v>131236-DR-E</v>
          </cell>
          <cell r="N1252" t="str">
            <v>Panel Schematics - 22kV Switchgear WIL00-HVSG-0002A TERMINAL CONNECTION TABLE = JZ02</v>
          </cell>
        </row>
        <row r="1253">
          <cell r="M1253" t="str">
            <v>131236-DR-E</v>
          </cell>
          <cell r="N1253" t="str">
            <v>Panel Schematics - 22kV Switchgear WIL00-HVSG-0002A TERMINAL CONNECTION TABLE = JZ02</v>
          </cell>
        </row>
        <row r="1254">
          <cell r="M1254" t="str">
            <v>131236-DR-E</v>
          </cell>
          <cell r="N1254" t="str">
            <v>Panel Schematics - 22kV Switchgear WIL00-HVSG-0002A TERMINAL CONNECTION TABLE = JZ02</v>
          </cell>
        </row>
        <row r="1255">
          <cell r="M1255" t="str">
            <v>131236-DR-E</v>
          </cell>
          <cell r="N1255" t="str">
            <v>Panel Schematics - 22kV Switchgear WIL00-HVSG-0002A TERMINAL CONNECTION TABLE = JZ02</v>
          </cell>
        </row>
        <row r="1256">
          <cell r="M1256" t="str">
            <v>131236-DR-E</v>
          </cell>
          <cell r="N1256" t="str">
            <v>Panel Schematics - 22kV Switchgear WIL00-HVSG-0002A TERMINAL CONNECTION TABLE = JZ02</v>
          </cell>
        </row>
        <row r="1257">
          <cell r="M1257" t="str">
            <v>131236-DR-E</v>
          </cell>
          <cell r="N1257" t="str">
            <v>Panel Schematics - 22kV Switchgear WIL00-HVSG-0002A TERMINAL CONNECTION TABLE = JZ02</v>
          </cell>
        </row>
        <row r="1258">
          <cell r="M1258" t="str">
            <v>131236-DR-E</v>
          </cell>
          <cell r="N1258" t="str">
            <v>Panel Schematics - 22kV Switchgear WIL00-HVSG-0002A TERMINAL CONNECTION TABLE = JZ02</v>
          </cell>
        </row>
        <row r="1259">
          <cell r="M1259" t="str">
            <v>131236-DR-E</v>
          </cell>
          <cell r="N1259" t="str">
            <v>Panel Schematics - 22kV Switchgear WIL00-HVSG-0002A TERMINAL CONNECTION TABLE = JZ02</v>
          </cell>
        </row>
        <row r="1260">
          <cell r="M1260" t="str">
            <v>131236-DR-E</v>
          </cell>
          <cell r="N1260" t="str">
            <v>Panel Schematics - 22kV Switchgear WIL00-HVSG-0002A TERMINAL CONNECTION TABLE = JZ02</v>
          </cell>
        </row>
        <row r="1261">
          <cell r="M1261" t="str">
            <v>131236-DR-E</v>
          </cell>
          <cell r="N1261" t="str">
            <v>Panel Schematics - 22kV Switchgear WIL00-HVSG-0002A TERMINAL CONNECTION TABLE = JZ02</v>
          </cell>
        </row>
        <row r="1262">
          <cell r="M1262" t="str">
            <v>131236-DR-E</v>
          </cell>
          <cell r="N1262" t="str">
            <v>Panel Schematics - 22kV Switchgear WIL00-HVSG-0002A TERMINAL CONNECTION TABLE = JZ02</v>
          </cell>
        </row>
        <row r="1263">
          <cell r="M1263" t="str">
            <v>131236-DR-E</v>
          </cell>
          <cell r="N1263" t="str">
            <v>Panel Schematics - 22kV Switchgear WIL00-HVSG-0002A TERMINAL CONNECTION TABLE = JZ02</v>
          </cell>
        </row>
        <row r="1264">
          <cell r="M1264" t="str">
            <v>131236-DR-E</v>
          </cell>
          <cell r="N1264" t="str">
            <v>Panel Schematics - 22kV Switchgear WIL00-HVSG-0002A TERMINAL CONNECTION TABLE = JZ02</v>
          </cell>
        </row>
        <row r="1265">
          <cell r="M1265" t="str">
            <v>131236-DR-E</v>
          </cell>
          <cell r="N1265" t="str">
            <v>Panel Schematics - 22kV Switchgear WIL00-HVSG-0002A TERMINAL CONNECTION TABLE = JZ02</v>
          </cell>
        </row>
        <row r="1266">
          <cell r="M1266" t="str">
            <v>131236-DR-E</v>
          </cell>
          <cell r="N1266" t="str">
            <v>Panel Schematics - 22kV Switchgear WIL00-HVSG-0002A TERMINAL CONNECTION TABLE = JZ02</v>
          </cell>
        </row>
        <row r="1267">
          <cell r="M1267" t="str">
            <v>131236-DR-E</v>
          </cell>
          <cell r="N1267" t="str">
            <v>Panel Schematics - 22kV Switchgear WIL00-HVSG-0002A OUTGOING FEEDER SCHEMATIC = JZ03a</v>
          </cell>
        </row>
        <row r="1268">
          <cell r="M1268" t="str">
            <v>131236-DR-E</v>
          </cell>
          <cell r="N1268" t="str">
            <v>Panel Schematics - 22kV Switchgear WIL00-HVSG-0002A OUTGOING FEEDER SCHEMATIC = JZ03a</v>
          </cell>
        </row>
        <row r="1269">
          <cell r="M1269" t="str">
            <v>131236-DR-E</v>
          </cell>
          <cell r="N1269" t="str">
            <v>Panel Schematics - 22kV Switchgear WIL00-HVSG-0002A OUTGOING FEEDER SCHEMATIC = JZ03a</v>
          </cell>
        </row>
        <row r="1270">
          <cell r="M1270" t="str">
            <v>131236-DR-E</v>
          </cell>
          <cell r="N1270" t="str">
            <v>Panel Schematics - 22kV Switchgear WIL00-HVSG-0002A OUTGOING FEEDER SCHEMATIC = JZ03a</v>
          </cell>
        </row>
        <row r="1271">
          <cell r="M1271" t="str">
            <v>131236-DR-E</v>
          </cell>
          <cell r="N1271" t="str">
            <v>Panel Schematics - 22kV Switchgear WIL00-HVSG-0002A OUTGOING FEEDER SCHEMATIC = JZ03a</v>
          </cell>
        </row>
        <row r="1272">
          <cell r="M1272" t="str">
            <v>131236-DR-E</v>
          </cell>
          <cell r="N1272" t="str">
            <v>Panel Schematics - 22kV Switchgear WIL00-HVSG-0002A OUTGOING FEEDER SCHEMATIC = JZ03a</v>
          </cell>
        </row>
        <row r="1273">
          <cell r="M1273" t="str">
            <v>131236-DR-E</v>
          </cell>
          <cell r="N1273" t="str">
            <v>Panel Schematics - 22kV Switchgear WIL00-HVSG-0002A OUTGOING FEEDER SCHEMATIC = JZ03a</v>
          </cell>
        </row>
        <row r="1274">
          <cell r="M1274" t="str">
            <v>131236-DR-E</v>
          </cell>
          <cell r="N1274" t="str">
            <v>Panel Schematics - 22kV Switchgear WIL00-HVSG-0002A OUTGOING FEEDER SCHEMATIC = JZ03a</v>
          </cell>
        </row>
        <row r="1275">
          <cell r="M1275" t="str">
            <v>131236-DR-E</v>
          </cell>
          <cell r="N1275" t="str">
            <v>Panel Schematics - 22kV Switchgear WIL00-HVSG-0002A OUTGOING FEEDER SCHEMATIC = JZ03a</v>
          </cell>
        </row>
        <row r="1276">
          <cell r="M1276" t="str">
            <v>131236-DR-E</v>
          </cell>
          <cell r="N1276" t="str">
            <v>Panel Schematics - 22kV Switchgear WIL00-HVSG-0002A OUTGOING FEEDER SCHEMATIC = JZ03a</v>
          </cell>
        </row>
        <row r="1277">
          <cell r="M1277" t="str">
            <v>131236-DR-E</v>
          </cell>
          <cell r="N1277" t="str">
            <v>Panel Schematics - 22kV Switchgear WIL00-HVSG-0002A OUTGOING FEEDER SCHEMATIC = JZ03a</v>
          </cell>
        </row>
        <row r="1278">
          <cell r="M1278" t="str">
            <v>131236-DR-E</v>
          </cell>
          <cell r="N1278" t="str">
            <v>Panel Schematics - 22kV Switchgear WIL00-HVSG-0002A OUTGOING FEEDER SCHEMATIC = JZ03a</v>
          </cell>
        </row>
        <row r="1279">
          <cell r="M1279" t="str">
            <v>131236-DR-E</v>
          </cell>
          <cell r="N1279" t="str">
            <v>Panel Schematics - 22kV Switchgear WIL00-HVSG-0002A OUTGOING FEEDER SCHEMATIC = JZ03a</v>
          </cell>
        </row>
        <row r="1280">
          <cell r="M1280" t="str">
            <v>131236-DR-E</v>
          </cell>
          <cell r="N1280" t="str">
            <v>Panel Schematics - 22kV Switchgear WIL00-HVSG-0002A OUTGOING FEEDER SCHEMATIC = JZ03a</v>
          </cell>
        </row>
        <row r="1281">
          <cell r="M1281" t="str">
            <v>131236-DR-E</v>
          </cell>
          <cell r="N1281" t="str">
            <v>Panel Schematics - 22kV Switchgear WIL00-HVSG-0002A OUTGOING FEEDER SCHEMATIC = JZ03a</v>
          </cell>
        </row>
        <row r="1282">
          <cell r="M1282" t="str">
            <v>131236-DR-E</v>
          </cell>
          <cell r="N1282" t="str">
            <v>Panel Schematics - 22kV Switchgear WIL00-HVSG-0002A OUTGOING FEEDER SCHEMATIC = JZ03a</v>
          </cell>
        </row>
        <row r="1283">
          <cell r="M1283" t="str">
            <v>131236-DR-E</v>
          </cell>
          <cell r="N1283" t="str">
            <v>Panel Schematics - 22kV Switchgear WIL00-HVSG-0002A OUTGOING FEEDER SCHEMATIC = JZ03a</v>
          </cell>
        </row>
        <row r="1284">
          <cell r="M1284" t="str">
            <v>131236-DR-E</v>
          </cell>
          <cell r="N1284" t="str">
            <v>Panel Schematics - 22kV Switchgear WIL00-HVSG-0002A OUTGOING FEEDER SCHEMATIC = JZ03a</v>
          </cell>
        </row>
        <row r="1285">
          <cell r="M1285" t="str">
            <v>131236-DR-E</v>
          </cell>
          <cell r="N1285" t="str">
            <v>Panel Schematics - 22kV Switchgear WIL00-HVSG-0002A OUTGOING FEEDER SCHEMATIC = JZ03a</v>
          </cell>
        </row>
        <row r="1286">
          <cell r="M1286" t="str">
            <v>131236-DR-E</v>
          </cell>
          <cell r="N1286" t="str">
            <v>Panel Schematics - 22kV Switchgear WIL00-HVSG-0002A OUTGOING FEEDER SCHEMATIC = JZ03a</v>
          </cell>
        </row>
        <row r="1287">
          <cell r="M1287" t="str">
            <v>131236-DR-E</v>
          </cell>
          <cell r="N1287" t="str">
            <v>Panel Schematics - 22kV Switchgear WIL00-HVSG-0002A OUTGOING FEEDER SCHEMATIC = JZ03a</v>
          </cell>
        </row>
        <row r="1288">
          <cell r="M1288" t="str">
            <v>131236-DR-E</v>
          </cell>
          <cell r="N1288" t="str">
            <v>Panel Schematics - 22kV Switchgear WIL00-HVSG-0002A OUTGOING FEEDER SCHEMATIC = JZ03a</v>
          </cell>
        </row>
        <row r="1289">
          <cell r="M1289" t="str">
            <v>131236-DR-E</v>
          </cell>
          <cell r="N1289" t="str">
            <v>Panel Schematics - 22kV Switchgear WIL00-HVSG-0002A OUTGOING FEEDER SCHEMATIC = JZ03a</v>
          </cell>
        </row>
        <row r="1290">
          <cell r="M1290" t="str">
            <v>131236-DR-E</v>
          </cell>
          <cell r="N1290" t="str">
            <v>Panel Schematics - 22kV Switchgear WIL00-HVSG-0002A OUTGOING FEEDER SCHEMATIC = JZ03a</v>
          </cell>
        </row>
        <row r="1291">
          <cell r="M1291" t="str">
            <v>131236-DR-E</v>
          </cell>
          <cell r="N1291" t="str">
            <v>Panel Schematics - 22kV Switchgear WIL00-HVSG-0002A TERMINAL CONNECTION TABLE = JZ03a</v>
          </cell>
        </row>
        <row r="1292">
          <cell r="M1292" t="str">
            <v>131236-DR-E</v>
          </cell>
          <cell r="N1292" t="str">
            <v>Panel Schematics - 22kV Switchgear WIL00-HVSG-0002A TERMINAL CONNECTION TABLE = JZ03a</v>
          </cell>
        </row>
        <row r="1293">
          <cell r="M1293" t="str">
            <v>131236-DR-E</v>
          </cell>
          <cell r="N1293" t="str">
            <v>Panel Schematics - 22kV Switchgear WIL00-HVSG-0002A TERMINAL CONNECTION TABLE = JZ03a</v>
          </cell>
        </row>
        <row r="1294">
          <cell r="M1294" t="str">
            <v>131236-DR-E</v>
          </cell>
          <cell r="N1294" t="str">
            <v>Panel Schematics - 22kV Switchgear WIL00-HVSG-0002A TERMINAL CONNECTION TABLE = JZ03a</v>
          </cell>
        </row>
        <row r="1295">
          <cell r="M1295" t="str">
            <v>131236-DR-E</v>
          </cell>
          <cell r="N1295" t="str">
            <v>Panel Schematics - 22kV Switchgear WIL00-HVSG-0002A TERMINAL CONNECTION TABLE = JZ03a</v>
          </cell>
        </row>
        <row r="1296">
          <cell r="M1296" t="str">
            <v>131236-DR-E</v>
          </cell>
          <cell r="N1296" t="str">
            <v>Panel Schematics - 22kV Switchgear WIL00-HVSG-0002A TERMINAL CONNECTION TABLE = JZ03a</v>
          </cell>
        </row>
        <row r="1297">
          <cell r="M1297" t="str">
            <v>131236-DR-E</v>
          </cell>
          <cell r="N1297" t="str">
            <v>Panel Schematics - 22kV Switchgear WIL00-HVSG-0002A TERMINAL CONNECTION TABLE = JZ03a</v>
          </cell>
        </row>
        <row r="1298">
          <cell r="M1298" t="str">
            <v>131236-DR-E</v>
          </cell>
          <cell r="N1298" t="str">
            <v>Panel Schematics - 22kV Switchgear WIL00-HVSG-0002A TERMINAL CONNECTION TABLE = JZ03a</v>
          </cell>
        </row>
        <row r="1299">
          <cell r="M1299" t="str">
            <v>131236-DR-E</v>
          </cell>
          <cell r="N1299" t="str">
            <v>Panel Schematics - 22kV Switchgear WIL00-HVSG-0002A TERMINAL CONNECTION TABLE = JZ03a</v>
          </cell>
        </row>
        <row r="1300">
          <cell r="M1300" t="str">
            <v>131236-DR-E</v>
          </cell>
          <cell r="N1300" t="str">
            <v>Panel Schematics - 22kV Switchgear WIL00-HVSG-0002A TERMINAL CONNECTION TABLE = JZ03a</v>
          </cell>
        </row>
        <row r="1301">
          <cell r="M1301" t="str">
            <v>131236-DR-E</v>
          </cell>
          <cell r="N1301" t="str">
            <v>Panel Schematics - 22kV Switchgear WIL00-HVSG-0002A TERMINAL CONNECTION TABLE = JZ03a</v>
          </cell>
        </row>
        <row r="1302">
          <cell r="M1302" t="str">
            <v>131236-DR-E</v>
          </cell>
          <cell r="N1302" t="str">
            <v>Panel Schematics - 22kV Switchgear WIL00-HVSG-0002A TERMINAL CONNECTION TABLE = JZ03a</v>
          </cell>
        </row>
        <row r="1303">
          <cell r="M1303" t="str">
            <v>131236-DR-E</v>
          </cell>
          <cell r="N1303" t="str">
            <v>Panel Schematics - 22kV Switchgear WIL00-HVSG-0002A TERMINAL CONNECTION TABLE = JZ03a</v>
          </cell>
        </row>
        <row r="1304">
          <cell r="M1304" t="str">
            <v>131236-DR-E</v>
          </cell>
          <cell r="N1304" t="str">
            <v>Panel Schematics - 22kV Switchgear WIL00-HVSG-0002A TERMINAL CONNECTION TABLE = JZ03a</v>
          </cell>
        </row>
        <row r="1305">
          <cell r="M1305" t="str">
            <v>131236-DR-E</v>
          </cell>
          <cell r="N1305" t="str">
            <v>Panel Schematics - 22kV Switchgear WIL00-HVSG-0002A TERMINAL CONNECTION TABLE = JZ03a</v>
          </cell>
        </row>
        <row r="1306">
          <cell r="M1306" t="str">
            <v>131236-DR-E</v>
          </cell>
          <cell r="N1306" t="str">
            <v>Panel Schematics - 22kV Switchgear WIL00-HVSG-0002A TERMINAL CONNECTION TABLE = JZ03a</v>
          </cell>
        </row>
        <row r="1307">
          <cell r="M1307" t="str">
            <v>131236-DR-E</v>
          </cell>
          <cell r="N1307" t="str">
            <v>Panel Schematics - 22kV Switchgear WIL00-HVSG-0002A TERMINAL CONNECTION TABLE = JZ03a</v>
          </cell>
        </row>
        <row r="1308">
          <cell r="M1308" t="str">
            <v>131236-DR-E</v>
          </cell>
          <cell r="N1308" t="str">
            <v>Panel Schematics - 22kV Switchgear WIL00-HVSG-0002A OUTGOING FEEDER SCHEMATIC = JZ03</v>
          </cell>
        </row>
        <row r="1309">
          <cell r="M1309" t="str">
            <v>131236-DR-E</v>
          </cell>
          <cell r="N1309" t="str">
            <v>Panel Schematics - 22kV Switchgear WIL00-HVSG-0002A OUTGOING FEEDER SCHEMATIC = JZ03</v>
          </cell>
        </row>
        <row r="1310">
          <cell r="M1310" t="str">
            <v>131236-DR-E</v>
          </cell>
          <cell r="N1310" t="str">
            <v>Panel Schematics - 22kV Switchgear WIL00-HVSG-0002A OUTGOING FEEDER SCHEMATIC = JZ03</v>
          </cell>
        </row>
        <row r="1311">
          <cell r="M1311" t="str">
            <v>131236-DR-E</v>
          </cell>
          <cell r="N1311" t="str">
            <v>Panel Schematics - 22kV Switchgear WIL00-HVSG-0002A OUTGOING FEEDER SCHEMATIC = JZ03</v>
          </cell>
        </row>
        <row r="1312">
          <cell r="M1312" t="str">
            <v>131236-DR-E</v>
          </cell>
          <cell r="N1312" t="str">
            <v>Panel Schematics - 22kV Switchgear WIL00-HVSG-0002A OUTGOING FEEDER SCHEMATIC = JZ03</v>
          </cell>
        </row>
        <row r="1313">
          <cell r="M1313" t="str">
            <v>131236-DR-E</v>
          </cell>
          <cell r="N1313" t="str">
            <v>Panel Schematics - 22kV Switchgear WIL00-HVSG-0002A OUTGOING FEEDER SCHEMATIC = JZ03</v>
          </cell>
        </row>
        <row r="1314">
          <cell r="M1314" t="str">
            <v>131236-DR-E</v>
          </cell>
          <cell r="N1314" t="str">
            <v>Panel Schematics - 22kV Switchgear WIL00-HVSG-0002A OUTGOING FEEDER SCHEMATIC = JZ03</v>
          </cell>
        </row>
        <row r="1315">
          <cell r="M1315" t="str">
            <v>131236-DR-E</v>
          </cell>
          <cell r="N1315" t="str">
            <v>Panel Schematics - 22kV Switchgear WIL00-HVSG-0002A OUTGOING FEEDER SCHEMATIC = JZ03</v>
          </cell>
        </row>
        <row r="1316">
          <cell r="M1316" t="str">
            <v>131236-DR-E</v>
          </cell>
          <cell r="N1316" t="str">
            <v>Panel Schematics - 22kV Switchgear WIL00-HVSG-0002A OUTGOING FEEDER SCHEMATIC = JZ03</v>
          </cell>
        </row>
        <row r="1317">
          <cell r="M1317" t="str">
            <v>131236-DR-E</v>
          </cell>
          <cell r="N1317" t="str">
            <v>Panel Schematics - 22kV Switchgear WIL00-HVSG-0002A OUTGOING FEEDER SCHEMATIC = JZ03</v>
          </cell>
        </row>
        <row r="1318">
          <cell r="M1318" t="str">
            <v>131236-DR-E</v>
          </cell>
          <cell r="N1318" t="str">
            <v>Panel Schematics - 22kV Switchgear WIL00-HVSG-0002A OUTGOING FEEDER SCHEMATIC = JZ03</v>
          </cell>
        </row>
        <row r="1319">
          <cell r="M1319" t="str">
            <v>131236-DR-E</v>
          </cell>
          <cell r="N1319" t="str">
            <v>Panel Schematics - 22kV Switchgear WIL00-HVSG-0002A OUTGOING FEEDER SCHEMATIC = JZ03</v>
          </cell>
        </row>
        <row r="1320">
          <cell r="M1320" t="str">
            <v>131236-DR-E</v>
          </cell>
          <cell r="N1320" t="str">
            <v>Panel Schematics - 22kV Switchgear WIL00-HVSG-0002A OUTGOING FEEDER SCHEMATIC = JZ03</v>
          </cell>
        </row>
        <row r="1321">
          <cell r="M1321" t="str">
            <v>131236-DR-E</v>
          </cell>
          <cell r="N1321" t="str">
            <v>Panel Schematics - 22kV Switchgear WIL00-HVSG-0002A OUTGOING FEEDER SCHEMATIC = JZ03</v>
          </cell>
        </row>
        <row r="1322">
          <cell r="M1322" t="str">
            <v>131236-DR-E</v>
          </cell>
          <cell r="N1322" t="str">
            <v>Panel Schematics - 22kV Switchgear WIL00-HVSG-0002A OUTGOING FEEDER SCHEMATIC = JZ03</v>
          </cell>
        </row>
        <row r="1323">
          <cell r="M1323" t="str">
            <v>131236-DR-E</v>
          </cell>
          <cell r="N1323" t="str">
            <v>Panel Schematics - 22kV Switchgear WIL00-HVSG-0002A OUTGOING FEEDER SCHEMATIC = JZ03</v>
          </cell>
        </row>
        <row r="1324">
          <cell r="M1324" t="str">
            <v>131236-DR-E</v>
          </cell>
          <cell r="N1324" t="str">
            <v>Panel Schematics - 22kV Switchgear WIL00-HVSG-0002A OUTGOING FEEDER SCHEMATIC = JZ03</v>
          </cell>
        </row>
        <row r="1325">
          <cell r="M1325" t="str">
            <v>131236-DR-E</v>
          </cell>
          <cell r="N1325" t="str">
            <v>Panel Schematics - 22kV Switchgear WIL00-HVSG-0002A OUTGOING FEEDER SCHEMATIC = JZ03</v>
          </cell>
        </row>
        <row r="1326">
          <cell r="M1326" t="str">
            <v>131236-DR-E</v>
          </cell>
          <cell r="N1326" t="str">
            <v>Panel Schematics - 22kV Switchgear WIL00-HVSG-0002A OUTGOING FEEDER SCHEMATIC = JZ03</v>
          </cell>
        </row>
        <row r="1327">
          <cell r="M1327" t="str">
            <v>131236-DR-E</v>
          </cell>
          <cell r="N1327" t="str">
            <v>Panel Schematics - 22kV Switchgear WIL00-HVSG-0002A OUTGOING FEEDER SCHEMATIC = JZ03</v>
          </cell>
        </row>
        <row r="1328">
          <cell r="M1328" t="str">
            <v>131236-DR-E</v>
          </cell>
          <cell r="N1328" t="str">
            <v>Panel Schematics - 22kV Switchgear WIL00-HVSG-0002A OUTGOING FEEDER SCHEMATIC = JZ03</v>
          </cell>
        </row>
        <row r="1329">
          <cell r="M1329" t="str">
            <v>131236-DR-E</v>
          </cell>
          <cell r="N1329" t="str">
            <v>Panel Schematics - 22kV Switchgear WIL00-HVSG-0002A OUTGOING FEEDER SCHEMATIC = JZ03</v>
          </cell>
        </row>
        <row r="1330">
          <cell r="M1330" t="str">
            <v>131236-DR-E</v>
          </cell>
          <cell r="N1330" t="str">
            <v>Panel Schematics - 22kV Switchgear WIL00-HVSG-0002A OUTGOING FEEDER SCHEMATIC = JZ03</v>
          </cell>
        </row>
        <row r="1331">
          <cell r="M1331" t="str">
            <v>131236-DR-E</v>
          </cell>
          <cell r="N1331" t="str">
            <v>Panel Schematics - 22kV Switchgear WIL00-HVSG-0002A TERMINAL CONNECTION TABLE = JZ03</v>
          </cell>
        </row>
        <row r="1332">
          <cell r="M1332" t="str">
            <v>131236-DR-E</v>
          </cell>
          <cell r="N1332" t="str">
            <v>Panel Schematics - 22kV Switchgear WIL00-HVSG-0002A TERMINAL CONNECTION TABLE = JZ03</v>
          </cell>
        </row>
        <row r="1333">
          <cell r="M1333" t="str">
            <v>131236-DR-E</v>
          </cell>
          <cell r="N1333" t="str">
            <v>Panel Schematics - 22kV Switchgear WIL00-HVSG-0002A TERMINAL CONNECTION TABLE = JZ03</v>
          </cell>
        </row>
        <row r="1334">
          <cell r="M1334" t="str">
            <v>131236-DR-E</v>
          </cell>
          <cell r="N1334" t="str">
            <v>Panel Schematics - 22kV Switchgear WIL00-HVSG-0002A TERMINAL CONNECTION TABLE = JZ03</v>
          </cell>
        </row>
        <row r="1335">
          <cell r="M1335" t="str">
            <v>131236-DR-E</v>
          </cell>
          <cell r="N1335" t="str">
            <v>Panel Schematics - 22kV Switchgear WIL00-HVSG-0002A TERMINAL CONNECTION TABLE = JZ03</v>
          </cell>
        </row>
        <row r="1336">
          <cell r="M1336" t="str">
            <v>131236-DR-E</v>
          </cell>
          <cell r="N1336" t="str">
            <v>Panel Schematics - 22kV Switchgear WIL00-HVSG-0002A TERMINAL CONNECTION TABLE = JZ03</v>
          </cell>
        </row>
        <row r="1337">
          <cell r="M1337" t="str">
            <v>131236-DR-E</v>
          </cell>
          <cell r="N1337" t="str">
            <v>Panel Schematics - 22kV Switchgear WIL00-HVSG-0002A TERMINAL CONNECTION TABLE = JZ03</v>
          </cell>
        </row>
        <row r="1338">
          <cell r="M1338" t="str">
            <v>131236-DR-E</v>
          </cell>
          <cell r="N1338" t="str">
            <v>Panel Schematics - 22kV Switchgear WIL00-HVSG-0002A TERMINAL CONNECTION TABLE = JZ03</v>
          </cell>
        </row>
        <row r="1339">
          <cell r="M1339" t="str">
            <v>131236-DR-E</v>
          </cell>
          <cell r="N1339" t="str">
            <v>Panel Schematics - 22kV Switchgear WIL00-HVSG-0002A TERMINAL CONNECTION TABLE = JZ03</v>
          </cell>
        </row>
        <row r="1340">
          <cell r="M1340" t="str">
            <v>131236-DR-E</v>
          </cell>
          <cell r="N1340" t="str">
            <v>Panel Schematics - 22kV Switchgear WIL00-HVSG-0002A TERMINAL CONNECTION TABLE = JZ03</v>
          </cell>
        </row>
        <row r="1341">
          <cell r="M1341" t="str">
            <v>131236-DR-E</v>
          </cell>
          <cell r="N1341" t="str">
            <v>Panel Schematics - 22kV Switchgear WIL00-HVSG-0002A TERMINAL CONNECTION TABLE = JZ03</v>
          </cell>
        </row>
        <row r="1342">
          <cell r="M1342" t="str">
            <v>131236-DR-E</v>
          </cell>
          <cell r="N1342" t="str">
            <v>Panel Schematics - 22kV Switchgear WIL00-HVSG-0002A TERMINAL CONNECTION TABLE = JZ03</v>
          </cell>
        </row>
        <row r="1343">
          <cell r="M1343" t="str">
            <v>131236-DR-E</v>
          </cell>
          <cell r="N1343" t="str">
            <v>Panel Schematics - 22kV Switchgear WIL00-HVSG-0002A TERMINAL CONNECTION TABLE = JZ03</v>
          </cell>
        </row>
        <row r="1344">
          <cell r="M1344" t="str">
            <v>131236-DR-E</v>
          </cell>
          <cell r="N1344" t="str">
            <v>Panel Schematics - 22kV Switchgear WIL00-HVSG-0002A TERMINAL CONNECTION TABLE = JZ03</v>
          </cell>
        </row>
        <row r="1345">
          <cell r="M1345" t="str">
            <v>131236-DR-E</v>
          </cell>
          <cell r="N1345" t="str">
            <v>Panel Schematics - 22kV Switchgear WIL00-HVSG-0002A TERMINAL CONNECTION TABLE = JZ03</v>
          </cell>
        </row>
        <row r="1346">
          <cell r="M1346" t="str">
            <v>131236-DR-E</v>
          </cell>
          <cell r="N1346" t="str">
            <v>Panel Schematics - 22kV Switchgear WIL00-HVSG-0002A OUTGOING FEEDER SCHEMATIC = JZ04a</v>
          </cell>
        </row>
        <row r="1347">
          <cell r="M1347" t="str">
            <v>131236-DR-E</v>
          </cell>
          <cell r="N1347" t="str">
            <v>Panel Schematics - 22kV Switchgear WIL00-HVSG-0002A OUTGOING FEEDER SCHEMATIC = JZ04a</v>
          </cell>
        </row>
        <row r="1348">
          <cell r="M1348" t="str">
            <v>131236-DR-E</v>
          </cell>
          <cell r="N1348" t="str">
            <v>Panel Schematics - 22kV Switchgear WIL00-HVSG-0002A OUTGOING FEEDER SCHEMATIC = JZ04a</v>
          </cell>
        </row>
        <row r="1349">
          <cell r="M1349" t="str">
            <v>131236-DR-E</v>
          </cell>
          <cell r="N1349" t="str">
            <v>Panel Schematics - 22kV Switchgear WIL00-HVSG-0002A OUTGOING FEEDER SCHEMATIC = JZ04a</v>
          </cell>
        </row>
        <row r="1350">
          <cell r="M1350" t="str">
            <v>131236-DR-E</v>
          </cell>
          <cell r="N1350" t="str">
            <v>Panel Schematics - 22kV Switchgear WIL00-HVSG-0002A OUTGOING FEEDER SCHEMATIC = JZ04a</v>
          </cell>
        </row>
        <row r="1351">
          <cell r="M1351" t="str">
            <v>131236-DR-E</v>
          </cell>
          <cell r="N1351" t="str">
            <v>Panel Schematics - 22kV Switchgear WIL00-HVSG-0002A OUTGOING FEEDER SCHEMATIC = JZ04a</v>
          </cell>
        </row>
        <row r="1352">
          <cell r="M1352" t="str">
            <v>131236-DR-E</v>
          </cell>
          <cell r="N1352" t="str">
            <v>Panel Schematics - 22kV Switchgear WIL00-HVSG-0002A OUTGOING FEEDER SCHEMATIC = JZ04a</v>
          </cell>
        </row>
        <row r="1353">
          <cell r="M1353" t="str">
            <v>131236-DR-E</v>
          </cell>
          <cell r="N1353" t="str">
            <v>Panel Schematics - 22kV Switchgear WIL00-HVSG-0002A OUTGOING FEEDER SCHEMATIC = JZ04a</v>
          </cell>
        </row>
        <row r="1354">
          <cell r="M1354" t="str">
            <v>131236-DR-E</v>
          </cell>
          <cell r="N1354" t="str">
            <v>Panel Schematics - 22kV Switchgear WIL00-HVSG-0002A OUTGOING FEEDER SCHEMATIC = JZ04a</v>
          </cell>
        </row>
        <row r="1355">
          <cell r="M1355" t="str">
            <v>131236-DR-E</v>
          </cell>
          <cell r="N1355" t="str">
            <v>Panel Schematics - 22kV Switchgear WIL00-HVSG-0002A OUTGOING FEEDER SCHEMATIC = JZ04a</v>
          </cell>
        </row>
        <row r="1356">
          <cell r="M1356" t="str">
            <v>131236-DR-E</v>
          </cell>
          <cell r="N1356" t="str">
            <v>Panel Schematics - 22kV Switchgear WIL00-HVSG-0002A OUTGOING FEEDER SCHEMATIC = JZ04a</v>
          </cell>
        </row>
        <row r="1357">
          <cell r="M1357" t="str">
            <v>131236-DR-E</v>
          </cell>
          <cell r="N1357" t="str">
            <v>Panel Schematics - 22kV Switchgear WIL00-HVSG-0002A OUTGOING FEEDER SCHEMATIC = JZ04a</v>
          </cell>
        </row>
        <row r="1358">
          <cell r="M1358" t="str">
            <v>131236-DR-E</v>
          </cell>
          <cell r="N1358" t="str">
            <v>Panel Schematics - 22kV Switchgear WIL00-HVSG-0002A OUTGOING FEEDER SCHEMATIC = JZ04a</v>
          </cell>
        </row>
        <row r="1359">
          <cell r="M1359" t="str">
            <v>131236-DR-E</v>
          </cell>
          <cell r="N1359" t="str">
            <v>Panel Schematics - 22kV Switchgear WIL00-HVSG-0002A OUTGOING FEEDER SCHEMATIC = JZ04a</v>
          </cell>
        </row>
        <row r="1360">
          <cell r="M1360" t="str">
            <v>131236-DR-E</v>
          </cell>
          <cell r="N1360" t="str">
            <v>Panel Schematics - 22kV Switchgear WIL00-HVSG-0002A OUTGOING FEEDER SCHEMATIC = JZ04a</v>
          </cell>
        </row>
        <row r="1361">
          <cell r="M1361" t="str">
            <v>131236-DR-E</v>
          </cell>
          <cell r="N1361" t="str">
            <v>Panel Schematics - 22kV Switchgear WIL00-HVSG-0002A OUTGOING FEEDER SCHEMATIC = JZ04a</v>
          </cell>
        </row>
        <row r="1362">
          <cell r="M1362" t="str">
            <v>131236-DR-E</v>
          </cell>
          <cell r="N1362" t="str">
            <v>Panel Schematics - 22kV Switchgear WIL00-HVSG-0002A OUTGOING FEEDER SCHEMATIC = JZ04a</v>
          </cell>
        </row>
        <row r="1363">
          <cell r="M1363" t="str">
            <v>131236-DR-E</v>
          </cell>
          <cell r="N1363" t="str">
            <v>Panel Schematics - 22kV Switchgear WIL00-HVSG-0002A OUTGOING FEEDER SCHEMATIC = JZ04a</v>
          </cell>
        </row>
        <row r="1364">
          <cell r="M1364" t="str">
            <v>131236-DR-E</v>
          </cell>
          <cell r="N1364" t="str">
            <v>Panel Schematics - 22kV Switchgear WIL00-HVSG-0002A OUTGOING FEEDER SCHEMATIC = JZ04a</v>
          </cell>
        </row>
        <row r="1365">
          <cell r="M1365" t="str">
            <v>131236-DR-E</v>
          </cell>
          <cell r="N1365" t="str">
            <v>Panel Schematics - 22kV Switchgear WIL00-HVSG-0002A OUTGOING FEEDER SCHEMATIC = JZ04a</v>
          </cell>
        </row>
        <row r="1366">
          <cell r="M1366" t="str">
            <v>131236-DR-E</v>
          </cell>
          <cell r="N1366" t="str">
            <v>Panel Schematics - 22kV Switchgear WIL00-HVSG-0002A OUTGOING FEEDER SCHEMATIC = JZ04a</v>
          </cell>
        </row>
        <row r="1367">
          <cell r="M1367" t="str">
            <v>131236-DR-E</v>
          </cell>
          <cell r="N1367" t="str">
            <v>Panel Schematics - 22kV Switchgear WIL00-HVSG-0002A OUTGOING FEEDER SCHEMATIC = JZ04a</v>
          </cell>
        </row>
        <row r="1368">
          <cell r="M1368" t="str">
            <v>131236-DR-E</v>
          </cell>
          <cell r="N1368" t="str">
            <v>Panel Schematics - 22kV Switchgear WIL00-HVSG-0002A OUTGOING FEEDER SCHEMATIC = JZ04a</v>
          </cell>
        </row>
        <row r="1369">
          <cell r="M1369" t="str">
            <v>131236-DR-E</v>
          </cell>
          <cell r="N1369" t="str">
            <v>Panel Schematics - 22kV Switchgear WIL00-HVSG-0002A OUTGOING FEEDER SCHEMATIC = JZ04a</v>
          </cell>
        </row>
        <row r="1370">
          <cell r="M1370" t="str">
            <v>131236-DR-E</v>
          </cell>
          <cell r="N1370" t="str">
            <v>Panel Schematics - 22kV Switchgear WIL00-HVSG-0002A TERMINAL CONNECTION TABLE = JZ04a</v>
          </cell>
        </row>
        <row r="1371">
          <cell r="M1371" t="str">
            <v>131236-DR-E</v>
          </cell>
          <cell r="N1371" t="str">
            <v>Panel Schematics - 22kV Switchgear WIL00-HVSG-0002A TERMINAL CONNECTION TABLE = JZ04a</v>
          </cell>
        </row>
        <row r="1372">
          <cell r="M1372" t="str">
            <v>131236-DR-E</v>
          </cell>
          <cell r="N1372" t="str">
            <v>Panel Schematics - 22kV Switchgear WIL00-HVSG-0002A TERMINAL CONNECTION TABLE = JZ04a</v>
          </cell>
        </row>
        <row r="1373">
          <cell r="M1373" t="str">
            <v>131236-DR-E</v>
          </cell>
          <cell r="N1373" t="str">
            <v>Panel Schematics - 22kV Switchgear WIL00-HVSG-0002A TERMINAL CONNECTION TABLE = JZ04a</v>
          </cell>
        </row>
        <row r="1374">
          <cell r="M1374" t="str">
            <v>131236-DR-E</v>
          </cell>
          <cell r="N1374" t="str">
            <v>Panel Schematics - 22kV Switchgear WIL00-HVSG-0002A TERMINAL CONNECTION TABLE = JZ04a</v>
          </cell>
        </row>
        <row r="1375">
          <cell r="M1375" t="str">
            <v>131236-DR-E</v>
          </cell>
          <cell r="N1375" t="str">
            <v>Panel Schematics - 22kV Switchgear WIL00-HVSG-0002A TERMINAL CONNECTION TABLE = JZ04a</v>
          </cell>
        </row>
        <row r="1376">
          <cell r="M1376" t="str">
            <v>131236-DR-E</v>
          </cell>
          <cell r="N1376" t="str">
            <v>Panel Schematics - 22kV Switchgear WIL00-HVSG-0002A TERMINAL CONNECTION TABLE = JZ04a</v>
          </cell>
        </row>
        <row r="1377">
          <cell r="M1377" t="str">
            <v>131236-DR-E</v>
          </cell>
          <cell r="N1377" t="str">
            <v>Panel Schematics - 22kV Switchgear WIL00-HVSG-0002A TERMINAL CONNECTION TABLE = JZ04a</v>
          </cell>
        </row>
        <row r="1378">
          <cell r="M1378" t="str">
            <v>131236-DR-E</v>
          </cell>
          <cell r="N1378" t="str">
            <v>Panel Schematics - 22kV Switchgear WIL00-HVSG-0002A TERMINAL CONNECTION TABLE = JZ04a</v>
          </cell>
        </row>
        <row r="1379">
          <cell r="M1379" t="str">
            <v>131236-DR-E</v>
          </cell>
          <cell r="N1379" t="str">
            <v>Panel Schematics - 22kV Switchgear WIL00-HVSG-0002A TERMINAL CONNECTION TABLE = JZ04a</v>
          </cell>
        </row>
        <row r="1380">
          <cell r="M1380" t="str">
            <v>131236-DR-E</v>
          </cell>
          <cell r="N1380" t="str">
            <v>Panel Schematics - 22kV Switchgear WIL00-HVSG-0002A TERMINAL CONNECTION TABLE = JZ04a</v>
          </cell>
        </row>
        <row r="1381">
          <cell r="M1381" t="str">
            <v>131236-DR-E</v>
          </cell>
          <cell r="N1381" t="str">
            <v>Panel Schematics - 22kV Switchgear WIL00-HVSG-0002A TERMINAL CONNECTION TABLE = JZ04a</v>
          </cell>
        </row>
        <row r="1382">
          <cell r="M1382" t="str">
            <v>131236-DR-E</v>
          </cell>
          <cell r="N1382" t="str">
            <v>Panel Schematics - 22kV Switchgear WIL00-HVSG-0002A TERMINAL CONNECTION TABLE = JZ04a</v>
          </cell>
        </row>
        <row r="1383">
          <cell r="M1383" t="str">
            <v>131236-DR-E</v>
          </cell>
          <cell r="N1383" t="str">
            <v>Panel Schematics - 22kV Switchgear WIL00-HVSG-0002A TERMINAL CONNECTION TABLE = JZ04a</v>
          </cell>
        </row>
        <row r="1384">
          <cell r="M1384" t="str">
            <v>131236-DR-E</v>
          </cell>
          <cell r="N1384" t="str">
            <v>Panel Schematics - 22kV Switchgear WIL00-HVSG-0002A TERMINAL CONNECTION TABLE = JZ04a</v>
          </cell>
        </row>
        <row r="1385">
          <cell r="M1385" t="str">
            <v>131236-DR-E</v>
          </cell>
          <cell r="N1385" t="str">
            <v>Panel Schematics - 22kV Switchgear WIL00-HVSG-0002A OUTGOING FEEDER SCHEMATIC = JZ04</v>
          </cell>
        </row>
        <row r="1386">
          <cell r="M1386" t="str">
            <v>131236-DR-E</v>
          </cell>
          <cell r="N1386" t="str">
            <v>Panel Schematics - 22kV Switchgear WIL00-HVSG-0002A OUTGOING FEEDER SCHEMATIC = JZ04</v>
          </cell>
        </row>
        <row r="1387">
          <cell r="M1387" t="str">
            <v>131236-DR-E</v>
          </cell>
          <cell r="N1387" t="str">
            <v>Panel Schematics - 22kV Switchgear WIL00-HVSG-0002A OUTGOING FEEDER SCHEMATIC = JZ04</v>
          </cell>
        </row>
        <row r="1388">
          <cell r="M1388" t="str">
            <v>131236-DR-E</v>
          </cell>
          <cell r="N1388" t="str">
            <v>Panel Schematics - 22kV Switchgear WIL00-HVSG-0002A OUTGOING FEEDER SCHEMATIC = JZ04</v>
          </cell>
        </row>
        <row r="1389">
          <cell r="M1389" t="str">
            <v>131236-DR-E</v>
          </cell>
          <cell r="N1389" t="str">
            <v>Panel Schematics - 22kV Switchgear WIL00-HVSG-0002A OUTGOING FEEDER SCHEMATIC = JZ04</v>
          </cell>
        </row>
        <row r="1390">
          <cell r="M1390" t="str">
            <v>131236-DR-E</v>
          </cell>
          <cell r="N1390" t="str">
            <v>Panel Schematics - 22kV Switchgear WIL00-HVSG-0002A OUTGOING FEEDER SCHEMATIC = JZ04</v>
          </cell>
        </row>
        <row r="1391">
          <cell r="M1391" t="str">
            <v>131236-DR-E</v>
          </cell>
          <cell r="N1391" t="str">
            <v>Panel Schematics - 22kV Switchgear WIL00-HVSG-0002A OUTGOING FEEDER SCHEMATIC = JZ04</v>
          </cell>
        </row>
        <row r="1392">
          <cell r="M1392" t="str">
            <v>131236-DR-E</v>
          </cell>
          <cell r="N1392" t="str">
            <v>Panel Schematics - 22kV Switchgear WIL00-HVSG-0002A OUTGOING FEEDER SCHEMATIC = JZ04</v>
          </cell>
        </row>
        <row r="1393">
          <cell r="M1393" t="str">
            <v>131236-DR-E</v>
          </cell>
          <cell r="N1393" t="str">
            <v>Panel Schematics - 22kV Switchgear WIL00-HVSG-0002A OUTGOING FEEDER SCHEMATIC = JZ04</v>
          </cell>
        </row>
        <row r="1394">
          <cell r="M1394" t="str">
            <v>131236-DR-E</v>
          </cell>
          <cell r="N1394" t="str">
            <v>Panel Schematics - 22kV Switchgear WIL00-HVSG-0002A OUTGOING FEEDER SCHEMATIC = JZ04</v>
          </cell>
        </row>
        <row r="1395">
          <cell r="M1395" t="str">
            <v>131236-DR-E</v>
          </cell>
          <cell r="N1395" t="str">
            <v>Panel Schematics - 22kV Switchgear WIL00-HVSG-0002A OUTGOING FEEDER SCHEMATIC = JZ04</v>
          </cell>
        </row>
        <row r="1396">
          <cell r="M1396" t="str">
            <v>131236-DR-E</v>
          </cell>
          <cell r="N1396" t="str">
            <v>Panel Schematics - 22kV Switchgear WIL00-HVSG-0002A OUTGOING FEEDER SCHEMATIC = JZ04</v>
          </cell>
        </row>
        <row r="1397">
          <cell r="M1397" t="str">
            <v>131236-DR-E</v>
          </cell>
          <cell r="N1397" t="str">
            <v>Panel Schematics - 22kV Switchgear WIL00-HVSG-0002A OUTGOING FEEDER SCHEMATIC = JZ04</v>
          </cell>
        </row>
        <row r="1398">
          <cell r="M1398" t="str">
            <v>131236-DR-E</v>
          </cell>
          <cell r="N1398" t="str">
            <v>Panel Schematics - 22kV Switchgear WIL00-HVSG-0002A OUTGOING FEEDER SCHEMATIC = JZ04</v>
          </cell>
        </row>
        <row r="1399">
          <cell r="M1399" t="str">
            <v>131236-DR-E</v>
          </cell>
          <cell r="N1399" t="str">
            <v>Panel Schematics - 22kV Switchgear WIL00-HVSG-0002A OUTGOING FEEDER SCHEMATIC = JZ04</v>
          </cell>
        </row>
        <row r="1400">
          <cell r="M1400" t="str">
            <v>131236-DR-E</v>
          </cell>
          <cell r="N1400" t="str">
            <v>Panel Schematics - 22kV Switchgear WIL00-HVSG-0002A OUTGOING FEEDER SCHEMATIC = JZ04</v>
          </cell>
        </row>
        <row r="1401">
          <cell r="M1401" t="str">
            <v>131236-DR-E</v>
          </cell>
          <cell r="N1401" t="str">
            <v>Panel Schematics - 22kV Switchgear WIL00-HVSG-0002A OUTGOING FEEDER SCHEMATIC = JZ04</v>
          </cell>
        </row>
        <row r="1402">
          <cell r="M1402" t="str">
            <v>131236-DR-E</v>
          </cell>
          <cell r="N1402" t="str">
            <v>Panel Schematics - 22kV Switchgear WIL00-HVSG-0002A OUTGOING FEEDER SCHEMATIC = JZ04</v>
          </cell>
        </row>
        <row r="1403">
          <cell r="M1403" t="str">
            <v>131236-DR-E</v>
          </cell>
          <cell r="N1403" t="str">
            <v>Panel Schematics - 22kV Switchgear WIL00-HVSG-0002A OUTGOING FEEDER SCHEMATIC = JZ04</v>
          </cell>
        </row>
        <row r="1404">
          <cell r="M1404" t="str">
            <v>131236-DR-E</v>
          </cell>
          <cell r="N1404" t="str">
            <v>Panel Schematics - 22kV Switchgear WIL00-HVSG-0002A OUTGOING FEEDER SCHEMATIC = JZ04</v>
          </cell>
        </row>
        <row r="1405">
          <cell r="M1405" t="str">
            <v>131236-DR-E</v>
          </cell>
          <cell r="N1405" t="str">
            <v>Panel Schematics - 22kV Switchgear WIL00-HVSG-0002A OUTGOING FEEDER SCHEMATIC = JZ04</v>
          </cell>
        </row>
        <row r="1406">
          <cell r="M1406" t="str">
            <v>131236-DR-E</v>
          </cell>
          <cell r="N1406" t="str">
            <v>Panel Schematics - 22kV Switchgear WIL00-HVSG-0002A OUTGOING FEEDER SCHEMATIC = JZ04</v>
          </cell>
        </row>
        <row r="1407">
          <cell r="M1407" t="str">
            <v>131236-DR-E</v>
          </cell>
          <cell r="N1407" t="str">
            <v>Panel Schematics - 22kV Switchgear WIL00-HVSG-0002A OUTGOING FEEDER SCHEMATIC = JZ04</v>
          </cell>
        </row>
        <row r="1408">
          <cell r="M1408" t="str">
            <v>131236-DR-E</v>
          </cell>
          <cell r="N1408" t="str">
            <v>Panel Schematics - 22kV Switchgear WIL00-HVSG-0002A OUTGOING FEEDER SCHEMATIC = JZ04</v>
          </cell>
        </row>
        <row r="1409">
          <cell r="M1409" t="str">
            <v>131236-DR-E</v>
          </cell>
          <cell r="N1409" t="str">
            <v>Panel Schematics - 22kV Switchgear WIL00-HVSG-0002A OUTGOING FEEDER SCHEMATIC = JZ04</v>
          </cell>
        </row>
        <row r="1410">
          <cell r="M1410" t="str">
            <v>131236-DR-E</v>
          </cell>
          <cell r="N1410" t="str">
            <v>Panel Schematics - 22kV Switchgear WIL00-HVSG-0002A OUTGOING FEEDER SCHEMATIC = JZ04</v>
          </cell>
        </row>
        <row r="1411">
          <cell r="M1411" t="str">
            <v>131236-DR-E</v>
          </cell>
          <cell r="N1411" t="str">
            <v>Panel Schematics - 22kV Switchgear WIL00-HVSG-0002A OUTGOING FEEDER SCHEMATIC = JZ04</v>
          </cell>
        </row>
        <row r="1412">
          <cell r="M1412" t="str">
            <v>131236-DR-E</v>
          </cell>
          <cell r="N1412" t="str">
            <v>Panel Schematics - 22kV Switchgear WIL00-HVSG-0002A TERMINAL CONNECTION TABLE = JZ04</v>
          </cell>
        </row>
        <row r="1413">
          <cell r="M1413" t="str">
            <v>131236-DR-E</v>
          </cell>
          <cell r="N1413" t="str">
            <v>Panel Schematics - 22kV Switchgear WIL00-HVSG-0002A TERMINAL CONNECTION TABLE = JZ04</v>
          </cell>
        </row>
        <row r="1414">
          <cell r="M1414" t="str">
            <v>131236-DR-E</v>
          </cell>
          <cell r="N1414" t="str">
            <v>Panel Schematics - 22kV Switchgear WIL00-HVSG-0002A TERMINAL CONNECTION TABLE = JZ04</v>
          </cell>
        </row>
        <row r="1415">
          <cell r="M1415" t="str">
            <v>131236-DR-E</v>
          </cell>
          <cell r="N1415" t="str">
            <v>Panel Schematics - 22kV Switchgear WIL00-HVSG-0002A TERMINAL CONNECTION TABLE = JZ04</v>
          </cell>
        </row>
        <row r="1416">
          <cell r="M1416" t="str">
            <v>131236-DR-E</v>
          </cell>
          <cell r="N1416" t="str">
            <v>Panel Schematics - 22kV Switchgear WIL00-HVSG-0002A TERMINAL CONNECTION TABLE = JZ04</v>
          </cell>
        </row>
        <row r="1417">
          <cell r="M1417" t="str">
            <v>131236-DR-E</v>
          </cell>
          <cell r="N1417" t="str">
            <v>Panel Schematics - 22kV Switchgear WIL00-HVSG-0002A TERMINAL CONNECTION TABLE = JZ04</v>
          </cell>
        </row>
        <row r="1418">
          <cell r="M1418" t="str">
            <v>131236-DR-E</v>
          </cell>
          <cell r="N1418" t="str">
            <v>Panel Schematics - 22kV Switchgear WIL00-HVSG-0002A TERMINAL CONNECTION TABLE = JZ04</v>
          </cell>
        </row>
        <row r="1419">
          <cell r="M1419" t="str">
            <v>131236-DR-E</v>
          </cell>
          <cell r="N1419" t="str">
            <v>Panel Schematics - 22kV Switchgear WIL00-HVSG-0002A TERMINAL CONNECTION TABLE = JZ04</v>
          </cell>
        </row>
        <row r="1420">
          <cell r="M1420" t="str">
            <v>131236-DR-E</v>
          </cell>
          <cell r="N1420" t="str">
            <v>Panel Schematics - 22kV Switchgear WIL00-HVSG-0002A TERMINAL CONNECTION TABLE = JZ04</v>
          </cell>
        </row>
        <row r="1421">
          <cell r="M1421" t="str">
            <v>131236-DR-E</v>
          </cell>
          <cell r="N1421" t="str">
            <v>Panel Schematics - 22kV Switchgear WIL00-HVSG-0002A TERMINAL CONNECTION TABLE = JZ04</v>
          </cell>
        </row>
        <row r="1422">
          <cell r="M1422" t="str">
            <v>131236-DR-E</v>
          </cell>
          <cell r="N1422" t="str">
            <v>Panel Schematics - 22kV Switchgear WIL00-HVSG-0002A TERMINAL CONNECTION TABLE = JZ04</v>
          </cell>
        </row>
        <row r="1423">
          <cell r="M1423" t="str">
            <v>131236-DR-E</v>
          </cell>
          <cell r="N1423" t="str">
            <v>Panel Schematics - 22kV Switchgear WIL00-HVSG-0002A TERMINAL CONNECTION TABLE = JZ04</v>
          </cell>
        </row>
        <row r="1424">
          <cell r="M1424" t="str">
            <v>131236-DR-E</v>
          </cell>
          <cell r="N1424" t="str">
            <v>Panel Schematics - 22kV Switchgear WIL00-HVSG-0002A TERMINAL CONNECTION TABLE = JZ04</v>
          </cell>
        </row>
        <row r="1425">
          <cell r="M1425" t="str">
            <v>131236-DR-E</v>
          </cell>
          <cell r="N1425" t="str">
            <v>Panel Schematics - 22kV Switchgear WIL00-HVSG-0002A TERMINAL CONNECTION TABLE = JZ04</v>
          </cell>
        </row>
        <row r="1426">
          <cell r="M1426" t="str">
            <v>131236-DR-E</v>
          </cell>
          <cell r="N1426" t="str">
            <v>Panel Schematics - 22kV Switchgear WIL00-HVSG-0002A TERMINAL CONNECTION TABLE = JZ04</v>
          </cell>
        </row>
        <row r="1427">
          <cell r="M1427" t="str">
            <v>131236-DR-E</v>
          </cell>
          <cell r="N1427" t="str">
            <v>Panel Schematics - 22kV Switchgear WIL00-HVSG-0002A TERMINAL CONNECTION TABLE = JZ04</v>
          </cell>
        </row>
        <row r="1428">
          <cell r="M1428" t="str">
            <v>131236-DR-E</v>
          </cell>
          <cell r="N1428" t="str">
            <v>Panel Schematics - 22kV Switchgear WIL00-HVSG-0002A TERMINAL CONNECTION TABLE = JZ04</v>
          </cell>
        </row>
        <row r="1429">
          <cell r="M1429" t="str">
            <v>131236-DR-E</v>
          </cell>
          <cell r="N1429" t="str">
            <v>Panel Schematics - 22kV Switchgear WIL00-HVSG-0002A TERMINAL CONNECTION TABLE = JZ04</v>
          </cell>
        </row>
        <row r="1430">
          <cell r="M1430" t="str">
            <v>131236-DR-E</v>
          </cell>
          <cell r="N1430" t="str">
            <v>Panel Schematics - 22kV Switchgear WIL00-HVSG-0002A BUS SECTION SCHEMATIC = JZ05</v>
          </cell>
        </row>
        <row r="1431">
          <cell r="M1431" t="str">
            <v>131236-DR-E</v>
          </cell>
          <cell r="N1431" t="str">
            <v>Panel Schematics - 22kV Switchgear WIL00-HVSG-0002A BUS SECTION SCHEMATIC = JZ05</v>
          </cell>
        </row>
        <row r="1432">
          <cell r="M1432" t="str">
            <v>131236-DR-E</v>
          </cell>
          <cell r="N1432" t="str">
            <v>Panel Schematics - 22kV Switchgear WIL00-HVSG-0002A BUS SECTION SCHEMATIC = JZ05</v>
          </cell>
        </row>
        <row r="1433">
          <cell r="M1433" t="str">
            <v>131236-DR-E</v>
          </cell>
          <cell r="N1433" t="str">
            <v>Panel Schematics - 22kV Switchgear WIL00-HVSG-0002A BUS SECTION SCHEMATIC = JZ05</v>
          </cell>
        </row>
        <row r="1434">
          <cell r="M1434" t="str">
            <v>131236-DR-E</v>
          </cell>
          <cell r="N1434" t="str">
            <v>Panel Schematics - 22kV Switchgear WIL00-HVSG-0002A BUS SECTION SCHEMATIC = JZ05</v>
          </cell>
        </row>
        <row r="1435">
          <cell r="M1435" t="str">
            <v>131236-DR-E</v>
          </cell>
          <cell r="N1435" t="str">
            <v>Panel Schematics - 22kV Switchgear WIL00-HVSG-0002A BUS SECTION SCHEMATIC = JZ05</v>
          </cell>
        </row>
        <row r="1436">
          <cell r="M1436" t="str">
            <v>131236-DR-E</v>
          </cell>
          <cell r="N1436" t="str">
            <v>Panel Schematics - 22kV Switchgear WIL00-HVSG-0002A BUS SECTION SCHEMATIC = JZ05</v>
          </cell>
        </row>
        <row r="1437">
          <cell r="M1437" t="str">
            <v>131236-DR-E</v>
          </cell>
          <cell r="N1437" t="str">
            <v>Panel Schematics - 22kV Switchgear WIL00-HVSG-0002A BUS SECTION SCHEMATIC = JZ05</v>
          </cell>
        </row>
        <row r="1438">
          <cell r="M1438" t="str">
            <v>131236-DR-E</v>
          </cell>
          <cell r="N1438" t="str">
            <v>Panel Schematics - 22kV Switchgear WIL00-HVSG-0002A BUS SECTION SCHEMATIC = JZ05</v>
          </cell>
        </row>
        <row r="1439">
          <cell r="M1439" t="str">
            <v>131236-DR-E</v>
          </cell>
          <cell r="N1439" t="str">
            <v>Panel Schematics - 22kV Switchgear WIL00-HVSG-0002A BUS SECTION SCHEMATIC = JZ05</v>
          </cell>
        </row>
        <row r="1440">
          <cell r="M1440" t="str">
            <v>131236-DR-E</v>
          </cell>
          <cell r="N1440" t="str">
            <v>Panel Schematics - 22kV Switchgear WIL00-HVSG-0002A BUS SECTION SCHEMATIC = JZ05</v>
          </cell>
        </row>
        <row r="1441">
          <cell r="M1441" t="str">
            <v>131236-DR-E</v>
          </cell>
          <cell r="N1441" t="str">
            <v>Panel Schematics - 22kV Switchgear WIL00-HVSG-0002A BUS SECTION SCHEMATIC = JZ05</v>
          </cell>
        </row>
        <row r="1442">
          <cell r="M1442" t="str">
            <v>131236-DR-E</v>
          </cell>
          <cell r="N1442" t="str">
            <v>Panel Schematics - 22kV Switchgear WIL00-HVSG-0002A BUS SECTION SCHEMATIC = JZ05</v>
          </cell>
        </row>
        <row r="1443">
          <cell r="M1443" t="str">
            <v>131236-DR-E</v>
          </cell>
          <cell r="N1443" t="str">
            <v>Panel Schematics - 22kV Switchgear WIL00-HVSG-0002A BUS SECTION SCHEMATIC = JZ05</v>
          </cell>
        </row>
        <row r="1444">
          <cell r="M1444" t="str">
            <v>131236-DR-E</v>
          </cell>
          <cell r="N1444" t="str">
            <v>Panel Schematics - 22kV Switchgear WIL00-HVSG-0002A BUS SECTION SCHEMATIC = JZ05</v>
          </cell>
        </row>
        <row r="1445">
          <cell r="M1445" t="str">
            <v>131236-DR-E</v>
          </cell>
          <cell r="N1445" t="str">
            <v>Panel Schematics - 22kV Switchgear WIL00-HVSG-0002A BUS SECTION SCHEMATIC = JZ05</v>
          </cell>
        </row>
        <row r="1446">
          <cell r="M1446" t="str">
            <v>131236-DR-E</v>
          </cell>
          <cell r="N1446" t="str">
            <v>Panel Schematics - 22kV Switchgear WIL00-HVSG-0002A BUS SECTION SCHEMATIC = JZ05</v>
          </cell>
        </row>
        <row r="1447">
          <cell r="M1447" t="str">
            <v>131236-DR-E</v>
          </cell>
          <cell r="N1447" t="str">
            <v>Panel Schematics - 22kV Switchgear WIL00-HVSG-0002A BUS SECTION SCHEMATIC = JZ05</v>
          </cell>
        </row>
        <row r="1448">
          <cell r="M1448" t="str">
            <v>131236-DR-E</v>
          </cell>
          <cell r="N1448" t="str">
            <v>Panel Schematics - 22kV Switchgear WIL00-HVSG-0002A BUS SECTION SCHEMATIC = JZ05</v>
          </cell>
        </row>
        <row r="1449">
          <cell r="M1449" t="str">
            <v>131236-DR-E</v>
          </cell>
          <cell r="N1449" t="str">
            <v>Panel Schematics - 22kV Switchgear WIL00-HVSG-0002A BUS SECTION SCHEMATIC = JZ05</v>
          </cell>
        </row>
        <row r="1450">
          <cell r="M1450" t="str">
            <v>131236-DR-E</v>
          </cell>
          <cell r="N1450" t="str">
            <v>Panel Schematics - 22kV Switchgear WIL00-HVSG-0002A BUS SECTION SCHEMATIC = JZ05</v>
          </cell>
        </row>
        <row r="1451">
          <cell r="M1451" t="str">
            <v>131236-DR-E</v>
          </cell>
          <cell r="N1451" t="str">
            <v>Panel Schematics - 22kV Switchgear WIL00-HVSG-0002A BUS SECTION SCHEMATIC = JZ05</v>
          </cell>
        </row>
        <row r="1452">
          <cell r="M1452" t="str">
            <v>131236-DR-E</v>
          </cell>
          <cell r="N1452" t="str">
            <v>Panel Schematics - 22kV Switchgear WIL00-HVSG-0002A BUS SECTION SCHEMATIC = JZ05</v>
          </cell>
        </row>
        <row r="1453">
          <cell r="M1453" t="str">
            <v>131236-DR-E</v>
          </cell>
          <cell r="N1453" t="str">
            <v>Panel Schematics - 22kV Switchgear WIL00-HVSG-0002A BUS SECTION SCHEMATIC = JZ05</v>
          </cell>
        </row>
        <row r="1454">
          <cell r="M1454" t="str">
            <v>131236-DR-E</v>
          </cell>
          <cell r="N1454" t="str">
            <v>Panel Schematics - 22kV Switchgear WIL00-HVSG-0002A BUS SECTION SCHEMATIC = JZ05</v>
          </cell>
        </row>
        <row r="1455">
          <cell r="M1455" t="str">
            <v>131236-DR-E</v>
          </cell>
          <cell r="N1455" t="str">
            <v>Panel Schematics - 22kV Switchgear WIL00-HVSG-0002A BUS SECTION SCHEMATIC = JZ05</v>
          </cell>
        </row>
        <row r="1456">
          <cell r="M1456" t="str">
            <v>131236-DR-E</v>
          </cell>
          <cell r="N1456" t="str">
            <v>Panel Schematics - 22kV Switchgear WIL00-HVSG-0002A BUS SECTION SCHEMATIC = JZ05</v>
          </cell>
        </row>
        <row r="1457">
          <cell r="M1457" t="str">
            <v>131236-DR-E</v>
          </cell>
          <cell r="N1457" t="str">
            <v>Panel Schematics - 22kV Switchgear WIL00-HVSG-0002A TERMINAL CONNECTION TABLE = JZ05</v>
          </cell>
        </row>
        <row r="1458">
          <cell r="M1458" t="str">
            <v>131236-DR-E</v>
          </cell>
          <cell r="N1458" t="str">
            <v>Panel Schematics - 22kV Switchgear WIL00-HVSG-0002A TERMINAL CONNECTION TABLE = JZ05</v>
          </cell>
        </row>
        <row r="1459">
          <cell r="M1459" t="str">
            <v>131236-DR-E</v>
          </cell>
          <cell r="N1459" t="str">
            <v>Panel Schematics - 22kV Switchgear WIL00-HVSG-0002A TERMINAL CONNECTION TABLE = JZ05</v>
          </cell>
        </row>
        <row r="1460">
          <cell r="M1460" t="str">
            <v>131236-DR-E</v>
          </cell>
          <cell r="N1460" t="str">
            <v>Panel Schematics - 22kV Switchgear WIL00-HVSG-0002A TERMINAL CONNECTION TABLE = JZ05</v>
          </cell>
        </row>
        <row r="1461">
          <cell r="M1461" t="str">
            <v>131236-DR-E</v>
          </cell>
          <cell r="N1461" t="str">
            <v>Panel Schematics - 22kV Switchgear WIL00-HVSG-0002A TERMINAL CONNECTION TABLE = JZ05</v>
          </cell>
        </row>
        <row r="1462">
          <cell r="M1462" t="str">
            <v>131236-DR-E</v>
          </cell>
          <cell r="N1462" t="str">
            <v>Panel Schematics - 22kV Switchgear WIL00-HVSG-0002A TERMINAL CONNECTION TABLE = JZ05</v>
          </cell>
        </row>
        <row r="1463">
          <cell r="M1463" t="str">
            <v>131236-DR-E</v>
          </cell>
          <cell r="N1463" t="str">
            <v>Panel Schematics - 22kV Switchgear WIL00-HVSG-0002A TERMINAL CONNECTION TABLE = JZ05</v>
          </cell>
        </row>
        <row r="1464">
          <cell r="M1464" t="str">
            <v>131236-DR-E</v>
          </cell>
          <cell r="N1464" t="str">
            <v>Panel Schematics - 22kV Switchgear WIL00-HVSG-0002A TERMINAL CONNECTION TABLE = JZ05</v>
          </cell>
        </row>
        <row r="1465">
          <cell r="M1465" t="str">
            <v>131236-DR-E</v>
          </cell>
          <cell r="N1465" t="str">
            <v>Panel Schematics - 22kV Switchgear WIL00-HVSG-0002A TERMINAL CONNECTION TABLE = JZ05</v>
          </cell>
        </row>
        <row r="1466">
          <cell r="M1466" t="str">
            <v>131236-DR-E</v>
          </cell>
          <cell r="N1466" t="str">
            <v>Panel Schematics - 22kV Switchgear WIL00-HVSG-0002A TERMINAL CONNECTION TABLE = JZ05</v>
          </cell>
        </row>
        <row r="1467">
          <cell r="M1467" t="str">
            <v>131236-DR-E</v>
          </cell>
          <cell r="N1467" t="str">
            <v>Panel Schematics - 22kV Switchgear WIL00-HVSG-0002A TERMINAL CONNECTION TABLE = JZ05</v>
          </cell>
        </row>
        <row r="1468">
          <cell r="M1468" t="str">
            <v>131236-DR-E</v>
          </cell>
          <cell r="N1468" t="str">
            <v>Panel Schematics - 22kV Switchgear WIL00-HVSG-0002A TERMINAL CONNECTION TABLE = JZ05</v>
          </cell>
        </row>
        <row r="1469">
          <cell r="M1469" t="str">
            <v>131236-DR-E</v>
          </cell>
          <cell r="N1469" t="str">
            <v>Panel Schematics - 22kV Switchgear WIL00-HVSG-0002A TERMINAL CONNECTION TABLE = JZ05</v>
          </cell>
        </row>
        <row r="1470">
          <cell r="M1470" t="str">
            <v>131236-DR-E</v>
          </cell>
          <cell r="N1470" t="str">
            <v>Panel Schematics - 22kV Switchgear WIL00-HVSG-0002A TERMINAL CONNECTION TABLE = JZ05</v>
          </cell>
        </row>
        <row r="1471">
          <cell r="M1471" t="str">
            <v>131236-DR-E</v>
          </cell>
          <cell r="N1471" t="str">
            <v>Panel Schematics - 22kV Switchgear WIL00-HVSG-0002A TERMINAL CONNECTION TABLE = JZ05</v>
          </cell>
        </row>
        <row r="1472">
          <cell r="M1472" t="str">
            <v>131236-DR-E</v>
          </cell>
          <cell r="N1472" t="str">
            <v>Panel Schematics - 22kV Switchgear WIL00-HVSG-0002A TERMINAL CONNECTION TABLE = JZ05</v>
          </cell>
        </row>
        <row r="1473">
          <cell r="M1473" t="str">
            <v>131236-DR-E</v>
          </cell>
          <cell r="N1473" t="str">
            <v>Panel Schematics - 22kV Switchgear WIL00-HVSG-0002B LV DOOR LAYOUT = JZ01</v>
          </cell>
        </row>
        <row r="1474">
          <cell r="M1474" t="str">
            <v>131236-DR-E</v>
          </cell>
          <cell r="N1474" t="str">
            <v>Panel Schematics - 22kV Switchgear WIL00-HVSG-0002B LV LAYOUT = JZ01</v>
          </cell>
        </row>
        <row r="1475">
          <cell r="M1475" t="str">
            <v>131236-DR-E</v>
          </cell>
          <cell r="N1475" t="str">
            <v>Panel Schematics - 22kV Switchgear WIL00-HVSG-0002B LV DOOR LAYOUT = JZ02</v>
          </cell>
        </row>
        <row r="1476">
          <cell r="M1476" t="str">
            <v>131236-DR-E</v>
          </cell>
          <cell r="N1476" t="str">
            <v>Panel Schematics - 22kV Switchgear WIL00-HVSG-0002B LV LAYOUT = JZ02</v>
          </cell>
        </row>
        <row r="1477">
          <cell r="M1477" t="str">
            <v>131236-DR-E</v>
          </cell>
          <cell r="N1477" t="str">
            <v>Panel Schematics - 22kV Switchgear WIL00-HVSG-0002B LV DOOR LAYOUT = JZ05</v>
          </cell>
        </row>
        <row r="1478">
          <cell r="M1478" t="str">
            <v>131236-DR-E</v>
          </cell>
          <cell r="N1478" t="str">
            <v>Panel Schematics - 22kV Switchgear WIL00-HVSG-0002B LV LAYOUT = JZ05</v>
          </cell>
        </row>
        <row r="1479">
          <cell r="M1479" t="str">
            <v>131236-DR-E</v>
          </cell>
          <cell r="N1479" t="str">
            <v>Panel Schematics - 22kV Switchgear WIL00-HVSG-0002B LV DOOR LAYOUT = JZ03a, JZ03</v>
          </cell>
        </row>
        <row r="1480">
          <cell r="M1480" t="str">
            <v>131236-DR-E</v>
          </cell>
          <cell r="N1480" t="str">
            <v>Panel Schematics - 22kV Switchgear WIL00-HVSG-0002B LV LAYOUT = JZ03a</v>
          </cell>
        </row>
        <row r="1481">
          <cell r="M1481" t="str">
            <v>131236-DR-E</v>
          </cell>
          <cell r="N1481" t="str">
            <v>Panel Schematics - 22kV Switchgear WIL00-HVSG-0002B LV LAYOUT = JZ03</v>
          </cell>
        </row>
        <row r="1482">
          <cell r="M1482" t="str">
            <v>131236-DR-E</v>
          </cell>
          <cell r="N1482" t="str">
            <v>Panel Schematics - 22kV Switchgear WIL00-HVSG-0002B LV DOOR LAYOUT = JZ04, JZ04a</v>
          </cell>
        </row>
        <row r="1483">
          <cell r="M1483" t="str">
            <v>131236-DR-E</v>
          </cell>
          <cell r="N1483" t="str">
            <v>Panel Schematics - 22kV Switchgear WIL00-HVSG-0002B LV LAYOUT = JZ04</v>
          </cell>
        </row>
        <row r="1484">
          <cell r="M1484" t="str">
            <v>131236-DR-E</v>
          </cell>
          <cell r="N1484" t="str">
            <v>Panel Schematics - 22kV Switchgear WIL00-HVSG-0002B LV LAYOUT = JZ04a</v>
          </cell>
        </row>
        <row r="1485">
          <cell r="M1485" t="str">
            <v>131236-DR-E</v>
          </cell>
          <cell r="N1485" t="str">
            <v>Panel Schematics - 22kV Switchgear WIL00-HVSG-0002B LV LABEL</v>
          </cell>
        </row>
        <row r="1486">
          <cell r="M1486" t="str">
            <v>131236-DR-E</v>
          </cell>
          <cell r="N1486" t="str">
            <v>Panel Schematics - 22kV Switchgear WIL00-HVSG-0002B ATS/ MTS TRANSFER SCHEME &amp; LOGIC DIAGRAM</v>
          </cell>
        </row>
        <row r="1487">
          <cell r="M1487" t="str">
            <v>131236-DR-E</v>
          </cell>
          <cell r="N1487" t="str">
            <v>Panel Schematics - 22kV Switchgear WIL00-HVSG-0002B ATS/ MTS TRANSFER SCHEME &amp; LOGIC DIAGRAM</v>
          </cell>
        </row>
        <row r="1488">
          <cell r="M1488" t="str">
            <v>131236-DR-E</v>
          </cell>
          <cell r="N1488" t="str">
            <v>Panel Schematics - 22kV Switchgear WIL00-HVSG-0002B ATS/ MTS TRANSFER SCHEME &amp; LOGIC DIAGRAM</v>
          </cell>
        </row>
        <row r="1489">
          <cell r="M1489" t="str">
            <v>131236-DR-E</v>
          </cell>
          <cell r="N1489" t="str">
            <v>Panel Schematics - 22kV Switchgear WIL00-HVSG-0002B ATS/ MTS TRANSFER SCHEME &amp; LOGIC DIAGRAM</v>
          </cell>
        </row>
        <row r="1490">
          <cell r="M1490" t="str">
            <v>131236-DR-E</v>
          </cell>
          <cell r="N1490" t="str">
            <v>Panel Schematics - 22kV Switchgear WIL00-HVSG-0002B ATS/ MTS TRANSFER SCHEME &amp; LOGIC DIAGRAM</v>
          </cell>
        </row>
        <row r="1491">
          <cell r="M1491" t="str">
            <v>131236-DR-E</v>
          </cell>
          <cell r="N1491" t="str">
            <v>Panel Schematics - 22kV Switchgear WIL00-HVSG-0002B POWER/ BB VT/ BUS VT/ BUS WIRE DIAGRAMS</v>
          </cell>
        </row>
        <row r="1492">
          <cell r="M1492" t="str">
            <v>131236-DR-E</v>
          </cell>
          <cell r="N1492" t="str">
            <v>Panel Schematics - 22kV Switchgear WIL00-HVSG-0002B POWER/ BB VT/ BUS VT/ BUS WIRE DIAGRAMS</v>
          </cell>
        </row>
        <row r="1493">
          <cell r="M1493" t="str">
            <v>131236-DR-E</v>
          </cell>
          <cell r="N1493" t="str">
            <v>Panel Schematics - 22kV Switchgear WIL00-HVSG-0002B POWER/ BB VT/ BUS VT/ BUS WIRE DIAGRAMS</v>
          </cell>
        </row>
        <row r="1494">
          <cell r="M1494" t="str">
            <v>131236-DR-E</v>
          </cell>
          <cell r="N1494" t="str">
            <v>Panel Schematics - 22kV Switchgear WIL00-HVSG-0002B POWER/ BB VT/ BUS VT/ BUS WIRE DIAGRAMS</v>
          </cell>
        </row>
        <row r="1495">
          <cell r="M1495" t="str">
            <v>131236-DR-E</v>
          </cell>
          <cell r="N1495" t="str">
            <v>Panel Schematics - 22kV Switchgear WIL00-HVSG-0002B POWER/ BB VT/ BUS VT/ BUS WIRE DIAGRAMS</v>
          </cell>
        </row>
        <row r="1496">
          <cell r="M1496" t="str">
            <v>131236-DR-E</v>
          </cell>
          <cell r="N1496" t="str">
            <v>Panel Schematics - 22kV Switchgear WIL00-HVSG-0002B POWER/ BB VT/ BUS VT/ BUS WIRE DIAGRAMS</v>
          </cell>
        </row>
        <row r="1497">
          <cell r="M1497" t="str">
            <v>131236-DR-E</v>
          </cell>
          <cell r="N1497" t="str">
            <v>Panel Schematics - 22kV Switchgear WIL00-HVSG-0002B POWER/ BB VT/ BUS VT/ BUS WIRE DIAGRAMS</v>
          </cell>
        </row>
        <row r="1498">
          <cell r="M1498" t="str">
            <v>131236-DR-E</v>
          </cell>
          <cell r="N1498" t="str">
            <v>Panel Schematics - 22kV Switchgear WIL00-HVSG-0002B POWER/ BB VT/ BUS VT/ BUS WIRE DIAGRAMS</v>
          </cell>
        </row>
        <row r="1499">
          <cell r="M1499" t="str">
            <v>131236-DR-E</v>
          </cell>
          <cell r="N1499" t="str">
            <v>Panel Schematics - 22kV Switchgear WIL00-HVSG-0002B INCOMER SCHEMATIC DIAGRAM  = JZ01</v>
          </cell>
        </row>
        <row r="1500">
          <cell r="M1500" t="str">
            <v>131236-DR-E</v>
          </cell>
          <cell r="N1500" t="str">
            <v>Panel Schematics - 22kV Switchgear WIL00-HVSG-0002B INCOMER SCHEMATIC DIAGRAM  = JZ01</v>
          </cell>
        </row>
        <row r="1501">
          <cell r="M1501" t="str">
            <v>131236-DR-E</v>
          </cell>
          <cell r="N1501" t="str">
            <v>Panel Schematics - 22kV Switchgear WIL00-HVSG-0002B INCOMER SCHEMATIC DIAGRAM  = JZ01</v>
          </cell>
        </row>
        <row r="1502">
          <cell r="M1502" t="str">
            <v>131236-DR-E</v>
          </cell>
          <cell r="N1502" t="str">
            <v>Panel Schematics - 22kV Switchgear WIL00-HVSG-0002B INCOMER SCHEMATIC DIAGRAM  = JZ01</v>
          </cell>
        </row>
        <row r="1503">
          <cell r="M1503" t="str">
            <v>131236-DR-E</v>
          </cell>
          <cell r="N1503" t="str">
            <v>Panel Schematics - 22kV Switchgear WIL00-HVSG-0002B INCOMER SCHEMATIC DIAGRAM  = JZ01</v>
          </cell>
        </row>
        <row r="1504">
          <cell r="M1504" t="str">
            <v>131236-DR-E</v>
          </cell>
          <cell r="N1504" t="str">
            <v>Panel Schematics - 22kV Switchgear WIL00-HVSG-0002B INCOMER SCHEMATIC DIAGRAM  = JZ01</v>
          </cell>
        </row>
        <row r="1505">
          <cell r="M1505" t="str">
            <v>131236-DR-E</v>
          </cell>
          <cell r="N1505" t="str">
            <v>Panel Schematics - 22kV Switchgear WIL00-HVSG-0002B INCOMER SCHEMATIC DIAGRAM  = JZ01</v>
          </cell>
        </row>
        <row r="1506">
          <cell r="M1506" t="str">
            <v>131236-DR-E</v>
          </cell>
          <cell r="N1506" t="str">
            <v>Panel Schematics - 22kV Switchgear WIL00-HVSG-0002B INCOMER SCHEMATIC DIAGRAM  = JZ01</v>
          </cell>
        </row>
        <row r="1507">
          <cell r="M1507" t="str">
            <v>131236-DR-E</v>
          </cell>
          <cell r="N1507" t="str">
            <v>Panel Schematics - 22kV Switchgear WIL00-HVSG-0002B INCOMER SCHEMATIC DIAGRAM  = JZ01</v>
          </cell>
        </row>
        <row r="1508">
          <cell r="M1508" t="str">
            <v>131236-DR-E</v>
          </cell>
          <cell r="N1508" t="str">
            <v>Panel Schematics - 22kV Switchgear WIL00-HVSG-0002B INCOMER SCHEMATIC DIAGRAM  = JZ01</v>
          </cell>
        </row>
        <row r="1509">
          <cell r="M1509" t="str">
            <v>131236-DR-E</v>
          </cell>
          <cell r="N1509" t="str">
            <v>Panel Schematics - 22kV Switchgear WIL00-HVSG-0002B INCOMER SCHEMATIC DIAGRAM  = JZ01</v>
          </cell>
        </row>
        <row r="1510">
          <cell r="M1510" t="str">
            <v>131236-DR-E</v>
          </cell>
          <cell r="N1510" t="str">
            <v>Panel Schematics - 22kV Switchgear WIL00-HVSG-0002B INCOMER SCHEMATIC DIAGRAM  = JZ01</v>
          </cell>
        </row>
        <row r="1511">
          <cell r="M1511" t="str">
            <v>131236-DR-E</v>
          </cell>
          <cell r="N1511" t="str">
            <v>Panel Schematics - 22kV Switchgear WIL00-HVSG-0002B INCOMER SCHEMATIC DIAGRAM  = JZ01</v>
          </cell>
        </row>
        <row r="1512">
          <cell r="M1512" t="str">
            <v>131236-DR-E</v>
          </cell>
          <cell r="N1512" t="str">
            <v>Panel Schematics - 22kV Switchgear WIL00-HVSG-0002B INCOMER SCHEMATIC DIAGRAM  = JZ01</v>
          </cell>
        </row>
        <row r="1513">
          <cell r="M1513" t="str">
            <v>131236-DR-E</v>
          </cell>
          <cell r="N1513" t="str">
            <v>Panel Schematics - 22kV Switchgear WIL00-HVSG-0002B INCOMER SCHEMATIC DIAGRAM  = JZ01</v>
          </cell>
        </row>
        <row r="1514">
          <cell r="M1514" t="str">
            <v>131236-DR-E</v>
          </cell>
          <cell r="N1514" t="str">
            <v>Panel Schematics - 22kV Switchgear WIL00-HVSG-0002B INCOMER SCHEMATIC DIAGRAM  = JZ01</v>
          </cell>
        </row>
        <row r="1515">
          <cell r="M1515" t="str">
            <v>131236-DR-E</v>
          </cell>
          <cell r="N1515" t="str">
            <v>Panel Schematics - 22kV Switchgear WIL00-HVSG-0002B INCOMER SCHEMATIC DIAGRAM  = JZ01</v>
          </cell>
        </row>
        <row r="1516">
          <cell r="M1516" t="str">
            <v>131236-DR-E</v>
          </cell>
          <cell r="N1516" t="str">
            <v>Panel Schematics - 22kV Switchgear WIL00-HVSG-0002B INCOMER SCHEMATIC DIAGRAM  = JZ01</v>
          </cell>
        </row>
        <row r="1517">
          <cell r="M1517" t="str">
            <v>131236-DR-E</v>
          </cell>
          <cell r="N1517" t="str">
            <v>Panel Schematics - 22kV Switchgear WIL00-HVSG-0002B INCOMER SCHEMATIC DIAGRAM  = JZ01</v>
          </cell>
        </row>
        <row r="1518">
          <cell r="M1518" t="str">
            <v>131236-DR-E</v>
          </cell>
          <cell r="N1518" t="str">
            <v>Panel Schematics - 22kV Switchgear WIL00-HVSG-0002B INCOMER SCHEMATIC DIAGRAM  = JZ01</v>
          </cell>
        </row>
        <row r="1519">
          <cell r="M1519" t="str">
            <v>131236-DR-E</v>
          </cell>
          <cell r="N1519" t="str">
            <v>Panel Schematics - 22kV Switchgear WIL00-HVSG-0002B INCOMER SCHEMATIC DIAGRAM  = JZ01</v>
          </cell>
        </row>
        <row r="1520">
          <cell r="M1520" t="str">
            <v>131236-DR-E</v>
          </cell>
          <cell r="N1520" t="str">
            <v>Panel Schematics - 22kV Switchgear WIL00-HVSG-0002B INCOMER SCHEMATIC DIAGRAM  = JZ01</v>
          </cell>
        </row>
        <row r="1521">
          <cell r="M1521" t="str">
            <v>131236-DR-E</v>
          </cell>
          <cell r="N1521" t="str">
            <v>Panel Schematics - 22kV Switchgear WIL00-HVSG-0002B INCOMER SCHEMATIC DIAGRAM  = JZ01</v>
          </cell>
        </row>
        <row r="1522">
          <cell r="M1522" t="str">
            <v>131236-DR-E</v>
          </cell>
          <cell r="N1522" t="str">
            <v>Panel Schematics - 22kV Switchgear WIL00-HVSG-0002B INCOMER SCHEMATIC DIAGRAM  = JZ01</v>
          </cell>
        </row>
        <row r="1523">
          <cell r="M1523" t="str">
            <v>131236-DR-E</v>
          </cell>
          <cell r="N1523" t="str">
            <v>Panel Schematics - 22kV Switchgear WIL00-HVSG-0002B INCOMER SCHEMATIC DIAGRAM  = JZ01</v>
          </cell>
        </row>
        <row r="1524">
          <cell r="M1524" t="str">
            <v>131236-DR-E</v>
          </cell>
          <cell r="N1524" t="str">
            <v>Panel Schematics - 22kV Switchgear WIL00-HVSG-0002B INCOMER SCHEMATIC DIAGRAM  = JZ01</v>
          </cell>
        </row>
        <row r="1525">
          <cell r="M1525" t="str">
            <v>131236-DR-E</v>
          </cell>
          <cell r="N1525" t="str">
            <v>Panel Schematics - 22kV Switchgear WIL00-HVSG-0002B INCOMER SCHEMATIC DIAGRAM  = JZ01</v>
          </cell>
        </row>
        <row r="1526">
          <cell r="M1526" t="str">
            <v>131236-DR-E</v>
          </cell>
          <cell r="N1526" t="str">
            <v>Panel Schematics - 22kV Switchgear WIL00-HVSG-0002B TERMINAL CONNECTION TABLE = JZ01</v>
          </cell>
        </row>
        <row r="1527">
          <cell r="M1527" t="str">
            <v>131236-DR-E</v>
          </cell>
          <cell r="N1527" t="str">
            <v>Panel Schematics - 22kV Switchgear WIL00-HVSG-0002B TERMINAL CONNECTION TABLE = JZ01</v>
          </cell>
        </row>
        <row r="1528">
          <cell r="M1528" t="str">
            <v>131236-DR-E</v>
          </cell>
          <cell r="N1528" t="str">
            <v>Panel Schematics - 22kV Switchgear WIL00-HVSG-0002B TERMINAL CONNECTION TABLE = JZ01</v>
          </cell>
        </row>
        <row r="1529">
          <cell r="M1529" t="str">
            <v>131236-DR-E</v>
          </cell>
          <cell r="N1529" t="str">
            <v>Panel Schematics - 22kV Switchgear WIL00-HVSG-0002B TERMINAL CONNECTION TABLE = JZ01</v>
          </cell>
        </row>
        <row r="1530">
          <cell r="M1530" t="str">
            <v>131236-DR-E</v>
          </cell>
          <cell r="N1530" t="str">
            <v>Panel Schematics - 22kV Switchgear WIL00-HVSG-0002B TERMINAL CONNECTION TABLE = JZ01</v>
          </cell>
        </row>
        <row r="1531">
          <cell r="M1531" t="str">
            <v>131236-DR-E</v>
          </cell>
          <cell r="N1531" t="str">
            <v>Panel Schematics - 22kV Switchgear WIL00-HVSG-0002B TERMINAL CONNECTION TABLE = JZ01</v>
          </cell>
        </row>
        <row r="1532">
          <cell r="M1532" t="str">
            <v>131236-DR-E</v>
          </cell>
          <cell r="N1532" t="str">
            <v>Panel Schematics - 22kV Switchgear WIL00-HVSG-0002B TERMINAL CONNECTION TABLE = JZ01</v>
          </cell>
        </row>
        <row r="1533">
          <cell r="M1533" t="str">
            <v>131236-DR-E</v>
          </cell>
          <cell r="N1533" t="str">
            <v>Panel Schematics - 22kV Switchgear WIL00-HVSG-0002B TERMINAL CONNECTION TABLE = JZ01</v>
          </cell>
        </row>
        <row r="1534">
          <cell r="M1534" t="str">
            <v>131236-DR-E</v>
          </cell>
          <cell r="N1534" t="str">
            <v>Panel Schematics - 22kV Switchgear WIL00-HVSG-0002B TERMINAL CONNECTION TABLE = JZ01</v>
          </cell>
        </row>
        <row r="1535">
          <cell r="M1535" t="str">
            <v>131236-DR-E</v>
          </cell>
          <cell r="N1535" t="str">
            <v>Panel Schematics - 22kV Switchgear WIL00-HVSG-0002B TERMINAL CONNECTION TABLE = JZ01</v>
          </cell>
        </row>
        <row r="1536">
          <cell r="M1536" t="str">
            <v>131236-DR-E</v>
          </cell>
          <cell r="N1536" t="str">
            <v>Panel Schematics - 22kV Switchgear WIL00-HVSG-0002B TERMINAL CONNECTION TABLE = JZ01</v>
          </cell>
        </row>
        <row r="1537">
          <cell r="M1537" t="str">
            <v>131236-DR-E</v>
          </cell>
          <cell r="N1537" t="str">
            <v>Panel Schematics - 22kV Switchgear WIL00-HVSG-0002B TERMINAL CONNECTION TABLE = JZ01</v>
          </cell>
        </row>
        <row r="1538">
          <cell r="M1538" t="str">
            <v>131236-DR-E</v>
          </cell>
          <cell r="N1538" t="str">
            <v>Panel Schematics - 22kV Switchgear WIL00-HVSG-0002B TERMINAL CONNECTION TABLE = JZ01</v>
          </cell>
        </row>
        <row r="1539">
          <cell r="M1539" t="str">
            <v>131236-DR-E</v>
          </cell>
          <cell r="N1539" t="str">
            <v>Panel Schematics - 22kV Switchgear WIL00-HVSG-0002B TERMINAL CONNECTION TABLE = JZ01</v>
          </cell>
        </row>
        <row r="1540">
          <cell r="M1540" t="str">
            <v>131236-DR-E</v>
          </cell>
          <cell r="N1540" t="str">
            <v>Panel Schematics - 22kV Switchgear WIL00-HVSG-0002B TERMINAL CONNECTION TABLE = JZ01</v>
          </cell>
        </row>
        <row r="1541">
          <cell r="M1541" t="str">
            <v>131236-DR-E</v>
          </cell>
          <cell r="N1541" t="str">
            <v>Panel Schematics - 22kV Switchgear WIL00-HVSG-0002B TERMINAL CONNECTION TABLE = JZ01</v>
          </cell>
        </row>
        <row r="1542">
          <cell r="M1542" t="str">
            <v>131236-DR-E</v>
          </cell>
          <cell r="N1542" t="str">
            <v>Panel Schematics - 22kV Switchgear WIL00-HVSG-0002B TERMINAL CONNECTION TABLE = JZ01</v>
          </cell>
        </row>
        <row r="1543">
          <cell r="M1543" t="str">
            <v>131236-DR-E</v>
          </cell>
          <cell r="N1543" t="str">
            <v>Panel Schematics - 22kV Switchgear WIL00-HVSG-0002B TERMINAL CONNECTION TABLE = JZ01</v>
          </cell>
        </row>
        <row r="1544">
          <cell r="M1544" t="str">
            <v>131236-DR-E</v>
          </cell>
          <cell r="N1544" t="str">
            <v>Panel Schematics - 22kV Switchgear WIL00-HVSG-0002B TERMINAL CONNECTION TABLE = JZ01</v>
          </cell>
        </row>
        <row r="1545">
          <cell r="M1545" t="str">
            <v>131236-DR-E</v>
          </cell>
          <cell r="N1545" t="str">
            <v>Panel Schematics - 22kV Switchgear WIL00-HVSG-0002B OUTGOING FEEDER SCHEMATIC = JZ02</v>
          </cell>
        </row>
        <row r="1546">
          <cell r="M1546" t="str">
            <v>131236-DR-E</v>
          </cell>
          <cell r="N1546" t="str">
            <v>Panel Schematics - 22kV Switchgear WIL00-HVSG-0002B OUTGOING FEEDER SCHEMATIC = JZ02</v>
          </cell>
        </row>
        <row r="1547">
          <cell r="M1547" t="str">
            <v>131236-DR-E</v>
          </cell>
          <cell r="N1547" t="str">
            <v>Panel Schematics - 22kV Switchgear WIL00-HVSG-0002B OUTGOING FEEDER SCHEMATIC = JZ02</v>
          </cell>
        </row>
        <row r="1548">
          <cell r="M1548" t="str">
            <v>131236-DR-E</v>
          </cell>
          <cell r="N1548" t="str">
            <v>Panel Schematics - 22kV Switchgear WIL00-HVSG-0002B OUTGOING FEEDER SCHEMATIC = JZ02</v>
          </cell>
        </row>
        <row r="1549">
          <cell r="M1549" t="str">
            <v>131236-DR-E</v>
          </cell>
          <cell r="N1549" t="str">
            <v>Panel Schematics - 22kV Switchgear WIL00-HVSG-0002B OUTGOING FEEDER SCHEMATIC = JZ02</v>
          </cell>
        </row>
        <row r="1550">
          <cell r="M1550" t="str">
            <v>131236-DR-E</v>
          </cell>
          <cell r="N1550" t="str">
            <v>Panel Schematics - 22kV Switchgear WIL00-HVSG-0002B OUTGOING FEEDER SCHEMATIC = JZ02</v>
          </cell>
        </row>
        <row r="1551">
          <cell r="M1551" t="str">
            <v>131236-DR-E</v>
          </cell>
          <cell r="N1551" t="str">
            <v>Panel Schematics - 22kV Switchgear WIL00-HVSG-0002B OUTGOING FEEDER SCHEMATIC = JZ02</v>
          </cell>
        </row>
        <row r="1552">
          <cell r="M1552" t="str">
            <v>131236-DR-E</v>
          </cell>
          <cell r="N1552" t="str">
            <v>Panel Schematics - 22kV Switchgear WIL00-HVSG-0002B OUTGOING FEEDER SCHEMATIC = JZ02</v>
          </cell>
        </row>
        <row r="1553">
          <cell r="M1553" t="str">
            <v>131236-DR-E</v>
          </cell>
          <cell r="N1553" t="str">
            <v>Panel Schematics - 22kV Switchgear WIL00-HVSG-0002B OUTGOING FEEDER SCHEMATIC = JZ02</v>
          </cell>
        </row>
        <row r="1554">
          <cell r="M1554" t="str">
            <v>131236-DR-E</v>
          </cell>
          <cell r="N1554" t="str">
            <v>Panel Schematics - 22kV Switchgear WIL00-HVSG-0002B OUTGOING FEEDER SCHEMATIC = JZ02</v>
          </cell>
        </row>
        <row r="1555">
          <cell r="M1555" t="str">
            <v>131236-DR-E</v>
          </cell>
          <cell r="N1555" t="str">
            <v>Panel Schematics - 22kV Switchgear WIL00-HVSG-0002B OUTGOING FEEDER SCHEMATIC = JZ02</v>
          </cell>
        </row>
        <row r="1556">
          <cell r="M1556" t="str">
            <v>131236-DR-E</v>
          </cell>
          <cell r="N1556" t="str">
            <v>Panel Schematics - 22kV Switchgear WIL00-HVSG-0002B OUTGOING FEEDER SCHEMATIC = JZ02</v>
          </cell>
        </row>
        <row r="1557">
          <cell r="M1557" t="str">
            <v>131236-DR-E</v>
          </cell>
          <cell r="N1557" t="str">
            <v>Panel Schematics - 22kV Switchgear WIL00-HVSG-0002B OUTGOING FEEDER SCHEMATIC = JZ02</v>
          </cell>
        </row>
        <row r="1558">
          <cell r="M1558" t="str">
            <v>131236-DR-E</v>
          </cell>
          <cell r="N1558" t="str">
            <v>Panel Schematics - 22kV Switchgear WIL00-HVSG-0002B OUTGOING FEEDER SCHEMATIC = JZ02</v>
          </cell>
        </row>
        <row r="1559">
          <cell r="M1559" t="str">
            <v>131236-DR-E</v>
          </cell>
          <cell r="N1559" t="str">
            <v>Panel Schematics - 22kV Switchgear WIL00-HVSG-0002B OUTGOING FEEDER SCHEMATIC = JZ02</v>
          </cell>
        </row>
        <row r="1560">
          <cell r="M1560" t="str">
            <v>131236-DR-E</v>
          </cell>
          <cell r="N1560" t="str">
            <v>Panel Schematics - 22kV Switchgear WIL00-HVSG-0002B OUTGOING FEEDER SCHEMATIC = JZ02</v>
          </cell>
        </row>
        <row r="1561">
          <cell r="M1561" t="str">
            <v>131236-DR-E</v>
          </cell>
          <cell r="N1561" t="str">
            <v>Panel Schematics - 22kV Switchgear WIL00-HVSG-0002B OUTGOING FEEDER SCHEMATIC = JZ02</v>
          </cell>
        </row>
        <row r="1562">
          <cell r="M1562" t="str">
            <v>131236-DR-E</v>
          </cell>
          <cell r="N1562" t="str">
            <v>Panel Schematics - 22kV Switchgear WIL00-HVSG-0002B OUTGOING FEEDER SCHEMATIC = JZ02</v>
          </cell>
        </row>
        <row r="1563">
          <cell r="M1563" t="str">
            <v>131236-DR-E</v>
          </cell>
          <cell r="N1563" t="str">
            <v>Panel Schematics - 22kV Switchgear WIL00-HVSG-0002B OUTGOING FEEDER SCHEMATIC = JZ02</v>
          </cell>
        </row>
        <row r="1564">
          <cell r="M1564" t="str">
            <v>131236-DR-E</v>
          </cell>
          <cell r="N1564" t="str">
            <v>Panel Schematics - 22kV Switchgear WIL00-HVSG-0002B OUTGOING FEEDER SCHEMATIC = JZ02</v>
          </cell>
        </row>
        <row r="1565">
          <cell r="M1565" t="str">
            <v>131236-DR-E</v>
          </cell>
          <cell r="N1565" t="str">
            <v>Panel Schematics - 22kV Switchgear WIL00-HVSG-0002B OUTGOING FEEDER SCHEMATIC = JZ02</v>
          </cell>
        </row>
        <row r="1566">
          <cell r="M1566" t="str">
            <v>131236-DR-E</v>
          </cell>
          <cell r="N1566" t="str">
            <v>Panel Schematics - 22kV Switchgear WIL00-HVSG-0002B OUTGOING FEEDER SCHEMATIC = JZ02</v>
          </cell>
        </row>
        <row r="1567">
          <cell r="M1567" t="str">
            <v>131236-DR-E</v>
          </cell>
          <cell r="N1567" t="str">
            <v>Panel Schematics - 22kV Switchgear WIL00-HVSG-0002B OUTGOING FEEDER SCHEMATIC = JZ02</v>
          </cell>
        </row>
        <row r="1568">
          <cell r="M1568" t="str">
            <v>131236-DR-E</v>
          </cell>
          <cell r="N1568" t="str">
            <v>Panel Schematics - 22kV Switchgear WIL00-HVSG-0002B OUTGOING FEEDER SCHEMATIC = JZ02</v>
          </cell>
        </row>
        <row r="1569">
          <cell r="M1569" t="str">
            <v>131236-DR-E</v>
          </cell>
          <cell r="N1569" t="str">
            <v>Panel Schematics - 22kV Switchgear WIL00-HVSG-0002B OUTGOING FEEDER SCHEMATIC = JZ02</v>
          </cell>
        </row>
        <row r="1570">
          <cell r="M1570" t="str">
            <v>131236-DR-E</v>
          </cell>
          <cell r="N1570" t="str">
            <v>Panel Schematics - 22kV Switchgear WIL00-HVSG-0002B OUTGOING FEEDER SCHEMATIC = JZ02</v>
          </cell>
        </row>
        <row r="1571">
          <cell r="M1571" t="str">
            <v>131236-DR-E</v>
          </cell>
          <cell r="N1571" t="str">
            <v>Panel Schematics - 22kV Switchgear WIL00-HVSG-0002B OUTGOING FEEDER SCHEMATIC = JZ02</v>
          </cell>
        </row>
        <row r="1572">
          <cell r="M1572" t="str">
            <v>131236-DR-E</v>
          </cell>
          <cell r="N1572" t="str">
            <v>Panel Schematics - 22kV Switchgear WIL00-HVSG-0002B TERMINAL CONNECTION TABLE = JZ02</v>
          </cell>
        </row>
        <row r="1573">
          <cell r="M1573" t="str">
            <v>131236-DR-E</v>
          </cell>
          <cell r="N1573" t="str">
            <v>Panel Schematics - 22kV Switchgear WIL00-HVSG-0002B TERMINAL CONNECTION TABLE = JZ02</v>
          </cell>
        </row>
        <row r="1574">
          <cell r="M1574" t="str">
            <v>131236-DR-E</v>
          </cell>
          <cell r="N1574" t="str">
            <v>Panel Schematics - 22kV Switchgear WIL00-HVSG-0002B TERMINAL CONNECTION TABLE = JZ02</v>
          </cell>
        </row>
        <row r="1575">
          <cell r="M1575" t="str">
            <v>131236-DR-E</v>
          </cell>
          <cell r="N1575" t="str">
            <v>Panel Schematics - 22kV Switchgear WIL00-HVSG-0002B TERMINAL CONNECTION TABLE = JZ02</v>
          </cell>
        </row>
        <row r="1576">
          <cell r="M1576" t="str">
            <v>131236-DR-E</v>
          </cell>
          <cell r="N1576" t="str">
            <v>Panel Schematics - 22kV Switchgear WIL00-HVSG-0002B TERMINAL CONNECTION TABLE = JZ02</v>
          </cell>
        </row>
        <row r="1577">
          <cell r="M1577" t="str">
            <v>131236-DR-E</v>
          </cell>
          <cell r="N1577" t="str">
            <v>Panel Schematics - 22kV Switchgear WIL00-HVSG-0002B TERMINAL CONNECTION TABLE = JZ02</v>
          </cell>
        </row>
        <row r="1578">
          <cell r="M1578" t="str">
            <v>131236-DR-E</v>
          </cell>
          <cell r="N1578" t="str">
            <v>Panel Schematics - 22kV Switchgear WIL00-HVSG-0002B TERMINAL CONNECTION TABLE = JZ02</v>
          </cell>
        </row>
        <row r="1579">
          <cell r="M1579" t="str">
            <v>131236-DR-E</v>
          </cell>
          <cell r="N1579" t="str">
            <v>Panel Schematics - 22kV Switchgear WIL00-HVSG-0002B TERMINAL CONNECTION TABLE = JZ02</v>
          </cell>
        </row>
        <row r="1580">
          <cell r="M1580" t="str">
            <v>131236-DR-E</v>
          </cell>
          <cell r="N1580" t="str">
            <v>Panel Schematics - 22kV Switchgear WIL00-HVSG-0002B TERMINAL CONNECTION TABLE = JZ02</v>
          </cell>
        </row>
        <row r="1581">
          <cell r="M1581" t="str">
            <v>131236-DR-E</v>
          </cell>
          <cell r="N1581" t="str">
            <v>Panel Schematics - 22kV Switchgear WIL00-HVSG-0002B TERMINAL CONNECTION TABLE = JZ02</v>
          </cell>
        </row>
        <row r="1582">
          <cell r="M1582" t="str">
            <v>131236-DR-E</v>
          </cell>
          <cell r="N1582" t="str">
            <v>Panel Schematics - 22kV Switchgear WIL00-HVSG-0002B TERMINAL CONNECTION TABLE = JZ02</v>
          </cell>
        </row>
        <row r="1583">
          <cell r="M1583" t="str">
            <v>131236-DR-E</v>
          </cell>
          <cell r="N1583" t="str">
            <v>Panel Schematics - 22kV Switchgear WIL00-HVSG-0002B TERMINAL CONNECTION TABLE = JZ02</v>
          </cell>
        </row>
        <row r="1584">
          <cell r="M1584" t="str">
            <v>131236-DR-E</v>
          </cell>
          <cell r="N1584" t="str">
            <v>Panel Schematics - 22kV Switchgear WIL00-HVSG-0002B TERMINAL CONNECTION TABLE = JZ02</v>
          </cell>
        </row>
        <row r="1585">
          <cell r="M1585" t="str">
            <v>131236-DR-E</v>
          </cell>
          <cell r="N1585" t="str">
            <v>Panel Schematics - 22kV Switchgear WIL00-HVSG-0002B TERMINAL CONNECTION TABLE = JZ02</v>
          </cell>
        </row>
        <row r="1586">
          <cell r="M1586" t="str">
            <v>131236-DR-E</v>
          </cell>
          <cell r="N1586" t="str">
            <v>Panel Schematics - 22kV Switchgear WIL00-HVSG-0002B TERMINAL CONNECTION TABLE = JZ02</v>
          </cell>
        </row>
        <row r="1587">
          <cell r="M1587" t="str">
            <v>131236-DR-E</v>
          </cell>
          <cell r="N1587" t="str">
            <v>Panel Schematics - 22kV Switchgear WIL00-HVSG-0002B TERMINAL CONNECTION TABLE = JZ02</v>
          </cell>
        </row>
        <row r="1588">
          <cell r="M1588" t="str">
            <v>131236-DR-E</v>
          </cell>
          <cell r="N1588" t="str">
            <v>Panel Schematics - 22kV Switchgear WIL00-HVSG-0002B OUTGOING FEEDER SCHEMATIC = JZ03a</v>
          </cell>
        </row>
        <row r="1589">
          <cell r="M1589" t="str">
            <v>131236-DR-E</v>
          </cell>
          <cell r="N1589" t="str">
            <v>Panel Schematics - 22kV Switchgear WIL00-HVSG-0002B OUTGOING FEEDER SCHEMATIC = JZ03a</v>
          </cell>
        </row>
        <row r="1590">
          <cell r="M1590" t="str">
            <v>131236-DR-E</v>
          </cell>
          <cell r="N1590" t="str">
            <v>Panel Schematics - 22kV Switchgear WIL00-HVSG-0002B OUTGOING FEEDER SCHEMATIC = JZ03a</v>
          </cell>
        </row>
        <row r="1591">
          <cell r="M1591" t="str">
            <v>131236-DR-E</v>
          </cell>
          <cell r="N1591" t="str">
            <v>Panel Schematics - 22kV Switchgear WIL00-HVSG-0002B OUTGOING FEEDER SCHEMATIC = JZ03a</v>
          </cell>
        </row>
        <row r="1592">
          <cell r="M1592" t="str">
            <v>131236-DR-E</v>
          </cell>
          <cell r="N1592" t="str">
            <v>Panel Schematics - 22kV Switchgear WIL00-HVSG-0002B OUTGOING FEEDER SCHEMATIC = JZ03a</v>
          </cell>
        </row>
        <row r="1593">
          <cell r="M1593" t="str">
            <v>131236-DR-E</v>
          </cell>
          <cell r="N1593" t="str">
            <v>Panel Schematics - 22kV Switchgear WIL00-HVSG-0002B OUTGOING FEEDER SCHEMATIC = JZ03a</v>
          </cell>
        </row>
        <row r="1594">
          <cell r="M1594" t="str">
            <v>131236-DR-E</v>
          </cell>
          <cell r="N1594" t="str">
            <v>Panel Schematics - 22kV Switchgear WIL00-HVSG-0002B OUTGOING FEEDER SCHEMATIC = JZ03a</v>
          </cell>
        </row>
        <row r="1595">
          <cell r="M1595" t="str">
            <v>131236-DR-E</v>
          </cell>
          <cell r="N1595" t="str">
            <v>Panel Schematics - 22kV Switchgear WIL00-HVSG-0002B OUTGOING FEEDER SCHEMATIC = JZ03a</v>
          </cell>
        </row>
        <row r="1596">
          <cell r="M1596" t="str">
            <v>131236-DR-E</v>
          </cell>
          <cell r="N1596" t="str">
            <v>Panel Schematics - 22kV Switchgear WIL00-HVSG-0002B OUTGOING FEEDER SCHEMATIC = JZ03a</v>
          </cell>
        </row>
        <row r="1597">
          <cell r="M1597" t="str">
            <v>131236-DR-E</v>
          </cell>
          <cell r="N1597" t="str">
            <v>Panel Schematics - 22kV Switchgear WIL00-HVSG-0002B OUTGOING FEEDER SCHEMATIC = JZ03a</v>
          </cell>
        </row>
        <row r="1598">
          <cell r="M1598" t="str">
            <v>131236-DR-E</v>
          </cell>
          <cell r="N1598" t="str">
            <v>Panel Schematics - 22kV Switchgear WIL00-HVSG-0002B OUTGOING FEEDER SCHEMATIC = JZ03a</v>
          </cell>
        </row>
        <row r="1599">
          <cell r="M1599" t="str">
            <v>131236-DR-E</v>
          </cell>
          <cell r="N1599" t="str">
            <v>Panel Schematics - 22kV Switchgear WIL00-HVSG-0002B OUTGOING FEEDER SCHEMATIC = JZ03a</v>
          </cell>
        </row>
        <row r="1600">
          <cell r="M1600" t="str">
            <v>131236-DR-E</v>
          </cell>
          <cell r="N1600" t="str">
            <v>Panel Schematics - 22kV Switchgear WIL00-HVSG-0002B OUTGOING FEEDER SCHEMATIC = JZ03a</v>
          </cell>
        </row>
        <row r="1601">
          <cell r="M1601" t="str">
            <v>131236-DR-E</v>
          </cell>
          <cell r="N1601" t="str">
            <v>Panel Schematics - 22kV Switchgear WIL00-HVSG-0002B OUTGOING FEEDER SCHEMATIC = JZ03a</v>
          </cell>
        </row>
        <row r="1602">
          <cell r="M1602" t="str">
            <v>131236-DR-E</v>
          </cell>
          <cell r="N1602" t="str">
            <v>Panel Schematics - 22kV Switchgear WIL00-HVSG-0002B OUTGOING FEEDER SCHEMATIC = JZ03a</v>
          </cell>
        </row>
        <row r="1603">
          <cell r="M1603" t="str">
            <v>131236-DR-E</v>
          </cell>
          <cell r="N1603" t="str">
            <v>Panel Schematics - 22kV Switchgear WIL00-HVSG-0002B OUTGOING FEEDER SCHEMATIC = JZ03a</v>
          </cell>
        </row>
        <row r="1604">
          <cell r="M1604" t="str">
            <v>131236-DR-E</v>
          </cell>
          <cell r="N1604" t="str">
            <v>Panel Schematics - 22kV Switchgear WIL00-HVSG-0002B OUTGOING FEEDER SCHEMATIC = JZ03a</v>
          </cell>
        </row>
        <row r="1605">
          <cell r="M1605" t="str">
            <v>131236-DR-E</v>
          </cell>
          <cell r="N1605" t="str">
            <v>Panel Schematics - 22kV Switchgear WIL00-HVSG-0002B OUTGOING FEEDER SCHEMATIC = JZ03a</v>
          </cell>
        </row>
        <row r="1606">
          <cell r="M1606" t="str">
            <v>131236-DR-E</v>
          </cell>
          <cell r="N1606" t="str">
            <v>Panel Schematics - 22kV Switchgear WIL00-HVSG-0002B OUTGOING FEEDER SCHEMATIC = JZ03a</v>
          </cell>
        </row>
        <row r="1607">
          <cell r="M1607" t="str">
            <v>131236-DR-E</v>
          </cell>
          <cell r="N1607" t="str">
            <v>Panel Schematics - 22kV Switchgear WIL00-HVSG-0002B OUTGOING FEEDER SCHEMATIC = JZ03a</v>
          </cell>
        </row>
        <row r="1608">
          <cell r="M1608" t="str">
            <v>131236-DR-E</v>
          </cell>
          <cell r="N1608" t="str">
            <v>Panel Schematics - 22kV Switchgear WIL00-HVSG-0002B OUTGOING FEEDER SCHEMATIC = JZ03a</v>
          </cell>
        </row>
        <row r="1609">
          <cell r="M1609" t="str">
            <v>131236-DR-E</v>
          </cell>
          <cell r="N1609" t="str">
            <v>Panel Schematics - 22kV Switchgear WIL00-HVSG-0002B OUTGOING FEEDER SCHEMATIC = JZ03a</v>
          </cell>
        </row>
        <row r="1610">
          <cell r="M1610" t="str">
            <v>131236-DR-E</v>
          </cell>
          <cell r="N1610" t="str">
            <v>Panel Schematics - 22kV Switchgear WIL00-HVSG-0002B OUTGOING FEEDER SCHEMATIC = JZ03a</v>
          </cell>
        </row>
        <row r="1611">
          <cell r="M1611" t="str">
            <v>131236-DR-E</v>
          </cell>
          <cell r="N1611" t="str">
            <v>Panel Schematics - 22kV Switchgear WIL00-HVSG-0002B OUTGOING FEEDER SCHEMATIC = JZ03a</v>
          </cell>
        </row>
        <row r="1612">
          <cell r="M1612" t="str">
            <v>131236-DR-E</v>
          </cell>
          <cell r="N1612" t="str">
            <v>Panel Schematics - 22kV Switchgear WIL00-HVSG-0002B TERMINAL CONNECTION TABLE = JZ03a</v>
          </cell>
        </row>
        <row r="1613">
          <cell r="M1613" t="str">
            <v>131236-DR-E</v>
          </cell>
          <cell r="N1613" t="str">
            <v>Panel Schematics - 22kV Switchgear WIL00-HVSG-0002B TERMINAL CONNECTION TABLE = JZ03a</v>
          </cell>
        </row>
        <row r="1614">
          <cell r="M1614" t="str">
            <v>131236-DR-E</v>
          </cell>
          <cell r="N1614" t="str">
            <v>Panel Schematics - 22kV Switchgear WIL00-HVSG-0002B TERMINAL CONNECTION TABLE = JZ03a</v>
          </cell>
        </row>
        <row r="1615">
          <cell r="M1615" t="str">
            <v>131236-DR-E</v>
          </cell>
          <cell r="N1615" t="str">
            <v>Panel Schematics - 22kV Switchgear WIL00-HVSG-0002B TERMINAL CONNECTION TABLE = JZ03a</v>
          </cell>
        </row>
        <row r="1616">
          <cell r="M1616" t="str">
            <v>131236-DR-E</v>
          </cell>
          <cell r="N1616" t="str">
            <v>Panel Schematics - 22kV Switchgear WIL00-HVSG-0002B TERMINAL CONNECTION TABLE = JZ03a</v>
          </cell>
        </row>
        <row r="1617">
          <cell r="M1617" t="str">
            <v>131236-DR-E</v>
          </cell>
          <cell r="N1617" t="str">
            <v>Panel Schematics - 22kV Switchgear WIL00-HVSG-0002B TERMINAL CONNECTION TABLE = JZ03a</v>
          </cell>
        </row>
        <row r="1618">
          <cell r="M1618" t="str">
            <v>131236-DR-E</v>
          </cell>
          <cell r="N1618" t="str">
            <v>Panel Schematics - 22kV Switchgear WIL00-HVSG-0002B TERMINAL CONNECTION TABLE = JZ03a</v>
          </cell>
        </row>
        <row r="1619">
          <cell r="M1619" t="str">
            <v>131236-DR-E</v>
          </cell>
          <cell r="N1619" t="str">
            <v>Panel Schematics - 22kV Switchgear WIL00-HVSG-0002B TERMINAL CONNECTION TABLE = JZ03a</v>
          </cell>
        </row>
        <row r="1620">
          <cell r="M1620" t="str">
            <v>131236-DR-E</v>
          </cell>
          <cell r="N1620" t="str">
            <v>Panel Schematics - 22kV Switchgear WIL00-HVSG-0002B TERMINAL CONNECTION TABLE = JZ03a</v>
          </cell>
        </row>
        <row r="1621">
          <cell r="M1621" t="str">
            <v>131236-DR-E</v>
          </cell>
          <cell r="N1621" t="str">
            <v>Panel Schematics - 22kV Switchgear WIL00-HVSG-0002B TERMINAL CONNECTION TABLE = JZ03a</v>
          </cell>
        </row>
        <row r="1622">
          <cell r="M1622" t="str">
            <v>131236-DR-E</v>
          </cell>
          <cell r="N1622" t="str">
            <v>Panel Schematics - 22kV Switchgear WIL00-HVSG-0002B TERMINAL CONNECTION TABLE = JZ03a</v>
          </cell>
        </row>
        <row r="1623">
          <cell r="M1623" t="str">
            <v>131236-DR-E</v>
          </cell>
          <cell r="N1623" t="str">
            <v>Panel Schematics - 22kV Switchgear WIL00-HVSG-0002B TERMINAL CONNECTION TABLE = JZ03a</v>
          </cell>
        </row>
        <row r="1624">
          <cell r="M1624" t="str">
            <v>131236-DR-E</v>
          </cell>
          <cell r="N1624" t="str">
            <v>Panel Schematics - 22kV Switchgear WIL00-HVSG-0002B TERMINAL CONNECTION TABLE = JZ03a</v>
          </cell>
        </row>
        <row r="1625">
          <cell r="M1625" t="str">
            <v>131236-DR-E</v>
          </cell>
          <cell r="N1625" t="str">
            <v>Panel Schematics - 22kV Switchgear WIL00-HVSG-0002B TERMINAL CONNECTION TABLE = JZ03a</v>
          </cell>
        </row>
        <row r="1626">
          <cell r="M1626" t="str">
            <v>131236-DR-E</v>
          </cell>
          <cell r="N1626" t="str">
            <v>Panel Schematics - 22kV Switchgear WIL00-HVSG-0002B TERMINAL CONNECTION TABLE = JZ03a</v>
          </cell>
        </row>
        <row r="1627">
          <cell r="M1627" t="str">
            <v>131236-DR-E</v>
          </cell>
          <cell r="N1627" t="str">
            <v>Panel Schematics - 22kV Switchgear WIL00-HVSG-0002B TERMINAL CONNECTION TABLE = JZ03a</v>
          </cell>
        </row>
        <row r="1628">
          <cell r="M1628" t="str">
            <v>131236-DR-E</v>
          </cell>
          <cell r="N1628" t="str">
            <v>Panel Schematics - 22kV Switchgear WIL00-HVSG-0002B TERMINAL CONNECTION TABLE = JZ03a</v>
          </cell>
        </row>
        <row r="1629">
          <cell r="M1629" t="str">
            <v>131236-DR-E</v>
          </cell>
          <cell r="N1629" t="str">
            <v>Panel Schematics - 22kV Switchgear WIL00-HVSG-0002B OUTGOING FEEDER SCHEMATIC = JZ03</v>
          </cell>
        </row>
        <row r="1630">
          <cell r="M1630" t="str">
            <v>131236-DR-E</v>
          </cell>
          <cell r="N1630" t="str">
            <v>Panel Schematics - 22kV Switchgear WIL00-HVSG-0002B OUTGOING FEEDER SCHEMATIC = JZ03</v>
          </cell>
        </row>
        <row r="1631">
          <cell r="M1631" t="str">
            <v>131236-DR-E</v>
          </cell>
          <cell r="N1631" t="str">
            <v>Panel Schematics - 22kV Switchgear WIL00-HVSG-0002B OUTGOING FEEDER SCHEMATIC = JZ03</v>
          </cell>
        </row>
        <row r="1632">
          <cell r="M1632" t="str">
            <v>131236-DR-E</v>
          </cell>
          <cell r="N1632" t="str">
            <v>Panel Schematics - 22kV Switchgear WIL00-HVSG-0002B OUTGOING FEEDER SCHEMATIC = JZ03</v>
          </cell>
        </row>
        <row r="1633">
          <cell r="M1633" t="str">
            <v>131236-DR-E</v>
          </cell>
          <cell r="N1633" t="str">
            <v>Panel Schematics - 22kV Switchgear WIL00-HVSG-0002B OUTGOING FEEDER SCHEMATIC = JZ03</v>
          </cell>
        </row>
        <row r="1634">
          <cell r="M1634" t="str">
            <v>131236-DR-E</v>
          </cell>
          <cell r="N1634" t="str">
            <v>Panel Schematics - 22kV Switchgear WIL00-HVSG-0002B OUTGOING FEEDER SCHEMATIC = JZ03</v>
          </cell>
        </row>
        <row r="1635">
          <cell r="M1635" t="str">
            <v>131236-DR-E</v>
          </cell>
          <cell r="N1635" t="str">
            <v>Panel Schematics - 22kV Switchgear WIL00-HVSG-0002B OUTGOING FEEDER SCHEMATIC = JZ03</v>
          </cell>
        </row>
        <row r="1636">
          <cell r="M1636" t="str">
            <v>131236-DR-E</v>
          </cell>
          <cell r="N1636" t="str">
            <v>Panel Schematics - 22kV Switchgear WIL00-HVSG-0002B OUTGOING FEEDER SCHEMATIC = JZ03</v>
          </cell>
        </row>
        <row r="1637">
          <cell r="M1637" t="str">
            <v>131236-DR-E</v>
          </cell>
          <cell r="N1637" t="str">
            <v>Panel Schematics - 22kV Switchgear WIL00-HVSG-0002B OUTGOING FEEDER SCHEMATIC = JZ03</v>
          </cell>
        </row>
        <row r="1638">
          <cell r="M1638" t="str">
            <v>131236-DR-E</v>
          </cell>
          <cell r="N1638" t="str">
            <v>Panel Schematics - 22kV Switchgear WIL00-HVSG-0002B OUTGOING FEEDER SCHEMATIC = JZ03</v>
          </cell>
        </row>
        <row r="1639">
          <cell r="M1639" t="str">
            <v>131236-DR-E</v>
          </cell>
          <cell r="N1639" t="str">
            <v>Panel Schematics - 22kV Switchgear WIL00-HVSG-0002B OUTGOING FEEDER SCHEMATIC = JZ03</v>
          </cell>
        </row>
        <row r="1640">
          <cell r="M1640" t="str">
            <v>131236-DR-E</v>
          </cell>
          <cell r="N1640" t="str">
            <v>Panel Schematics - 22kV Switchgear WIL00-HVSG-0002B OUTGOING FEEDER SCHEMATIC = JZ03</v>
          </cell>
        </row>
        <row r="1641">
          <cell r="M1641" t="str">
            <v>131236-DR-E</v>
          </cell>
          <cell r="N1641" t="str">
            <v>Panel Schematics - 22kV Switchgear WIL00-HVSG-0002B OUTGOING FEEDER SCHEMATIC = JZ03</v>
          </cell>
        </row>
        <row r="1642">
          <cell r="M1642" t="str">
            <v>131236-DR-E</v>
          </cell>
          <cell r="N1642" t="str">
            <v>Panel Schematics - 22kV Switchgear WIL00-HVSG-0002B OUTGOING FEEDER SCHEMATIC = JZ03</v>
          </cell>
        </row>
        <row r="1643">
          <cell r="M1643" t="str">
            <v>131236-DR-E</v>
          </cell>
          <cell r="N1643" t="str">
            <v>Panel Schematics - 22kV Switchgear WIL00-HVSG-0002B OUTGOING FEEDER SCHEMATIC = JZ03</v>
          </cell>
        </row>
        <row r="1644">
          <cell r="M1644" t="str">
            <v>131236-DR-E</v>
          </cell>
          <cell r="N1644" t="str">
            <v>Panel Schematics - 22kV Switchgear WIL00-HVSG-0002B OUTGOING FEEDER SCHEMATIC = JZ03</v>
          </cell>
        </row>
        <row r="1645">
          <cell r="M1645" t="str">
            <v>131236-DR-E</v>
          </cell>
          <cell r="N1645" t="str">
            <v>Panel Schematics - 22kV Switchgear WIL00-HVSG-0002B OUTGOING FEEDER SCHEMATIC = JZ03</v>
          </cell>
        </row>
        <row r="1646">
          <cell r="M1646" t="str">
            <v>131236-DR-E</v>
          </cell>
          <cell r="N1646" t="str">
            <v>Panel Schematics - 22kV Switchgear WIL00-HVSG-0002B OUTGOING FEEDER SCHEMATIC = JZ03</v>
          </cell>
        </row>
        <row r="1647">
          <cell r="M1647" t="str">
            <v>131236-DR-E</v>
          </cell>
          <cell r="N1647" t="str">
            <v>Panel Schematics - 22kV Switchgear WIL00-HVSG-0002B OUTGOING FEEDER SCHEMATIC = JZ03</v>
          </cell>
        </row>
        <row r="1648">
          <cell r="M1648" t="str">
            <v>131236-DR-E</v>
          </cell>
          <cell r="N1648" t="str">
            <v>Panel Schematics - 22kV Switchgear WIL00-HVSG-0002B OUTGOING FEEDER SCHEMATIC = JZ03</v>
          </cell>
        </row>
        <row r="1649">
          <cell r="M1649" t="str">
            <v>131236-DR-E</v>
          </cell>
          <cell r="N1649" t="str">
            <v>Panel Schematics - 22kV Switchgear WIL00-HVSG-0002B OUTGOING FEEDER SCHEMATIC = JZ03</v>
          </cell>
        </row>
        <row r="1650">
          <cell r="M1650" t="str">
            <v>131236-DR-E</v>
          </cell>
          <cell r="N1650" t="str">
            <v>Panel Schematics - 22kV Switchgear WIL00-HVSG-0002B OUTGOING FEEDER SCHEMATIC = JZ03</v>
          </cell>
        </row>
        <row r="1651">
          <cell r="M1651" t="str">
            <v>131236-DR-E</v>
          </cell>
          <cell r="N1651" t="str">
            <v>Panel Schematics - 22kV Switchgear WIL00-HVSG-0002B OUTGOING FEEDER SCHEMATIC = JZ03</v>
          </cell>
        </row>
        <row r="1652">
          <cell r="M1652" t="str">
            <v>131236-DR-E</v>
          </cell>
          <cell r="N1652" t="str">
            <v>Panel Schematics - 22kV Switchgear WIL00-HVSG-0002B TERMINAL CONNECTION TABLE = JZ03</v>
          </cell>
        </row>
        <row r="1653">
          <cell r="M1653" t="str">
            <v>131236-DR-E</v>
          </cell>
          <cell r="N1653" t="str">
            <v>Panel Schematics - 22kV Switchgear WIL00-HVSG-0002B TERMINAL CONNECTION TABLE = JZ03</v>
          </cell>
        </row>
        <row r="1654">
          <cell r="M1654" t="str">
            <v>131236-DR-E</v>
          </cell>
          <cell r="N1654" t="str">
            <v>Panel Schematics - 22kV Switchgear WIL00-HVSG-0002B TERMINAL CONNECTION TABLE = JZ03</v>
          </cell>
        </row>
        <row r="1655">
          <cell r="M1655" t="str">
            <v>131236-DR-E</v>
          </cell>
          <cell r="N1655" t="str">
            <v>Panel Schematics - 22kV Switchgear WIL00-HVSG-0002B TERMINAL CONNECTION TABLE = JZ03</v>
          </cell>
        </row>
        <row r="1656">
          <cell r="M1656" t="str">
            <v>131236-DR-E</v>
          </cell>
          <cell r="N1656" t="str">
            <v>Panel Schematics - 22kV Switchgear WIL00-HVSG-0002B TERMINAL CONNECTION TABLE = JZ03</v>
          </cell>
        </row>
        <row r="1657">
          <cell r="M1657" t="str">
            <v>131236-DR-E</v>
          </cell>
          <cell r="N1657" t="str">
            <v>Panel Schematics - 22kV Switchgear WIL00-HVSG-0002B TERMINAL CONNECTION TABLE = JZ03</v>
          </cell>
        </row>
        <row r="1658">
          <cell r="M1658" t="str">
            <v>131236-DR-E</v>
          </cell>
          <cell r="N1658" t="str">
            <v>Panel Schematics - 22kV Switchgear WIL00-HVSG-0002B TERMINAL CONNECTION TABLE = JZ03</v>
          </cell>
        </row>
        <row r="1659">
          <cell r="M1659" t="str">
            <v>131236-DR-E</v>
          </cell>
          <cell r="N1659" t="str">
            <v>Panel Schematics - 22kV Switchgear WIL00-HVSG-0002B TERMINAL CONNECTION TABLE = JZ03</v>
          </cell>
        </row>
        <row r="1660">
          <cell r="M1660" t="str">
            <v>131236-DR-E</v>
          </cell>
          <cell r="N1660" t="str">
            <v>Panel Schematics - 22kV Switchgear WIL00-HVSG-0002B TERMINAL CONNECTION TABLE = JZ03</v>
          </cell>
        </row>
        <row r="1661">
          <cell r="M1661" t="str">
            <v>131236-DR-E</v>
          </cell>
          <cell r="N1661" t="str">
            <v>Panel Schematics - 22kV Switchgear WIL00-HVSG-0002B TERMINAL CONNECTION TABLE = JZ03</v>
          </cell>
        </row>
        <row r="1662">
          <cell r="M1662" t="str">
            <v>131236-DR-E</v>
          </cell>
          <cell r="N1662" t="str">
            <v>Panel Schematics - 22kV Switchgear WIL00-HVSG-0002B TERMINAL CONNECTION TABLE = JZ03</v>
          </cell>
        </row>
        <row r="1663">
          <cell r="M1663" t="str">
            <v>131236-DR-E</v>
          </cell>
          <cell r="N1663" t="str">
            <v>Panel Schematics - 22kV Switchgear WIL00-HVSG-0002B TERMINAL CONNECTION TABLE = JZ03</v>
          </cell>
        </row>
        <row r="1664">
          <cell r="M1664" t="str">
            <v>131236-DR-E</v>
          </cell>
          <cell r="N1664" t="str">
            <v>Panel Schematics - 22kV Switchgear WIL00-HVSG-0002B TERMINAL CONNECTION TABLE = JZ03</v>
          </cell>
        </row>
        <row r="1665">
          <cell r="M1665" t="str">
            <v>131236-DR-E</v>
          </cell>
          <cell r="N1665" t="str">
            <v>Panel Schematics - 22kV Switchgear WIL00-HVSG-0002B TERMINAL CONNECTION TABLE = JZ03</v>
          </cell>
        </row>
        <row r="1666">
          <cell r="M1666" t="str">
            <v>131236-DR-E</v>
          </cell>
          <cell r="N1666" t="str">
            <v>Panel Schematics - 22kV Switchgear WIL00-HVSG-0002B TERMINAL CONNECTION TABLE = JZ03</v>
          </cell>
        </row>
        <row r="1667">
          <cell r="M1667" t="str">
            <v>131236-DR-E</v>
          </cell>
          <cell r="N1667" t="str">
            <v>Panel Schematics - 22kV Switchgear WIL00-HVSG-0002B OUTGOING FEEDER SCHEMATIC = JZ04a</v>
          </cell>
        </row>
        <row r="1668">
          <cell r="M1668" t="str">
            <v>131236-DR-E</v>
          </cell>
          <cell r="N1668" t="str">
            <v>Panel Schematics - 22kV Switchgear WIL00-HVSG-0002B OUTGOING FEEDER SCHEMATIC = JZ04a</v>
          </cell>
        </row>
        <row r="1669">
          <cell r="M1669" t="str">
            <v>131236-DR-E</v>
          </cell>
          <cell r="N1669" t="str">
            <v>Panel Schematics - 22kV Switchgear WIL00-HVSG-0002B OUTGOING FEEDER SCHEMATIC = JZ04a</v>
          </cell>
        </row>
        <row r="1670">
          <cell r="M1670" t="str">
            <v>131236-DR-E</v>
          </cell>
          <cell r="N1670" t="str">
            <v>Panel Schematics - 22kV Switchgear WIL00-HVSG-0002B OUTGOING FEEDER SCHEMATIC = JZ04a</v>
          </cell>
        </row>
        <row r="1671">
          <cell r="M1671" t="str">
            <v>131236-DR-E</v>
          </cell>
          <cell r="N1671" t="str">
            <v>Panel Schematics - 22kV Switchgear WIL00-HVSG-0002B OUTGOING FEEDER SCHEMATIC = JZ04a</v>
          </cell>
        </row>
        <row r="1672">
          <cell r="M1672" t="str">
            <v>131236-DR-E</v>
          </cell>
          <cell r="N1672" t="str">
            <v>Panel Schematics - 22kV Switchgear WIL00-HVSG-0002B OUTGOING FEEDER SCHEMATIC = JZ04a</v>
          </cell>
        </row>
        <row r="1673">
          <cell r="M1673" t="str">
            <v>131236-DR-E</v>
          </cell>
          <cell r="N1673" t="str">
            <v>Panel Schematics - 22kV Switchgear WIL00-HVSG-0002B OUTGOING FEEDER SCHEMATIC = JZ04a</v>
          </cell>
        </row>
        <row r="1674">
          <cell r="M1674" t="str">
            <v>131236-DR-E</v>
          </cell>
          <cell r="N1674" t="str">
            <v>Panel Schematics - 22kV Switchgear WIL00-HVSG-0002B OUTGOING FEEDER SCHEMATIC = JZ04a</v>
          </cell>
        </row>
        <row r="1675">
          <cell r="M1675" t="str">
            <v>131236-DR-E</v>
          </cell>
          <cell r="N1675" t="str">
            <v>Panel Schematics - 22kV Switchgear WIL00-HVSG-0002B OUTGOING FEEDER SCHEMATIC = JZ04a</v>
          </cell>
        </row>
        <row r="1676">
          <cell r="M1676" t="str">
            <v>131236-DR-E</v>
          </cell>
          <cell r="N1676" t="str">
            <v>Panel Schematics - 22kV Switchgear WIL00-HVSG-0002B OUTGOING FEEDER SCHEMATIC = JZ04a</v>
          </cell>
        </row>
        <row r="1677">
          <cell r="M1677" t="str">
            <v>131236-DR-E</v>
          </cell>
          <cell r="N1677" t="str">
            <v>Panel Schematics - 22kV Switchgear WIL00-HVSG-0002B OUTGOING FEEDER SCHEMATIC = JZ04a</v>
          </cell>
        </row>
        <row r="1678">
          <cell r="M1678" t="str">
            <v>131236-DR-E</v>
          </cell>
          <cell r="N1678" t="str">
            <v>Panel Schematics - 22kV Switchgear WIL00-HVSG-0002B OUTGOING FEEDER SCHEMATIC = JZ04a</v>
          </cell>
        </row>
        <row r="1679">
          <cell r="M1679" t="str">
            <v>131236-DR-E</v>
          </cell>
          <cell r="N1679" t="str">
            <v>Panel Schematics - 22kV Switchgear WIL00-HVSG-0002B OUTGOING FEEDER SCHEMATIC = JZ04a</v>
          </cell>
        </row>
        <row r="1680">
          <cell r="M1680" t="str">
            <v>131236-DR-E</v>
          </cell>
          <cell r="N1680" t="str">
            <v>Panel Schematics - 22kV Switchgear WIL00-HVSG-0002B OUTGOING FEEDER SCHEMATIC = JZ04a</v>
          </cell>
        </row>
        <row r="1681">
          <cell r="M1681" t="str">
            <v>131236-DR-E</v>
          </cell>
          <cell r="N1681" t="str">
            <v>Panel Schematics - 22kV Switchgear WIL00-HVSG-0002B OUTGOING FEEDER SCHEMATIC = JZ04a</v>
          </cell>
        </row>
        <row r="1682">
          <cell r="M1682" t="str">
            <v>131236-DR-E</v>
          </cell>
          <cell r="N1682" t="str">
            <v>Panel Schematics - 22kV Switchgear WIL00-HVSG-0002B OUTGOING FEEDER SCHEMATIC = JZ04a</v>
          </cell>
        </row>
        <row r="1683">
          <cell r="M1683" t="str">
            <v>131236-DR-E</v>
          </cell>
          <cell r="N1683" t="str">
            <v>Panel Schematics - 22kV Switchgear WIL00-HVSG-0002B OUTGOING FEEDER SCHEMATIC = JZ04a</v>
          </cell>
        </row>
        <row r="1684">
          <cell r="M1684" t="str">
            <v>131236-DR-E</v>
          </cell>
          <cell r="N1684" t="str">
            <v>Panel Schematics - 22kV Switchgear WIL00-HVSG-0002B OUTGOING FEEDER SCHEMATIC = JZ04a</v>
          </cell>
        </row>
        <row r="1685">
          <cell r="M1685" t="str">
            <v>131236-DR-E</v>
          </cell>
          <cell r="N1685" t="str">
            <v>Panel Schematics - 22kV Switchgear WIL00-HVSG-0002B OUTGOING FEEDER SCHEMATIC = JZ04a</v>
          </cell>
        </row>
        <row r="1686">
          <cell r="M1686" t="str">
            <v>131236-DR-E</v>
          </cell>
          <cell r="N1686" t="str">
            <v>Panel Schematics - 22kV Switchgear WIL00-HVSG-0002B OUTGOING FEEDER SCHEMATIC = JZ04a</v>
          </cell>
        </row>
        <row r="1687">
          <cell r="M1687" t="str">
            <v>131236-DR-E</v>
          </cell>
          <cell r="N1687" t="str">
            <v>Panel Schematics - 22kV Switchgear WIL00-HVSG-0002B OUTGOING FEEDER SCHEMATIC = JZ04a</v>
          </cell>
        </row>
        <row r="1688">
          <cell r="M1688" t="str">
            <v>131236-DR-E</v>
          </cell>
          <cell r="N1688" t="str">
            <v>Panel Schematics - 22kV Switchgear WIL00-HVSG-0002B OUTGOING FEEDER SCHEMATIC = JZ04a</v>
          </cell>
        </row>
        <row r="1689">
          <cell r="M1689" t="str">
            <v>131236-DR-E</v>
          </cell>
          <cell r="N1689" t="str">
            <v>Panel Schematics - 22kV Switchgear WIL00-HVSG-0002B OUTGOING FEEDER SCHEMATIC = JZ04a</v>
          </cell>
        </row>
        <row r="1690">
          <cell r="M1690" t="str">
            <v>131236-DR-E</v>
          </cell>
          <cell r="N1690" t="str">
            <v>Panel Schematics - 22kV Switchgear WIL00-HVSG-0002B OUTGOING FEEDER SCHEMATIC = JZ04a</v>
          </cell>
        </row>
        <row r="1691">
          <cell r="M1691" t="str">
            <v>131236-DR-E</v>
          </cell>
          <cell r="N1691" t="str">
            <v>Panel Schematics - 22kV Switchgear WIL00-HVSG-0002B TERMINAL CONNECTION TABLE = JZ04a</v>
          </cell>
        </row>
        <row r="1692">
          <cell r="M1692" t="str">
            <v>131236-DR-E</v>
          </cell>
          <cell r="N1692" t="str">
            <v>Panel Schematics - 22kV Switchgear WIL00-HVSG-0002B TERMINAL CONNECTION TABLE = JZ04a</v>
          </cell>
        </row>
        <row r="1693">
          <cell r="M1693" t="str">
            <v>131236-DR-E</v>
          </cell>
          <cell r="N1693" t="str">
            <v>Panel Schematics - 22kV Switchgear WIL00-HVSG-0002B TERMINAL CONNECTION TABLE = JZ04a</v>
          </cell>
        </row>
        <row r="1694">
          <cell r="M1694" t="str">
            <v>131236-DR-E</v>
          </cell>
          <cell r="N1694" t="str">
            <v>Panel Schematics - 22kV Switchgear WIL00-HVSG-0002B TERMINAL CONNECTION TABLE = JZ04a</v>
          </cell>
        </row>
        <row r="1695">
          <cell r="M1695" t="str">
            <v>131236-DR-E</v>
          </cell>
          <cell r="N1695" t="str">
            <v>Panel Schematics - 22kV Switchgear WIL00-HVSG-0002B TERMINAL CONNECTION TABLE = JZ04a</v>
          </cell>
        </row>
        <row r="1696">
          <cell r="M1696" t="str">
            <v>131236-DR-E</v>
          </cell>
          <cell r="N1696" t="str">
            <v>Panel Schematics - 22kV Switchgear WIL00-HVSG-0002B TERMINAL CONNECTION TABLE = JZ04a</v>
          </cell>
        </row>
        <row r="1697">
          <cell r="M1697" t="str">
            <v>131236-DR-E</v>
          </cell>
          <cell r="N1697" t="str">
            <v>Panel Schematics - 22kV Switchgear WIL00-HVSG-0002B TERMINAL CONNECTION TABLE = JZ04a</v>
          </cell>
        </row>
        <row r="1698">
          <cell r="M1698" t="str">
            <v>131236-DR-E</v>
          </cell>
          <cell r="N1698" t="str">
            <v>Panel Schematics - 22kV Switchgear WIL00-HVSG-0002B TERMINAL CONNECTION TABLE = JZ04a</v>
          </cell>
        </row>
        <row r="1699">
          <cell r="M1699" t="str">
            <v>131236-DR-E</v>
          </cell>
          <cell r="N1699" t="str">
            <v>Panel Schematics - 22kV Switchgear WIL00-HVSG-0002B TERMINAL CONNECTION TABLE = JZ04a</v>
          </cell>
        </row>
        <row r="1700">
          <cell r="M1700" t="str">
            <v>131236-DR-E</v>
          </cell>
          <cell r="N1700" t="str">
            <v>Panel Schematics - 22kV Switchgear WIL00-HVSG-0002B TERMINAL CONNECTION TABLE = JZ04a</v>
          </cell>
        </row>
        <row r="1701">
          <cell r="M1701" t="str">
            <v>131236-DR-E</v>
          </cell>
          <cell r="N1701" t="str">
            <v>Panel Schematics - 22kV Switchgear WIL00-HVSG-0002B TERMINAL CONNECTION TABLE = JZ04a</v>
          </cell>
        </row>
        <row r="1702">
          <cell r="M1702" t="str">
            <v>131236-DR-E</v>
          </cell>
          <cell r="N1702" t="str">
            <v>Panel Schematics - 22kV Switchgear WIL00-HVSG-0002B TERMINAL CONNECTION TABLE = JZ04a</v>
          </cell>
        </row>
        <row r="1703">
          <cell r="M1703" t="str">
            <v>131236-DR-E</v>
          </cell>
          <cell r="N1703" t="str">
            <v>Panel Schematics - 22kV Switchgear WIL00-HVSG-0002B TERMINAL CONNECTION TABLE = JZ04a</v>
          </cell>
        </row>
        <row r="1704">
          <cell r="M1704" t="str">
            <v>131236-DR-E</v>
          </cell>
          <cell r="N1704" t="str">
            <v>Panel Schematics - 22kV Switchgear WIL00-HVSG-0002B TERMINAL CONNECTION TABLE = JZ04a</v>
          </cell>
        </row>
        <row r="1705">
          <cell r="M1705" t="str">
            <v>131236-DR-E</v>
          </cell>
          <cell r="N1705" t="str">
            <v>Panel Schematics - 22kV Switchgear WIL00-HVSG-0002B TERMINAL CONNECTION TABLE = JZ04a</v>
          </cell>
        </row>
        <row r="1706">
          <cell r="M1706" t="str">
            <v>131236-DR-E</v>
          </cell>
          <cell r="N1706" t="str">
            <v>Panel Schematics - 22kV Switchgear WIL00-HVSG-0002B OUTGOING FEEDER SCHEMATIC = JZ04</v>
          </cell>
        </row>
        <row r="1707">
          <cell r="M1707" t="str">
            <v>131236-DR-E</v>
          </cell>
          <cell r="N1707" t="str">
            <v>Panel Schematics - 22kV Switchgear WIL00-HVSG-0002B OUTGOING FEEDER SCHEMATIC = JZ04</v>
          </cell>
        </row>
        <row r="1708">
          <cell r="M1708" t="str">
            <v>131236-DR-E</v>
          </cell>
          <cell r="N1708" t="str">
            <v>Panel Schematics - 22kV Switchgear WIL00-HVSG-0002B OUTGOING FEEDER SCHEMATIC = JZ04</v>
          </cell>
        </row>
        <row r="1709">
          <cell r="M1709" t="str">
            <v>131236-DR-E</v>
          </cell>
          <cell r="N1709" t="str">
            <v>Panel Schematics - 22kV Switchgear WIL00-HVSG-0002B OUTGOING FEEDER SCHEMATIC = JZ04</v>
          </cell>
        </row>
        <row r="1710">
          <cell r="M1710" t="str">
            <v>131236-DR-E</v>
          </cell>
          <cell r="N1710" t="str">
            <v>Panel Schematics - 22kV Switchgear WIL00-HVSG-0002B OUTGOING FEEDER SCHEMATIC = JZ04</v>
          </cell>
        </row>
        <row r="1711">
          <cell r="M1711" t="str">
            <v>131236-DR-E</v>
          </cell>
          <cell r="N1711" t="str">
            <v>Panel Schematics - 22kV Switchgear WIL00-HVSG-0002B OUTGOING FEEDER SCHEMATIC = JZ04</v>
          </cell>
        </row>
        <row r="1712">
          <cell r="M1712" t="str">
            <v>131236-DR-E</v>
          </cell>
          <cell r="N1712" t="str">
            <v>Panel Schematics - 22kV Switchgear WIL00-HVSG-0002B OUTGOING FEEDER SCHEMATIC = JZ04</v>
          </cell>
        </row>
        <row r="1713">
          <cell r="M1713" t="str">
            <v>131236-DR-E</v>
          </cell>
          <cell r="N1713" t="str">
            <v>Panel Schematics - 22kV Switchgear WIL00-HVSG-0002B OUTGOING FEEDER SCHEMATIC = JZ04</v>
          </cell>
        </row>
        <row r="1714">
          <cell r="M1714" t="str">
            <v>131236-DR-E</v>
          </cell>
          <cell r="N1714" t="str">
            <v>Panel Schematics - 22kV Switchgear WIL00-HVSG-0002B OUTGOING FEEDER SCHEMATIC = JZ04</v>
          </cell>
        </row>
        <row r="1715">
          <cell r="M1715" t="str">
            <v>131236-DR-E</v>
          </cell>
          <cell r="N1715" t="str">
            <v>Panel Schematics - 22kV Switchgear WIL00-HVSG-0002B OUTGOING FEEDER SCHEMATIC = JZ04</v>
          </cell>
        </row>
        <row r="1716">
          <cell r="M1716" t="str">
            <v>131236-DR-E</v>
          </cell>
          <cell r="N1716" t="str">
            <v>Panel Schematics - 22kV Switchgear WIL00-HVSG-0002B OUTGOING FEEDER SCHEMATIC = JZ04</v>
          </cell>
        </row>
        <row r="1717">
          <cell r="M1717" t="str">
            <v>131236-DR-E</v>
          </cell>
          <cell r="N1717" t="str">
            <v>Panel Schematics - 22kV Switchgear WIL00-HVSG-0002B OUTGOING FEEDER SCHEMATIC = JZ04</v>
          </cell>
        </row>
        <row r="1718">
          <cell r="M1718" t="str">
            <v>131236-DR-E</v>
          </cell>
          <cell r="N1718" t="str">
            <v>Panel Schematics - 22kV Switchgear WIL00-HVSG-0002B OUTGOING FEEDER SCHEMATIC = JZ04</v>
          </cell>
        </row>
        <row r="1719">
          <cell r="M1719" t="str">
            <v>131236-DR-E</v>
          </cell>
          <cell r="N1719" t="str">
            <v>Panel Schematics - 22kV Switchgear WIL00-HVSG-0002B OUTGOING FEEDER SCHEMATIC = JZ04</v>
          </cell>
        </row>
        <row r="1720">
          <cell r="M1720" t="str">
            <v>131236-DR-E</v>
          </cell>
          <cell r="N1720" t="str">
            <v>Panel Schematics - 22kV Switchgear WIL00-HVSG-0002B OUTGOING FEEDER SCHEMATIC = JZ04</v>
          </cell>
        </row>
        <row r="1721">
          <cell r="M1721" t="str">
            <v>131236-DR-E</v>
          </cell>
          <cell r="N1721" t="str">
            <v>Panel Schematics - 22kV Switchgear WIL00-HVSG-0002B OUTGOING FEEDER SCHEMATIC = JZ04</v>
          </cell>
        </row>
        <row r="1722">
          <cell r="M1722" t="str">
            <v>131236-DR-E</v>
          </cell>
          <cell r="N1722" t="str">
            <v>Panel Schematics - 22kV Switchgear WIL00-HVSG-0002B OUTGOING FEEDER SCHEMATIC = JZ04</v>
          </cell>
        </row>
        <row r="1723">
          <cell r="M1723" t="str">
            <v>131236-DR-E</v>
          </cell>
          <cell r="N1723" t="str">
            <v>Panel Schematics - 22kV Switchgear WIL00-HVSG-0002B OUTGOING FEEDER SCHEMATIC = JZ04</v>
          </cell>
        </row>
        <row r="1724">
          <cell r="M1724" t="str">
            <v>131236-DR-E</v>
          </cell>
          <cell r="N1724" t="str">
            <v>Panel Schematics - 22kV Switchgear WIL00-HVSG-0002B OUTGOING FEEDER SCHEMATIC = JZ04</v>
          </cell>
        </row>
        <row r="1725">
          <cell r="M1725" t="str">
            <v>131236-DR-E</v>
          </cell>
          <cell r="N1725" t="str">
            <v>Panel Schematics - 22kV Switchgear WIL00-HVSG-0002B OUTGOING FEEDER SCHEMATIC = JZ04</v>
          </cell>
        </row>
        <row r="1726">
          <cell r="M1726" t="str">
            <v>131236-DR-E</v>
          </cell>
          <cell r="N1726" t="str">
            <v>Panel Schematics - 22kV Switchgear WIL00-HVSG-0002B OUTGOING FEEDER SCHEMATIC = JZ04</v>
          </cell>
        </row>
        <row r="1727">
          <cell r="M1727" t="str">
            <v>131236-DR-E</v>
          </cell>
          <cell r="N1727" t="str">
            <v>Panel Schematics - 22kV Switchgear WIL00-HVSG-0002B OUTGOING FEEDER SCHEMATIC = JZ04</v>
          </cell>
        </row>
        <row r="1728">
          <cell r="M1728" t="str">
            <v>131236-DR-E</v>
          </cell>
          <cell r="N1728" t="str">
            <v>Panel Schematics - 22kV Switchgear WIL00-HVSG-0002B OUTGOING FEEDER SCHEMATIC = JZ04</v>
          </cell>
        </row>
        <row r="1729">
          <cell r="M1729" t="str">
            <v>131236-DR-E</v>
          </cell>
          <cell r="N1729" t="str">
            <v>Panel Schematics - 22kV Switchgear WIL00-HVSG-0002B OUTGOING FEEDER SCHEMATIC = JZ04</v>
          </cell>
        </row>
        <row r="1730">
          <cell r="M1730" t="str">
            <v>131236-DR-E</v>
          </cell>
          <cell r="N1730" t="str">
            <v>Panel Schematics - 22kV Switchgear WIL00-HVSG-0002B OUTGOING FEEDER SCHEMATIC = JZ04</v>
          </cell>
        </row>
        <row r="1731">
          <cell r="M1731" t="str">
            <v>131236-DR-E</v>
          </cell>
          <cell r="N1731" t="str">
            <v>Panel Schematics - 22kV Switchgear WIL00-HVSG-0002B OUTGOING FEEDER SCHEMATIC = JZ04</v>
          </cell>
        </row>
        <row r="1732">
          <cell r="M1732" t="str">
            <v>131236-DR-E</v>
          </cell>
          <cell r="N1732" t="str">
            <v>Panel Schematics - 22kV Switchgear WIL00-HVSG-0002B OUTGOING FEEDER SCHEMATIC = JZ04</v>
          </cell>
        </row>
        <row r="1733">
          <cell r="M1733" t="str">
            <v>131236-DR-E</v>
          </cell>
          <cell r="N1733" t="str">
            <v>Panel Schematics - 22kV Switchgear WIL00-HVSG-0002B TERMINAL CONNECTION TABLE = JZ04</v>
          </cell>
        </row>
        <row r="1734">
          <cell r="M1734" t="str">
            <v>131236-DR-E</v>
          </cell>
          <cell r="N1734" t="str">
            <v>Panel Schematics - 22kV Switchgear WIL00-HVSG-0002B TERMINAL CONNECTION TABLE = JZ04</v>
          </cell>
        </row>
        <row r="1735">
          <cell r="M1735" t="str">
            <v>131236-DR-E</v>
          </cell>
          <cell r="N1735" t="str">
            <v>Panel Schematics - 22kV Switchgear WIL00-HVSG-0002B TERMINAL CONNECTION TABLE = JZ04</v>
          </cell>
        </row>
        <row r="1736">
          <cell r="M1736" t="str">
            <v>131236-DR-E</v>
          </cell>
          <cell r="N1736" t="str">
            <v>Panel Schematics - 22kV Switchgear WIL00-HVSG-0002B TERMINAL CONNECTION TABLE = JZ04</v>
          </cell>
        </row>
        <row r="1737">
          <cell r="M1737" t="str">
            <v>131236-DR-E</v>
          </cell>
          <cell r="N1737" t="str">
            <v>Panel Schematics - 22kV Switchgear WIL00-HVSG-0002B TERMINAL CONNECTION TABLE = JZ04</v>
          </cell>
        </row>
        <row r="1738">
          <cell r="M1738" t="str">
            <v>131236-DR-E</v>
          </cell>
          <cell r="N1738" t="str">
            <v>Panel Schematics - 22kV Switchgear WIL00-HVSG-0002B TERMINAL CONNECTION TABLE = JZ04</v>
          </cell>
        </row>
        <row r="1739">
          <cell r="M1739" t="str">
            <v>131236-DR-E</v>
          </cell>
          <cell r="N1739" t="str">
            <v>Panel Schematics - 22kV Switchgear WIL00-HVSG-0002B TERMINAL CONNECTION TABLE = JZ04</v>
          </cell>
        </row>
        <row r="1740">
          <cell r="M1740" t="str">
            <v>131236-DR-E</v>
          </cell>
          <cell r="N1740" t="str">
            <v>Panel Schematics - 22kV Switchgear WIL00-HVSG-0002B TERMINAL CONNECTION TABLE = JZ04</v>
          </cell>
        </row>
        <row r="1741">
          <cell r="M1741" t="str">
            <v>131236-DR-E</v>
          </cell>
          <cell r="N1741" t="str">
            <v>Panel Schematics - 22kV Switchgear WIL00-HVSG-0002B TERMINAL CONNECTION TABLE = JZ04</v>
          </cell>
        </row>
        <row r="1742">
          <cell r="M1742" t="str">
            <v>131236-DR-E</v>
          </cell>
          <cell r="N1742" t="str">
            <v>Panel Schematics - 22kV Switchgear WIL00-HVSG-0002B TERMINAL CONNECTION TABLE = JZ04</v>
          </cell>
        </row>
        <row r="1743">
          <cell r="M1743" t="str">
            <v>131236-DR-E</v>
          </cell>
          <cell r="N1743" t="str">
            <v>Panel Schematics - 22kV Switchgear WIL00-HVSG-0002B TERMINAL CONNECTION TABLE = JZ04</v>
          </cell>
        </row>
        <row r="1744">
          <cell r="M1744" t="str">
            <v>131236-DR-E</v>
          </cell>
          <cell r="N1744" t="str">
            <v>Panel Schematics - 22kV Switchgear WIL00-HVSG-0002B TERMINAL CONNECTION TABLE = JZ04</v>
          </cell>
        </row>
        <row r="1745">
          <cell r="M1745" t="str">
            <v>131236-DR-E</v>
          </cell>
          <cell r="N1745" t="str">
            <v>Panel Schematics - 22kV Switchgear WIL00-HVSG-0002B TERMINAL CONNECTION TABLE = JZ04</v>
          </cell>
        </row>
        <row r="1746">
          <cell r="M1746" t="str">
            <v>131236-DR-E</v>
          </cell>
          <cell r="N1746" t="str">
            <v>Panel Schematics - 22kV Switchgear WIL00-HVSG-0002B TERMINAL CONNECTION TABLE = JZ04</v>
          </cell>
        </row>
        <row r="1747">
          <cell r="M1747" t="str">
            <v>131236-DR-E</v>
          </cell>
          <cell r="N1747" t="str">
            <v>Panel Schematics - 22kV Switchgear WIL00-HVSG-0002B TERMINAL CONNECTION TABLE = JZ04</v>
          </cell>
        </row>
        <row r="1748">
          <cell r="M1748" t="str">
            <v>131236-DR-E</v>
          </cell>
          <cell r="N1748" t="str">
            <v>Panel Schematics - 22kV Switchgear WIL00-HVSG-0002B TERMINAL CONNECTION TABLE = JZ04</v>
          </cell>
        </row>
        <row r="1749">
          <cell r="M1749" t="str">
            <v>131236-DR-E</v>
          </cell>
          <cell r="N1749" t="str">
            <v>Panel Schematics - 22kV Switchgear WIL00-HVSG-0002B TERMINAL CONNECTION TABLE = JZ04</v>
          </cell>
        </row>
        <row r="1750">
          <cell r="M1750" t="str">
            <v>131236-DR-E</v>
          </cell>
          <cell r="N1750" t="str">
            <v>Panel Schematics - 22kV Switchgear WIL00-HVSG-0002B TERMINAL CONNECTION TABLE = JZ04</v>
          </cell>
        </row>
        <row r="1751">
          <cell r="M1751" t="str">
            <v>131236-DR-E</v>
          </cell>
          <cell r="N1751" t="str">
            <v>Panel Schematics - 22kV Switchgear WIL00-HVSG-0002B BUS SECTION SCHEMATIC = JZ05</v>
          </cell>
        </row>
        <row r="1752">
          <cell r="M1752" t="str">
            <v>131236-DR-E</v>
          </cell>
          <cell r="N1752" t="str">
            <v>Panel Schematics - 22kV Switchgear WIL00-HVSG-0002B BUS SECTION SCHEMATIC = JZ05</v>
          </cell>
        </row>
        <row r="1753">
          <cell r="M1753" t="str">
            <v>131236-DR-E</v>
          </cell>
          <cell r="N1753" t="str">
            <v>Panel Schematics - 22kV Switchgear WIL00-HVSG-0002B BUS SECTION SCHEMATIC = JZ05</v>
          </cell>
        </row>
        <row r="1754">
          <cell r="M1754" t="str">
            <v>131236-DR-E</v>
          </cell>
          <cell r="N1754" t="str">
            <v>Panel Schematics - 22kV Switchgear WIL00-HVSG-0002B BUS SECTION SCHEMATIC = JZ05</v>
          </cell>
        </row>
        <row r="1755">
          <cell r="M1755" t="str">
            <v>131236-DR-E</v>
          </cell>
          <cell r="N1755" t="str">
            <v>Panel Schematics - 22kV Switchgear WIL00-HVSG-0002B BUS SECTION SCHEMATIC = JZ05</v>
          </cell>
        </row>
        <row r="1756">
          <cell r="M1756" t="str">
            <v>131236-DR-E</v>
          </cell>
          <cell r="N1756" t="str">
            <v>Panel Schematics - 22kV Switchgear WIL00-HVSG-0002B BUS SECTION SCHEMATIC = JZ05</v>
          </cell>
        </row>
        <row r="1757">
          <cell r="M1757" t="str">
            <v>131236-DR-E</v>
          </cell>
          <cell r="N1757" t="str">
            <v>Panel Schematics - 22kV Switchgear WIL00-HVSG-0002B BUS SECTION SCHEMATIC = JZ05</v>
          </cell>
        </row>
        <row r="1758">
          <cell r="M1758" t="str">
            <v>131236-DR-E</v>
          </cell>
          <cell r="N1758" t="str">
            <v>Panel Schematics - 22kV Switchgear WIL00-HVSG-0002B BUS SECTION SCHEMATIC = JZ05</v>
          </cell>
        </row>
        <row r="1759">
          <cell r="M1759" t="str">
            <v>131236-DR-E</v>
          </cell>
          <cell r="N1759" t="str">
            <v>Panel Schematics - 22kV Switchgear WIL00-HVSG-0002B BUS SECTION SCHEMATIC = JZ05</v>
          </cell>
        </row>
        <row r="1760">
          <cell r="M1760" t="str">
            <v>131236-DR-E</v>
          </cell>
          <cell r="N1760" t="str">
            <v>Panel Schematics - 22kV Switchgear WIL00-HVSG-0002B BUS SECTION SCHEMATIC = JZ05</v>
          </cell>
        </row>
        <row r="1761">
          <cell r="M1761" t="str">
            <v>131236-DR-E</v>
          </cell>
          <cell r="N1761" t="str">
            <v>Panel Schematics - 22kV Switchgear WIL00-HVSG-0002B BUS SECTION SCHEMATIC = JZ05</v>
          </cell>
        </row>
        <row r="1762">
          <cell r="M1762" t="str">
            <v>131236-DR-E</v>
          </cell>
          <cell r="N1762" t="str">
            <v>Panel Schematics - 22kV Switchgear WIL00-HVSG-0002B BUS SECTION SCHEMATIC = JZ05</v>
          </cell>
        </row>
        <row r="1763">
          <cell r="M1763" t="str">
            <v>131236-DR-E</v>
          </cell>
          <cell r="N1763" t="str">
            <v>Panel Schematics - 22kV Switchgear WIL00-HVSG-0002B BUS SECTION SCHEMATIC = JZ05</v>
          </cell>
        </row>
        <row r="1764">
          <cell r="M1764" t="str">
            <v>131236-DR-E</v>
          </cell>
          <cell r="N1764" t="str">
            <v>Panel Schematics - 22kV Switchgear WIL00-HVSG-0002B BUS SECTION SCHEMATIC = JZ05</v>
          </cell>
        </row>
        <row r="1765">
          <cell r="M1765" t="str">
            <v>131236-DR-E</v>
          </cell>
          <cell r="N1765" t="str">
            <v>Panel Schematics - 22kV Switchgear WIL00-HVSG-0002B BUS SECTION SCHEMATIC = JZ05</v>
          </cell>
        </row>
        <row r="1766">
          <cell r="M1766" t="str">
            <v>131236-DR-E</v>
          </cell>
          <cell r="N1766" t="str">
            <v>Panel Schematics - 22kV Switchgear WIL00-HVSG-0002B BUS SECTION SCHEMATIC = JZ05</v>
          </cell>
        </row>
        <row r="1767">
          <cell r="M1767" t="str">
            <v>131236-DR-E</v>
          </cell>
          <cell r="N1767" t="str">
            <v>Panel Schematics - 22kV Switchgear WIL00-HVSG-0002B BUS SECTION SCHEMATIC = JZ05</v>
          </cell>
        </row>
        <row r="1768">
          <cell r="M1768" t="str">
            <v>131236-DR-E</v>
          </cell>
          <cell r="N1768" t="str">
            <v>Panel Schematics - 22kV Switchgear WIL00-HVSG-0002B BUS SECTION SCHEMATIC = JZ05</v>
          </cell>
        </row>
        <row r="1769">
          <cell r="M1769" t="str">
            <v>131236-DR-E</v>
          </cell>
          <cell r="N1769" t="str">
            <v>Panel Schematics - 22kV Switchgear WIL00-HVSG-0002B BUS SECTION SCHEMATIC = JZ05</v>
          </cell>
        </row>
        <row r="1770">
          <cell r="M1770" t="str">
            <v>131236-DR-E</v>
          </cell>
          <cell r="N1770" t="str">
            <v>Panel Schematics - 22kV Switchgear WIL00-HVSG-0002B BUS SECTION SCHEMATIC = JZ05</v>
          </cell>
        </row>
        <row r="1771">
          <cell r="M1771" t="str">
            <v>131236-DR-E</v>
          </cell>
          <cell r="N1771" t="str">
            <v>Panel Schematics - 22kV Switchgear WIL00-HVSG-0002B BUS SECTION SCHEMATIC = JZ05</v>
          </cell>
        </row>
        <row r="1772">
          <cell r="M1772" t="str">
            <v>131236-DR-E</v>
          </cell>
          <cell r="N1772" t="str">
            <v>Panel Schematics - 22kV Switchgear WIL00-HVSG-0002B BUS SECTION SCHEMATIC = JZ05</v>
          </cell>
        </row>
        <row r="1773">
          <cell r="M1773" t="str">
            <v>131236-DR-E</v>
          </cell>
          <cell r="N1773" t="str">
            <v>Panel Schematics - 22kV Switchgear WIL00-HVSG-0002B BUS SECTION SCHEMATIC = JZ05</v>
          </cell>
        </row>
        <row r="1774">
          <cell r="M1774" t="str">
            <v>131236-DR-E</v>
          </cell>
          <cell r="N1774" t="str">
            <v>Panel Schematics - 22kV Switchgear WIL00-HVSG-0002B BUS SECTION SCHEMATIC = JZ05</v>
          </cell>
        </row>
        <row r="1775">
          <cell r="M1775" t="str">
            <v>131236-DR-E</v>
          </cell>
          <cell r="N1775" t="str">
            <v>Panel Schematics - 22kV Switchgear WIL00-HVSG-0002B BUS SECTION SCHEMATIC = JZ05</v>
          </cell>
        </row>
        <row r="1776">
          <cell r="M1776" t="str">
            <v>131236-DR-E</v>
          </cell>
          <cell r="N1776" t="str">
            <v>Panel Schematics - 22kV Switchgear WIL00-HVSG-0002B BUS SECTION SCHEMATIC = JZ05</v>
          </cell>
        </row>
        <row r="1777">
          <cell r="M1777" t="str">
            <v>131236-DR-E</v>
          </cell>
          <cell r="N1777" t="str">
            <v>Panel Schematics - 22kV Switchgear WIL00-HVSG-0002B BUS SECTION SCHEMATIC = JZ05</v>
          </cell>
        </row>
        <row r="1778">
          <cell r="M1778" t="str">
            <v>131236-DR-E</v>
          </cell>
          <cell r="N1778" t="str">
            <v>Panel Schematics - 22kV Switchgear WIL00-HVSG-0002B TERMINAL CONNECTION TABLE = JZ05</v>
          </cell>
        </row>
        <row r="1779">
          <cell r="M1779" t="str">
            <v>131236-DR-E</v>
          </cell>
          <cell r="N1779" t="str">
            <v>Panel Schematics - 22kV Switchgear WIL00-HVSG-0002B TERMINAL CONNECTION TABLE = JZ05</v>
          </cell>
        </row>
        <row r="1780">
          <cell r="M1780" t="str">
            <v>131236-DR-E</v>
          </cell>
          <cell r="N1780" t="str">
            <v>Panel Schematics - 22kV Switchgear WIL00-HVSG-0002B TERMINAL CONNECTION TABLE = JZ05</v>
          </cell>
        </row>
        <row r="1781">
          <cell r="M1781" t="str">
            <v>131236-DR-E</v>
          </cell>
          <cell r="N1781" t="str">
            <v>Panel Schematics - 22kV Switchgear WIL00-HVSG-0002B TERMINAL CONNECTION TABLE = JZ05</v>
          </cell>
        </row>
        <row r="1782">
          <cell r="M1782" t="str">
            <v>131236-DR-E</v>
          </cell>
          <cell r="N1782" t="str">
            <v>Panel Schematics - 22kV Switchgear WIL00-HVSG-0002B TERMINAL CONNECTION TABLE = JZ05</v>
          </cell>
        </row>
        <row r="1783">
          <cell r="M1783" t="str">
            <v>131236-DR-E</v>
          </cell>
          <cell r="N1783" t="str">
            <v>Panel Schematics - 22kV Switchgear WIL00-HVSG-0002B TERMINAL CONNECTION TABLE = JZ05</v>
          </cell>
        </row>
        <row r="1784">
          <cell r="M1784" t="str">
            <v>131236-DR-E</v>
          </cell>
          <cell r="N1784" t="str">
            <v>Panel Schematics - 22kV Switchgear WIL00-HVSG-0002B TERMINAL CONNECTION TABLE = JZ05</v>
          </cell>
        </row>
        <row r="1785">
          <cell r="M1785" t="str">
            <v>131236-DR-E</v>
          </cell>
          <cell r="N1785" t="str">
            <v>Panel Schematics - 22kV Switchgear WIL00-HVSG-0002B TERMINAL CONNECTION TABLE = JZ05</v>
          </cell>
        </row>
        <row r="1786">
          <cell r="M1786" t="str">
            <v>131236-DR-E</v>
          </cell>
          <cell r="N1786" t="str">
            <v>Panel Schematics - 22kV Switchgear WIL00-HVSG-0002B TERMINAL CONNECTION TABLE = JZ05</v>
          </cell>
        </row>
        <row r="1787">
          <cell r="M1787" t="str">
            <v>131236-DR-E</v>
          </cell>
          <cell r="N1787" t="str">
            <v>Panel Schematics - 22kV Switchgear WIL00-HVSG-0002B TERMINAL CONNECTION TABLE = JZ05</v>
          </cell>
        </row>
        <row r="1788">
          <cell r="M1788" t="str">
            <v>131236-DR-E</v>
          </cell>
          <cell r="N1788" t="str">
            <v>Panel Schematics - 22kV Switchgear WIL00-HVSG-0002B TERMINAL CONNECTION TABLE = JZ05</v>
          </cell>
        </row>
        <row r="1789">
          <cell r="M1789" t="str">
            <v>131236-DR-E</v>
          </cell>
          <cell r="N1789" t="str">
            <v>Panel Schematics - 22kV Switchgear WIL00-HVSG-0002B TERMINAL CONNECTION TABLE = JZ05</v>
          </cell>
        </row>
        <row r="1790">
          <cell r="M1790" t="str">
            <v>131236-DR-E</v>
          </cell>
          <cell r="N1790" t="str">
            <v>Panel Schematics - 22kV Switchgear WIL00-HVSG-0002B TERMINAL CONNECTION TABLE = JZ05</v>
          </cell>
        </row>
        <row r="1791">
          <cell r="M1791" t="str">
            <v>131236-DR-E</v>
          </cell>
          <cell r="N1791" t="str">
            <v>Panel Schematics - 22kV Switchgear WIL00-HVSG-0002B TERMINAL CONNECTION TABLE = JZ05</v>
          </cell>
        </row>
        <row r="1792">
          <cell r="M1792" t="str">
            <v>131236-DR-E</v>
          </cell>
          <cell r="N1792" t="str">
            <v>Panel Schematics - 22kV Switchgear WIL00-HVSG-0002B TERMINAL CONNECTION TABLE = JZ05</v>
          </cell>
        </row>
        <row r="1793">
          <cell r="M1793" t="str">
            <v>131236-DR-E</v>
          </cell>
          <cell r="N1793" t="str">
            <v>Panel Schematics - 22kV Switchgear WIL00-HVSG-0002B TERMINAL CONNECTION TABLE = JZ05</v>
          </cell>
        </row>
        <row r="1794">
          <cell r="M1794" t="str">
            <v>131236-DR-E</v>
          </cell>
          <cell r="N1794" t="str">
            <v>LCS Type 9A General Arrangement</v>
          </cell>
        </row>
        <row r="1795">
          <cell r="M1795" t="str">
            <v>131236-DR-E</v>
          </cell>
          <cell r="N1795" t="str">
            <v>LCS Type 9B General Arrangement</v>
          </cell>
        </row>
        <row r="1796">
          <cell r="M1796" t="str">
            <v>131236-DR-E</v>
          </cell>
          <cell r="N1796" t="str">
            <v>Panel Schematics - 22kV Switchgear - Battery &amp; Battery Chargers (Sheet 1 of 12)</v>
          </cell>
        </row>
        <row r="1797">
          <cell r="M1797" t="str">
            <v>131236-DR-E</v>
          </cell>
          <cell r="N1797" t="str">
            <v>WIL06-MCC-0002A Control Circuit Legend</v>
          </cell>
        </row>
        <row r="1798">
          <cell r="M1798" t="str">
            <v>131236-DR-E</v>
          </cell>
          <cell r="N1798" t="str">
            <v>WIL06-MCC-0002A Control Circuit - 1</v>
          </cell>
        </row>
        <row r="1799">
          <cell r="M1799" t="str">
            <v>131236-DR-E</v>
          </cell>
          <cell r="N1799" t="str">
            <v>WIL06-MCC-0002A Control Circuit - 2</v>
          </cell>
        </row>
        <row r="1800">
          <cell r="M1800" t="str">
            <v>131236-DR-E</v>
          </cell>
          <cell r="N1800" t="str">
            <v>WIL06-MCC-0002A Control Circuit - 3</v>
          </cell>
        </row>
        <row r="1801">
          <cell r="M1801" t="str">
            <v>131236-DR-E</v>
          </cell>
          <cell r="N1801" t="str">
            <v>WIL06-MCC-0002A Control Circuit - 4</v>
          </cell>
        </row>
        <row r="1802">
          <cell r="M1802" t="str">
            <v>131236-DR-E</v>
          </cell>
          <cell r="N1802" t="str">
            <v>WIL06-MCC-0002A Control Circuit - 5</v>
          </cell>
        </row>
        <row r="1803">
          <cell r="M1803" t="str">
            <v>131236-DR-E</v>
          </cell>
          <cell r="N1803" t="str">
            <v>WIL06-MCC-0002A Control Circuit - 6</v>
          </cell>
        </row>
        <row r="1804">
          <cell r="M1804" t="str">
            <v>131236-DR-E</v>
          </cell>
          <cell r="N1804" t="str">
            <v>WIL06-MCC-0002A Control Circuit - 7</v>
          </cell>
        </row>
        <row r="1805">
          <cell r="M1805" t="str">
            <v>131236-DR-E</v>
          </cell>
          <cell r="N1805" t="str">
            <v>WIL06-MCC-0002A Control Circuit - 8</v>
          </cell>
        </row>
        <row r="1806">
          <cell r="M1806" t="str">
            <v>131236-DR-E</v>
          </cell>
          <cell r="N1806" t="str">
            <v>WIL06-MCC-0002B Control Circuit Legend</v>
          </cell>
        </row>
        <row r="1807">
          <cell r="M1807" t="str">
            <v>131236-DR-E</v>
          </cell>
          <cell r="N1807" t="str">
            <v>WIL06-MCC-0002B Control Circuit - 1</v>
          </cell>
        </row>
        <row r="1808">
          <cell r="M1808" t="str">
            <v>131236-DR-E</v>
          </cell>
          <cell r="N1808" t="str">
            <v>WIL06-MCC-0002B Control Circuit - 2</v>
          </cell>
        </row>
        <row r="1809">
          <cell r="M1809" t="str">
            <v>131236-DR-E</v>
          </cell>
          <cell r="N1809" t="str">
            <v>WIL06-MCC-0002B Control Circuit - 3</v>
          </cell>
        </row>
        <row r="1810">
          <cell r="M1810" t="str">
            <v>131236-DR-E</v>
          </cell>
          <cell r="N1810" t="str">
            <v>WIL06-MCC-0002B Control Circuit - 4</v>
          </cell>
        </row>
        <row r="1811">
          <cell r="M1811" t="str">
            <v>131236-DR-E</v>
          </cell>
          <cell r="N1811" t="str">
            <v>WIL06-MCC-0002B Control Circuit - 5</v>
          </cell>
        </row>
        <row r="1812">
          <cell r="M1812" t="str">
            <v>131236-DR-E</v>
          </cell>
          <cell r="N1812" t="str">
            <v>WIL06-MCC-0002B Control Circuit - 6</v>
          </cell>
        </row>
        <row r="1813">
          <cell r="M1813" t="str">
            <v>131236-DR-E</v>
          </cell>
          <cell r="N1813" t="str">
            <v>WIL06-MCC-0002B Control Circuit - 7</v>
          </cell>
        </row>
        <row r="1814">
          <cell r="M1814" t="str">
            <v>131236-DR-E</v>
          </cell>
          <cell r="N1814" t="str">
            <v>WIL06-MCC-0002B Control Circuit - 8</v>
          </cell>
        </row>
        <row r="1815">
          <cell r="M1815" t="str">
            <v>131236-DR-E</v>
          </cell>
          <cell r="N1815" t="str">
            <v>Panel Schematics -  Low Voltage System Equipment LCS - WIL06-LCS-00xx</v>
          </cell>
        </row>
        <row r="1816">
          <cell r="M1816" t="str">
            <v>131236-DR-E</v>
          </cell>
          <cell r="N1816" t="str">
            <v>WIL13-MCC-0006 Control Circuit Legend</v>
          </cell>
        </row>
        <row r="1817">
          <cell r="M1817" t="str">
            <v>131236-DR-E</v>
          </cell>
          <cell r="N1817" t="str">
            <v>WIL13-MCC-0006 Control Circuit - 1</v>
          </cell>
        </row>
        <row r="1818">
          <cell r="M1818" t="str">
            <v>131236-DR-E</v>
          </cell>
          <cell r="N1818" t="str">
            <v>WIL13-MCC-0006 Control Circuit - 2</v>
          </cell>
        </row>
        <row r="1819">
          <cell r="M1819" t="str">
            <v>131236-DR-E</v>
          </cell>
          <cell r="N1819" t="str">
            <v>WIL13-MCC-0006 Control Circuit - 3</v>
          </cell>
        </row>
        <row r="1820">
          <cell r="M1820" t="str">
            <v>131236-DR-E</v>
          </cell>
          <cell r="N1820" t="str">
            <v>WIL13-MCC-0006 Control Circuit - 4</v>
          </cell>
        </row>
        <row r="1821">
          <cell r="M1821" t="str">
            <v>131236-DR-E</v>
          </cell>
          <cell r="N1821" t="str">
            <v>WIL13-MCC-0006 Control Circuit - 5</v>
          </cell>
        </row>
        <row r="1822">
          <cell r="M1822" t="str">
            <v>131236-DR-E</v>
          </cell>
          <cell r="N1822" t="str">
            <v>WIL13-MCC-0006 Control Circuit - 6</v>
          </cell>
        </row>
        <row r="1823">
          <cell r="M1823" t="str">
            <v>131236-DR-E</v>
          </cell>
          <cell r="N1823" t="str">
            <v>WIL13-MCC-0006 Control Circuit - 7</v>
          </cell>
        </row>
        <row r="1824">
          <cell r="M1824" t="str">
            <v>131236-DR-E</v>
          </cell>
          <cell r="N1824" t="str">
            <v>WIL13-MCC-0006 Control Circuit - 8</v>
          </cell>
        </row>
        <row r="1825">
          <cell r="M1825" t="str">
            <v>131236-DR-E</v>
          </cell>
          <cell r="N1825" t="str">
            <v>WIL13-MCC-0007 Control Circuit Legend</v>
          </cell>
        </row>
        <row r="1826">
          <cell r="M1826" t="str">
            <v>131236-DR-E</v>
          </cell>
          <cell r="N1826" t="str">
            <v>WIL13-MCC-0007 Control Circuit - 1</v>
          </cell>
        </row>
        <row r="1827">
          <cell r="M1827" t="str">
            <v>131236-DR-E</v>
          </cell>
          <cell r="N1827" t="str">
            <v>WIL13-MCC-0007 Control Circuit - 2</v>
          </cell>
        </row>
        <row r="1828">
          <cell r="M1828" t="str">
            <v>131236-DR-E</v>
          </cell>
          <cell r="N1828" t="str">
            <v>WIL13-MCC-0007 Control Circuit - 3</v>
          </cell>
        </row>
        <row r="1829">
          <cell r="M1829" t="str">
            <v>131236-DR-E</v>
          </cell>
          <cell r="N1829" t="str">
            <v>WIL13-MCC-0007 Control Circuit - 4</v>
          </cell>
        </row>
        <row r="1830">
          <cell r="M1830" t="str">
            <v>131236-DR-E</v>
          </cell>
          <cell r="N1830" t="str">
            <v>WIL13-MCC-0007 Control Circuit - 5</v>
          </cell>
        </row>
        <row r="1831">
          <cell r="M1831" t="str">
            <v>131236-DR-E</v>
          </cell>
          <cell r="N1831" t="str">
            <v>WIL13-MCC-0007 Control Circuit - 6</v>
          </cell>
        </row>
        <row r="1832">
          <cell r="M1832" t="str">
            <v>131236-DR-E</v>
          </cell>
          <cell r="N1832" t="str">
            <v>WIL13-MCC-0007 Control Circuit - 7</v>
          </cell>
        </row>
        <row r="1833">
          <cell r="M1833" t="str">
            <v>131236-DR-E</v>
          </cell>
          <cell r="N1833" t="str">
            <v>WIL13-MCC-0007 Control Circuit - 8</v>
          </cell>
        </row>
        <row r="1834">
          <cell r="M1834" t="str">
            <v>131236-DR-E</v>
          </cell>
          <cell r="N1834" t="str">
            <v>Panel Schematics -  Low Voltage System Equipment LCS - WIL13-LCS-00xx</v>
          </cell>
        </row>
        <row r="1835">
          <cell r="M1835" t="str">
            <v>131236-DR-E</v>
          </cell>
          <cell r="N1835" t="str">
            <v xml:space="preserve"> Local Control Panel Schematic - 22/0.415kV Transformers ( 3MVA) -WIL21-TRF-0001A &amp; WIL21-TRF-0001B</v>
          </cell>
        </row>
        <row r="1836">
          <cell r="M1836" t="str">
            <v>131236-DR-E</v>
          </cell>
          <cell r="N1836" t="str">
            <v xml:space="preserve"> Local Control Panel Schematic - 22/0.415kV Transformers ( 3MVA) -WIL21-TRF-0001A &amp; WIL21-TRF-0001B</v>
          </cell>
        </row>
        <row r="1837">
          <cell r="M1837" t="str">
            <v>131236-DR-E</v>
          </cell>
          <cell r="N1837" t="str">
            <v xml:space="preserve"> Local Control Panel Schematic - 22/0.415kV Transformers ( 3MVA) -WIL21-TRF-0001A &amp; WIL21-TRF-0001B</v>
          </cell>
        </row>
        <row r="1838">
          <cell r="M1838" t="str">
            <v>131236-DR-E</v>
          </cell>
          <cell r="N1838" t="str">
            <v xml:space="preserve"> Local Control Panel Schematic - 22/0.415kV Transformers ( 3MVA) -WIL21-TRF-0001A &amp; WIL21-TRF-0001B</v>
          </cell>
        </row>
        <row r="1839">
          <cell r="M1839" t="str">
            <v>131236-DR-E</v>
          </cell>
          <cell r="N1839" t="str">
            <v xml:space="preserve"> Local Control Panel Schematic - 22/0.415kV Transformers ( 3MVA) -WIL21-TRF-0001A &amp; WIL21-TRF-0001B</v>
          </cell>
        </row>
        <row r="1840">
          <cell r="M1840" t="str">
            <v>131236-DR-E</v>
          </cell>
          <cell r="N1840" t="str">
            <v xml:space="preserve"> Local Control Panel Schematic - 22/0.415kV Transformers ( 3MVA) -WIL21-TRF-0001A &amp; WIL21-TRF-0001B</v>
          </cell>
        </row>
        <row r="1841">
          <cell r="M1841" t="str">
            <v>131236-DR-E</v>
          </cell>
          <cell r="N1841" t="str">
            <v xml:space="preserve"> Local Control Panel Schematic - 22/0.415kV Transformers ( 3MVA) -WIL21-TRF-0001A &amp; WIL21-TRF-0001B</v>
          </cell>
        </row>
        <row r="1842">
          <cell r="M1842" t="str">
            <v>131236-DR-E</v>
          </cell>
          <cell r="N1842" t="str">
            <v xml:space="preserve"> Local Control Panel Schematic - 22/0.415kV Transformers ( 3MVA) -WIL21-TRF-0001A &amp; WIL21-TRF-0001B</v>
          </cell>
        </row>
        <row r="1843">
          <cell r="M1843" t="str">
            <v>131236-DR-E</v>
          </cell>
          <cell r="N1843" t="str">
            <v xml:space="preserve"> Local Control Panel Schematic - 22/0.415kV Transformers ( 3MVA) -WIL21-TRF-0001A &amp; WIL21-TRF-0001B</v>
          </cell>
        </row>
        <row r="1844">
          <cell r="M1844" t="str">
            <v>131236-DR-E</v>
          </cell>
          <cell r="N1844" t="str">
            <v xml:space="preserve"> Local Control Panel Schematic - 22/0.415kV Transformers ( 3MVA) -WIL21-TRF-0001A &amp; WIL21-TRF-0001B</v>
          </cell>
        </row>
        <row r="1845">
          <cell r="M1845" t="str">
            <v>131236-DR-E</v>
          </cell>
          <cell r="N1845" t="str">
            <v xml:space="preserve"> Local Control Panel Schematic - 22/0.415kV Transformers ( 3MVA) -WIL21-TRF-0001A &amp; WIL21-TRF-0001B</v>
          </cell>
        </row>
        <row r="1846">
          <cell r="M1846" t="str">
            <v>131236-DR-E</v>
          </cell>
          <cell r="N1846" t="str">
            <v xml:space="preserve"> Local Control Panel Schematic - 22/0.415kV Transformers ( 3MVA) -WIL21-TRF-0001A &amp; WIL21-TRF-0001B</v>
          </cell>
        </row>
        <row r="1847">
          <cell r="M1847" t="str">
            <v>131236-DR-E</v>
          </cell>
          <cell r="N1847" t="str">
            <v xml:space="preserve"> Local Control Panel Schematic - 22/0.415kV Transformers ( 3MVA) -WIL21-TRF-0001A &amp; WIL21-TRF-0001B</v>
          </cell>
        </row>
        <row r="1848">
          <cell r="M1848" t="str">
            <v>131236-DR-E</v>
          </cell>
          <cell r="N1848" t="str">
            <v xml:space="preserve"> Local Control Panel Schematic - 22/0.415kV Transformers ( 3MVA) -WIL21-TRF-0001A &amp; WIL21-TRF-0001B</v>
          </cell>
        </row>
        <row r="1849">
          <cell r="M1849" t="str">
            <v>131236-DR-E</v>
          </cell>
          <cell r="N1849" t="str">
            <v>WIL21-LVSG-0001A CONTROL CIRCUIT 
(Sheet 1 of 11)</v>
          </cell>
        </row>
        <row r="1850">
          <cell r="M1850" t="str">
            <v>131236-DR-E</v>
          </cell>
          <cell r="N1850" t="str">
            <v>WIL21-LVSG-0001A CONTROL CIRCUIT 
(Sheet 2 of 11)</v>
          </cell>
        </row>
        <row r="1851">
          <cell r="M1851" t="str">
            <v>131236-DR-E</v>
          </cell>
          <cell r="N1851" t="str">
            <v>WIL21-LVSG-0001A CONTROL CIRCUIT 
(Sheet 3 of 11)</v>
          </cell>
        </row>
        <row r="1852">
          <cell r="M1852" t="str">
            <v>131236-DR-E</v>
          </cell>
          <cell r="N1852" t="str">
            <v>WIL21-LVSG-0001A CONTROL CIRCUIT 
(Sheet 4 of 11)</v>
          </cell>
        </row>
        <row r="1853">
          <cell r="M1853" t="str">
            <v>131236-DR-E</v>
          </cell>
          <cell r="N1853" t="str">
            <v>WIL21-LVSG-0001A CONTROL CIRCUIT 
(Sheet 5 of 11)</v>
          </cell>
        </row>
        <row r="1854">
          <cell r="M1854" t="str">
            <v>131236-DR-E</v>
          </cell>
          <cell r="N1854" t="str">
            <v>WIL21-LVSG-0001A CONTROL CIRCUIT 
(Sheet 6 of 11)</v>
          </cell>
        </row>
        <row r="1855">
          <cell r="M1855" t="str">
            <v>131236-DR-E</v>
          </cell>
          <cell r="N1855" t="str">
            <v>WIL21-LVSG-0001A CONTROL CIRCUIT 
(Sheet 7 of 11)</v>
          </cell>
        </row>
        <row r="1856">
          <cell r="M1856" t="str">
            <v>131236-DR-E</v>
          </cell>
          <cell r="N1856" t="str">
            <v>WIL21-LVSG-0001A CONTROL CIRCUIT 
(Sheet 8 of 11)</v>
          </cell>
        </row>
        <row r="1857">
          <cell r="M1857" t="str">
            <v>131236-DR-E</v>
          </cell>
          <cell r="N1857" t="str">
            <v>WIL21-LVSG-0001A CONTROL CIRCUIT  (Sheet 9 of 11)</v>
          </cell>
        </row>
        <row r="1858">
          <cell r="M1858" t="str">
            <v>131236-DR-E</v>
          </cell>
          <cell r="N1858" t="str">
            <v>WIL21-LVSG-0001A CONTROL CIRCUIT 
(Sheet 10 of 11)</v>
          </cell>
        </row>
        <row r="1859">
          <cell r="M1859" t="str">
            <v>131236-DR-E</v>
          </cell>
          <cell r="N1859" t="str">
            <v>WIL21-LVSG-0001A CONTROL CIRCUIT 
(Sheet 11 of 11)</v>
          </cell>
        </row>
        <row r="1860">
          <cell r="M1860" t="str">
            <v>131236-DR-E</v>
          </cell>
          <cell r="N1860" t="str">
            <v>Panel Schematics -  Low Voltage System Equipment LVSG - WIL21-LVSG-0001A</v>
          </cell>
        </row>
        <row r="1861">
          <cell r="M1861" t="str">
            <v>131236-DR-E</v>
          </cell>
          <cell r="N1861" t="str">
            <v>Panel Schematics -  Low Voltage System Equipment LVSG - WIL21-LVSG-0001A</v>
          </cell>
        </row>
        <row r="1862">
          <cell r="M1862" t="str">
            <v>131236-DR-E</v>
          </cell>
          <cell r="N1862" t="str">
            <v>Panel Schematics -  Low Voltage System Equipment LVSG - WIL21-LVSG-0001A</v>
          </cell>
        </row>
        <row r="1863">
          <cell r="M1863" t="str">
            <v>131236-DR-E</v>
          </cell>
          <cell r="N1863" t="str">
            <v>Panel Schematics -  Low Voltage System Equipment LVSG - WIL21-LVSG-0001A</v>
          </cell>
        </row>
        <row r="1864">
          <cell r="M1864" t="str">
            <v>131236-DR-E</v>
          </cell>
          <cell r="N1864" t="str">
            <v>Panel Schematics -  Low Voltage System Equipment LVSG - WIL21-LVSG-0001A</v>
          </cell>
        </row>
        <row r="1865">
          <cell r="M1865" t="str">
            <v>131236-DR-E</v>
          </cell>
          <cell r="N1865" t="str">
            <v>Panel Schematics -  Low Voltage System Equipment LVSG - WIL21-LVSG-0001A</v>
          </cell>
        </row>
        <row r="1866">
          <cell r="M1866" t="str">
            <v>131236-DR-E</v>
          </cell>
          <cell r="N1866" t="str">
            <v>Panel Schematics -  Low Voltage System Equipment LVSG - WIL21-LVSG-0001A</v>
          </cell>
        </row>
        <row r="1867">
          <cell r="M1867" t="str">
            <v>131236-DR-E</v>
          </cell>
          <cell r="N1867" t="str">
            <v>Panel Schematics -  Low Voltage System Equipment LVSG - WIL21-LVSG-0001A</v>
          </cell>
        </row>
        <row r="1868">
          <cell r="M1868" t="str">
            <v>131236-DR-E</v>
          </cell>
          <cell r="N1868" t="str">
            <v>Panel Schematics -  Low Voltage System Equipment LVSG - WIL21-LVSG-0001A</v>
          </cell>
        </row>
        <row r="1869">
          <cell r="M1869" t="str">
            <v>131236-DR-E</v>
          </cell>
          <cell r="N1869" t="str">
            <v>Panel Schematics -  Low Voltage System Equipment LVSG - WIL21-LVSG-0001A</v>
          </cell>
        </row>
        <row r="1870">
          <cell r="M1870" t="str">
            <v>131236-DR-E</v>
          </cell>
          <cell r="N1870" t="str">
            <v>Panel Schematics -  Low Voltage System Equipment LVSG - WIL21-LVSG-0001A</v>
          </cell>
        </row>
        <row r="1871">
          <cell r="M1871" t="str">
            <v>131236-DR-E</v>
          </cell>
          <cell r="N1871" t="str">
            <v>Panel Schematics -  Low Voltage System Equipment LVSG - WIL21-LVSG-0001A</v>
          </cell>
        </row>
        <row r="1872">
          <cell r="M1872" t="str">
            <v>131236-DR-E</v>
          </cell>
          <cell r="N1872" t="str">
            <v>Panel Schematics -  Low Voltage System Equipment LVSG - WIL21-LVSG-0001A</v>
          </cell>
        </row>
        <row r="1873">
          <cell r="M1873" t="str">
            <v>131236-DR-E</v>
          </cell>
          <cell r="N1873" t="str">
            <v>Panel Schematics -  Low Voltage System Equipment LVSG - WIL21-LVSG-0001A</v>
          </cell>
        </row>
        <row r="1874">
          <cell r="M1874" t="str">
            <v>131236-DR-E</v>
          </cell>
          <cell r="N1874" t="str">
            <v>Panel Schematics -  Low Voltage System Equipment LVSG - WIL21-LVSG-0001A</v>
          </cell>
        </row>
        <row r="1875">
          <cell r="M1875" t="str">
            <v>131236-DR-E</v>
          </cell>
          <cell r="N1875" t="str">
            <v>Panel Schematics -  Low Voltage System Equipment LVSG - WIL21-LVSG-0001A</v>
          </cell>
        </row>
        <row r="1876">
          <cell r="M1876" t="str">
            <v>131236-DR-E</v>
          </cell>
          <cell r="N1876" t="str">
            <v>Panel Schematics -  Low Voltage System Equipment LVSG - WIL21-LVSG-0001A</v>
          </cell>
        </row>
        <row r="1877">
          <cell r="M1877" t="str">
            <v>131236-DR-E</v>
          </cell>
          <cell r="N1877" t="str">
            <v>Panel Schematics -  Low Voltage System Equipment LVSG - WIL21-LVSG-0001A</v>
          </cell>
        </row>
        <row r="1878">
          <cell r="M1878" t="str">
            <v>131236-DR-E</v>
          </cell>
          <cell r="N1878" t="str">
            <v>Panel Schematics -  Low Voltage System Equipment LVSG - WIL21-LVSG-0001A</v>
          </cell>
        </row>
        <row r="1879">
          <cell r="M1879" t="str">
            <v>131236-DR-E</v>
          </cell>
          <cell r="N1879" t="str">
            <v>Panel Schematics -  Low Voltage System Equipment LVSG - WIL21-LVSG-0001A</v>
          </cell>
        </row>
        <row r="1880">
          <cell r="M1880" t="str">
            <v>131236-DR-E</v>
          </cell>
          <cell r="N1880" t="str">
            <v>Panel Schematics -  Low Voltage System Equipment LVSG - WIL21-LVSG-0001A</v>
          </cell>
        </row>
        <row r="1881">
          <cell r="M1881" t="str">
            <v>131236-DR-E</v>
          </cell>
          <cell r="N1881" t="str">
            <v>WIL21-LVSG-0001B CONTROL CIRCUIT 
(Sheet 1 of 10)</v>
          </cell>
        </row>
        <row r="1882">
          <cell r="M1882" t="str">
            <v>131236-DR-E</v>
          </cell>
          <cell r="N1882" t="str">
            <v>WIL21-LVSG-0001B CONTROL CIRCUIT 
(Sheet 2 of 10)</v>
          </cell>
        </row>
        <row r="1883">
          <cell r="M1883" t="str">
            <v>131236-DR-E</v>
          </cell>
          <cell r="N1883" t="str">
            <v>WIL21-LVSG-0001B CONTROL CIRCUIT 
(Sheet 3 of 10)</v>
          </cell>
        </row>
        <row r="1884">
          <cell r="M1884" t="str">
            <v>131236-DR-E</v>
          </cell>
          <cell r="N1884" t="str">
            <v>WIL21-LVSG-0001B CONTROL CIRCUIT 
(Sheet 4 of 10)</v>
          </cell>
        </row>
        <row r="1885">
          <cell r="M1885" t="str">
            <v>131236-DR-E</v>
          </cell>
          <cell r="N1885" t="str">
            <v>WIL21-LVSG-0001B CONTROL CIRCUIT 
(Sheet 5 of 10)</v>
          </cell>
        </row>
        <row r="1886">
          <cell r="M1886" t="str">
            <v>131236-DR-E</v>
          </cell>
          <cell r="N1886" t="str">
            <v>WIL21-LVSG-0001B CONTROL CIRCUIT 
(Sheet 6 of 10)</v>
          </cell>
        </row>
        <row r="1887">
          <cell r="M1887" t="str">
            <v>131236-DR-E</v>
          </cell>
          <cell r="N1887" t="str">
            <v>WIL21-LVSG-0001B CONTROL CIRCUIT 
(Sheet 7 of 10)</v>
          </cell>
        </row>
        <row r="1888">
          <cell r="M1888" t="str">
            <v>131236-DR-E</v>
          </cell>
          <cell r="N1888" t="str">
            <v>WIL21-LVSG-0001B CONTROL CIRCUIT 
(Sheet 8 of 10)</v>
          </cell>
        </row>
        <row r="1889">
          <cell r="M1889" t="str">
            <v>131236-DR-E</v>
          </cell>
          <cell r="N1889" t="str">
            <v>WIL21-LVSG-0001B CONTROL CIRCUIT 
(Sheet 9 of 10)</v>
          </cell>
        </row>
        <row r="1890">
          <cell r="M1890" t="str">
            <v>131236-DR-E</v>
          </cell>
          <cell r="N1890" t="str">
            <v>WIL21-LVSG-0001B CONTROL CIRCUIT 
(Sheet 10 of 10)</v>
          </cell>
        </row>
        <row r="1891">
          <cell r="M1891" t="str">
            <v>131236-DR-E</v>
          </cell>
          <cell r="N1891" t="str">
            <v>Panel Schematics -  Low Voltage System Equipment LVSG - WIL21-LVSG-0001B</v>
          </cell>
        </row>
        <row r="1892">
          <cell r="M1892" t="str">
            <v>131236-DR-E</v>
          </cell>
          <cell r="N1892" t="str">
            <v>Panel Schematics -  Low Voltage System Equipment LVSG - WIL21-LVSG-0001B</v>
          </cell>
        </row>
        <row r="1893">
          <cell r="M1893" t="str">
            <v>131236-DR-E</v>
          </cell>
          <cell r="N1893" t="str">
            <v>Panel Schematics -  Low Voltage System Equipment LVSG - WIL21-LVSG-0001B</v>
          </cell>
        </row>
        <row r="1894">
          <cell r="M1894" t="str">
            <v>131236-DR-E</v>
          </cell>
          <cell r="N1894" t="str">
            <v>Panel Schematics -  Low Voltage System Equipment LVSG - WIL21-LVSG-0001B</v>
          </cell>
        </row>
        <row r="1895">
          <cell r="M1895" t="str">
            <v>131236-DR-E</v>
          </cell>
          <cell r="N1895" t="str">
            <v>Panel Schematics -  Low Voltage System Equipment LVSG - WIL21-LVSG-0001B</v>
          </cell>
        </row>
        <row r="1896">
          <cell r="M1896" t="str">
            <v>131236-DR-E</v>
          </cell>
          <cell r="N1896" t="str">
            <v>Panel Schematics -  Low Voltage System Equipment LVSG - WIL21-LVSG-0001B</v>
          </cell>
        </row>
        <row r="1897">
          <cell r="M1897" t="str">
            <v>131236-DR-E</v>
          </cell>
          <cell r="N1897" t="str">
            <v>Panel Schematics -  Low Voltage System Equipment LVSG - WIL21-LVSG-0001B</v>
          </cell>
        </row>
        <row r="1898">
          <cell r="M1898" t="str">
            <v>131236-DR-E</v>
          </cell>
          <cell r="N1898" t="str">
            <v>Panel Schematics -  Low Voltage System Equipment LVSG - WIL21-LVSG-0001B</v>
          </cell>
        </row>
        <row r="1899">
          <cell r="M1899" t="str">
            <v>131236-DR-E</v>
          </cell>
          <cell r="N1899" t="str">
            <v>Panel Schematics -  Low Voltage System Equipment LVSG - WIL21-LVSG-0001B</v>
          </cell>
        </row>
        <row r="1900">
          <cell r="M1900" t="str">
            <v>131236-DR-E</v>
          </cell>
          <cell r="N1900" t="str">
            <v>Panel Schematics -  Low Voltage System Equipment LVSG - WIL21-LVSG-0001B</v>
          </cell>
        </row>
        <row r="1901">
          <cell r="M1901" t="str">
            <v>131236-DR-E</v>
          </cell>
          <cell r="N1901" t="str">
            <v>Panel Schematics -  Low Voltage System Equipment LVSG - WIL21-LVSG-0001B</v>
          </cell>
        </row>
        <row r="1902">
          <cell r="M1902" t="str">
            <v>131236-DR-E</v>
          </cell>
          <cell r="N1902" t="str">
            <v>Panel Schematics -  Low Voltage System Equipment LVSG - WIL21-LVSG-0001B</v>
          </cell>
        </row>
        <row r="1903">
          <cell r="M1903" t="str">
            <v>131236-DR-E</v>
          </cell>
          <cell r="N1903" t="str">
            <v>Panel Schematics -  Low Voltage System Equipment LVSG - WIL21-LVSG-0001B</v>
          </cell>
        </row>
        <row r="1904">
          <cell r="M1904" t="str">
            <v>131236-DR-E</v>
          </cell>
          <cell r="N1904" t="str">
            <v>Panel Schematics -  Low Voltage System Equipment LVSG - WIL21-LVSG-0001B</v>
          </cell>
        </row>
        <row r="1905">
          <cell r="M1905" t="str">
            <v>131236-DR-E</v>
          </cell>
          <cell r="N1905" t="str">
            <v>Panel Schematics -  Low Voltage System Equipment LVSG - WIL21-LVSG-0001B</v>
          </cell>
        </row>
        <row r="1906">
          <cell r="M1906" t="str">
            <v>131236-DR-E</v>
          </cell>
          <cell r="N1906" t="str">
            <v>Panel Schematics -  Low Voltage System Equipment LVSG - WIL21-LVSG-0001B</v>
          </cell>
        </row>
        <row r="1907">
          <cell r="M1907" t="str">
            <v>131236-DR-E</v>
          </cell>
          <cell r="N1907" t="str">
            <v>Panel Schematics -  Low Voltage System Equipment LVSG - WIL21-LVSG-0001B</v>
          </cell>
        </row>
        <row r="1908">
          <cell r="M1908" t="str">
            <v>131236-DR-E</v>
          </cell>
          <cell r="N1908" t="str">
            <v>Panel Schematics -  Low Voltage System Equipment LVSG - WIL21-LVSG-0001B</v>
          </cell>
        </row>
        <row r="1909">
          <cell r="M1909" t="str">
            <v>131236-DR-E</v>
          </cell>
          <cell r="N1909" t="str">
            <v>Panel Schematics -  Low Voltage System Equipment LVSG - WIL21-LVSG-0001B</v>
          </cell>
        </row>
        <row r="1910">
          <cell r="M1910" t="str">
            <v>131236-DR-E</v>
          </cell>
          <cell r="N1910" t="str">
            <v>Panel Schematics -  Low Voltage System Equipment LVSG - WIL21-LVSG-0001B</v>
          </cell>
        </row>
        <row r="1911">
          <cell r="M1911" t="str">
            <v>131236-DR-E</v>
          </cell>
          <cell r="N1911" t="str">
            <v>Panel Schematics -  Low Voltage System Equipment MCC - WIL21-MCC-0001A</v>
          </cell>
        </row>
        <row r="1912">
          <cell r="M1912" t="str">
            <v>131236-DR-E</v>
          </cell>
          <cell r="N1912" t="str">
            <v>Panel Schematics -  Low Voltage System Equipment MCC - WIL21-MCC-0001A</v>
          </cell>
        </row>
        <row r="1913">
          <cell r="M1913" t="str">
            <v>131236-DR-E</v>
          </cell>
          <cell r="N1913" t="str">
            <v>Panel Schematics -  Low Voltage System Equipment MCC - WIL21-MCC-0001A</v>
          </cell>
        </row>
        <row r="1914">
          <cell r="M1914" t="str">
            <v>131236-DR-E</v>
          </cell>
          <cell r="N1914" t="str">
            <v>Panel Schematics -  Low Voltage System Equipment MCC - WIL21-MCC-0001A</v>
          </cell>
        </row>
        <row r="1915">
          <cell r="M1915" t="str">
            <v>131236-DR-E</v>
          </cell>
          <cell r="N1915" t="str">
            <v>Panel Schematics -  Low Voltage System Equipment MCC - WIL21-MCC-0001A</v>
          </cell>
        </row>
        <row r="1916">
          <cell r="M1916" t="str">
            <v>131236-DR-E</v>
          </cell>
          <cell r="N1916" t="str">
            <v>Panel Schematics -  Low Voltage System Equipment MCC - WIL21-MCC-0001A</v>
          </cell>
        </row>
        <row r="1917">
          <cell r="M1917" t="str">
            <v>131236-DR-E</v>
          </cell>
          <cell r="N1917" t="str">
            <v>Panel Schematics -  Low Voltage System Equipment MCC - WIL21-MCC-0001A</v>
          </cell>
        </row>
        <row r="1918">
          <cell r="M1918" t="str">
            <v>131236-DR-E</v>
          </cell>
          <cell r="N1918" t="str">
            <v>Panel Schematics -  Low Voltage System Equipment MCC - WIL21-MCC-0001A</v>
          </cell>
        </row>
        <row r="1919">
          <cell r="M1919" t="str">
            <v>131236-DR-E</v>
          </cell>
          <cell r="N1919" t="str">
            <v>Panel Schematics -  Low Voltage System Equipment MCC - WIL21-MCC-0001A</v>
          </cell>
        </row>
        <row r="1920">
          <cell r="M1920" t="str">
            <v>131236-DR-E</v>
          </cell>
          <cell r="N1920" t="str">
            <v>Panel Schematics -  Low Voltage System Equipment MCC - WIL21-MCC-0001A</v>
          </cell>
        </row>
        <row r="1921">
          <cell r="M1921" t="str">
            <v>131236-DR-E</v>
          </cell>
          <cell r="N1921" t="str">
            <v>Panel Schematics -  Low Voltage System Equipment MCC - WIL21-MCC-0001A</v>
          </cell>
        </row>
        <row r="1922">
          <cell r="M1922" t="str">
            <v>131236-DR-E</v>
          </cell>
          <cell r="N1922" t="str">
            <v>Panel Schematics -  Low Voltage System Equipment MCC - WIL21-MCC-0001A</v>
          </cell>
        </row>
        <row r="1923">
          <cell r="M1923" t="str">
            <v>131236-DR-E</v>
          </cell>
          <cell r="N1923" t="str">
            <v>Panel Schematics -  Low Voltage System Equipment MCC - WIL21-MCC-0001A</v>
          </cell>
        </row>
        <row r="1924">
          <cell r="M1924" t="str">
            <v>131236-DR-E</v>
          </cell>
          <cell r="N1924" t="str">
            <v>Panel Schematics -  Low Voltage System Equipment MCC - WIL21-MCC-0001A</v>
          </cell>
        </row>
        <row r="1925">
          <cell r="M1925" t="str">
            <v>131236-DR-E</v>
          </cell>
          <cell r="N1925" t="str">
            <v>Panel Schematics -  Low Voltage System Equipment MCC - WIL21-MCC-0001A</v>
          </cell>
        </row>
        <row r="1926">
          <cell r="M1926" t="str">
            <v>131236-DR-E</v>
          </cell>
          <cell r="N1926" t="str">
            <v>Panel Schematics -  Low Voltage System Equipment MCC - WIL21-MCC-0001A</v>
          </cell>
        </row>
        <row r="1927">
          <cell r="M1927" t="str">
            <v>131236-DR-E</v>
          </cell>
          <cell r="N1927" t="str">
            <v>Panel Schematics -  Low Voltage System Equipment MCC - WIL21-MCC-0001A</v>
          </cell>
        </row>
        <row r="1928">
          <cell r="M1928" t="str">
            <v>131236-DR-E</v>
          </cell>
          <cell r="N1928" t="str">
            <v>Panel Schematics -  Low Voltage System Equipment MCC - WIL21-MCC-0001A</v>
          </cell>
        </row>
        <row r="1929">
          <cell r="M1929" t="str">
            <v>131236-DR-E</v>
          </cell>
          <cell r="N1929" t="str">
            <v>Panel Schematics -  Low Voltage System Equipment MCC - WIL21-MCC-0001B</v>
          </cell>
        </row>
        <row r="1930">
          <cell r="M1930" t="str">
            <v>131236-DR-E</v>
          </cell>
          <cell r="N1930" t="str">
            <v>Panel Schematics -  Low Voltage System Equipment MCC - WIL21-MCC-0001B</v>
          </cell>
        </row>
        <row r="1931">
          <cell r="M1931" t="str">
            <v>131236-DR-E</v>
          </cell>
          <cell r="N1931" t="str">
            <v>Panel Schematics -  Low Voltage System Equipment MCC - WIL21-MCC-0001B</v>
          </cell>
        </row>
        <row r="1932">
          <cell r="M1932" t="str">
            <v>131236-DR-E</v>
          </cell>
          <cell r="N1932" t="str">
            <v>Panel Schematics -  Low Voltage System Equipment MCC - WIL21-MCC-0001B</v>
          </cell>
        </row>
        <row r="1933">
          <cell r="M1933" t="str">
            <v>131236-DR-E</v>
          </cell>
          <cell r="N1933" t="str">
            <v>Panel Schematics -  Low Voltage System Equipment MCC - WIL21-MCC-0001B</v>
          </cell>
        </row>
        <row r="1934">
          <cell r="M1934" t="str">
            <v>131236-DR-E</v>
          </cell>
          <cell r="N1934" t="str">
            <v>Panel Schematics -  Low Voltage System Equipment MCC - WIL21-MCC-0001B</v>
          </cell>
        </row>
        <row r="1935">
          <cell r="M1935" t="str">
            <v>131236-DR-E</v>
          </cell>
          <cell r="N1935" t="str">
            <v>Panel Schematics -  Low Voltage System Equipment MCC - WIL21-MCC-0001B</v>
          </cell>
        </row>
        <row r="1936">
          <cell r="M1936" t="str">
            <v>131236-DR-E</v>
          </cell>
          <cell r="N1936" t="str">
            <v>Panel Schematics -  Low Voltage System Equipment MCC - WIL21-MCC-0001B</v>
          </cell>
        </row>
        <row r="1937">
          <cell r="M1937" t="str">
            <v>131236-DR-E</v>
          </cell>
          <cell r="N1937" t="str">
            <v>Panel Schematics -  Low Voltage System Equipment MCC - WIL21-MCC-0001B</v>
          </cell>
        </row>
        <row r="1938">
          <cell r="M1938" t="str">
            <v>131236-DR-E</v>
          </cell>
          <cell r="N1938" t="str">
            <v>Panel Schematics -  Low Voltage System Equipment MCC - WIL21-MCC-0001B</v>
          </cell>
        </row>
        <row r="1939">
          <cell r="M1939" t="str">
            <v>131236-DR-E</v>
          </cell>
          <cell r="N1939" t="str">
            <v>Panel Schematics -  Low Voltage System Equipment MCC - WIL21-MCC-0001B</v>
          </cell>
        </row>
        <row r="1940">
          <cell r="M1940" t="str">
            <v>131236-DR-E</v>
          </cell>
          <cell r="N1940" t="str">
            <v>Panel Schematics -  Low Voltage System Equipment MCC - WIL21-MCC-0001B</v>
          </cell>
        </row>
        <row r="1941">
          <cell r="M1941" t="str">
            <v>131236-DR-E</v>
          </cell>
          <cell r="N1941" t="str">
            <v>Panel Schematics -  Low Voltage System Equipment MCC - WIL21-MCC-0001B</v>
          </cell>
        </row>
        <row r="1942">
          <cell r="M1942" t="str">
            <v>131236-DR-E</v>
          </cell>
          <cell r="N1942" t="str">
            <v>Panel Schematics -  Low Voltage System Equipment MCC - WIL21-MCC-0001B</v>
          </cell>
        </row>
        <row r="1943">
          <cell r="M1943" t="str">
            <v>131236-DR-E</v>
          </cell>
          <cell r="N1943" t="str">
            <v>Panel Schematics -  Low Voltage System Equipment MCC - WIL21-MCC-0001B</v>
          </cell>
        </row>
        <row r="1944">
          <cell r="M1944" t="str">
            <v>131236-DR-E</v>
          </cell>
          <cell r="N1944" t="str">
            <v>Panel Schematics -  Low Voltage System Equipment MCC - WIL21-MCC-0001B</v>
          </cell>
        </row>
        <row r="1945">
          <cell r="M1945" t="str">
            <v>131236-DR-E</v>
          </cell>
          <cell r="N1945" t="str">
            <v>Panel Schematics -  Low Voltage System Equipment MCC - WIL21-MCC-0001B</v>
          </cell>
        </row>
        <row r="1946">
          <cell r="M1946" t="str">
            <v>131236-DR-E</v>
          </cell>
          <cell r="N1946" t="str">
            <v>Panel Schematics -  Low Voltage System Equipment MCC - WIL21-MCC-0001B</v>
          </cell>
        </row>
        <row r="1947">
          <cell r="M1947" t="str">
            <v>131236-DR-E</v>
          </cell>
          <cell r="N1947" t="str">
            <v>WIL21-MCC-0002A Control Circuit Legend</v>
          </cell>
        </row>
        <row r="1948">
          <cell r="M1948" t="str">
            <v>131236-DR-E</v>
          </cell>
          <cell r="N1948" t="str">
            <v>WIL21-MCC-0002A Control Circuit - 1</v>
          </cell>
        </row>
        <row r="1949">
          <cell r="M1949" t="str">
            <v>131236-DR-E</v>
          </cell>
          <cell r="N1949" t="str">
            <v>WIL21-MCC-0002A Control Circuit - 2</v>
          </cell>
        </row>
        <row r="1950">
          <cell r="M1950" t="str">
            <v>131236-DR-E</v>
          </cell>
          <cell r="N1950" t="str">
            <v>WIL21-MCC-0002A Control Circuit - 3</v>
          </cell>
        </row>
        <row r="1951">
          <cell r="M1951" t="str">
            <v>131236-DR-E</v>
          </cell>
          <cell r="N1951" t="str">
            <v>WIL21-MCC-0002A Control Circuit - 4</v>
          </cell>
        </row>
        <row r="1952">
          <cell r="M1952" t="str">
            <v>131236-DR-E</v>
          </cell>
          <cell r="N1952" t="str">
            <v>WIL21-MCC-0002A Control Circuit - 5</v>
          </cell>
        </row>
        <row r="1953">
          <cell r="M1953" t="str">
            <v>131236-DR-E</v>
          </cell>
          <cell r="N1953" t="str">
            <v>WIL21-MCC-0002A Control Circuit - 6</v>
          </cell>
        </row>
        <row r="1954">
          <cell r="M1954" t="str">
            <v>131236-DR-E</v>
          </cell>
          <cell r="N1954" t="str">
            <v>WIL21-MCC-0002A Control Circuit - 7</v>
          </cell>
        </row>
        <row r="1955">
          <cell r="M1955" t="str">
            <v>131236-DR-E</v>
          </cell>
          <cell r="N1955" t="str">
            <v>WIL21-MCC-0002A Control Circuit - 8</v>
          </cell>
        </row>
        <row r="1956">
          <cell r="M1956" t="str">
            <v>131236-DR-E</v>
          </cell>
          <cell r="N1956" t="str">
            <v>WIL21-MCC-0002A Control Circuit - 9</v>
          </cell>
        </row>
        <row r="1957">
          <cell r="M1957" t="str">
            <v>131236-DR-E</v>
          </cell>
          <cell r="N1957" t="str">
            <v>WIL21-MCC-0002A Control Circuit - 10</v>
          </cell>
        </row>
        <row r="1958">
          <cell r="M1958" t="str">
            <v>131236-DR-E</v>
          </cell>
          <cell r="N1958" t="str">
            <v>WIL21-MCC-0002A Control Circuit - 11</v>
          </cell>
        </row>
        <row r="1959">
          <cell r="M1959" t="str">
            <v>131236-DR-E</v>
          </cell>
          <cell r="N1959" t="str">
            <v>WIL21-MCC-0002A Control Circuit - 12</v>
          </cell>
        </row>
        <row r="1960">
          <cell r="M1960" t="str">
            <v>131236-DR-E</v>
          </cell>
          <cell r="N1960" t="str">
            <v>WIL21-MCC-0002A Control Circuit - 13</v>
          </cell>
        </row>
        <row r="1961">
          <cell r="M1961" t="str">
            <v>131236-DR-E</v>
          </cell>
          <cell r="N1961" t="str">
            <v>WIL21-MCC-0002A Control Circuit - 14</v>
          </cell>
        </row>
        <row r="1962">
          <cell r="M1962" t="str">
            <v>131236-DR-E</v>
          </cell>
          <cell r="N1962" t="str">
            <v>WIL21-MCC-0002A Control Circuit - 15</v>
          </cell>
        </row>
        <row r="1963">
          <cell r="M1963" t="str">
            <v>131236-DR-E</v>
          </cell>
          <cell r="N1963" t="str">
            <v>WIL21-MCC-0002A Control Circuit - 16</v>
          </cell>
        </row>
        <row r="1964">
          <cell r="M1964" t="str">
            <v>131236-DR-E</v>
          </cell>
          <cell r="N1964" t="str">
            <v>WIL21-MCC-0002A Control Circuit - 17</v>
          </cell>
        </row>
        <row r="1965">
          <cell r="M1965" t="str">
            <v>131236-DR-E</v>
          </cell>
          <cell r="N1965" t="str">
            <v>WIL21-MCC-0002A Control Circuit - 18</v>
          </cell>
        </row>
        <row r="1966">
          <cell r="M1966" t="str">
            <v>131236-DR-E</v>
          </cell>
          <cell r="N1966" t="str">
            <v>WIL21-MCC-0002B Control Circuit Legend</v>
          </cell>
        </row>
        <row r="1967">
          <cell r="M1967" t="str">
            <v>131236-DR-E</v>
          </cell>
          <cell r="N1967" t="str">
            <v>WIL21-MCC-0002B Control Circuit - 1</v>
          </cell>
        </row>
        <row r="1968">
          <cell r="M1968" t="str">
            <v>131236-DR-E</v>
          </cell>
          <cell r="N1968" t="str">
            <v>WIL21-MCC-0002B Control Circuit - 2</v>
          </cell>
        </row>
        <row r="1969">
          <cell r="M1969" t="str">
            <v>131236-DR-E</v>
          </cell>
          <cell r="N1969" t="str">
            <v>WIL21-MCC-0002B Control Circuit - 3</v>
          </cell>
        </row>
        <row r="1970">
          <cell r="M1970" t="str">
            <v>131236-DR-E</v>
          </cell>
          <cell r="N1970" t="str">
            <v>WIL21-MCC-0002B Control Circuit - 4</v>
          </cell>
        </row>
        <row r="1971">
          <cell r="M1971" t="str">
            <v>131236-DR-E</v>
          </cell>
          <cell r="N1971" t="str">
            <v>WIL21-MCC-0002B Control Circuit - 5</v>
          </cell>
        </row>
        <row r="1972">
          <cell r="M1972" t="str">
            <v>131236-DR-E</v>
          </cell>
          <cell r="N1972" t="str">
            <v>WIL21-MCC-0002B Control Circuit - 6</v>
          </cell>
        </row>
        <row r="1973">
          <cell r="M1973" t="str">
            <v>131236-DR-E</v>
          </cell>
          <cell r="N1973" t="str">
            <v>WIL21-MCC-0002B Control Circuit - 7</v>
          </cell>
        </row>
        <row r="1974">
          <cell r="M1974" t="str">
            <v>131236-DR-E</v>
          </cell>
          <cell r="N1974" t="str">
            <v>WIL21-MCC-0002B Control Circuit - 8</v>
          </cell>
        </row>
        <row r="1975">
          <cell r="M1975" t="str">
            <v>131236-DR-E</v>
          </cell>
          <cell r="N1975" t="str">
            <v>WIL21-MCC-0002B Control Circuit - 9</v>
          </cell>
        </row>
        <row r="1976">
          <cell r="M1976" t="str">
            <v>131236-DR-E</v>
          </cell>
          <cell r="N1976" t="str">
            <v>WIL21-MCC-0002B Control Circuit - 10</v>
          </cell>
        </row>
        <row r="1977">
          <cell r="M1977" t="str">
            <v>131236-DR-E</v>
          </cell>
          <cell r="N1977" t="str">
            <v>WIL21-MCC-0002B Control Circuit - 11</v>
          </cell>
        </row>
        <row r="1978">
          <cell r="M1978" t="str">
            <v>131236-DR-E</v>
          </cell>
          <cell r="N1978" t="str">
            <v>WIL21-MCC-0002B Control Circuit - 12</v>
          </cell>
        </row>
        <row r="1979">
          <cell r="M1979" t="str">
            <v>131236-DR-E</v>
          </cell>
          <cell r="N1979" t="str">
            <v>WIL21-MCC-0002B Control Circuit - 13</v>
          </cell>
        </row>
        <row r="1980">
          <cell r="M1980" t="str">
            <v>131236-DR-E</v>
          </cell>
          <cell r="N1980" t="str">
            <v>WIL21-MCC-0002B Control Circuit - 14</v>
          </cell>
        </row>
        <row r="1981">
          <cell r="M1981" t="str">
            <v>131236-DR-E</v>
          </cell>
          <cell r="N1981" t="str">
            <v>WIL21-MCC-0002B Control Circuit - 15</v>
          </cell>
        </row>
        <row r="1982">
          <cell r="M1982" t="str">
            <v>131236-DR-E</v>
          </cell>
          <cell r="N1982" t="str">
            <v>WIL21-MCC-0002B Control Circuit - 16</v>
          </cell>
        </row>
        <row r="1983">
          <cell r="M1983" t="str">
            <v>131236-DR-E</v>
          </cell>
          <cell r="N1983" t="str">
            <v>WIL21-MCC-0003A Control Circuit Legend</v>
          </cell>
        </row>
        <row r="1984">
          <cell r="M1984" t="str">
            <v>131236-DR-E</v>
          </cell>
          <cell r="N1984" t="str">
            <v>WIL21-MCC-0003A Control Circuit - 1</v>
          </cell>
        </row>
        <row r="1985">
          <cell r="M1985" t="str">
            <v>131236-DR-E</v>
          </cell>
          <cell r="N1985" t="str">
            <v>WIL21-MCC-0003A Control Circuit - 2</v>
          </cell>
        </row>
        <row r="1986">
          <cell r="M1986" t="str">
            <v>131236-DR-E</v>
          </cell>
          <cell r="N1986" t="str">
            <v>WIL21-MCC-0003A Control Circuit - 3</v>
          </cell>
        </row>
        <row r="1987">
          <cell r="M1987" t="str">
            <v>131236-DR-E</v>
          </cell>
          <cell r="N1987" t="str">
            <v>WIL21-MCC-0003A Control Circuit - 4</v>
          </cell>
        </row>
        <row r="1988">
          <cell r="M1988" t="str">
            <v>131236-DR-E</v>
          </cell>
          <cell r="N1988" t="str">
            <v>WIL21-MCC-0003A Control Circuit - 5</v>
          </cell>
        </row>
        <row r="1989">
          <cell r="M1989" t="str">
            <v>131236-DR-E</v>
          </cell>
          <cell r="N1989" t="str">
            <v>WIL21-MCC-0003A Control Circuit - 6</v>
          </cell>
        </row>
        <row r="1990">
          <cell r="M1990" t="str">
            <v>131236-DR-E</v>
          </cell>
          <cell r="N1990" t="str">
            <v>WIL21-MCC-0003A Control Circuit - 7</v>
          </cell>
        </row>
        <row r="1991">
          <cell r="M1991" t="str">
            <v>131236-DR-E</v>
          </cell>
          <cell r="N1991" t="str">
            <v>WIL21-MCC-0003A Control Circuit - 8</v>
          </cell>
        </row>
        <row r="1992">
          <cell r="M1992" t="str">
            <v>131236-DR-E</v>
          </cell>
          <cell r="N1992" t="str">
            <v>WIL21-MCC-0003A Control Circuit - 9</v>
          </cell>
        </row>
        <row r="1993">
          <cell r="M1993" t="str">
            <v>131236-DR-E</v>
          </cell>
          <cell r="N1993" t="str">
            <v>WIL21-MCC-0003A Control Circuit - 10</v>
          </cell>
        </row>
        <row r="1994">
          <cell r="M1994" t="str">
            <v>131236-DR-E</v>
          </cell>
          <cell r="N1994" t="str">
            <v>WIL21-MCC-0003A Control Circuit - 11</v>
          </cell>
        </row>
        <row r="1995">
          <cell r="M1995" t="str">
            <v>131236-DR-E</v>
          </cell>
          <cell r="N1995" t="str">
            <v>WIL21-MCC-0003A Control Circuit - 12</v>
          </cell>
        </row>
        <row r="1996">
          <cell r="M1996" t="str">
            <v>131236-DR-E</v>
          </cell>
          <cell r="N1996" t="str">
            <v>WIL21-MCC-0003A Control Circuit - 13</v>
          </cell>
        </row>
        <row r="1997">
          <cell r="M1997" t="str">
            <v>131236-DR-E</v>
          </cell>
          <cell r="N1997" t="str">
            <v>WIL21-MCC-0003A Control Circuit - 14</v>
          </cell>
        </row>
        <row r="1998">
          <cell r="M1998" t="str">
            <v>131236-DR-E</v>
          </cell>
          <cell r="N1998" t="str">
            <v>WIL21-MCC-0003A Control Circuit - 15</v>
          </cell>
        </row>
        <row r="1999">
          <cell r="M1999" t="str">
            <v>131236-DR-E</v>
          </cell>
          <cell r="N1999" t="str">
            <v>WIL21-MCC-0003A Control Circuit - 16</v>
          </cell>
        </row>
        <row r="2000">
          <cell r="M2000" t="str">
            <v>131236-DR-E</v>
          </cell>
          <cell r="N2000" t="str">
            <v>WIL21-MCC-0003A Control Circuit - 17</v>
          </cell>
        </row>
        <row r="2001">
          <cell r="M2001" t="str">
            <v>131236-DR-E</v>
          </cell>
          <cell r="N2001" t="str">
            <v>WIL21-MCC-0003A Control Circuit - 18</v>
          </cell>
        </row>
        <row r="2002">
          <cell r="M2002" t="str">
            <v>131236-DR-E</v>
          </cell>
          <cell r="N2002" t="str">
            <v>WIL21-MCC-0003B Control Circuit Legend</v>
          </cell>
        </row>
        <row r="2003">
          <cell r="M2003" t="str">
            <v>131236-DR-E</v>
          </cell>
          <cell r="N2003" t="str">
            <v>WIL21-MCC-0003B Control Circuit - 1</v>
          </cell>
        </row>
        <row r="2004">
          <cell r="M2004" t="str">
            <v>131236-DR-E</v>
          </cell>
          <cell r="N2004" t="str">
            <v>WIL21-MCC-0003B Control Circuit - 2</v>
          </cell>
        </row>
        <row r="2005">
          <cell r="M2005" t="str">
            <v>131236-DR-E</v>
          </cell>
          <cell r="N2005" t="str">
            <v>WIL21-MCC-0003B Control Circuit - 3</v>
          </cell>
        </row>
        <row r="2006">
          <cell r="M2006" t="str">
            <v>131236-DR-E</v>
          </cell>
          <cell r="N2006" t="str">
            <v>WIL21-MCC-0003B Control Circuit - 4</v>
          </cell>
        </row>
        <row r="2007">
          <cell r="M2007" t="str">
            <v>131236-DR-E</v>
          </cell>
          <cell r="N2007" t="str">
            <v>WIL21-MCC-0003B Control Circuit - 5</v>
          </cell>
        </row>
        <row r="2008">
          <cell r="M2008" t="str">
            <v>131236-DR-E</v>
          </cell>
          <cell r="N2008" t="str">
            <v>WIL21-MCC-0003B Control Circuit - 6</v>
          </cell>
        </row>
        <row r="2009">
          <cell r="M2009" t="str">
            <v>131236-DR-E</v>
          </cell>
          <cell r="N2009" t="str">
            <v>WIL21-MCC-0003B Control Circuit - 7</v>
          </cell>
        </row>
        <row r="2010">
          <cell r="M2010" t="str">
            <v>131236-DR-E</v>
          </cell>
          <cell r="N2010" t="str">
            <v>WIL21-MCC-0003B Control Circuit - 8</v>
          </cell>
        </row>
        <row r="2011">
          <cell r="M2011" t="str">
            <v>131236-DR-E</v>
          </cell>
          <cell r="N2011" t="str">
            <v>WIL21-MCC-0003B Control Circuit - 9</v>
          </cell>
        </row>
        <row r="2012">
          <cell r="M2012" t="str">
            <v>131236-DR-E</v>
          </cell>
          <cell r="N2012" t="str">
            <v>WIL21-MCC-0003B Control Circuit - 10</v>
          </cell>
        </row>
        <row r="2013">
          <cell r="M2013" t="str">
            <v>131236-DR-E</v>
          </cell>
          <cell r="N2013" t="str">
            <v>WIL21-MCC-0003B Control Circuit - 11</v>
          </cell>
        </row>
        <row r="2014">
          <cell r="M2014" t="str">
            <v>131236-DR-E</v>
          </cell>
          <cell r="N2014" t="str">
            <v>WIL21-MCC-0003B Control Circuit - 12</v>
          </cell>
        </row>
        <row r="2015">
          <cell r="M2015" t="str">
            <v>131236-DR-E</v>
          </cell>
          <cell r="N2015" t="str">
            <v>WIL21-MCC-0003B Control Circuit - 13</v>
          </cell>
        </row>
        <row r="2016">
          <cell r="M2016" t="str">
            <v>131236-DR-E</v>
          </cell>
          <cell r="N2016" t="str">
            <v>WIL21-MCC-0003B Control Circuit - 14</v>
          </cell>
        </row>
        <row r="2017">
          <cell r="M2017" t="str">
            <v>131236-DR-E</v>
          </cell>
          <cell r="N2017" t="str">
            <v>WIL21-MCC-0003B Control Circuit - 15</v>
          </cell>
        </row>
        <row r="2018">
          <cell r="M2018" t="str">
            <v>131236-DR-E</v>
          </cell>
          <cell r="N2018" t="str">
            <v>WIL21-MCC-0003B Control Circuit - 16</v>
          </cell>
        </row>
        <row r="2019">
          <cell r="M2019" t="str">
            <v>131236-DR-E</v>
          </cell>
          <cell r="N2019" t="str">
            <v>WIL21-MCC-0003B Control Circuit - 17</v>
          </cell>
        </row>
        <row r="2020">
          <cell r="M2020" t="str">
            <v>131236-DR-E</v>
          </cell>
          <cell r="N2020" t="str">
            <v>WIL21-MDB-0001A CONTROL CIRCUIT LEGEND</v>
          </cell>
        </row>
        <row r="2021">
          <cell r="M2021" t="str">
            <v>131236-DR-E</v>
          </cell>
          <cell r="N2021" t="str">
            <v>WIL21-MDB-0001A CONTROL CIRCUIT -1</v>
          </cell>
        </row>
        <row r="2022">
          <cell r="M2022" t="str">
            <v>131236-DR-E</v>
          </cell>
          <cell r="N2022" t="str">
            <v>WIL21-MDB-0001A CONTROL CIRCUIT -2</v>
          </cell>
        </row>
        <row r="2023">
          <cell r="M2023" t="str">
            <v>131236-DR-E</v>
          </cell>
          <cell r="N2023" t="str">
            <v>WIL21-MDB-0001A CONTROL CIRCUIT -3</v>
          </cell>
        </row>
        <row r="2024">
          <cell r="M2024" t="str">
            <v>131236-DR-E</v>
          </cell>
          <cell r="N2024" t="str">
            <v>WIL21-MDB-0001A CONTROL CIRCUIT -4</v>
          </cell>
        </row>
        <row r="2025">
          <cell r="M2025" t="str">
            <v>131236-DR-E</v>
          </cell>
          <cell r="N2025" t="str">
            <v>WIL21-MDB-0001A CONTROL CIRCUIT -5</v>
          </cell>
        </row>
        <row r="2026">
          <cell r="M2026" t="str">
            <v>131236-DR-E</v>
          </cell>
          <cell r="N2026" t="str">
            <v>WIL21-MDB-0001A CONTROL CIRCUIT -6</v>
          </cell>
        </row>
        <row r="2027">
          <cell r="M2027" t="str">
            <v>131236-DR-E</v>
          </cell>
          <cell r="N2027" t="str">
            <v>WIL21-MDB-0001A CONTROL CIRCUIT -7</v>
          </cell>
        </row>
        <row r="2028">
          <cell r="M2028" t="str">
            <v>131236-DR-E</v>
          </cell>
          <cell r="N2028" t="str">
            <v>WIL21-MDB-0001A CONTROL CIRCUIT -8</v>
          </cell>
        </row>
        <row r="2029">
          <cell r="M2029" t="str">
            <v>131236-DR-E</v>
          </cell>
          <cell r="N2029" t="str">
            <v>WIL21-MDB-0001A CONTROL CIRCUIT -9</v>
          </cell>
        </row>
        <row r="2030">
          <cell r="M2030" t="str">
            <v>131236-DR-E</v>
          </cell>
          <cell r="N2030" t="str">
            <v>WIL21-MDB-0001B CONTROL CIRCUIT LEGEND</v>
          </cell>
        </row>
        <row r="2031">
          <cell r="M2031" t="str">
            <v>131236-DR-E</v>
          </cell>
          <cell r="N2031" t="str">
            <v>WIL21-MDB-0001B CONTROL CIRCUIT -1</v>
          </cell>
        </row>
        <row r="2032">
          <cell r="M2032" t="str">
            <v>131236-DR-E</v>
          </cell>
          <cell r="N2032" t="str">
            <v>WIL21-MDB-0001B CONTROL CIRCUIT -2</v>
          </cell>
        </row>
        <row r="2033">
          <cell r="M2033" t="str">
            <v>131236-DR-E</v>
          </cell>
          <cell r="N2033" t="str">
            <v>WIL21-MDB-0001B CONTROL CIRCUIT -3</v>
          </cell>
        </row>
        <row r="2034">
          <cell r="M2034" t="str">
            <v>131236-DR-E</v>
          </cell>
          <cell r="N2034" t="str">
            <v>WIL21-MDB-0001B CONTROL CIRCUIT -4</v>
          </cell>
        </row>
        <row r="2035">
          <cell r="M2035" t="str">
            <v>131236-DR-E</v>
          </cell>
          <cell r="N2035" t="str">
            <v>WIL21-MDB-0001B CONTROL CIRCUIT -5</v>
          </cell>
        </row>
        <row r="2036">
          <cell r="M2036" t="str">
            <v>131236-DR-E</v>
          </cell>
          <cell r="N2036" t="str">
            <v>WIL21-MDB-0001B CONTROL CIRCUIT -6</v>
          </cell>
        </row>
        <row r="2037">
          <cell r="M2037" t="str">
            <v>131236-DR-E</v>
          </cell>
          <cell r="N2037" t="str">
            <v>WIL21-MDB-0001B CONTROL CIRCUIT -7</v>
          </cell>
        </row>
        <row r="2038">
          <cell r="M2038" t="str">
            <v>131236-DR-E</v>
          </cell>
          <cell r="N2038" t="str">
            <v>WIL21-MDB-0001B CONTROL CIRCUIT -8</v>
          </cell>
        </row>
        <row r="2039">
          <cell r="M2039" t="str">
            <v>131236-DR-E</v>
          </cell>
          <cell r="N2039" t="str">
            <v>WIL21-MDB-0001B CONTROL CIRCUIT -9</v>
          </cell>
        </row>
        <row r="2040">
          <cell r="M2040" t="str">
            <v>131236-DR-E</v>
          </cell>
          <cell r="N2040" t="str">
            <v>WIL21-MDB-0001B CONTROL CIRCUIT -10</v>
          </cell>
        </row>
        <row r="2041">
          <cell r="M2041" t="str">
            <v>131236-DR-E</v>
          </cell>
          <cell r="N2041" t="str">
            <v>Panel Schematics -  Low Voltage System Equipment LCS - WIL21-LCS-0001xx</v>
          </cell>
        </row>
        <row r="2042">
          <cell r="M2042" t="str">
            <v>131236-DR-E</v>
          </cell>
          <cell r="N2042" t="str">
            <v>Panel Schematics -  Low Voltage System Equipment LCS - WIL21-LCS-0001xx</v>
          </cell>
        </row>
        <row r="2043">
          <cell r="M2043" t="str">
            <v>131236-DR-E</v>
          </cell>
          <cell r="N2043" t="str">
            <v>Panel Schematics -  Low Voltage System Equipment LCS - WIL21-LCS-0001xx</v>
          </cell>
        </row>
        <row r="2044">
          <cell r="M2044" t="str">
            <v>131236-DR-E</v>
          </cell>
          <cell r="N2044" t="str">
            <v>Panel Schematics -  Low Voltage System Equipment LCS - WIL21-LCS-0001xx</v>
          </cell>
        </row>
        <row r="2045">
          <cell r="M2045" t="str">
            <v>131236-DR-E</v>
          </cell>
          <cell r="N2045" t="str">
            <v>Panel Schematics -  Low Voltage System Equipment LCS - WIL21-LCS-0001xx</v>
          </cell>
        </row>
        <row r="2046">
          <cell r="M2046" t="str">
            <v>131236-DR-E</v>
          </cell>
          <cell r="N2046" t="str">
            <v>Panel Schematics -  Low Voltage System Equipment LCS - WIL21-LCS-0001xx</v>
          </cell>
        </row>
        <row r="2047">
          <cell r="M2047" t="str">
            <v>131236-DR-E</v>
          </cell>
          <cell r="N2047" t="str">
            <v>Panel Schematics -  Low Voltage System Equipment LCS - WIL21-LCS-0001xx</v>
          </cell>
        </row>
        <row r="2048">
          <cell r="M2048" t="str">
            <v>131236-DR-E</v>
          </cell>
          <cell r="N2048" t="str">
            <v>Local Control Panel Schematic - 22/0.415kV Transformers (2MVA) - WIL22-TRF-0001A, WIL22-TRF-0001B, WIL22-TRF-0002A, WIL22-TRF-0002B</v>
          </cell>
        </row>
        <row r="2049">
          <cell r="M2049" t="str">
            <v>131236-DR-E</v>
          </cell>
          <cell r="N2049" t="str">
            <v>Local Control Panel Schematic - 22/0.415kV Transformers (2MVA) - WIL22-TRF-0001A, WIL22-TRF-0001B, WIL22-TRF-0002A, WIL22-TRF-0002B</v>
          </cell>
        </row>
        <row r="2050">
          <cell r="M2050" t="str">
            <v>131236-DR-E</v>
          </cell>
          <cell r="N2050" t="str">
            <v>Local Control Panel Schematic - 22/0.415kV Transformers (2MVA) - WIL22-TRF-0001A, WIL22-TRF-0001B, WIL22-TRF-0002A, WIL22-TRF-0002B</v>
          </cell>
        </row>
        <row r="2051">
          <cell r="M2051" t="str">
            <v>131236-DR-E</v>
          </cell>
          <cell r="N2051" t="str">
            <v>Local Control Panel Schematic - 22/0.415kV Transformers (2MVA) - WIL22-TRF-0001A, WIL22-TRF-0001B, WIL22-TRF-0002A, WIL22-TRF-0002B</v>
          </cell>
        </row>
        <row r="2052">
          <cell r="M2052" t="str">
            <v>131236-DR-E</v>
          </cell>
          <cell r="N2052" t="str">
            <v>Local Control Panel Schematic - 22/0.415kV Transformers (2MVA) - WIL22-TRF-0001A, WIL22-TRF-0001B, WIL22-TRF-0002A, WIL22-TRF-0002B</v>
          </cell>
        </row>
        <row r="2053">
          <cell r="M2053" t="str">
            <v>131236-DR-E</v>
          </cell>
          <cell r="N2053" t="str">
            <v>Local Control Panel Schematic - 22/0.415kV Transformers (2MVA) - WIL22-TRF-0001A, WIL22-TRF-0001B, WIL22-TRF-0002A, WIL22-TRF-0002B</v>
          </cell>
        </row>
        <row r="2054">
          <cell r="M2054" t="str">
            <v>131236-DR-E</v>
          </cell>
          <cell r="N2054" t="str">
            <v>Local Control Panel Schematic - 22/0.415kV Transformers (2MVA) - WIL22-TRF-0001A, WIL22-TRF-0001B, WIL22-TRF-0002A, WIL22-TRF-0002B</v>
          </cell>
        </row>
        <row r="2055">
          <cell r="M2055" t="str">
            <v>131236-DR-E</v>
          </cell>
          <cell r="N2055" t="str">
            <v>Local Control Panel Schematic - 22/0.415kV Transformers (2MVA) - WIL22-TRF-0001A, WIL22-TRF-0001B, WIL22-TRF-0002A, WIL22-TRF-0002B</v>
          </cell>
        </row>
        <row r="2056">
          <cell r="M2056" t="str">
            <v>131236-DR-E</v>
          </cell>
          <cell r="N2056" t="str">
            <v>Local Control Panel Schematic - 22/0.415kV Transformers (2MVA) - WIL22-TRF-0001A, WIL22-TRF-0001B, WIL22-TRF-0002A, WIL22-TRF-0002B</v>
          </cell>
        </row>
        <row r="2057">
          <cell r="M2057" t="str">
            <v>131236-DR-E</v>
          </cell>
          <cell r="N2057" t="str">
            <v>Local Control Panel Schematic - 22/0.415kV Transformers (2MVA) - WIL22-TRF-0001A, WIL22-TRF-0001B, WIL22-TRF-0002A, WIL22-TRF-0002B</v>
          </cell>
        </row>
        <row r="2058">
          <cell r="M2058" t="str">
            <v>131236-DR-E</v>
          </cell>
          <cell r="N2058" t="str">
            <v>Local Control Panel Schematic - 22/0.415kV Transformers (2MVA) - WIL22-TRF-0001A, WIL22-TRF-0001B, WIL22-TRF-0002A, WIL22-TRF-0002B</v>
          </cell>
        </row>
        <row r="2059">
          <cell r="M2059" t="str">
            <v>131236-DR-E</v>
          </cell>
          <cell r="N2059" t="str">
            <v>Local Control Panel Schematic - 22/0.415kV Transformers (2MVA) - WIL22-TRF-0001A, WIL22-TRF-0001B, WIL22-TRF-0002A, WIL22-TRF-0002B</v>
          </cell>
        </row>
        <row r="2060">
          <cell r="M2060" t="str">
            <v>131236-DR-E</v>
          </cell>
          <cell r="N2060" t="str">
            <v>Local Control Panel Schematic - 22/0.415kV Transformers (2MVA) - WIL22-TRF-0001A, WIL22-TRF-0001B, WIL22-TRF-0002A, WIL22-TRF-0002B</v>
          </cell>
        </row>
        <row r="2061">
          <cell r="M2061" t="str">
            <v>131236-DR-E</v>
          </cell>
          <cell r="N2061" t="str">
            <v>Local Control Panel Schematic - 22/0.415kV Transformers (2MVA) - WIL22-TRF-0001A, WIL22-TRF-0001B, WIL22-TRF-0002A, WIL22-TRF-0002B</v>
          </cell>
        </row>
        <row r="2062">
          <cell r="M2062" t="str">
            <v>131236-DR-E</v>
          </cell>
          <cell r="N2062" t="str">
            <v>WIL22-LVSG-0001A Control Circuit Legend</v>
          </cell>
        </row>
        <row r="2063">
          <cell r="M2063" t="str">
            <v>131236-DR-E</v>
          </cell>
          <cell r="N2063" t="str">
            <v>WIL22-LVSG-0001A Control Circuit - 1</v>
          </cell>
        </row>
        <row r="2064">
          <cell r="M2064" t="str">
            <v>131236-DR-E</v>
          </cell>
          <cell r="N2064" t="str">
            <v>WIL22-LVSG-0001A Control Circuit - 2</v>
          </cell>
        </row>
        <row r="2065">
          <cell r="M2065" t="str">
            <v>131236-DR-E</v>
          </cell>
          <cell r="N2065" t="str">
            <v>WIL22-LVSG-0001A Control Circuit - 3</v>
          </cell>
        </row>
        <row r="2066">
          <cell r="M2066" t="str">
            <v>131236-DR-E</v>
          </cell>
          <cell r="N2066" t="str">
            <v>WIL22-LVSG-0001A Control Circuit - 4</v>
          </cell>
        </row>
        <row r="2067">
          <cell r="M2067" t="str">
            <v>131236-DR-E</v>
          </cell>
          <cell r="N2067" t="str">
            <v>WIL22-LVSG-0001A Control Circuit - 5</v>
          </cell>
        </row>
        <row r="2068">
          <cell r="M2068" t="str">
            <v>131236-DR-E</v>
          </cell>
          <cell r="N2068" t="str">
            <v>WIL22-LVSG-0001A Control Circuit - 6</v>
          </cell>
        </row>
        <row r="2069">
          <cell r="M2069" t="str">
            <v>131236-DR-E</v>
          </cell>
          <cell r="N2069" t="str">
            <v>WIL22-LVSG-0001A Control Circuit - 7</v>
          </cell>
        </row>
        <row r="2070">
          <cell r="M2070" t="str">
            <v>131236-DR-E</v>
          </cell>
          <cell r="N2070" t="str">
            <v>WIL22-LVSG-0001A Control Circuit - 8</v>
          </cell>
        </row>
        <row r="2071">
          <cell r="M2071" t="str">
            <v>131236-DR-E</v>
          </cell>
          <cell r="N2071" t="str">
            <v>WIL22-LVSG-0001A Control Circuit - 9</v>
          </cell>
        </row>
        <row r="2072">
          <cell r="M2072" t="str">
            <v>131236-DR-E</v>
          </cell>
          <cell r="N2072" t="str">
            <v>WIL22-LVSG-0001A Control Circuit - 10</v>
          </cell>
        </row>
        <row r="2073">
          <cell r="M2073" t="str">
            <v>131236-DR-E</v>
          </cell>
          <cell r="N2073" t="str">
            <v>WIL22-LVSG-0001B Control Circuit Legend</v>
          </cell>
        </row>
        <row r="2074">
          <cell r="M2074" t="str">
            <v>131236-DR-E</v>
          </cell>
          <cell r="N2074" t="str">
            <v>WIL22-LVSG-0001B Control Circuit - 1</v>
          </cell>
        </row>
        <row r="2075">
          <cell r="M2075" t="str">
            <v>131236-DR-E</v>
          </cell>
          <cell r="N2075" t="str">
            <v>WIL22-LVSG-0001B Control Circuit - 2</v>
          </cell>
        </row>
        <row r="2076">
          <cell r="M2076" t="str">
            <v>131236-DR-E</v>
          </cell>
          <cell r="N2076" t="str">
            <v>WIL22-LVSG-0001B Control Circuit - 3</v>
          </cell>
        </row>
        <row r="2077">
          <cell r="M2077" t="str">
            <v>131236-DR-E</v>
          </cell>
          <cell r="N2077" t="str">
            <v>WIL22-LVSG-0001B Control Circuit - 4</v>
          </cell>
        </row>
        <row r="2078">
          <cell r="M2078" t="str">
            <v>131236-DR-E</v>
          </cell>
          <cell r="N2078" t="str">
            <v>WIL22-LVSG-0001B Control Circuit - 5</v>
          </cell>
        </row>
        <row r="2079">
          <cell r="M2079" t="str">
            <v>131236-DR-E</v>
          </cell>
          <cell r="N2079" t="str">
            <v>WIL22-LVSG-0001B Control Circuit - 6</v>
          </cell>
        </row>
        <row r="2080">
          <cell r="M2080" t="str">
            <v>131236-DR-E</v>
          </cell>
          <cell r="N2080" t="str">
            <v>WIL22-LVSG-0001B Control Circuit - 7</v>
          </cell>
        </row>
        <row r="2081">
          <cell r="M2081" t="str">
            <v>131236-DR-E</v>
          </cell>
          <cell r="N2081" t="str">
            <v>WIL22-LVSG-0001B Control Circuit - 8</v>
          </cell>
        </row>
        <row r="2082">
          <cell r="M2082" t="str">
            <v>131236-DR-E</v>
          </cell>
          <cell r="N2082" t="str">
            <v>WIL22-LVSG-0001B Control Circuit - 9</v>
          </cell>
        </row>
        <row r="2083">
          <cell r="M2083" t="str">
            <v>131236-DR-E</v>
          </cell>
          <cell r="N2083" t="str">
            <v>WIL22-LVSG-0002A Control Circuit Legend</v>
          </cell>
        </row>
        <row r="2084">
          <cell r="M2084" t="str">
            <v>131236-DR-E</v>
          </cell>
          <cell r="N2084" t="str">
            <v>WIL22-LVSG-0002A Control Circuit - 1</v>
          </cell>
        </row>
        <row r="2085">
          <cell r="M2085" t="str">
            <v>131236-DR-E</v>
          </cell>
          <cell r="N2085" t="str">
            <v>WIL22-LVSG-0002A Control Circuit - 2</v>
          </cell>
        </row>
        <row r="2086">
          <cell r="M2086" t="str">
            <v>131236-DR-E</v>
          </cell>
          <cell r="N2086" t="str">
            <v>WIL22-LVSG-0002A Control Circuit - 3</v>
          </cell>
        </row>
        <row r="2087">
          <cell r="M2087" t="str">
            <v>131236-DR-E</v>
          </cell>
          <cell r="N2087" t="str">
            <v>WIL22-LVSG-0002A Control Circuit - 4</v>
          </cell>
        </row>
        <row r="2088">
          <cell r="M2088" t="str">
            <v>131236-DR-E</v>
          </cell>
          <cell r="N2088" t="str">
            <v>WIL22-LVSG-0002A Control Circuit - 5</v>
          </cell>
        </row>
        <row r="2089">
          <cell r="M2089" t="str">
            <v>131236-DR-E</v>
          </cell>
          <cell r="N2089" t="str">
            <v>WIL22-LVSG-0002A Control Circuit - 6</v>
          </cell>
        </row>
        <row r="2090">
          <cell r="M2090" t="str">
            <v>131236-DR-E</v>
          </cell>
          <cell r="N2090" t="str">
            <v>WIL22-LVSG-0002A Control Circuit - 7</v>
          </cell>
        </row>
        <row r="2091">
          <cell r="M2091" t="str">
            <v>131236-DR-E</v>
          </cell>
          <cell r="N2091" t="str">
            <v>WIL22-LVSG-0002A Control Circuit - 8</v>
          </cell>
        </row>
        <row r="2092">
          <cell r="M2092" t="str">
            <v>131236-DR-E</v>
          </cell>
          <cell r="N2092" t="str">
            <v>WIL22-LVSG-0002A Control Circuit - 9</v>
          </cell>
        </row>
        <row r="2093">
          <cell r="M2093" t="str">
            <v>131236-DR-E</v>
          </cell>
          <cell r="N2093" t="str">
            <v>WIL22-LVSG-0002A Control Circuit - 10</v>
          </cell>
        </row>
        <row r="2094">
          <cell r="M2094" t="str">
            <v>131236-DR-E</v>
          </cell>
          <cell r="N2094" t="str">
            <v>WIL22-LVSG-0002B Control Circuit Legend</v>
          </cell>
        </row>
        <row r="2095">
          <cell r="M2095" t="str">
            <v>131236-DR-E</v>
          </cell>
          <cell r="N2095" t="str">
            <v>WIL22-LVSG-0002B Control Circuit - 1</v>
          </cell>
        </row>
        <row r="2096">
          <cell r="M2096" t="str">
            <v>131236-DR-E</v>
          </cell>
          <cell r="N2096" t="str">
            <v>WIL22-LVSG-0002B Control Circuit - 2</v>
          </cell>
        </row>
        <row r="2097">
          <cell r="M2097" t="str">
            <v>131236-DR-E</v>
          </cell>
          <cell r="N2097" t="str">
            <v>WIL22-LVSG-0002B Control Circuit - 3</v>
          </cell>
        </row>
        <row r="2098">
          <cell r="M2098" t="str">
            <v>131236-DR-E</v>
          </cell>
          <cell r="N2098" t="str">
            <v>WIL22-LVSG-0002B Control Circuit - 4</v>
          </cell>
        </row>
        <row r="2099">
          <cell r="M2099" t="str">
            <v>131236-DR-E</v>
          </cell>
          <cell r="N2099" t="str">
            <v>WIL22-LVSG-0002B Control Circuit - 5</v>
          </cell>
        </row>
        <row r="2100">
          <cell r="M2100" t="str">
            <v>131236-DR-E</v>
          </cell>
          <cell r="N2100" t="str">
            <v>WIL22-LVSG-0002B Control Circuit - 6</v>
          </cell>
        </row>
        <row r="2101">
          <cell r="M2101" t="str">
            <v>131236-DR-E</v>
          </cell>
          <cell r="N2101" t="str">
            <v>WIL22-LVSG-0002B Control Circuit - 7</v>
          </cell>
        </row>
        <row r="2102">
          <cell r="M2102" t="str">
            <v>131236-DR-E</v>
          </cell>
          <cell r="N2102" t="str">
            <v>WIL22-LVSG-0002B Control Circuit - 8</v>
          </cell>
        </row>
        <row r="2103">
          <cell r="M2103" t="str">
            <v>131236-DR-E</v>
          </cell>
          <cell r="N2103" t="str">
            <v>WIL22-LVSG-0002B Control Circuit - 9</v>
          </cell>
        </row>
        <row r="2104">
          <cell r="M2104" t="str">
            <v>131236-DR-E</v>
          </cell>
          <cell r="N2104" t="str">
            <v>WIL22-MCC-0001A Control Circuit Legend</v>
          </cell>
        </row>
        <row r="2105">
          <cell r="M2105" t="str">
            <v>131236-DR-E</v>
          </cell>
          <cell r="N2105" t="str">
            <v>WIL22-MCC-0001A Control Circuit - 1</v>
          </cell>
        </row>
        <row r="2106">
          <cell r="M2106" t="str">
            <v>131236-DR-E</v>
          </cell>
          <cell r="N2106" t="str">
            <v>WIL22-MCC-0001A Control Circuit - 2</v>
          </cell>
        </row>
        <row r="2107">
          <cell r="M2107" t="str">
            <v>131236-DR-E</v>
          </cell>
          <cell r="N2107" t="str">
            <v>WIL22-MCC-0001A Control Circuit - 3</v>
          </cell>
        </row>
        <row r="2108">
          <cell r="M2108" t="str">
            <v>131236-DR-E</v>
          </cell>
          <cell r="N2108" t="str">
            <v>WIL22-MCC-0001A Control Circuit - 4</v>
          </cell>
        </row>
        <row r="2109">
          <cell r="M2109" t="str">
            <v>131236-DR-E</v>
          </cell>
          <cell r="N2109" t="str">
            <v>WIL22-MCC-0001A Control Circuit - 5</v>
          </cell>
        </row>
        <row r="2110">
          <cell r="M2110" t="str">
            <v>131236-DR-E</v>
          </cell>
          <cell r="N2110" t="str">
            <v>WIL22-MCC-0001A Control Circuit - 6</v>
          </cell>
        </row>
        <row r="2111">
          <cell r="M2111" t="str">
            <v>131236-DR-E</v>
          </cell>
          <cell r="N2111" t="str">
            <v>WIL22-MCC-0001A Control Circuit - 7</v>
          </cell>
        </row>
        <row r="2112">
          <cell r="M2112" t="str">
            <v>131236-DR-E</v>
          </cell>
          <cell r="N2112" t="str">
            <v>WIL22-MCC-0001A Control Circuit - 8</v>
          </cell>
        </row>
        <row r="2113">
          <cell r="M2113" t="str">
            <v>131236-DR-E</v>
          </cell>
          <cell r="N2113" t="str">
            <v>WIL22-MCC-0001A Control Circuit - 9</v>
          </cell>
        </row>
        <row r="2114">
          <cell r="M2114" t="str">
            <v>131236-DR-E</v>
          </cell>
          <cell r="N2114" t="str">
            <v>WIL22-MCC-0001A Control Circuit - 10</v>
          </cell>
        </row>
        <row r="2115">
          <cell r="M2115" t="str">
            <v>131236-DR-E</v>
          </cell>
          <cell r="N2115" t="str">
            <v>WIL22-MCC-0001A Control Circuit - 11</v>
          </cell>
        </row>
        <row r="2116">
          <cell r="M2116" t="str">
            <v>131236-DR-E</v>
          </cell>
          <cell r="N2116" t="str">
            <v>WIL22-MCC-0001A Control Circuit - 12</v>
          </cell>
        </row>
        <row r="2117">
          <cell r="M2117" t="str">
            <v>131236-DR-E</v>
          </cell>
          <cell r="N2117" t="str">
            <v>WIL22-MCC-0001A Control Circuit - 13</v>
          </cell>
        </row>
        <row r="2118">
          <cell r="M2118" t="str">
            <v>131236-DR-E</v>
          </cell>
          <cell r="N2118" t="str">
            <v>WIL22-MCC-0001A Control Circuit - 14</v>
          </cell>
        </row>
        <row r="2119">
          <cell r="M2119" t="str">
            <v>131236-DR-E</v>
          </cell>
          <cell r="N2119" t="str">
            <v>WIL22-MCC-0001B Control Circuit Legend</v>
          </cell>
        </row>
        <row r="2120">
          <cell r="M2120" t="str">
            <v>131236-DR-E</v>
          </cell>
          <cell r="N2120" t="str">
            <v>WIL22-MCC-0001B Control Circuit - 1</v>
          </cell>
        </row>
        <row r="2121">
          <cell r="M2121" t="str">
            <v>131236-DR-E</v>
          </cell>
          <cell r="N2121" t="str">
            <v>WIL22-MCC-0001B Control Circuit - 2</v>
          </cell>
        </row>
        <row r="2122">
          <cell r="M2122" t="str">
            <v>131236-DR-E</v>
          </cell>
          <cell r="N2122" t="str">
            <v>WIL22-MCC-0001B Control Circuit - 3</v>
          </cell>
        </row>
        <row r="2123">
          <cell r="M2123" t="str">
            <v>131236-DR-E</v>
          </cell>
          <cell r="N2123" t="str">
            <v>WIL22-MCC-0001B Control Circuit - 4</v>
          </cell>
        </row>
        <row r="2124">
          <cell r="M2124" t="str">
            <v>131236-DR-E</v>
          </cell>
          <cell r="N2124" t="str">
            <v>WIL22-MCC-0001B Control Circuit - 6</v>
          </cell>
        </row>
        <row r="2125">
          <cell r="M2125" t="str">
            <v>131236-DR-E</v>
          </cell>
          <cell r="N2125" t="str">
            <v>WIL22-MCC-0001B Control Circuit - 8</v>
          </cell>
        </row>
        <row r="2126">
          <cell r="M2126" t="str">
            <v>131236-DR-E</v>
          </cell>
          <cell r="N2126" t="str">
            <v>WIL22-MCC-0001B Control Circuit - 9</v>
          </cell>
        </row>
        <row r="2127">
          <cell r="M2127" t="str">
            <v>131236-DR-E</v>
          </cell>
          <cell r="N2127" t="str">
            <v>WIL22-MCC-0001B Control Circuit - 10</v>
          </cell>
        </row>
        <row r="2128">
          <cell r="M2128" t="str">
            <v>131236-DR-E</v>
          </cell>
          <cell r="N2128" t="str">
            <v>WIL22-MCC-0001B Control Circuit - 11</v>
          </cell>
        </row>
        <row r="2129">
          <cell r="M2129" t="str">
            <v>131236-DR-E</v>
          </cell>
          <cell r="N2129" t="str">
            <v>WIL22-MCC-0001B Control Circuit - 12</v>
          </cell>
        </row>
        <row r="2130">
          <cell r="M2130" t="str">
            <v>131236-DR-E</v>
          </cell>
          <cell r="N2130" t="str">
            <v>WIL22-MCC-0001B Control Circuit - 13</v>
          </cell>
        </row>
        <row r="2131">
          <cell r="M2131" t="str">
            <v>131236-DR-E</v>
          </cell>
          <cell r="N2131" t="str">
            <v>WIL22-MCC-0001B Control Circuit - 16</v>
          </cell>
        </row>
        <row r="2132">
          <cell r="M2132" t="str">
            <v>131236-DR-E</v>
          </cell>
          <cell r="N2132" t="str">
            <v>WIL22-MCC-0001B Control Circuit - 17</v>
          </cell>
        </row>
        <row r="2133">
          <cell r="M2133" t="str">
            <v>131236-DR-E</v>
          </cell>
          <cell r="N2133" t="str">
            <v>WIL22-MCC-0001B Control Circuit - 18</v>
          </cell>
        </row>
        <row r="2134">
          <cell r="M2134" t="str">
            <v>131236-DR-E</v>
          </cell>
          <cell r="N2134" t="str">
            <v>WIL22-MCC-0002A Control Circuit Legend</v>
          </cell>
        </row>
        <row r="2135">
          <cell r="M2135" t="str">
            <v>131236-DR-E</v>
          </cell>
          <cell r="N2135" t="str">
            <v>WIL22-MCC-0002A Control Circuit - 1</v>
          </cell>
        </row>
        <row r="2136">
          <cell r="M2136" t="str">
            <v>131236-DR-E</v>
          </cell>
          <cell r="N2136" t="str">
            <v>WIL22-MCC-0002A Control Circuit - 2</v>
          </cell>
        </row>
        <row r="2137">
          <cell r="M2137" t="str">
            <v>131236-DR-E</v>
          </cell>
          <cell r="N2137" t="str">
            <v>WIL22-MCC-0002A Control Circuit - 3</v>
          </cell>
        </row>
        <row r="2138">
          <cell r="M2138" t="str">
            <v>131236-DR-E</v>
          </cell>
          <cell r="N2138" t="str">
            <v>WIL22-MCC-0002A Control Circuit - 4</v>
          </cell>
        </row>
        <row r="2139">
          <cell r="M2139" t="str">
            <v>131236-DR-E</v>
          </cell>
          <cell r="N2139" t="str">
            <v>WIL22-MCC-0002A Control Circuit - 5</v>
          </cell>
        </row>
        <row r="2140">
          <cell r="M2140" t="str">
            <v>131236-DR-E</v>
          </cell>
          <cell r="N2140" t="str">
            <v>WIL22-MCC-0002A Control Circuit - 6</v>
          </cell>
        </row>
        <row r="2141">
          <cell r="M2141" t="str">
            <v>131236-DR-E</v>
          </cell>
          <cell r="N2141" t="str">
            <v>WIL22-MCC-0002A Control Circuit - 7</v>
          </cell>
        </row>
        <row r="2142">
          <cell r="M2142" t="str">
            <v>131236-DR-E</v>
          </cell>
          <cell r="N2142" t="str">
            <v>WIL22-MCC-0002A Control Circuit - 8</v>
          </cell>
        </row>
        <row r="2143">
          <cell r="M2143" t="str">
            <v>131236-DR-E</v>
          </cell>
          <cell r="N2143" t="str">
            <v>WIL22-MCC-0002A Control Circuit - 9</v>
          </cell>
        </row>
        <row r="2144">
          <cell r="M2144" t="str">
            <v>131236-DR-E</v>
          </cell>
          <cell r="N2144" t="str">
            <v>WIL22-MCC-0002A Control Circuit - 10</v>
          </cell>
        </row>
        <row r="2145">
          <cell r="M2145" t="str">
            <v>131236-DR-E</v>
          </cell>
          <cell r="N2145" t="str">
            <v>WIL22-MCC-0002A Control Circuit - 11</v>
          </cell>
        </row>
        <row r="2146">
          <cell r="M2146" t="str">
            <v>131236-DR-E</v>
          </cell>
          <cell r="N2146" t="str">
            <v>WIL22-MCC-0002A Control Circuit - 12</v>
          </cell>
        </row>
        <row r="2147">
          <cell r="M2147" t="str">
            <v>131236-DR-E</v>
          </cell>
          <cell r="N2147" t="str">
            <v>WIL22-MCC-0002A Control Circuit - 13</v>
          </cell>
        </row>
        <row r="2148">
          <cell r="M2148" t="str">
            <v>131236-DR-E</v>
          </cell>
          <cell r="N2148" t="str">
            <v>WIL22-MCC-0002B Control Circuit Legend</v>
          </cell>
        </row>
        <row r="2149">
          <cell r="M2149" t="str">
            <v>131236-DR-E</v>
          </cell>
          <cell r="N2149" t="str">
            <v>WIL22-MCC-0002B Control Circuit - 1</v>
          </cell>
        </row>
        <row r="2150">
          <cell r="M2150" t="str">
            <v>131236-DR-E</v>
          </cell>
          <cell r="N2150" t="str">
            <v>WIL22-MCC-0002B Control Circuit - 2</v>
          </cell>
        </row>
        <row r="2151">
          <cell r="M2151" t="str">
            <v>131236-DR-E</v>
          </cell>
          <cell r="N2151" t="str">
            <v>WIL22-MCC-0002B Control Circuit - 3</v>
          </cell>
        </row>
        <row r="2152">
          <cell r="M2152" t="str">
            <v>131236-DR-E</v>
          </cell>
          <cell r="N2152" t="str">
            <v>WIL22-MCC-0002B Control Circuit - 4</v>
          </cell>
        </row>
        <row r="2153">
          <cell r="M2153" t="str">
            <v>131236-DR-E</v>
          </cell>
          <cell r="N2153" t="str">
            <v>WIL22-MCC-0002B Control Circuit - 5</v>
          </cell>
        </row>
        <row r="2154">
          <cell r="M2154" t="str">
            <v>131236-DR-E</v>
          </cell>
          <cell r="N2154" t="str">
            <v>WIL22-MCC-0002B Control Circuit - 6</v>
          </cell>
        </row>
        <row r="2155">
          <cell r="M2155" t="str">
            <v>131236-DR-E</v>
          </cell>
          <cell r="N2155" t="str">
            <v>WIL22-MCC-0002B Control Circuit - 7</v>
          </cell>
        </row>
        <row r="2156">
          <cell r="M2156" t="str">
            <v>131236-DR-E</v>
          </cell>
          <cell r="N2156" t="str">
            <v>WIL22-MCC-0002B Control Circuit - 8</v>
          </cell>
        </row>
        <row r="2157">
          <cell r="M2157" t="str">
            <v>131236-DR-E</v>
          </cell>
          <cell r="N2157" t="str">
            <v>WIL22-MCC-0002B Control Circuit - 9</v>
          </cell>
        </row>
        <row r="2158">
          <cell r="M2158" t="str">
            <v>131236-DR-E</v>
          </cell>
          <cell r="N2158" t="str">
            <v>WIL22-MCC-0002B Control Circuit - 10</v>
          </cell>
        </row>
        <row r="2159">
          <cell r="M2159" t="str">
            <v>131236-DR-E</v>
          </cell>
          <cell r="N2159" t="str">
            <v>WIL22-MCC-0002B Control Circuit - 11</v>
          </cell>
        </row>
        <row r="2160">
          <cell r="M2160" t="str">
            <v>131236-DR-E</v>
          </cell>
          <cell r="N2160" t="str">
            <v>WIL22-MCC-0002B Control Circuit - 12</v>
          </cell>
        </row>
        <row r="2161">
          <cell r="M2161" t="str">
            <v>131236-DR-E</v>
          </cell>
          <cell r="N2161" t="str">
            <v>WIL22-MCC-0002B Control Circuit - 13</v>
          </cell>
        </row>
        <row r="2162">
          <cell r="M2162" t="str">
            <v>131236-DR-E</v>
          </cell>
          <cell r="N2162" t="str">
            <v>WIL22-MCC-0003A Control Circuit Legend</v>
          </cell>
        </row>
        <row r="2163">
          <cell r="M2163" t="str">
            <v>131236-DR-E</v>
          </cell>
          <cell r="N2163" t="str">
            <v>WIL22-MCC-0003A Control Circuit - 1</v>
          </cell>
        </row>
        <row r="2164">
          <cell r="M2164" t="str">
            <v>131236-DR-E</v>
          </cell>
          <cell r="N2164" t="str">
            <v>WIL22-MCC-0003A Control Circuit - 2</v>
          </cell>
        </row>
        <row r="2165">
          <cell r="M2165" t="str">
            <v>131236-DR-E</v>
          </cell>
          <cell r="N2165" t="str">
            <v>WIL22-MCC-0003A Control Circuit - 3</v>
          </cell>
        </row>
        <row r="2166">
          <cell r="M2166" t="str">
            <v>131236-DR-E</v>
          </cell>
          <cell r="N2166" t="str">
            <v>WIL22-MCC-0003A Control Circuit - 4</v>
          </cell>
        </row>
        <row r="2167">
          <cell r="M2167" t="str">
            <v>131236-DR-E</v>
          </cell>
          <cell r="N2167" t="str">
            <v>WIL22-MCC-0003A Control Circuit - 7</v>
          </cell>
        </row>
        <row r="2168">
          <cell r="M2168" t="str">
            <v>131236-DR-E</v>
          </cell>
          <cell r="N2168" t="str">
            <v>WIL22-MCC-0003A Control Circuit - 8</v>
          </cell>
        </row>
        <row r="2169">
          <cell r="M2169" t="str">
            <v>131236-DR-E</v>
          </cell>
          <cell r="N2169" t="str">
            <v>WIL22-MCC-0003A Control Circuit - 9</v>
          </cell>
        </row>
        <row r="2170">
          <cell r="M2170" t="str">
            <v>131236-DR-E</v>
          </cell>
          <cell r="N2170" t="str">
            <v>WIL22-MCC-0003A Control Circuit - 10</v>
          </cell>
        </row>
        <row r="2171">
          <cell r="M2171" t="str">
            <v>131236-DR-E</v>
          </cell>
          <cell r="N2171" t="str">
            <v>WIL22-MCC-0003A Control Circuit - 11</v>
          </cell>
        </row>
        <row r="2172">
          <cell r="M2172" t="str">
            <v>131236-DR-E</v>
          </cell>
          <cell r="N2172" t="str">
            <v>WIL22-MCC-0003A Control Circuit - 12</v>
          </cell>
        </row>
        <row r="2173">
          <cell r="M2173" t="str">
            <v>131236-DR-E</v>
          </cell>
          <cell r="N2173" t="str">
            <v>WIL22-MCC-0003A Control Circuit - 12</v>
          </cell>
        </row>
        <row r="2174">
          <cell r="M2174" t="str">
            <v>131236-DR-E</v>
          </cell>
          <cell r="N2174" t="str">
            <v>WIL22-MCC-0003A Control Circuit - 14</v>
          </cell>
        </row>
        <row r="2175">
          <cell r="M2175" t="str">
            <v>131236-DR-E</v>
          </cell>
          <cell r="N2175" t="str">
            <v>WIL22-MCC-0003A Control Circuit - 15</v>
          </cell>
        </row>
        <row r="2176">
          <cell r="M2176" t="str">
            <v>131236-DR-E</v>
          </cell>
          <cell r="N2176" t="str">
            <v>WIL22-MCC-0003A Control Circuit - 16</v>
          </cell>
        </row>
        <row r="2177">
          <cell r="M2177" t="str">
            <v>131236-DR-E</v>
          </cell>
          <cell r="N2177" t="str">
            <v>WIL22-MCC-0003B Control Circuit Legend</v>
          </cell>
        </row>
        <row r="2178">
          <cell r="M2178" t="str">
            <v>131236-DR-E</v>
          </cell>
          <cell r="N2178" t="str">
            <v>WIL22-MCC-0003B Control Circuit - 1</v>
          </cell>
        </row>
        <row r="2179">
          <cell r="M2179" t="str">
            <v>131236-DR-E</v>
          </cell>
          <cell r="N2179" t="str">
            <v>WIL22-MCC-0003B Control Circuit - 2</v>
          </cell>
        </row>
        <row r="2180">
          <cell r="M2180" t="str">
            <v>131236-DR-E</v>
          </cell>
          <cell r="N2180" t="str">
            <v>WIL22-MCC-0003B Control Circuit - 3</v>
          </cell>
        </row>
        <row r="2181">
          <cell r="M2181" t="str">
            <v>131236-DR-E</v>
          </cell>
          <cell r="N2181" t="str">
            <v>WIL22-MCC-0003B Control Circuit - 4</v>
          </cell>
        </row>
        <row r="2182">
          <cell r="M2182" t="str">
            <v>131236-DR-E</v>
          </cell>
          <cell r="N2182" t="str">
            <v>WIL22-MCC-0003B Control Circuit - 5</v>
          </cell>
        </row>
        <row r="2183">
          <cell r="M2183" t="str">
            <v>131236-DR-E</v>
          </cell>
          <cell r="N2183" t="str">
            <v>WIL22-MCC-0003B Control Circuit - 6</v>
          </cell>
        </row>
        <row r="2184">
          <cell r="M2184" t="str">
            <v>131236-DR-E</v>
          </cell>
          <cell r="N2184" t="str">
            <v>WIL22-MCC-0003B Control Circuit - 7</v>
          </cell>
        </row>
        <row r="2185">
          <cell r="M2185" t="str">
            <v>131236-DR-E</v>
          </cell>
          <cell r="N2185" t="str">
            <v>WIL22-MCC-0003B Control Circuit - 8</v>
          </cell>
        </row>
        <row r="2186">
          <cell r="M2186" t="str">
            <v>131236-DR-E</v>
          </cell>
          <cell r="N2186" t="str">
            <v>WIL22-MCC-0003B Control Circuit - 9</v>
          </cell>
        </row>
        <row r="2187">
          <cell r="M2187" t="str">
            <v>131236-DR-E</v>
          </cell>
          <cell r="N2187" t="str">
            <v>WIL22-MCC-0003B Control Circuit - 10</v>
          </cell>
        </row>
        <row r="2188">
          <cell r="M2188" t="str">
            <v>131236-DR-E</v>
          </cell>
          <cell r="N2188" t="str">
            <v>WIL22-MCC-0003B Control Circuit - 11</v>
          </cell>
        </row>
        <row r="2189">
          <cell r="M2189" t="str">
            <v>131236-DR-E</v>
          </cell>
          <cell r="N2189" t="str">
            <v>WIL22-MCC-0003B Control Circuit - 12</v>
          </cell>
        </row>
        <row r="2190">
          <cell r="M2190" t="str">
            <v>131236-DR-E</v>
          </cell>
          <cell r="N2190" t="str">
            <v>WIL22-MCC-0003B Control Circuit - 13</v>
          </cell>
        </row>
        <row r="2191">
          <cell r="M2191" t="str">
            <v>131236-DR-E</v>
          </cell>
          <cell r="N2191" t="str">
            <v>WIL22-MDB-0001A Control Circuit Legend</v>
          </cell>
        </row>
        <row r="2192">
          <cell r="M2192" t="str">
            <v>131236-DR-E</v>
          </cell>
          <cell r="N2192" t="str">
            <v>WIL22-MDB-0001A Control Circuit - 1</v>
          </cell>
        </row>
        <row r="2193">
          <cell r="M2193" t="str">
            <v>131236-DR-E</v>
          </cell>
          <cell r="N2193" t="str">
            <v>WIL22-MDB-0001A Control Circuit - 2</v>
          </cell>
        </row>
        <row r="2194">
          <cell r="M2194" t="str">
            <v>131236-DR-E</v>
          </cell>
          <cell r="N2194" t="str">
            <v>WIL22-MDB-0001A Control Circuit - 3</v>
          </cell>
        </row>
        <row r="2195">
          <cell r="M2195" t="str">
            <v>131236-DR-E</v>
          </cell>
          <cell r="N2195" t="str">
            <v>WIL22-MDB-0001A Control Circuit - 4</v>
          </cell>
        </row>
        <row r="2196">
          <cell r="M2196" t="str">
            <v>131236-DR-E</v>
          </cell>
          <cell r="N2196" t="str">
            <v>WIL22-MDB-0001A Control Circuit - 5</v>
          </cell>
        </row>
        <row r="2197">
          <cell r="M2197" t="str">
            <v>131236-DR-E</v>
          </cell>
          <cell r="N2197" t="str">
            <v>WIL22-MDB-0001A Control Circuit - 6</v>
          </cell>
        </row>
        <row r="2198">
          <cell r="M2198" t="str">
            <v>131236-DR-E</v>
          </cell>
          <cell r="N2198" t="str">
            <v>WIL22-MDB-0001A Control Circuit - 7</v>
          </cell>
        </row>
        <row r="2199">
          <cell r="M2199" t="str">
            <v>131236-DR-E</v>
          </cell>
          <cell r="N2199" t="str">
            <v>WIL22-MDB-0001A Control Circuit - 8</v>
          </cell>
        </row>
        <row r="2200">
          <cell r="M2200" t="str">
            <v>131236-DR-E</v>
          </cell>
          <cell r="N2200" t="str">
            <v>WIL22-MDB-0001B Control Circuit Legend</v>
          </cell>
        </row>
        <row r="2201">
          <cell r="M2201" t="str">
            <v>131236-DR-E</v>
          </cell>
          <cell r="N2201" t="str">
            <v>WIL22-MDB-0001B Control Circuit - 1</v>
          </cell>
        </row>
        <row r="2202">
          <cell r="M2202" t="str">
            <v>131236-DR-E</v>
          </cell>
          <cell r="N2202" t="str">
            <v>WIL22-MDB-0001B Control Circuit - 2</v>
          </cell>
        </row>
        <row r="2203">
          <cell r="M2203" t="str">
            <v>131236-DR-E</v>
          </cell>
          <cell r="N2203" t="str">
            <v>WIL22-MDB-0001B Control Circuit - 3</v>
          </cell>
        </row>
        <row r="2204">
          <cell r="M2204" t="str">
            <v>131236-DR-E</v>
          </cell>
          <cell r="N2204" t="str">
            <v>WIL22-MDB-0001B Control Circuit - 4</v>
          </cell>
        </row>
        <row r="2205">
          <cell r="M2205" t="str">
            <v>131236-DR-E</v>
          </cell>
          <cell r="N2205" t="str">
            <v>WIL22-MDB-0001B Control Circuit - 5</v>
          </cell>
        </row>
        <row r="2206">
          <cell r="M2206" t="str">
            <v>131236-DR-E</v>
          </cell>
          <cell r="N2206" t="str">
            <v>WIL22-MDB-0001B Control Circuit - 6</v>
          </cell>
        </row>
        <row r="2207">
          <cell r="M2207" t="str">
            <v>131236-DR-E</v>
          </cell>
          <cell r="N2207" t="str">
            <v>WIL22-MDB-0001B Control Circuit - 7</v>
          </cell>
        </row>
        <row r="2208">
          <cell r="M2208" t="str">
            <v>131236-DR-E</v>
          </cell>
          <cell r="N2208" t="str">
            <v>WIL22-MDB-0001B Control Circuit - 8</v>
          </cell>
        </row>
        <row r="2209">
          <cell r="M2209" t="str">
            <v>131236-DR-E</v>
          </cell>
          <cell r="N2209" t="str">
            <v>WIL22-MDB-0002A Control Circuit Legend</v>
          </cell>
        </row>
        <row r="2210">
          <cell r="M2210" t="str">
            <v>131236-DR-E</v>
          </cell>
          <cell r="N2210" t="str">
            <v>WIL22-MDB-0002A Control Circuit - 1</v>
          </cell>
        </row>
        <row r="2211">
          <cell r="M2211" t="str">
            <v>131236-DR-E</v>
          </cell>
          <cell r="N2211" t="str">
            <v>WIL22-MDB-0002A Control Circuit - 2</v>
          </cell>
        </row>
        <row r="2212">
          <cell r="M2212" t="str">
            <v>131236-DR-E</v>
          </cell>
          <cell r="N2212" t="str">
            <v>WIL22-MDB-0002A Control Circuit - 3</v>
          </cell>
        </row>
        <row r="2213">
          <cell r="M2213" t="str">
            <v>131236-DR-E</v>
          </cell>
          <cell r="N2213" t="str">
            <v>WIL22-MDB-0002A Control Circuit - 4</v>
          </cell>
        </row>
        <row r="2214">
          <cell r="M2214" t="str">
            <v>131236-DR-E</v>
          </cell>
          <cell r="N2214" t="str">
            <v>WIL22-MDB-0002A Control Circuit - 5</v>
          </cell>
        </row>
        <row r="2215">
          <cell r="M2215" t="str">
            <v>131236-DR-E</v>
          </cell>
          <cell r="N2215" t="str">
            <v>WIL22-MDB-0002A Control Circuit - 6</v>
          </cell>
        </row>
        <row r="2216">
          <cell r="M2216" t="str">
            <v>131236-DR-E</v>
          </cell>
          <cell r="N2216" t="str">
            <v>WIL22-MDB-0002A Control Circuit - 7</v>
          </cell>
        </row>
        <row r="2217">
          <cell r="M2217" t="str">
            <v>131236-DR-E</v>
          </cell>
          <cell r="N2217" t="str">
            <v>WIL22-MDB-0002B Control Circuit Legend</v>
          </cell>
        </row>
        <row r="2218">
          <cell r="M2218" t="str">
            <v>131236-DR-E</v>
          </cell>
          <cell r="N2218" t="str">
            <v>WIL22-MDB-0002B Control Circuit - 1</v>
          </cell>
        </row>
        <row r="2219">
          <cell r="M2219" t="str">
            <v>131236-DR-E</v>
          </cell>
          <cell r="N2219" t="str">
            <v>WIL22-MDB-0002B Control Circuit - 2</v>
          </cell>
        </row>
        <row r="2220">
          <cell r="M2220" t="str">
            <v>131236-DR-E</v>
          </cell>
          <cell r="N2220" t="str">
            <v>WIL22-MDB-0002B Control Circuit - 3</v>
          </cell>
        </row>
        <row r="2221">
          <cell r="M2221" t="str">
            <v>131236-DR-E</v>
          </cell>
          <cell r="N2221" t="str">
            <v>WIL22-MDB-0002B Control Circuit - 4</v>
          </cell>
        </row>
        <row r="2222">
          <cell r="M2222" t="str">
            <v>131236-DR-E</v>
          </cell>
          <cell r="N2222" t="str">
            <v>WIL22-MDB-0002B Control Circuit - 5</v>
          </cell>
        </row>
        <row r="2223">
          <cell r="M2223" t="str">
            <v>131236-DR-E</v>
          </cell>
          <cell r="N2223" t="str">
            <v>WIL22-MDB-0002B Control Circuit - 6</v>
          </cell>
        </row>
        <row r="2224">
          <cell r="M2224" t="str">
            <v>131236-DR-E</v>
          </cell>
          <cell r="N2224" t="str">
            <v>WIL22-MDB-0002B Control Circuit - 7</v>
          </cell>
        </row>
        <row r="2225">
          <cell r="M2225" t="str">
            <v>131236-DR-E</v>
          </cell>
          <cell r="N2225" t="str">
            <v>WIL22-MDB-0003A Control Circuit Legend</v>
          </cell>
        </row>
        <row r="2226">
          <cell r="M2226" t="str">
            <v>131236-DR-E</v>
          </cell>
          <cell r="N2226" t="str">
            <v>WIL22-MDB-0003A Control Circuit - 1</v>
          </cell>
        </row>
        <row r="2227">
          <cell r="M2227" t="str">
            <v>131236-DR-E</v>
          </cell>
          <cell r="N2227" t="str">
            <v>WIL22-MDB-0003A Control Circuit - 2</v>
          </cell>
        </row>
        <row r="2228">
          <cell r="M2228" t="str">
            <v>131236-DR-E</v>
          </cell>
          <cell r="N2228" t="str">
            <v>WIL22-MDB-0003A Control Circuit - 3</v>
          </cell>
        </row>
        <row r="2229">
          <cell r="M2229" t="str">
            <v>131236-DR-E</v>
          </cell>
          <cell r="N2229" t="str">
            <v>WIL22-MDB-0003A Control Circuit - 4</v>
          </cell>
        </row>
        <row r="2230">
          <cell r="M2230" t="str">
            <v>131236-DR-E</v>
          </cell>
          <cell r="N2230" t="str">
            <v>WIL22-MDB-0003A Control Circuit - 5</v>
          </cell>
        </row>
        <row r="2231">
          <cell r="M2231" t="str">
            <v>131236-DR-E</v>
          </cell>
          <cell r="N2231" t="str">
            <v>WIL22-MDB-0003A Control Circuit - 6</v>
          </cell>
        </row>
        <row r="2232">
          <cell r="M2232" t="str">
            <v>131236-DR-E</v>
          </cell>
          <cell r="N2232" t="str">
            <v>WIL22-MDB-0003A Control Circuit - 7</v>
          </cell>
        </row>
        <row r="2233">
          <cell r="M2233" t="str">
            <v>131236-DR-E</v>
          </cell>
          <cell r="N2233" t="str">
            <v>WIL22-MDB-0003B Control Circuit Legend</v>
          </cell>
        </row>
        <row r="2234">
          <cell r="M2234" t="str">
            <v>131236-DR-E</v>
          </cell>
          <cell r="N2234" t="str">
            <v>WIL22-MDB-0003B Control Circuit - 1</v>
          </cell>
        </row>
        <row r="2235">
          <cell r="M2235" t="str">
            <v>131236-DR-E</v>
          </cell>
          <cell r="N2235" t="str">
            <v>WIL22-MDB-0003B Control Circuit - 2</v>
          </cell>
        </row>
        <row r="2236">
          <cell r="M2236" t="str">
            <v>131236-DR-E</v>
          </cell>
          <cell r="N2236" t="str">
            <v>WIL22-MDB-0003B Control Circuit - 3</v>
          </cell>
        </row>
        <row r="2237">
          <cell r="M2237" t="str">
            <v>131236-DR-E</v>
          </cell>
          <cell r="N2237" t="str">
            <v>WIL22-MDB-0003B Control Circuit - 4</v>
          </cell>
        </row>
        <row r="2238">
          <cell r="M2238" t="str">
            <v>131236-DR-E</v>
          </cell>
          <cell r="N2238" t="str">
            <v>WIL22-MDB-0003B Control Circuit - 5</v>
          </cell>
        </row>
        <row r="2239">
          <cell r="M2239" t="str">
            <v>131236-DR-E</v>
          </cell>
          <cell r="N2239" t="str">
            <v>WIL22-MDB-0003B Control Circuit - 6</v>
          </cell>
        </row>
        <row r="2240">
          <cell r="M2240" t="str">
            <v>131236-DR-E</v>
          </cell>
          <cell r="N2240" t="str">
            <v>WIL22-MDB-0003B Control Circuit - 7</v>
          </cell>
        </row>
        <row r="2241">
          <cell r="M2241" t="str">
            <v>131236-DR-E</v>
          </cell>
          <cell r="N2241" t="str">
            <v>Panel Schematics -  Low Voltage System Equipment LCS - WIL22-LCS-0001xx</v>
          </cell>
        </row>
        <row r="2242">
          <cell r="M2242" t="str">
            <v>131236-DR-E</v>
          </cell>
          <cell r="N2242" t="str">
            <v>Panel Schematics -  250kW LV SS (Sheet 01 of 08)</v>
          </cell>
        </row>
        <row r="2243">
          <cell r="M2243" t="str">
            <v>131236-DR-E</v>
          </cell>
          <cell r="N2243" t="str">
            <v>Panel Schematics -  250kW LV SS (Sheet 02 of 08)</v>
          </cell>
        </row>
        <row r="2244">
          <cell r="M2244" t="str">
            <v>131236-DR-E</v>
          </cell>
          <cell r="N2244" t="str">
            <v>Panel Schematics -  250kW LV SS (Sheet 03 of 08)</v>
          </cell>
        </row>
        <row r="2245">
          <cell r="M2245" t="str">
            <v>131236-DR-E</v>
          </cell>
          <cell r="N2245" t="str">
            <v>Panel Schematics -  250kW LV SS (Sheet 04 of 08)</v>
          </cell>
        </row>
        <row r="2246">
          <cell r="M2246" t="str">
            <v>131236-DR-E</v>
          </cell>
          <cell r="N2246" t="str">
            <v>Panel Schematics -  250kW LV SS (Sheet 05 of 08)</v>
          </cell>
        </row>
        <row r="2247">
          <cell r="M2247" t="str">
            <v>131236-DR-E</v>
          </cell>
          <cell r="N2247" t="str">
            <v>Panel Schematics -  250kW LV SS (Sheet 06 of 08)</v>
          </cell>
        </row>
        <row r="2248">
          <cell r="M2248" t="str">
            <v>131236-DR-E</v>
          </cell>
          <cell r="N2248" t="str">
            <v>Panel Schematics -  250kW LV SS (Sheet 07 of 08)</v>
          </cell>
        </row>
        <row r="2249">
          <cell r="M2249" t="str">
            <v>131236-DR-E</v>
          </cell>
          <cell r="N2249" t="str">
            <v>Panel Schematics -  250kW LV SS (Sheet 08 of 08)</v>
          </cell>
        </row>
        <row r="2250">
          <cell r="M2250" t="str">
            <v>131236-DR-E</v>
          </cell>
          <cell r="N2250" t="str">
            <v>Panel Schematics -6.6kV Switchgear Battery &amp; Battery Chargers (1 of 6)</v>
          </cell>
        </row>
        <row r="2251">
          <cell r="M2251" t="str">
            <v>131236-DR-E</v>
          </cell>
          <cell r="N2251" t="str">
            <v>Panel Schematics -6.6kV Switchgear Battery &amp; Battery Chargers (2 of 6)</v>
          </cell>
        </row>
        <row r="2252">
          <cell r="M2252" t="str">
            <v>131236-DR-E</v>
          </cell>
          <cell r="N2252" t="str">
            <v>Panel Schematics -6.6kV Switchgear Battery &amp; Battery Chargers (3 of 6)</v>
          </cell>
        </row>
        <row r="2253">
          <cell r="M2253" t="str">
            <v>131236-DR-E</v>
          </cell>
          <cell r="N2253" t="str">
            <v>Panel Schematics -6.6kV Switchgear Battery &amp; Battery Chargers (4 of 6)</v>
          </cell>
        </row>
        <row r="2254">
          <cell r="M2254" t="str">
            <v>131236-DR-E</v>
          </cell>
          <cell r="N2254" t="str">
            <v>Panel Schematics -6.6kV Switchgear Battery &amp; Battery Chargers (5 of 6)</v>
          </cell>
        </row>
        <row r="2255">
          <cell r="M2255" t="str">
            <v>131236-DR-E</v>
          </cell>
          <cell r="N2255" t="str">
            <v>Panel Schematics -6.6kV Switchgear Battery &amp; Battery Chargers (6 of 6)</v>
          </cell>
        </row>
        <row r="2256">
          <cell r="M2256" t="str">
            <v>131236-DR-E</v>
          </cell>
          <cell r="N2256" t="str">
            <v>Panel Schematics - 6.6kV Switchgear WIL23-HVSG-0001A LV DOOR LAYOUT= LZ01</v>
          </cell>
        </row>
        <row r="2257">
          <cell r="M2257" t="str">
            <v>131236-DR-E</v>
          </cell>
          <cell r="N2257" t="str">
            <v>Panel Schematics - 6.6kV Switchgear WIL23-HVSG-0001A LV LAYOUT= LZ01</v>
          </cell>
        </row>
        <row r="2258">
          <cell r="M2258" t="str">
            <v>131236-DR-E</v>
          </cell>
          <cell r="N2258" t="str">
            <v>Panel Schematics - 6.6kV Switchgear WIL23-HVSG-0001A LV DOOR LAYOUT= LZ02, LZ02a</v>
          </cell>
        </row>
        <row r="2259">
          <cell r="M2259" t="str">
            <v>131236-DR-E</v>
          </cell>
          <cell r="N2259" t="str">
            <v>Panel Schematics - 6.6kV Switchgear WIL23-HVSG-0001A LV LAYOUT= LZ02</v>
          </cell>
        </row>
        <row r="2260">
          <cell r="M2260" t="str">
            <v>131236-DR-E</v>
          </cell>
          <cell r="N2260" t="str">
            <v>Panel Schematics - 6.6kV Switchgear WIL23-HVSG-0001A LV LAYOUT= LZ02a</v>
          </cell>
        </row>
        <row r="2261">
          <cell r="M2261" t="str">
            <v>131236-DR-E</v>
          </cell>
          <cell r="N2261" t="str">
            <v>Panel Schematics - 6.6kV Switchgear WIL23-HVSG-0001A LV DOOR LAYOUT= LZ03, LZ03a</v>
          </cell>
        </row>
        <row r="2262">
          <cell r="M2262" t="str">
            <v>131236-DR-E</v>
          </cell>
          <cell r="N2262" t="str">
            <v>Panel Schematics - 6.6kV Switchgear WIL23-HVSG-0001A LV LAYOUT= LZ03</v>
          </cell>
        </row>
        <row r="2263">
          <cell r="M2263" t="str">
            <v>131236-DR-E</v>
          </cell>
          <cell r="N2263" t="str">
            <v>Panel Schematics - 6.6kV Switchgear WIL23-HVSG-0001A LV LAYOUT= LZ03a</v>
          </cell>
        </row>
        <row r="2264">
          <cell r="M2264" t="str">
            <v>131236-DR-E</v>
          </cell>
          <cell r="N2264" t="str">
            <v>Panel Schematics - 6.6kV Switchgear WIL23-HVSG-0001A LV DOOR LAYOUT= LZ05</v>
          </cell>
        </row>
        <row r="2265">
          <cell r="M2265" t="str">
            <v>131236-DR-E</v>
          </cell>
          <cell r="N2265" t="str">
            <v>Panel Schematics - 6.6kV Switchgear WIL23-HVSG-0001A LV LAYOUT= LZ05</v>
          </cell>
        </row>
        <row r="2266">
          <cell r="M2266" t="str">
            <v>131236-DR-E</v>
          </cell>
          <cell r="N2266" t="str">
            <v>Panel Schematics - 6.6kV Switchgear WIL23-HVSG-0001A LV LABEL</v>
          </cell>
        </row>
        <row r="2267">
          <cell r="M2267" t="str">
            <v>131236-DR-E</v>
          </cell>
          <cell r="N2267" t="str">
            <v>Panel Schematics - 6.6kV Switchgear WIL23-HVSG-0001A ATS/ MTS TRANSFER SCHEME &amp; LOGIC DIAGRAM</v>
          </cell>
        </row>
        <row r="2268">
          <cell r="M2268" t="str">
            <v>131236-DR-E</v>
          </cell>
          <cell r="N2268" t="str">
            <v>Panel Schematics - 6.6kV Switchgear WIL23-HVSG-0001A ATS/ MTS TRANSFER SCHEME &amp; LOGIC DIAGRAM</v>
          </cell>
        </row>
        <row r="2269">
          <cell r="M2269" t="str">
            <v>131236-DR-E</v>
          </cell>
          <cell r="N2269" t="str">
            <v>Panel Schematics - 6.6kV Switchgear WIL23-HVSG-0001A ATS/ MTS TRANSFER SCHEME &amp; LOGIC DIAGRAM</v>
          </cell>
        </row>
        <row r="2270">
          <cell r="M2270" t="str">
            <v>131236-DR-E</v>
          </cell>
          <cell r="N2270" t="str">
            <v>Panel Schematics - 6.6kV Switchgear WIL23-HVSG-0001A ATS/ MTS TRANSFER SCHEME &amp; LOGIC DIAGRAM</v>
          </cell>
        </row>
        <row r="2271">
          <cell r="M2271" t="str">
            <v>131236-DR-E</v>
          </cell>
          <cell r="N2271" t="str">
            <v>Panel Schematics - 6.6kV Switchgear WIL23-HVSG-0001A ATS/ MTS TRANSFER SCHEME &amp; LOGIC DIAGRAM</v>
          </cell>
        </row>
        <row r="2272">
          <cell r="M2272" t="str">
            <v>131236-DR-E</v>
          </cell>
          <cell r="N2272" t="str">
            <v>Panel Schematics - 6.6kV Switchgear WIL23-HVSG-0001A POWER/ BB VT/ BUS VT/ BUS WIRE DIAGRAMS</v>
          </cell>
        </row>
        <row r="2273">
          <cell r="M2273" t="str">
            <v>131236-DR-E</v>
          </cell>
          <cell r="N2273" t="str">
            <v>Panel Schematics - 6.6kV Switchgear WIL23-HVSG-0001A POWER/ BB VT/ BUS VT/ BUS WIRE DIAGRAMS</v>
          </cell>
        </row>
        <row r="2274">
          <cell r="M2274" t="str">
            <v>131236-DR-E</v>
          </cell>
          <cell r="N2274" t="str">
            <v>Panel Schematics - 6.6kV Switchgear WIL23-HVSG-0001A POWER/ BB VT/ BUS VT/ BUS WIRE DIAGRAMS</v>
          </cell>
        </row>
        <row r="2275">
          <cell r="M2275" t="str">
            <v>131236-DR-E</v>
          </cell>
          <cell r="N2275" t="str">
            <v>Panel Schematics - 6.6kV Switchgear WIL23-HVSG-0001A POWER/ BB VT/ BUS VT/ BUS WIRE DIAGRAMS</v>
          </cell>
        </row>
        <row r="2276">
          <cell r="M2276" t="str">
            <v>131236-DR-E</v>
          </cell>
          <cell r="N2276" t="str">
            <v>Panel Schematics - 6.6kV Switchgear WIL23-HVSG-0001A POWER/ BB VT/ BUS VT/ BUS WIRE DIAGRAMS</v>
          </cell>
        </row>
        <row r="2277">
          <cell r="M2277" t="str">
            <v>131236-DR-E</v>
          </cell>
          <cell r="N2277" t="str">
            <v>Panel Schematics - 6.6kV Switchgear WIL23-HVSG-0001A POWER/ BB VT/ BUS VT/ BUS WIRE DIAGRAMS</v>
          </cell>
        </row>
        <row r="2278">
          <cell r="M2278" t="str">
            <v>131236-DR-E</v>
          </cell>
          <cell r="N2278" t="str">
            <v>Panel Schematics - 6.6kV Switchgear WIL23-HVSG-0001A POWER/ BB VT/ BUS VT/ BUS WIRE DIAGRAMS</v>
          </cell>
        </row>
        <row r="2279">
          <cell r="M2279" t="str">
            <v>131236-DR-E</v>
          </cell>
          <cell r="N2279" t="str">
            <v>Panel Schematics - 6.6kV Switchgear WIL23-HVSG-0001A POWER/ BB VT/ BUS VT/ BUS WIRE DIAGRAMS</v>
          </cell>
        </row>
        <row r="2280">
          <cell r="M2280" t="str">
            <v>131236-DR-E</v>
          </cell>
          <cell r="N2280" t="str">
            <v>Panel Schematics - 6.6kV Switchgear WIL23-HVSG-0001A INCOMER SCHEMATIC DIAGRAM = LZ01</v>
          </cell>
        </row>
        <row r="2281">
          <cell r="M2281" t="str">
            <v>131236-DR-E</v>
          </cell>
          <cell r="N2281" t="str">
            <v>Panel Schematics - 6.6kV Switchgear WIL23-HVSG-0001A INCOMER SCHEMATIC DIAGRAM = LZ01</v>
          </cell>
        </row>
        <row r="2282">
          <cell r="M2282" t="str">
            <v>131236-DR-E</v>
          </cell>
          <cell r="N2282" t="str">
            <v>Panel Schematics - 6.6kV Switchgear WIL23-HVSG-0001A INCOMER SCHEMATIC DIAGRAM = LZ01</v>
          </cell>
        </row>
        <row r="2283">
          <cell r="M2283" t="str">
            <v>131236-DR-E</v>
          </cell>
          <cell r="N2283" t="str">
            <v>Panel Schematics - 6.6kV Switchgear WIL23-HVSG-0001A INCOMER SCHEMATIC DIAGRAM = LZ01</v>
          </cell>
        </row>
        <row r="2284">
          <cell r="M2284" t="str">
            <v>131236-DR-E</v>
          </cell>
          <cell r="N2284" t="str">
            <v>Panel Schematics - 6.6kV Switchgear WIL23-HVSG-0001A INCOMER SCHEMATIC DIAGRAM = LZ01</v>
          </cell>
        </row>
        <row r="2285">
          <cell r="M2285" t="str">
            <v>131236-DR-E</v>
          </cell>
          <cell r="N2285" t="str">
            <v>Panel Schematics - 6.6kV Switchgear WIL23-HVSG-0001A INCOMER SCHEMATIC DIAGRAM = LZ01</v>
          </cell>
        </row>
        <row r="2286">
          <cell r="M2286" t="str">
            <v>131236-DR-E</v>
          </cell>
          <cell r="N2286" t="str">
            <v>Panel Schematics - 6.6kV Switchgear WIL23-HVSG-0001A INCOMER SCHEMATIC DIAGRAM = LZ01</v>
          </cell>
        </row>
        <row r="2287">
          <cell r="M2287" t="str">
            <v>131236-DR-E</v>
          </cell>
          <cell r="N2287" t="str">
            <v>Panel Schematics - 6.6kV Switchgear WIL23-HVSG-0001A INCOMER SCHEMATIC DIAGRAM = LZ01</v>
          </cell>
        </row>
        <row r="2288">
          <cell r="M2288" t="str">
            <v>131236-DR-E</v>
          </cell>
          <cell r="N2288" t="str">
            <v>Panel Schematics - 6.6kV Switchgear WIL23-HVSG-0001A INCOMER SCHEMATIC DIAGRAM = LZ01</v>
          </cell>
        </row>
        <row r="2289">
          <cell r="M2289" t="str">
            <v>131236-DR-E</v>
          </cell>
          <cell r="N2289" t="str">
            <v>Panel Schematics - 6.6kV Switchgear WIL23-HVSG-0001A INCOMER SCHEMATIC DIAGRAM = LZ01</v>
          </cell>
        </row>
        <row r="2290">
          <cell r="M2290" t="str">
            <v>131236-DR-E</v>
          </cell>
          <cell r="N2290" t="str">
            <v>Panel Schematics - 6.6kV Switchgear WIL23-HVSG-0001A INCOMER SCHEMATIC DIAGRAM = LZ01</v>
          </cell>
        </row>
        <row r="2291">
          <cell r="M2291" t="str">
            <v>131236-DR-E</v>
          </cell>
          <cell r="N2291" t="str">
            <v>Panel Schematics - 6.6kV Switchgear WIL23-HVSG-0001A INCOMER SCHEMATIC DIAGRAM = LZ01</v>
          </cell>
        </row>
        <row r="2292">
          <cell r="M2292" t="str">
            <v>131236-DR-E</v>
          </cell>
          <cell r="N2292" t="str">
            <v>Panel Schematics - 6.6kV Switchgear WIL23-HVSG-0001A INCOMER SCHEMATIC DIAGRAM = LZ01</v>
          </cell>
        </row>
        <row r="2293">
          <cell r="M2293" t="str">
            <v>131236-DR-E</v>
          </cell>
          <cell r="N2293" t="str">
            <v>Panel Schematics - 6.6kV Switchgear WIL23-HVSG-0001A INCOMER SCHEMATIC DIAGRAM = LZ01</v>
          </cell>
        </row>
        <row r="2294">
          <cell r="M2294" t="str">
            <v>131236-DR-E</v>
          </cell>
          <cell r="N2294" t="str">
            <v>Panel Schematics - 6.6kV Switchgear WIL23-HVSG-0001A INCOMER SCHEMATIC DIAGRAM = LZ01</v>
          </cell>
        </row>
        <row r="2295">
          <cell r="M2295" t="str">
            <v>131236-DR-E</v>
          </cell>
          <cell r="N2295" t="str">
            <v>Panel Schematics - 6.6kV Switchgear WIL23-HVSG-0001A INCOMER SCHEMATIC DIAGRAM = LZ01</v>
          </cell>
        </row>
        <row r="2296">
          <cell r="M2296" t="str">
            <v>131236-DR-E</v>
          </cell>
          <cell r="N2296" t="str">
            <v>Panel Schematics - 6.6kV Switchgear WIL23-HVSG-0001A INCOMER SCHEMATIC DIAGRAM = LZ01</v>
          </cell>
        </row>
        <row r="2297">
          <cell r="M2297" t="str">
            <v>131236-DR-E</v>
          </cell>
          <cell r="N2297" t="str">
            <v>Panel Schematics - 6.6kV Switchgear WIL23-HVSG-0001A INCOMER SCHEMATIC DIAGRAM = LZ01</v>
          </cell>
        </row>
        <row r="2298">
          <cell r="M2298" t="str">
            <v>131236-DR-E</v>
          </cell>
          <cell r="N2298" t="str">
            <v>Panel Schematics - 6.6kV Switchgear WIL23-HVSG-0001A INCOMER SCHEMATIC DIAGRAM = LZ01</v>
          </cell>
        </row>
        <row r="2299">
          <cell r="M2299" t="str">
            <v>131236-DR-E</v>
          </cell>
          <cell r="N2299" t="str">
            <v>Panel Schematics - 6.6kV Switchgear WIL23-HVSG-0001A INCOMER SCHEMATIC DIAGRAM = LZ01</v>
          </cell>
        </row>
        <row r="2300">
          <cell r="M2300" t="str">
            <v>131236-DR-E</v>
          </cell>
          <cell r="N2300" t="str">
            <v>Panel Schematics - 6.6kV Switchgear WIL23-HVSG-0001A INCOMER SCHEMATIC DIAGRAM = LZ01</v>
          </cell>
        </row>
        <row r="2301">
          <cell r="M2301" t="str">
            <v>131236-DR-E</v>
          </cell>
          <cell r="N2301" t="str">
            <v>Panel Schematics - 6.6kV Switchgear WIL23-HVSG-0001A INCOMER SCHEMATIC DIAGRAM = LZ01</v>
          </cell>
        </row>
        <row r="2302">
          <cell r="M2302" t="str">
            <v>131236-DR-E</v>
          </cell>
          <cell r="N2302" t="str">
            <v>Panel Schematics - 6.6kV Switchgear WIL23-HVSG-0001A INCOMER SCHEMATIC DIAGRAM = LZ01</v>
          </cell>
        </row>
        <row r="2303">
          <cell r="M2303" t="str">
            <v>131236-DR-E</v>
          </cell>
          <cell r="N2303" t="str">
            <v>Panel Schematics - 6.6kV Switchgear WIL23-HVSG-0001A INCOMER SCHEMATIC DIAGRAM = LZ01</v>
          </cell>
        </row>
        <row r="2304">
          <cell r="M2304" t="str">
            <v>131236-DR-E</v>
          </cell>
          <cell r="N2304" t="str">
            <v>Panel Schematics - 6.6kV Switchgear WIL23-HVSG-0001A INCOMER SCHEMATIC DIAGRAM = LZ01</v>
          </cell>
        </row>
        <row r="2305">
          <cell r="M2305" t="str">
            <v>131236-DR-E</v>
          </cell>
          <cell r="N2305" t="str">
            <v>Panel Schematics - 6.6kV Switchgear WIL23-HVSG-0001A INCOMER SCHEMATIC DIAGRAM = LZ01</v>
          </cell>
        </row>
        <row r="2306">
          <cell r="M2306" t="str">
            <v>131236-DR-E</v>
          </cell>
          <cell r="N2306" t="str">
            <v>Panel Schematics - 6.6kV Switchgear WIL23-HVSG-0001A INCOMER SCHEMATIC DIAGRAM = LZ01</v>
          </cell>
        </row>
        <row r="2307">
          <cell r="M2307" t="str">
            <v>131236-DR-E</v>
          </cell>
          <cell r="N2307" t="str">
            <v>Panel Schematics - 6.6kV Switchgear WIL23-HVSG-0001A INCOMER SCHEMATIC DIAGRAM = LZ01</v>
          </cell>
        </row>
        <row r="2308">
          <cell r="M2308" t="str">
            <v>131236-DR-E</v>
          </cell>
          <cell r="N2308" t="str">
            <v>Panel Schematics - 6.6kV Switchgear WIL23-HVSG-0001A TERMINAL CONNECTION TABLE  = LZ01</v>
          </cell>
        </row>
        <row r="2309">
          <cell r="M2309" t="str">
            <v>131236-DR-E</v>
          </cell>
          <cell r="N2309" t="str">
            <v>Panel Schematics - 6.6kV Switchgear WIL23-HVSG-0001A TERMINAL CONNECTION TABLE  = LZ01</v>
          </cell>
        </row>
        <row r="2310">
          <cell r="M2310" t="str">
            <v>131236-DR-E</v>
          </cell>
          <cell r="N2310" t="str">
            <v>Panel Schematics - 6.6kV Switchgear WIL23-HVSG-0001A TERMINAL CONNECTION TABLE  = LZ01</v>
          </cell>
        </row>
        <row r="2311">
          <cell r="M2311" t="str">
            <v>131236-DR-E</v>
          </cell>
          <cell r="N2311" t="str">
            <v>Panel Schematics - 6.6kV Switchgear WIL23-HVSG-0001A TERMINAL CONNECTION TABLE  = LZ01</v>
          </cell>
        </row>
        <row r="2312">
          <cell r="M2312" t="str">
            <v>131236-DR-E</v>
          </cell>
          <cell r="N2312" t="str">
            <v>Panel Schematics - 6.6kV Switchgear WIL23-HVSG-0001A TERMINAL CONNECTION TABLE  = LZ01</v>
          </cell>
        </row>
        <row r="2313">
          <cell r="M2313" t="str">
            <v>131236-DR-E</v>
          </cell>
          <cell r="N2313" t="str">
            <v>Panel Schematics - 6.6kV Switchgear WIL23-HVSG-0001A TERMINAL CONNECTION TABLE  = LZ01</v>
          </cell>
        </row>
        <row r="2314">
          <cell r="M2314" t="str">
            <v>131236-DR-E</v>
          </cell>
          <cell r="N2314" t="str">
            <v>Panel Schematics - 6.6kV Switchgear WIL23-HVSG-0001A TERMINAL CONNECTION TABLE  = LZ01</v>
          </cell>
        </row>
        <row r="2315">
          <cell r="M2315" t="str">
            <v>131236-DR-E</v>
          </cell>
          <cell r="N2315" t="str">
            <v>Panel Schematics - 6.6kV Switchgear WIL23-HVSG-0001A TERMINAL CONNECTION TABLE  = LZ01</v>
          </cell>
        </row>
        <row r="2316">
          <cell r="M2316" t="str">
            <v>131236-DR-E</v>
          </cell>
          <cell r="N2316" t="str">
            <v>Panel Schematics - 6.6kV Switchgear WIL23-HVSG-0001A TERMINAL CONNECTION TABLE  = LZ01</v>
          </cell>
        </row>
        <row r="2317">
          <cell r="M2317" t="str">
            <v>131236-DR-E</v>
          </cell>
          <cell r="N2317" t="str">
            <v>Panel Schematics - 6.6kV Switchgear WIL23-HVSG-0001A TERMINAL CONNECTION TABLE  = LZ01</v>
          </cell>
        </row>
        <row r="2318">
          <cell r="M2318" t="str">
            <v>131236-DR-E</v>
          </cell>
          <cell r="N2318" t="str">
            <v>Panel Schematics - 6.6kV Switchgear WIL23-HVSG-0001A TERMINAL CONNECTION TABLE  = LZ01</v>
          </cell>
        </row>
        <row r="2319">
          <cell r="M2319" t="str">
            <v>131236-DR-E</v>
          </cell>
          <cell r="N2319" t="str">
            <v>Panel Schematics - 6.6kV Switchgear WIL23-HVSG-0001A TERMINAL CONNECTION TABLE  = LZ01</v>
          </cell>
        </row>
        <row r="2320">
          <cell r="M2320" t="str">
            <v>131236-DR-E</v>
          </cell>
          <cell r="N2320" t="str">
            <v>Panel Schematics - 6.6kV Switchgear WIL23-HVSG-0001A TERMINAL CONNECTION TABLE  = LZ01</v>
          </cell>
        </row>
        <row r="2321">
          <cell r="M2321" t="str">
            <v>131236-DR-E</v>
          </cell>
          <cell r="N2321" t="str">
            <v>Panel Schematics - 6.6kV Switchgear WIL23-HVSG-0001A TERMINAL CONNECTION TABLE  = LZ01</v>
          </cell>
        </row>
        <row r="2322">
          <cell r="M2322" t="str">
            <v>131236-DR-E</v>
          </cell>
          <cell r="N2322" t="str">
            <v>Panel Schematics - 6.6kV Switchgear WIL23-HVSG-0001A TERMINAL CONNECTION TABLE  = LZ01</v>
          </cell>
        </row>
        <row r="2323">
          <cell r="M2323" t="str">
            <v>131236-DR-E</v>
          </cell>
          <cell r="N2323" t="str">
            <v>Panel Schematics - 6.6kV Switchgear WIL23-HVSG-0001A TERMINAL CONNECTION TABLE  = LZ01</v>
          </cell>
        </row>
        <row r="2324">
          <cell r="M2324" t="str">
            <v>131236-DR-E</v>
          </cell>
          <cell r="N2324" t="str">
            <v>Panel Schematics - 6.6kV Switchgear WIL23-HVSG-0001A TERMINAL CONNECTION TABLE  = LZ01</v>
          </cell>
        </row>
        <row r="2325">
          <cell r="M2325" t="str">
            <v>131236-DR-E</v>
          </cell>
          <cell r="N2325" t="str">
            <v>Panel Schematics - 6.6kV Switchgear WIL23-HVSG-0001A TERMINAL CONNECTION TABLE  = LZ01</v>
          </cell>
        </row>
        <row r="2326">
          <cell r="M2326" t="str">
            <v>131236-DR-E</v>
          </cell>
          <cell r="N2326" t="str">
            <v>Panel Schematics - 6.6kV Switchgear WIL23-HVSG-0001A TERMINAL CONNECTION TABLE  = LZ01</v>
          </cell>
        </row>
        <row r="2327">
          <cell r="M2327" t="str">
            <v>131236-DR-E</v>
          </cell>
          <cell r="N2327" t="str">
            <v>Panel Schematics - 6.6kV Switchgear WIL23-HVSG-0001A TERMINAL CONNECTION TABLE  = LZ01</v>
          </cell>
        </row>
        <row r="2328">
          <cell r="M2328" t="str">
            <v>131236-DR-E</v>
          </cell>
          <cell r="N2328" t="str">
            <v>Panel Schematics - 6.6kV Switchgear WIL23-HVSG-0001A TERMINAL CONNECTION TABLE  = LZ01</v>
          </cell>
        </row>
        <row r="2329">
          <cell r="M2329" t="str">
            <v>131236-DR-E</v>
          </cell>
          <cell r="N2329" t="str">
            <v>Panel Schematics - 6.6kV Switchgear WIL23-HVSG-0001A OUTGOING FEEDER SCHEMATIC = LZ02</v>
          </cell>
        </row>
        <row r="2330">
          <cell r="M2330" t="str">
            <v>131236-DR-E</v>
          </cell>
          <cell r="N2330" t="str">
            <v>Panel Schematics - 6.6kV Switchgear WIL23-HVSG-0001A OUTGOING FEEDER SCHEMATIC = LZ02</v>
          </cell>
        </row>
        <row r="2331">
          <cell r="M2331" t="str">
            <v>131236-DR-E</v>
          </cell>
          <cell r="N2331" t="str">
            <v>Panel Schematics - 6.6kV Switchgear WIL23-HVSG-0001A OUTGOING FEEDER SCHEMATIC = LZ02</v>
          </cell>
        </row>
        <row r="2332">
          <cell r="M2332" t="str">
            <v>131236-DR-E</v>
          </cell>
          <cell r="N2332" t="str">
            <v>Panel Schematics - 6.6kV Switchgear WIL23-HVSG-0001A OUTGOING FEEDER SCHEMATIC = LZ02</v>
          </cell>
        </row>
        <row r="2333">
          <cell r="M2333" t="str">
            <v>131236-DR-E</v>
          </cell>
          <cell r="N2333" t="str">
            <v>Panel Schematics - 6.6kV Switchgear WIL23-HVSG-0001A OUTGOING FEEDER SCHEMATIC = LZ02</v>
          </cell>
        </row>
        <row r="2334">
          <cell r="M2334" t="str">
            <v>131236-DR-E</v>
          </cell>
          <cell r="N2334" t="str">
            <v>Panel Schematics - 6.6kV Switchgear WIL23-HVSG-0001A OUTGOING FEEDER SCHEMATIC = LZ02</v>
          </cell>
        </row>
        <row r="2335">
          <cell r="M2335" t="str">
            <v>131236-DR-E</v>
          </cell>
          <cell r="N2335" t="str">
            <v>Panel Schematics - 6.6kV Switchgear WIL23-HVSG-0001A OUTGOING FEEDER SCHEMATIC = LZ02</v>
          </cell>
        </row>
        <row r="2336">
          <cell r="M2336" t="str">
            <v>131236-DR-E</v>
          </cell>
          <cell r="N2336" t="str">
            <v>Panel Schematics - 6.6kV Switchgear WIL23-HVSG-0001A OUTGOING FEEDER SCHEMATIC = LZ02</v>
          </cell>
        </row>
        <row r="2337">
          <cell r="M2337" t="str">
            <v>131236-DR-E</v>
          </cell>
          <cell r="N2337" t="str">
            <v>Panel Schematics - 6.6kV Switchgear WIL23-HVSG-0001A OUTGOING FEEDER SCHEMATIC = LZ02</v>
          </cell>
        </row>
        <row r="2338">
          <cell r="M2338" t="str">
            <v>131236-DR-E</v>
          </cell>
          <cell r="N2338" t="str">
            <v>Panel Schematics - 6.6kV Switchgear WIL23-HVSG-0001A OUTGOING FEEDER SCHEMATIC = LZ02</v>
          </cell>
        </row>
        <row r="2339">
          <cell r="M2339" t="str">
            <v>131236-DR-E</v>
          </cell>
          <cell r="N2339" t="str">
            <v>Panel Schematics - 6.6kV Switchgear WIL23-HVSG-0001A OUTGOING FEEDER SCHEMATIC = LZ02</v>
          </cell>
        </row>
        <row r="2340">
          <cell r="M2340" t="str">
            <v>131236-DR-E</v>
          </cell>
          <cell r="N2340" t="str">
            <v>Panel Schematics - 6.6kV Switchgear WIL23-HVSG-0001A OUTGOING FEEDER SCHEMATIC = LZ02</v>
          </cell>
        </row>
        <row r="2341">
          <cell r="M2341" t="str">
            <v>131236-DR-E</v>
          </cell>
          <cell r="N2341" t="str">
            <v>Panel Schematics - 6.6kV Switchgear WIL23-HVSG-0001A OUTGOING FEEDER SCHEMATIC = LZ02</v>
          </cell>
        </row>
        <row r="2342">
          <cell r="M2342" t="str">
            <v>131236-DR-E</v>
          </cell>
          <cell r="N2342" t="str">
            <v>Panel Schematics - 6.6kV Switchgear WIL23-HVSG-0001A OUTGOING FEEDER SCHEMATIC = LZ02</v>
          </cell>
        </row>
        <row r="2343">
          <cell r="M2343" t="str">
            <v>131236-DR-E</v>
          </cell>
          <cell r="N2343" t="str">
            <v>Panel Schematics - 6.6kV Switchgear WIL23-HVSG-0001A OUTGOING FEEDER SCHEMATIC = LZ02</v>
          </cell>
        </row>
        <row r="2344">
          <cell r="M2344" t="str">
            <v>131236-DR-E</v>
          </cell>
          <cell r="N2344" t="str">
            <v>Panel Schematics - 6.6kV Switchgear WIL23-HVSG-0001A OUTGOING FEEDER SCHEMATIC = LZ02</v>
          </cell>
        </row>
        <row r="2345">
          <cell r="M2345" t="str">
            <v>131236-DR-E</v>
          </cell>
          <cell r="N2345" t="str">
            <v>Panel Schematics - 6.6kV Switchgear WIL23-HVSG-0001A OUTGOING FEEDER SCHEMATIC = LZ02</v>
          </cell>
        </row>
        <row r="2346">
          <cell r="M2346" t="str">
            <v>131236-DR-E</v>
          </cell>
          <cell r="N2346" t="str">
            <v>Panel Schematics - 6.6kV Switchgear WIL23-HVSG-0001A OUTGOING FEEDER SCHEMATIC = LZ02</v>
          </cell>
        </row>
        <row r="2347">
          <cell r="M2347" t="str">
            <v>131236-DR-E</v>
          </cell>
          <cell r="N2347" t="str">
            <v>Panel Schematics - 6.6kV Switchgear WIL23-HVSG-0001A OUTGOING FEEDER SCHEMATIC = LZ02</v>
          </cell>
        </row>
        <row r="2348">
          <cell r="M2348" t="str">
            <v>131236-DR-E</v>
          </cell>
          <cell r="N2348" t="str">
            <v>Panel Schematics - 6.6kV Switchgear WIL23-HVSG-0001A OUTGOING FEEDER SCHEMATIC = LZ02</v>
          </cell>
        </row>
        <row r="2349">
          <cell r="M2349" t="str">
            <v>131236-DR-E</v>
          </cell>
          <cell r="N2349" t="str">
            <v>Panel Schematics - 6.6kV Switchgear WIL23-HVSG-0001A OUTGOING FEEDER SCHEMATIC = LZ02</v>
          </cell>
        </row>
        <row r="2350">
          <cell r="M2350" t="str">
            <v>131236-DR-E</v>
          </cell>
          <cell r="N2350" t="str">
            <v>Panel Schematics - 6.6kV Switchgear WIL23-HVSG-0001A OUTGOING FEEDER SCHEMATIC = LZ02</v>
          </cell>
        </row>
        <row r="2351">
          <cell r="M2351" t="str">
            <v>131236-DR-E</v>
          </cell>
          <cell r="N2351" t="str">
            <v>Panel Schematics - 6.6kV Switchgear WIL23-HVSG-0001A OUTGOING FEEDER SCHEMATIC = LZ02</v>
          </cell>
        </row>
        <row r="2352">
          <cell r="M2352" t="str">
            <v>131236-DR-E</v>
          </cell>
          <cell r="N2352" t="str">
            <v>Panel Schematics - 6.6kV Switchgear WIL23-HVSG-0001A TERMINAL CONNECTION TABLE = LZ02</v>
          </cell>
        </row>
        <row r="2353">
          <cell r="M2353" t="str">
            <v>131236-DR-E</v>
          </cell>
          <cell r="N2353" t="str">
            <v>Panel Schematics - 6.6kV Switchgear WIL23-HVSG-0001A TERMINAL CONNECTION TABLE = LZ02</v>
          </cell>
        </row>
        <row r="2354">
          <cell r="M2354" t="str">
            <v>131236-DR-E</v>
          </cell>
          <cell r="N2354" t="str">
            <v>Panel Schematics - 6.6kV Switchgear WIL23-HVSG-0001A TERMINAL CONNECTION TABLE = LZ02</v>
          </cell>
        </row>
        <row r="2355">
          <cell r="M2355" t="str">
            <v>131236-DR-E</v>
          </cell>
          <cell r="N2355" t="str">
            <v>Panel Schematics - 6.6kV Switchgear WIL23-HVSG-0001A TERMINAL CONNECTION TABLE = LZ02</v>
          </cell>
        </row>
        <row r="2356">
          <cell r="M2356" t="str">
            <v>131236-DR-E</v>
          </cell>
          <cell r="N2356" t="str">
            <v>Panel Schematics - 6.6kV Switchgear WIL23-HVSG-0001A TERMINAL CONNECTION TABLE = LZ02</v>
          </cell>
        </row>
        <row r="2357">
          <cell r="M2357" t="str">
            <v>131236-DR-E</v>
          </cell>
          <cell r="N2357" t="str">
            <v>Panel Schematics - 6.6kV Switchgear WIL23-HVSG-0001A TERMINAL CONNECTION TABLE = LZ02</v>
          </cell>
        </row>
        <row r="2358">
          <cell r="M2358" t="str">
            <v>131236-DR-E</v>
          </cell>
          <cell r="N2358" t="str">
            <v>Panel Schematics - 6.6kV Switchgear WIL23-HVSG-0001A TERMINAL CONNECTION TABLE = LZ02</v>
          </cell>
        </row>
        <row r="2359">
          <cell r="M2359" t="str">
            <v>131236-DR-E</v>
          </cell>
          <cell r="N2359" t="str">
            <v>Panel Schematics - 6.6kV Switchgear WIL23-HVSG-0001A TERMINAL CONNECTION TABLE = LZ02</v>
          </cell>
        </row>
        <row r="2360">
          <cell r="M2360" t="str">
            <v>131236-DR-E</v>
          </cell>
          <cell r="N2360" t="str">
            <v>Panel Schematics - 6.6kV Switchgear WIL23-HVSG-0001A TERMINAL CONNECTION TABLE = LZ02</v>
          </cell>
        </row>
        <row r="2361">
          <cell r="M2361" t="str">
            <v>131236-DR-E</v>
          </cell>
          <cell r="N2361" t="str">
            <v>Panel Schematics - 6.6kV Switchgear WIL23-HVSG-0001A TERMINAL CONNECTION TABLE = LZ02</v>
          </cell>
        </row>
        <row r="2362">
          <cell r="M2362" t="str">
            <v>131236-DR-E</v>
          </cell>
          <cell r="N2362" t="str">
            <v>Panel Schematics - 6.6kV Switchgear WIL23-HVSG-0001A TERMINAL CONNECTION TABLE = LZ02</v>
          </cell>
        </row>
        <row r="2363">
          <cell r="M2363" t="str">
            <v>131236-DR-E</v>
          </cell>
          <cell r="N2363" t="str">
            <v>Panel Schematics - 6.6kV Switchgear WIL23-HVSG-0001A TERMINAL CONNECTION TABLE = LZ02</v>
          </cell>
        </row>
        <row r="2364">
          <cell r="M2364" t="str">
            <v>131236-DR-E</v>
          </cell>
          <cell r="N2364" t="str">
            <v>Panel Schematics - 6.6kV Switchgear WIL23-HVSG-0001A TERMINAL CONNECTION TABLE = LZ02</v>
          </cell>
        </row>
        <row r="2365">
          <cell r="M2365" t="str">
            <v>131236-DR-E</v>
          </cell>
          <cell r="N2365" t="str">
            <v>Panel Schematics - 6.6kV Switchgear WIL23-HVSG-0001A TERMINAL CONNECTION TABLE = LZ02</v>
          </cell>
        </row>
        <row r="2366">
          <cell r="M2366" t="str">
            <v>131236-DR-E</v>
          </cell>
          <cell r="N2366" t="str">
            <v>Panel Schematics - 6.6kV Switchgear WIL23-HVSG-0001A TERMINAL CONNECTION TABLE = LZ02</v>
          </cell>
        </row>
        <row r="2367">
          <cell r="M2367" t="str">
            <v>131236-DR-E</v>
          </cell>
          <cell r="N2367" t="str">
            <v>Panel Schematics - 6.6kV Switchgear WIL23-HVSG-0001A OUTGOING FEEDER SCHEMATIC = LZ02a</v>
          </cell>
        </row>
        <row r="2368">
          <cell r="M2368" t="str">
            <v>131236-DR-E</v>
          </cell>
          <cell r="N2368" t="str">
            <v>Panel Schematics - 6.6kV Switchgear WIL23-HVSG-0001A OUTGOING FEEDER SCHEMATIC = LZ02a</v>
          </cell>
        </row>
        <row r="2369">
          <cell r="M2369" t="str">
            <v>131236-DR-E</v>
          </cell>
          <cell r="N2369" t="str">
            <v>Panel Schematics - 6.6kV Switchgear WIL23-HVSG-0001A OUTGOING FEEDER SCHEMATIC = LZ02a</v>
          </cell>
        </row>
        <row r="2370">
          <cell r="M2370" t="str">
            <v>131236-DR-E</v>
          </cell>
          <cell r="N2370" t="str">
            <v>Panel Schematics - 6.6kV Switchgear WIL23-HVSG-0001A OUTGOING FEEDER SCHEMATIC = LZ02a</v>
          </cell>
        </row>
        <row r="2371">
          <cell r="M2371" t="str">
            <v>131236-DR-E</v>
          </cell>
          <cell r="N2371" t="str">
            <v>Panel Schematics - 6.6kV Switchgear WIL23-HVSG-0001A OUTGOING FEEDER SCHEMATIC = LZ02a</v>
          </cell>
        </row>
        <row r="2372">
          <cell r="M2372" t="str">
            <v>131236-DR-E</v>
          </cell>
          <cell r="N2372" t="str">
            <v>Panel Schematics - 6.6kV Switchgear WIL23-HVSG-0001A OUTGOING FEEDER SCHEMATIC = LZ02a</v>
          </cell>
        </row>
        <row r="2373">
          <cell r="M2373" t="str">
            <v>131236-DR-E</v>
          </cell>
          <cell r="N2373" t="str">
            <v>Panel Schematics - 6.6kV Switchgear WIL23-HVSG-0001A OUTGOING FEEDER SCHEMATIC = LZ02a</v>
          </cell>
        </row>
        <row r="2374">
          <cell r="M2374" t="str">
            <v>131236-DR-E</v>
          </cell>
          <cell r="N2374" t="str">
            <v>Panel Schematics - 6.6kV Switchgear WIL23-HVSG-0001A OUTGOING FEEDER SCHEMATIC = LZ02a</v>
          </cell>
        </row>
        <row r="2375">
          <cell r="M2375" t="str">
            <v>131236-DR-E</v>
          </cell>
          <cell r="N2375" t="str">
            <v>Panel Schematics - 6.6kV Switchgear WIL23-HVSG-0001A OUTGOING FEEDER SCHEMATIC = LZ02a</v>
          </cell>
        </row>
        <row r="2376">
          <cell r="M2376" t="str">
            <v>131236-DR-E</v>
          </cell>
          <cell r="N2376" t="str">
            <v>Panel Schematics - 6.6kV Switchgear WIL23-HVSG-0001A OUTGOING FEEDER SCHEMATIC = LZ02a</v>
          </cell>
        </row>
        <row r="2377">
          <cell r="M2377" t="str">
            <v>131236-DR-E</v>
          </cell>
          <cell r="N2377" t="str">
            <v>Panel Schematics - 6.6kV Switchgear WIL23-HVSG-0001A OUTGOING FEEDER SCHEMATIC = LZ02a</v>
          </cell>
        </row>
        <row r="2378">
          <cell r="M2378" t="str">
            <v>131236-DR-E</v>
          </cell>
          <cell r="N2378" t="str">
            <v>Panel Schematics - 6.6kV Switchgear WIL23-HVSG-0001A OUTGOING FEEDER SCHEMATIC = LZ02a</v>
          </cell>
        </row>
        <row r="2379">
          <cell r="M2379" t="str">
            <v>131236-DR-E</v>
          </cell>
          <cell r="N2379" t="str">
            <v>Panel Schematics - 6.6kV Switchgear WIL23-HVSG-0001A OUTGOING FEEDER SCHEMATIC = LZ02a</v>
          </cell>
        </row>
        <row r="2380">
          <cell r="M2380" t="str">
            <v>131236-DR-E</v>
          </cell>
          <cell r="N2380" t="str">
            <v>Panel Schematics - 6.6kV Switchgear WIL23-HVSG-0001A OUTGOING FEEDER SCHEMATIC = LZ02a</v>
          </cell>
        </row>
        <row r="2381">
          <cell r="M2381" t="str">
            <v>131236-DR-E</v>
          </cell>
          <cell r="N2381" t="str">
            <v>Panel Schematics - 6.6kV Switchgear WIL23-HVSG-0001A OUTGOING FEEDER SCHEMATIC = LZ02a</v>
          </cell>
        </row>
        <row r="2382">
          <cell r="M2382" t="str">
            <v>131236-DR-E</v>
          </cell>
          <cell r="N2382" t="str">
            <v>Panel Schematics - 6.6kV Switchgear WIL23-HVSG-0001A OUTGOING FEEDER SCHEMATIC = LZ02a</v>
          </cell>
        </row>
        <row r="2383">
          <cell r="M2383" t="str">
            <v>131236-DR-E</v>
          </cell>
          <cell r="N2383" t="str">
            <v>Panel Schematics - 6.6kV Switchgear WIL23-HVSG-0001A OUTGOING FEEDER SCHEMATIC = LZ02a</v>
          </cell>
        </row>
        <row r="2384">
          <cell r="M2384" t="str">
            <v>131236-DR-E</v>
          </cell>
          <cell r="N2384" t="str">
            <v>Panel Schematics - 6.6kV Switchgear WIL23-HVSG-0001A OUTGOING FEEDER SCHEMATIC = LZ02a</v>
          </cell>
        </row>
        <row r="2385">
          <cell r="M2385" t="str">
            <v>131236-DR-E</v>
          </cell>
          <cell r="N2385" t="str">
            <v>Panel Schematics - 6.6kV Switchgear WIL23-HVSG-0001A OUTGOING FEEDER SCHEMATIC = LZ02a</v>
          </cell>
        </row>
        <row r="2386">
          <cell r="M2386" t="str">
            <v>131236-DR-E</v>
          </cell>
          <cell r="N2386" t="str">
            <v>Panel Schematics - 6.6kV Switchgear WIL23-HVSG-0001A OUTGOING FEEDER SCHEMATIC = LZ02a</v>
          </cell>
        </row>
        <row r="2387">
          <cell r="M2387" t="str">
            <v>131236-DR-E</v>
          </cell>
          <cell r="N2387" t="str">
            <v>Panel Schematics - 6.6kV Switchgear WIL23-HVSG-0001A OUTGOING FEEDER SCHEMATIC = LZ02a</v>
          </cell>
        </row>
        <row r="2388">
          <cell r="M2388" t="str">
            <v>131236-DR-E</v>
          </cell>
          <cell r="N2388" t="str">
            <v>Panel Schematics - 6.6kV Switchgear WIL23-HVSG-0001A OUTGOING FEEDER SCHEMATIC = LZ02a</v>
          </cell>
        </row>
        <row r="2389">
          <cell r="M2389" t="str">
            <v>131236-DR-E</v>
          </cell>
          <cell r="N2389" t="str">
            <v>Panel Schematics - 6.6kV Switchgear WIL23-HVSG-0001A OUTGOING FEEDER SCHEMATIC = LZ02a</v>
          </cell>
        </row>
        <row r="2390">
          <cell r="M2390" t="str">
            <v>131236-DR-E</v>
          </cell>
          <cell r="N2390" t="str">
            <v>Panel Schematics - 6.6kV Switchgear WIL23-HVSG-0001A OUTGOING FEEDER SCHEMATIC = LZ02a</v>
          </cell>
        </row>
        <row r="2391">
          <cell r="M2391" t="str">
            <v>131236-DR-E</v>
          </cell>
          <cell r="N2391" t="str">
            <v>Panel Schematics - 6.6kV Switchgear WIL23-HVSG-0001A TERMINAL CONNECTION TABLE = LZ02a</v>
          </cell>
        </row>
        <row r="2392">
          <cell r="M2392" t="str">
            <v>131236-DR-E</v>
          </cell>
          <cell r="N2392" t="str">
            <v>Panel Schematics - 6.6kV Switchgear WIL23-HVSG-0001A TERMINAL CONNECTION TABLE = LZ02a</v>
          </cell>
        </row>
        <row r="2393">
          <cell r="M2393" t="str">
            <v>131236-DR-E</v>
          </cell>
          <cell r="N2393" t="str">
            <v>Panel Schematics - 6.6kV Switchgear WIL23-HVSG-0001A TERMINAL CONNECTION TABLE = LZ02a</v>
          </cell>
        </row>
        <row r="2394">
          <cell r="M2394" t="str">
            <v>131236-DR-E</v>
          </cell>
          <cell r="N2394" t="str">
            <v>Panel Schematics - 6.6kV Switchgear WIL23-HVSG-0001A TERMINAL CONNECTION TABLE = LZ02a</v>
          </cell>
        </row>
        <row r="2395">
          <cell r="M2395" t="str">
            <v>131236-DR-E</v>
          </cell>
          <cell r="N2395" t="str">
            <v>Panel Schematics - 6.6kV Switchgear WIL23-HVSG-0001A TERMINAL CONNECTION TABLE = LZ02a</v>
          </cell>
        </row>
        <row r="2396">
          <cell r="M2396" t="str">
            <v>131236-DR-E</v>
          </cell>
          <cell r="N2396" t="str">
            <v>Panel Schematics - 6.6kV Switchgear WIL23-HVSG-0001A TERMINAL CONNECTION TABLE = LZ02a</v>
          </cell>
        </row>
        <row r="2397">
          <cell r="M2397" t="str">
            <v>131236-DR-E</v>
          </cell>
          <cell r="N2397" t="str">
            <v>Panel Schematics - 6.6kV Switchgear WIL23-HVSG-0001A TERMINAL CONNECTION TABLE = LZ02a</v>
          </cell>
        </row>
        <row r="2398">
          <cell r="M2398" t="str">
            <v>131236-DR-E</v>
          </cell>
          <cell r="N2398" t="str">
            <v>Panel Schematics - 6.6kV Switchgear WIL23-HVSG-0001A TERMINAL CONNECTION TABLE = LZ02a</v>
          </cell>
        </row>
        <row r="2399">
          <cell r="M2399" t="str">
            <v>131236-DR-E</v>
          </cell>
          <cell r="N2399" t="str">
            <v>Panel Schematics - 6.6kV Switchgear WIL23-HVSG-0001A TERMINAL CONNECTION TABLE = LZ02a</v>
          </cell>
        </row>
        <row r="2400">
          <cell r="M2400" t="str">
            <v>131236-DR-E</v>
          </cell>
          <cell r="N2400" t="str">
            <v>Panel Schematics - 6.6kV Switchgear WIL23-HVSG-0001A TERMINAL CONNECTION TABLE = LZ02a</v>
          </cell>
        </row>
        <row r="2401">
          <cell r="M2401" t="str">
            <v>131236-DR-E</v>
          </cell>
          <cell r="N2401" t="str">
            <v>Panel Schematics - 6.6kV Switchgear WIL23-HVSG-0001A TERMINAL CONNECTION TABLE = LZ02a</v>
          </cell>
        </row>
        <row r="2402">
          <cell r="M2402" t="str">
            <v>131236-DR-E</v>
          </cell>
          <cell r="N2402" t="str">
            <v>Panel Schematics - 6.6kV Switchgear WIL23-HVSG-0001A TERMINAL CONNECTION TABLE = LZ02a</v>
          </cell>
        </row>
        <row r="2403">
          <cell r="M2403" t="str">
            <v>131236-DR-E</v>
          </cell>
          <cell r="N2403" t="str">
            <v>Panel Schematics - 6.6kV Switchgear WIL23-HVSG-0001A TERMINAL CONNECTION TABLE = LZ02a</v>
          </cell>
        </row>
        <row r="2404">
          <cell r="M2404" t="str">
            <v>131236-DR-E</v>
          </cell>
          <cell r="N2404" t="str">
            <v>Panel Schematics - 6.6kV Switchgear WIL23-HVSG-0001A TERMINAL CONNECTION TABLE = LZ02a</v>
          </cell>
        </row>
        <row r="2405">
          <cell r="M2405" t="str">
            <v>131236-DR-E</v>
          </cell>
          <cell r="N2405" t="str">
            <v>Panel Schematics - 6.6kV Switchgear WIL23-HVSG-0001A TERMINAL CONNECTION TABLE = LZ02a</v>
          </cell>
        </row>
        <row r="2406">
          <cell r="M2406" t="str">
            <v>131236-DR-E</v>
          </cell>
          <cell r="N2406" t="str">
            <v>Panel Schematics - 6.6kV Switchgear WIL23-HVSG-0001A TERMINAL CONNECTION TABLE = LZ02a</v>
          </cell>
        </row>
        <row r="2407">
          <cell r="M2407" t="str">
            <v>131236-DR-E</v>
          </cell>
          <cell r="N2407" t="str">
            <v>Panel Schematics - 6.6kV Switchgear WIL23-HVSG-0001A OUTGOING FEEDER SCHEMATIC = LZ03</v>
          </cell>
        </row>
        <row r="2408">
          <cell r="M2408" t="str">
            <v>131236-DR-E</v>
          </cell>
          <cell r="N2408" t="str">
            <v>Panel Schematics - 6.6kV Switchgear WIL23-HVSG-0001A OUTGOING FEEDER SCHEMATIC = LZ03</v>
          </cell>
        </row>
        <row r="2409">
          <cell r="M2409" t="str">
            <v>131236-DR-E</v>
          </cell>
          <cell r="N2409" t="str">
            <v>Panel Schematics - 6.6kV Switchgear WIL23-HVSG-0001A OUTGOING FEEDER SCHEMATIC = LZ03</v>
          </cell>
        </row>
        <row r="2410">
          <cell r="M2410" t="str">
            <v>131236-DR-E</v>
          </cell>
          <cell r="N2410" t="str">
            <v>Panel Schematics - 6.6kV Switchgear WIL23-HVSG-0001A OUTGOING FEEDER SCHEMATIC = LZ03</v>
          </cell>
        </row>
        <row r="2411">
          <cell r="M2411" t="str">
            <v>131236-DR-E</v>
          </cell>
          <cell r="N2411" t="str">
            <v>Panel Schematics - 6.6kV Switchgear WIL23-HVSG-0001A OUTGOING FEEDER SCHEMATIC = LZ03</v>
          </cell>
        </row>
        <row r="2412">
          <cell r="M2412" t="str">
            <v>131236-DR-E</v>
          </cell>
          <cell r="N2412" t="str">
            <v>Panel Schematics - 6.6kV Switchgear WIL23-HVSG-0001A OUTGOING FEEDER SCHEMATIC = LZ03</v>
          </cell>
        </row>
        <row r="2413">
          <cell r="M2413" t="str">
            <v>131236-DR-E</v>
          </cell>
          <cell r="N2413" t="str">
            <v>Panel Schematics - 6.6kV Switchgear WIL23-HVSG-0001A OUTGOING FEEDER SCHEMATIC = LZ03</v>
          </cell>
        </row>
        <row r="2414">
          <cell r="M2414" t="str">
            <v>131236-DR-E</v>
          </cell>
          <cell r="N2414" t="str">
            <v>Panel Schematics - 6.6kV Switchgear WIL23-HVSG-0001A OUTGOING FEEDER SCHEMATIC = LZ03</v>
          </cell>
        </row>
        <row r="2415">
          <cell r="M2415" t="str">
            <v>131236-DR-E</v>
          </cell>
          <cell r="N2415" t="str">
            <v>Panel Schematics - 6.6kV Switchgear WIL23-HVSG-0001A OUTGOING FEEDER SCHEMATIC = LZ03</v>
          </cell>
        </row>
        <row r="2416">
          <cell r="M2416" t="str">
            <v>131236-DR-E</v>
          </cell>
          <cell r="N2416" t="str">
            <v>Panel Schematics - 6.6kV Switchgear WIL23-HVSG-0001A OUTGOING FEEDER SCHEMATIC = LZ03</v>
          </cell>
        </row>
        <row r="2417">
          <cell r="M2417" t="str">
            <v>131236-DR-E</v>
          </cell>
          <cell r="N2417" t="str">
            <v>Panel Schematics - 6.6kV Switchgear WIL23-HVSG-0001A OUTGOING FEEDER SCHEMATIC = LZ03</v>
          </cell>
        </row>
        <row r="2418">
          <cell r="M2418" t="str">
            <v>131236-DR-E</v>
          </cell>
          <cell r="N2418" t="str">
            <v>Panel Schematics - 6.6kV Switchgear WIL23-HVSG-0001A OUTGOING FEEDER SCHEMATIC = LZ03</v>
          </cell>
        </row>
        <row r="2419">
          <cell r="M2419" t="str">
            <v>131236-DR-E</v>
          </cell>
          <cell r="N2419" t="str">
            <v>Panel Schematics - 6.6kV Switchgear WIL23-HVSG-0001A OUTGOING FEEDER SCHEMATIC = LZ03</v>
          </cell>
        </row>
        <row r="2420">
          <cell r="M2420" t="str">
            <v>131236-DR-E</v>
          </cell>
          <cell r="N2420" t="str">
            <v>Panel Schematics - 6.6kV Switchgear WIL23-HVSG-0001A OUTGOING FEEDER SCHEMATIC = LZ03</v>
          </cell>
        </row>
        <row r="2421">
          <cell r="M2421" t="str">
            <v>131236-DR-E</v>
          </cell>
          <cell r="N2421" t="str">
            <v>Panel Schematics - 6.6kV Switchgear WIL23-HVSG-0001A OUTGOING FEEDER SCHEMATIC = LZ03</v>
          </cell>
        </row>
        <row r="2422">
          <cell r="M2422" t="str">
            <v>131236-DR-E</v>
          </cell>
          <cell r="N2422" t="str">
            <v>Panel Schematics - 6.6kV Switchgear WIL23-HVSG-0001A OUTGOING FEEDER SCHEMATIC = LZ03</v>
          </cell>
        </row>
        <row r="2423">
          <cell r="M2423" t="str">
            <v>131236-DR-E</v>
          </cell>
          <cell r="N2423" t="str">
            <v>Panel Schematics - 6.6kV Switchgear WIL23-HVSG-0001A OUTGOING FEEDER SCHEMATIC = LZ03</v>
          </cell>
        </row>
        <row r="2424">
          <cell r="M2424" t="str">
            <v>131236-DR-E</v>
          </cell>
          <cell r="N2424" t="str">
            <v>Panel Schematics - 6.6kV Switchgear WIL23-HVSG-0001A OUTGOING FEEDER SCHEMATIC = LZ03</v>
          </cell>
        </row>
        <row r="2425">
          <cell r="M2425" t="str">
            <v>131236-DR-E</v>
          </cell>
          <cell r="N2425" t="str">
            <v>Panel Schematics - 6.6kV Switchgear WIL23-HVSG-0001A OUTGOING FEEDER SCHEMATIC = LZ03</v>
          </cell>
        </row>
        <row r="2426">
          <cell r="M2426" t="str">
            <v>131236-DR-E</v>
          </cell>
          <cell r="N2426" t="str">
            <v>Panel Schematics - 6.6kV Switchgear WIL23-HVSG-0001A OUTGOING FEEDER SCHEMATIC = LZ03</v>
          </cell>
        </row>
        <row r="2427">
          <cell r="M2427" t="str">
            <v>131236-DR-E</v>
          </cell>
          <cell r="N2427" t="str">
            <v>Panel Schematics - 6.6kV Switchgear WIL23-HVSG-0001A OUTGOING FEEDER SCHEMATIC = LZ03</v>
          </cell>
        </row>
        <row r="2428">
          <cell r="M2428" t="str">
            <v>131236-DR-E</v>
          </cell>
          <cell r="N2428" t="str">
            <v>Panel Schematics - 6.6kV Switchgear WIL23-HVSG-0001A OUTGOING FEEDER SCHEMATIC = LZ03</v>
          </cell>
        </row>
        <row r="2429">
          <cell r="M2429" t="str">
            <v>131236-DR-E</v>
          </cell>
          <cell r="N2429" t="str">
            <v>Panel Schematics - 6.6kV Switchgear WIL23-HVSG-0001A OUTGOING FEEDER SCHEMATIC = LZ03</v>
          </cell>
        </row>
        <row r="2430">
          <cell r="M2430" t="str">
            <v>131236-DR-E</v>
          </cell>
          <cell r="N2430" t="str">
            <v>Panel Schematics - 6.6kV Switchgear WIL23-HVSG-0001A OUTGOING FEEDER SCHEMATIC = LZ03</v>
          </cell>
        </row>
        <row r="2431">
          <cell r="M2431" t="str">
            <v>131236-DR-E</v>
          </cell>
          <cell r="N2431" t="str">
            <v>Panel Schematics - 6.6kV Switchgear WIL23-HVSG-0001A TERMINAL CONNECTION TABLE = LZ03</v>
          </cell>
        </row>
        <row r="2432">
          <cell r="M2432" t="str">
            <v>131236-DR-E</v>
          </cell>
          <cell r="N2432" t="str">
            <v>Panel Schematics - 6.6kV Switchgear WIL23-HVSG-0001A TERMINAL CONNECTION TABLE = LZ03</v>
          </cell>
        </row>
        <row r="2433">
          <cell r="M2433" t="str">
            <v>131236-DR-E</v>
          </cell>
          <cell r="N2433" t="str">
            <v>Panel Schematics - 6.6kV Switchgear WIL23-HVSG-0001A TERMINAL CONNECTION TABLE = LZ03</v>
          </cell>
        </row>
        <row r="2434">
          <cell r="M2434" t="str">
            <v>131236-DR-E</v>
          </cell>
          <cell r="N2434" t="str">
            <v>Panel Schematics - 6.6kV Switchgear WIL23-HVSG-0001A TERMINAL CONNECTION TABLE = LZ03</v>
          </cell>
        </row>
        <row r="2435">
          <cell r="M2435" t="str">
            <v>131236-DR-E</v>
          </cell>
          <cell r="N2435" t="str">
            <v>Panel Schematics - 6.6kV Switchgear WIL23-HVSG-0001A TERMINAL CONNECTION TABLE = LZ03</v>
          </cell>
        </row>
        <row r="2436">
          <cell r="M2436" t="str">
            <v>131236-DR-E</v>
          </cell>
          <cell r="N2436" t="str">
            <v>Panel Schematics - 6.6kV Switchgear WIL23-HVSG-0001A TERMINAL CONNECTION TABLE = LZ03</v>
          </cell>
        </row>
        <row r="2437">
          <cell r="M2437" t="str">
            <v>131236-DR-E</v>
          </cell>
          <cell r="N2437" t="str">
            <v>Panel Schematics - 6.6kV Switchgear WIL23-HVSG-0001A TERMINAL CONNECTION TABLE = LZ03</v>
          </cell>
        </row>
        <row r="2438">
          <cell r="M2438" t="str">
            <v>131236-DR-E</v>
          </cell>
          <cell r="N2438" t="str">
            <v>Panel Schematics - 6.6kV Switchgear WIL23-HVSG-0001A TERMINAL CONNECTION TABLE = LZ03</v>
          </cell>
        </row>
        <row r="2439">
          <cell r="M2439" t="str">
            <v>131236-DR-E</v>
          </cell>
          <cell r="N2439" t="str">
            <v>Panel Schematics - 6.6kV Switchgear WIL23-HVSG-0001A TERMINAL CONNECTION TABLE = LZ03</v>
          </cell>
        </row>
        <row r="2440">
          <cell r="M2440" t="str">
            <v>131236-DR-E</v>
          </cell>
          <cell r="N2440" t="str">
            <v>Panel Schematics - 6.6kV Switchgear WIL23-HVSG-0001A TERMINAL CONNECTION TABLE = LZ03</v>
          </cell>
        </row>
        <row r="2441">
          <cell r="M2441" t="str">
            <v>131236-DR-E</v>
          </cell>
          <cell r="N2441" t="str">
            <v>Panel Schematics - 6.6kV Switchgear WIL23-HVSG-0001A TERMINAL CONNECTION TABLE = LZ03</v>
          </cell>
        </row>
        <row r="2442">
          <cell r="M2442" t="str">
            <v>131236-DR-E</v>
          </cell>
          <cell r="N2442" t="str">
            <v>Panel Schematics - 6.6kV Switchgear WIL23-HVSG-0001A TERMINAL CONNECTION TABLE = LZ03</v>
          </cell>
        </row>
        <row r="2443">
          <cell r="M2443" t="str">
            <v>131236-DR-E</v>
          </cell>
          <cell r="N2443" t="str">
            <v>Panel Schematics - 6.6kV Switchgear WIL23-HVSG-0001A TERMINAL CONNECTION TABLE = LZ03</v>
          </cell>
        </row>
        <row r="2444">
          <cell r="M2444" t="str">
            <v>131236-DR-E</v>
          </cell>
          <cell r="N2444" t="str">
            <v>Panel Schematics - 6.6kV Switchgear WIL23-HVSG-0001A TERMINAL CONNECTION TABLE = LZ03</v>
          </cell>
        </row>
        <row r="2445">
          <cell r="M2445" t="str">
            <v>131236-DR-E</v>
          </cell>
          <cell r="N2445" t="str">
            <v>Panel Schematics - 6.6kV Switchgear WIL23-HVSG-0001A TERMINAL CONNECTION TABLE = LZ03</v>
          </cell>
        </row>
        <row r="2446">
          <cell r="M2446" t="str">
            <v>131236-DR-E</v>
          </cell>
          <cell r="N2446" t="str">
            <v>Panel Schematics - 6.6kV Switchgear WIL23-HVSG-0001A TERMINAL CONNECTION TABLE = LZ03</v>
          </cell>
        </row>
        <row r="2447">
          <cell r="M2447" t="str">
            <v>131236-DR-E</v>
          </cell>
          <cell r="N2447" t="str">
            <v>Panel Schematics - 6.6kV Switchgear WIL23-HVSG-0001A OUTGOING FEEDER SCHEMATIC = LZ03a</v>
          </cell>
        </row>
        <row r="2448">
          <cell r="M2448" t="str">
            <v>131236-DR-E</v>
          </cell>
          <cell r="N2448" t="str">
            <v>Panel Schematics - 6.6kV Switchgear WIL23-HVSG-0001A OUTGOING FEEDER SCHEMATIC = LZ03a</v>
          </cell>
        </row>
        <row r="2449">
          <cell r="M2449" t="str">
            <v>131236-DR-E</v>
          </cell>
          <cell r="N2449" t="str">
            <v>Panel Schematics - 6.6kV Switchgear WIL23-HVSG-0001A OUTGOING FEEDER SCHEMATIC = LZ03a</v>
          </cell>
        </row>
        <row r="2450">
          <cell r="M2450" t="str">
            <v>131236-DR-E</v>
          </cell>
          <cell r="N2450" t="str">
            <v>Panel Schematics - 6.6kV Switchgear WIL23-HVSG-0001A OUTGOING FEEDER SCHEMATIC = LZ03a</v>
          </cell>
        </row>
        <row r="2451">
          <cell r="M2451" t="str">
            <v>131236-DR-E</v>
          </cell>
          <cell r="N2451" t="str">
            <v>Panel Schematics - 6.6kV Switchgear WIL23-HVSG-0001A OUTGOING FEEDER SCHEMATIC = LZ03a</v>
          </cell>
        </row>
        <row r="2452">
          <cell r="M2452" t="str">
            <v>131236-DR-E</v>
          </cell>
          <cell r="N2452" t="str">
            <v>Panel Schematics - 6.6kV Switchgear WIL23-HVSG-0001A OUTGOING FEEDER SCHEMATIC = LZ03a</v>
          </cell>
        </row>
        <row r="2453">
          <cell r="M2453" t="str">
            <v>131236-DR-E</v>
          </cell>
          <cell r="N2453" t="str">
            <v>Panel Schematics - 6.6kV Switchgear WIL23-HVSG-0001A OUTGOING FEEDER SCHEMATIC = LZ03a</v>
          </cell>
        </row>
        <row r="2454">
          <cell r="M2454" t="str">
            <v>131236-DR-E</v>
          </cell>
          <cell r="N2454" t="str">
            <v>Panel Schematics - 6.6kV Switchgear WIL23-HVSG-0001A OUTGOING FEEDER SCHEMATIC = LZ03a</v>
          </cell>
        </row>
        <row r="2455">
          <cell r="M2455" t="str">
            <v>131236-DR-E</v>
          </cell>
          <cell r="N2455" t="str">
            <v>Panel Schematics - 6.6kV Switchgear WIL23-HVSG-0001A OUTGOING FEEDER SCHEMATIC = LZ03a</v>
          </cell>
        </row>
        <row r="2456">
          <cell r="M2456" t="str">
            <v>131236-DR-E</v>
          </cell>
          <cell r="N2456" t="str">
            <v>Panel Schematics - 6.6kV Switchgear WIL23-HVSG-0001A OUTGOING FEEDER SCHEMATIC = LZ03a</v>
          </cell>
        </row>
        <row r="2457">
          <cell r="M2457" t="str">
            <v>131236-DR-E</v>
          </cell>
          <cell r="N2457" t="str">
            <v>Panel Schematics - 6.6kV Switchgear WIL23-HVSG-0001A OUTGOING FEEDER SCHEMATIC = LZ03a</v>
          </cell>
        </row>
        <row r="2458">
          <cell r="M2458" t="str">
            <v>131236-DR-E</v>
          </cell>
          <cell r="N2458" t="str">
            <v>Panel Schematics - 6.6kV Switchgear WIL23-HVSG-0001A OUTGOING FEEDER SCHEMATIC = LZ03a</v>
          </cell>
        </row>
        <row r="2459">
          <cell r="M2459" t="str">
            <v>131236-DR-E</v>
          </cell>
          <cell r="N2459" t="str">
            <v>Panel Schematics - 6.6kV Switchgear WIL23-HVSG-0001A OUTGOING FEEDER SCHEMATIC = LZ03a</v>
          </cell>
        </row>
        <row r="2460">
          <cell r="M2460" t="str">
            <v>131236-DR-E</v>
          </cell>
          <cell r="N2460" t="str">
            <v>Panel Schematics - 6.6kV Switchgear WIL23-HVSG-0001A OUTGOING FEEDER SCHEMATIC = LZ03a</v>
          </cell>
        </row>
        <row r="2461">
          <cell r="M2461" t="str">
            <v>131236-DR-E</v>
          </cell>
          <cell r="N2461" t="str">
            <v>Panel Schematics - 6.6kV Switchgear WIL23-HVSG-0001A OUTGOING FEEDER SCHEMATIC = LZ03a</v>
          </cell>
        </row>
        <row r="2462">
          <cell r="M2462" t="str">
            <v>131236-DR-E</v>
          </cell>
          <cell r="N2462" t="str">
            <v>Panel Schematics - 6.6kV Switchgear WIL23-HVSG-0001A OUTGOING FEEDER SCHEMATIC = LZ03a</v>
          </cell>
        </row>
        <row r="2463">
          <cell r="M2463" t="str">
            <v>131236-DR-E</v>
          </cell>
          <cell r="N2463" t="str">
            <v>Panel Schematics - 6.6kV Switchgear WIL23-HVSG-0001A OUTGOING FEEDER SCHEMATIC = LZ03a</v>
          </cell>
        </row>
        <row r="2464">
          <cell r="M2464" t="str">
            <v>131236-DR-E</v>
          </cell>
          <cell r="N2464" t="str">
            <v>Panel Schematics - 6.6kV Switchgear WIL23-HVSG-0001A OUTGOING FEEDER SCHEMATIC = LZ03a</v>
          </cell>
        </row>
        <row r="2465">
          <cell r="M2465" t="str">
            <v>131236-DR-E</v>
          </cell>
          <cell r="N2465" t="str">
            <v>Panel Schematics - 6.6kV Switchgear WIL23-HVSG-0001A OUTGOING FEEDER SCHEMATIC = LZ03a</v>
          </cell>
        </row>
        <row r="2466">
          <cell r="M2466" t="str">
            <v>131236-DR-E</v>
          </cell>
          <cell r="N2466" t="str">
            <v>Panel Schematics - 6.6kV Switchgear WIL23-HVSG-0001A OUTGOING FEEDER SCHEMATIC = LZ03a</v>
          </cell>
        </row>
        <row r="2467">
          <cell r="M2467" t="str">
            <v>131236-DR-E</v>
          </cell>
          <cell r="N2467" t="str">
            <v>Panel Schematics - 6.6kV Switchgear WIL23-HVSG-0001A OUTGOING FEEDER SCHEMATIC = LZ03a</v>
          </cell>
        </row>
        <row r="2468">
          <cell r="M2468" t="str">
            <v>131236-DR-E</v>
          </cell>
          <cell r="N2468" t="str">
            <v>Panel Schematics - 6.6kV Switchgear WIL23-HVSG-0001A OUTGOING FEEDER SCHEMATIC = LZ03a</v>
          </cell>
        </row>
        <row r="2469">
          <cell r="M2469" t="str">
            <v>131236-DR-E</v>
          </cell>
          <cell r="N2469" t="str">
            <v>Panel Schematics - 6.6kV Switchgear WIL23-HVSG-0001A OUTGOING FEEDER SCHEMATIC = LZ03a</v>
          </cell>
        </row>
        <row r="2470">
          <cell r="M2470" t="str">
            <v>131236-DR-E</v>
          </cell>
          <cell r="N2470" t="str">
            <v>Panel Schematics - 6.6kV Switchgear WIL23-HVSG-0001A TERMINAL CONNECTION TABLE = LZ03a</v>
          </cell>
        </row>
        <row r="2471">
          <cell r="M2471" t="str">
            <v>131236-DR-E</v>
          </cell>
          <cell r="N2471" t="str">
            <v>Panel Schematics - 6.6kV Switchgear WIL23-HVSG-0001A TERMINAL CONNECTION TABLE = LZ03a</v>
          </cell>
        </row>
        <row r="2472">
          <cell r="M2472" t="str">
            <v>131236-DR-E</v>
          </cell>
          <cell r="N2472" t="str">
            <v>Panel Schematics - 6.6kV Switchgear WIL23-HVSG-0001A TERMINAL CONNECTION TABLE = LZ03a</v>
          </cell>
        </row>
        <row r="2473">
          <cell r="M2473" t="str">
            <v>131236-DR-E</v>
          </cell>
          <cell r="N2473" t="str">
            <v>Panel Schematics - 6.6kV Switchgear WIL23-HVSG-0001A TERMINAL CONNECTION TABLE = LZ03a</v>
          </cell>
        </row>
        <row r="2474">
          <cell r="M2474" t="str">
            <v>131236-DR-E</v>
          </cell>
          <cell r="N2474" t="str">
            <v>Panel Schematics - 6.6kV Switchgear WIL23-HVSG-0001A TERMINAL CONNECTION TABLE = LZ03a</v>
          </cell>
        </row>
        <row r="2475">
          <cell r="M2475" t="str">
            <v>131236-DR-E</v>
          </cell>
          <cell r="N2475" t="str">
            <v>Panel Schematics - 6.6kV Switchgear WIL23-HVSG-0001A TERMINAL CONNECTION TABLE = LZ03a</v>
          </cell>
        </row>
        <row r="2476">
          <cell r="M2476" t="str">
            <v>131236-DR-E</v>
          </cell>
          <cell r="N2476" t="str">
            <v>Panel Schematics - 6.6kV Switchgear WIL23-HVSG-0001A TERMINAL CONNECTION TABLE = LZ03a</v>
          </cell>
        </row>
        <row r="2477">
          <cell r="M2477" t="str">
            <v>131236-DR-E</v>
          </cell>
          <cell r="N2477" t="str">
            <v>Panel Schematics - 6.6kV Switchgear WIL23-HVSG-0001A TERMINAL CONNECTION TABLE = LZ03a</v>
          </cell>
        </row>
        <row r="2478">
          <cell r="M2478" t="str">
            <v>131236-DR-E</v>
          </cell>
          <cell r="N2478" t="str">
            <v>Panel Schematics - 6.6kV Switchgear WIL23-HVSG-0001A TERMINAL CONNECTION TABLE = LZ03a</v>
          </cell>
        </row>
        <row r="2479">
          <cell r="M2479" t="str">
            <v>131236-DR-E</v>
          </cell>
          <cell r="N2479" t="str">
            <v>Panel Schematics - 6.6kV Switchgear WIL23-HVSG-0001A TERMINAL CONNECTION TABLE = LZ03a</v>
          </cell>
        </row>
        <row r="2480">
          <cell r="M2480" t="str">
            <v>131236-DR-E</v>
          </cell>
          <cell r="N2480" t="str">
            <v>Panel Schematics - 6.6kV Switchgear WIL23-HVSG-0001A TERMINAL CONNECTION TABLE = LZ03a</v>
          </cell>
        </row>
        <row r="2481">
          <cell r="M2481" t="str">
            <v>131236-DR-E</v>
          </cell>
          <cell r="N2481" t="str">
            <v>Panel Schematics - 6.6kV Switchgear WIL23-HVSG-0001A TERMINAL CONNECTION TABLE = LZ03a</v>
          </cell>
        </row>
        <row r="2482">
          <cell r="M2482" t="str">
            <v>131236-DR-E</v>
          </cell>
          <cell r="N2482" t="str">
            <v>Panel Schematics - 6.6kV Switchgear WIL23-HVSG-0001A TERMINAL CONNECTION TABLE = LZ03a</v>
          </cell>
        </row>
        <row r="2483">
          <cell r="M2483" t="str">
            <v>131236-DR-E</v>
          </cell>
          <cell r="N2483" t="str">
            <v>Panel Schematics - 6.6kV Switchgear WIL23-HVSG-0001A TERMINAL CONNECTION TABLE = LZ03a</v>
          </cell>
        </row>
        <row r="2484">
          <cell r="M2484" t="str">
            <v>131236-DR-E</v>
          </cell>
          <cell r="N2484" t="str">
            <v>Panel Schematics - 6.6kV Switchgear WIL23-HVSG-0001A TERMINAL CONNECTION TABLE = LZ03a</v>
          </cell>
        </row>
        <row r="2485">
          <cell r="M2485" t="str">
            <v>131236-DR-E</v>
          </cell>
          <cell r="N2485" t="str">
            <v>Panel Schematics - 6.6kV Switchgear WIL23-HVSG-0001A BUS SECTION SCHEMATIC = LZ05</v>
          </cell>
        </row>
        <row r="2486">
          <cell r="M2486" t="str">
            <v>131236-DR-E</v>
          </cell>
          <cell r="N2486" t="str">
            <v>Panel Schematics - 6.6kV Switchgear WIL23-HVSG-0001A BUS SECTION SCHEMATIC = LZ05</v>
          </cell>
        </row>
        <row r="2487">
          <cell r="M2487" t="str">
            <v>131236-DR-E</v>
          </cell>
          <cell r="N2487" t="str">
            <v>Panel Schematics - 6.6kV Switchgear WIL23-HVSG-0001A BUS SECTION SCHEMATIC = LZ05</v>
          </cell>
        </row>
        <row r="2488">
          <cell r="M2488" t="str">
            <v>131236-DR-E</v>
          </cell>
          <cell r="N2488" t="str">
            <v>Panel Schematics - 6.6kV Switchgear WIL23-HVSG-0001A BUS SECTION SCHEMATIC = LZ05</v>
          </cell>
        </row>
        <row r="2489">
          <cell r="M2489" t="str">
            <v>131236-DR-E</v>
          </cell>
          <cell r="N2489" t="str">
            <v>Panel Schematics - 6.6kV Switchgear WIL23-HVSG-0001A BUS SECTION SCHEMATIC = LZ05</v>
          </cell>
        </row>
        <row r="2490">
          <cell r="M2490" t="str">
            <v>131236-DR-E</v>
          </cell>
          <cell r="N2490" t="str">
            <v>Panel Schematics - 6.6kV Switchgear WIL23-HVSG-0001A BUS SECTION SCHEMATIC = LZ05</v>
          </cell>
        </row>
        <row r="2491">
          <cell r="M2491" t="str">
            <v>131236-DR-E</v>
          </cell>
          <cell r="N2491" t="str">
            <v>Panel Schematics - 6.6kV Switchgear WIL23-HVSG-0001A BUS SECTION SCHEMATIC = LZ05</v>
          </cell>
        </row>
        <row r="2492">
          <cell r="M2492" t="str">
            <v>131236-DR-E</v>
          </cell>
          <cell r="N2492" t="str">
            <v>Panel Schematics - 6.6kV Switchgear WIL23-HVSG-0001A BUS SECTION SCHEMATIC = LZ05</v>
          </cell>
        </row>
        <row r="2493">
          <cell r="M2493" t="str">
            <v>131236-DR-E</v>
          </cell>
          <cell r="N2493" t="str">
            <v>Panel Schematics - 6.6kV Switchgear WIL23-HVSG-0001A BUS SECTION SCHEMATIC = LZ05</v>
          </cell>
        </row>
        <row r="2494">
          <cell r="M2494" t="str">
            <v>131236-DR-E</v>
          </cell>
          <cell r="N2494" t="str">
            <v>Panel Schematics - 6.6kV Switchgear WIL23-HVSG-0001A BUS SECTION SCHEMATIC = LZ05</v>
          </cell>
        </row>
        <row r="2495">
          <cell r="M2495" t="str">
            <v>131236-DR-E</v>
          </cell>
          <cell r="N2495" t="str">
            <v>Panel Schematics - 6.6kV Switchgear WIL23-HVSG-0001A BUS SECTION SCHEMATIC = LZ05</v>
          </cell>
        </row>
        <row r="2496">
          <cell r="M2496" t="str">
            <v>131236-DR-E</v>
          </cell>
          <cell r="N2496" t="str">
            <v>Panel Schematics - 6.6kV Switchgear WIL23-HVSG-0001A BUS SECTION SCHEMATIC = LZ05</v>
          </cell>
        </row>
        <row r="2497">
          <cell r="M2497" t="str">
            <v>131236-DR-E</v>
          </cell>
          <cell r="N2497" t="str">
            <v>Panel Schematics - 6.6kV Switchgear WIL23-HVSG-0001A BUS SECTION SCHEMATIC = LZ05</v>
          </cell>
        </row>
        <row r="2498">
          <cell r="M2498" t="str">
            <v>131236-DR-E</v>
          </cell>
          <cell r="N2498" t="str">
            <v>Panel Schematics - 6.6kV Switchgear WIL23-HVSG-0001A BUS SECTION SCHEMATIC = LZ05</v>
          </cell>
        </row>
        <row r="2499">
          <cell r="M2499" t="str">
            <v>131236-DR-E</v>
          </cell>
          <cell r="N2499" t="str">
            <v>Panel Schematics - 6.6kV Switchgear WIL23-HVSG-0001A BUS SECTION SCHEMATIC = LZ05</v>
          </cell>
        </row>
        <row r="2500">
          <cell r="M2500" t="str">
            <v>131236-DR-E</v>
          </cell>
          <cell r="N2500" t="str">
            <v>Panel Schematics - 6.6kV Switchgear WIL23-HVSG-0001A BUS SECTION SCHEMATIC = LZ05</v>
          </cell>
        </row>
        <row r="2501">
          <cell r="M2501" t="str">
            <v>131236-DR-E</v>
          </cell>
          <cell r="N2501" t="str">
            <v>Panel Schematics - 6.6kV Switchgear WIL23-HVSG-0001A BUS SECTION SCHEMATIC = LZ05</v>
          </cell>
        </row>
        <row r="2502">
          <cell r="M2502" t="str">
            <v>131236-DR-E</v>
          </cell>
          <cell r="N2502" t="str">
            <v>Panel Schematics - 6.6kV Switchgear WIL23-HVSG-0001A BUS SECTION SCHEMATIC = LZ05</v>
          </cell>
        </row>
        <row r="2503">
          <cell r="M2503" t="str">
            <v>131236-DR-E</v>
          </cell>
          <cell r="N2503" t="str">
            <v>Panel Schematics - 6.6kV Switchgear WIL23-HVSG-0001A BUS SECTION SCHEMATIC = LZ05</v>
          </cell>
        </row>
        <row r="2504">
          <cell r="M2504" t="str">
            <v>131236-DR-E</v>
          </cell>
          <cell r="N2504" t="str">
            <v>Panel Schematics - 6.6kV Switchgear WIL23-HVSG-0001A BUS SECTION SCHEMATIC = LZ05</v>
          </cell>
        </row>
        <row r="2505">
          <cell r="M2505" t="str">
            <v>131236-DR-E</v>
          </cell>
          <cell r="N2505" t="str">
            <v>Panel Schematics - 6.6kV Switchgear WIL23-HVSG-0001A BUS SECTION SCHEMATIC = LZ05</v>
          </cell>
        </row>
        <row r="2506">
          <cell r="M2506" t="str">
            <v>131236-DR-E</v>
          </cell>
          <cell r="N2506" t="str">
            <v>Panel Schematics - 6.6kV Switchgear WIL23-HVSG-0001A BUS SECTION SCHEMATIC = LZ05</v>
          </cell>
        </row>
        <row r="2507">
          <cell r="M2507" t="str">
            <v>131236-DR-E</v>
          </cell>
          <cell r="N2507" t="str">
            <v>Panel Schematics - 6.6kV Switchgear WIL23-HVSG-0001A BUS SECTION SCHEMATIC = LZ05</v>
          </cell>
        </row>
        <row r="2508">
          <cell r="M2508" t="str">
            <v>131236-DR-E</v>
          </cell>
          <cell r="N2508" t="str">
            <v>Panel Schematics - 6.6kV Switchgear WIL23-HVSG-0001A BUS SECTION SCHEMATIC = LZ05</v>
          </cell>
        </row>
        <row r="2509">
          <cell r="M2509" t="str">
            <v>131236-DR-E</v>
          </cell>
          <cell r="N2509" t="str">
            <v>Panel Schematics - 6.6kV Switchgear WIL23-HVSG-0001A BUS SECTION SCHEMATIC = LZ05</v>
          </cell>
        </row>
        <row r="2510">
          <cell r="M2510" t="str">
            <v>131236-DR-E</v>
          </cell>
          <cell r="N2510" t="str">
            <v>Panel Schematics - 6.6kV Switchgear WIL23-HVSG-0001A BUS SECTION SCHEMATIC = LZ05</v>
          </cell>
        </row>
        <row r="2511">
          <cell r="M2511" t="str">
            <v>131236-DR-E</v>
          </cell>
          <cell r="N2511" t="str">
            <v>Panel Schematics - 6.6kV Switchgear WIL23-HVSG-0001A BUS SECTION SCHEMATIC = LZ05</v>
          </cell>
        </row>
        <row r="2512">
          <cell r="M2512" t="str">
            <v>131236-DR-E</v>
          </cell>
          <cell r="N2512" t="str">
            <v>Panel Schematics - 6.6kV Switchgear WIL23-HVSG-0001A TERMINAL CONNECTION TABLE = LZ05</v>
          </cell>
        </row>
        <row r="2513">
          <cell r="M2513" t="str">
            <v>131236-DR-E</v>
          </cell>
          <cell r="N2513" t="str">
            <v>Panel Schematics - 6.6kV Switchgear WIL23-HVSG-0001A TERMINAL CONNECTION TABLE = LZ05</v>
          </cell>
        </row>
        <row r="2514">
          <cell r="M2514" t="str">
            <v>131236-DR-E</v>
          </cell>
          <cell r="N2514" t="str">
            <v>Panel Schematics - 6.6kV Switchgear WIL23-HVSG-0001A TERMINAL CONNECTION TABLE = LZ05</v>
          </cell>
        </row>
        <row r="2515">
          <cell r="M2515" t="str">
            <v>131236-DR-E</v>
          </cell>
          <cell r="N2515" t="str">
            <v>Panel Schematics - 6.6kV Switchgear WIL23-HVSG-0001A TERMINAL CONNECTION TABLE = LZ05</v>
          </cell>
        </row>
        <row r="2516">
          <cell r="M2516" t="str">
            <v>131236-DR-E</v>
          </cell>
          <cell r="N2516" t="str">
            <v>Panel Schematics - 6.6kV Switchgear WIL23-HVSG-0001A TERMINAL CONNECTION TABLE = LZ05</v>
          </cell>
        </row>
        <row r="2517">
          <cell r="M2517" t="str">
            <v>131236-DR-E</v>
          </cell>
          <cell r="N2517" t="str">
            <v>Panel Schematics - 6.6kV Switchgear WIL23-HVSG-0001A TERMINAL CONNECTION TABLE = LZ05</v>
          </cell>
        </row>
        <row r="2518">
          <cell r="M2518" t="str">
            <v>131236-DR-E</v>
          </cell>
          <cell r="N2518" t="str">
            <v>Panel Schematics - 6.6kV Switchgear WIL23-HVSG-0001A TERMINAL CONNECTION TABLE = LZ05</v>
          </cell>
        </row>
        <row r="2519">
          <cell r="M2519" t="str">
            <v>131236-DR-E</v>
          </cell>
          <cell r="N2519" t="str">
            <v>Panel Schematics - 6.6kV Switchgear WIL23-HVSG-0001A TERMINAL CONNECTION TABLE = LZ05</v>
          </cell>
        </row>
        <row r="2520">
          <cell r="M2520" t="str">
            <v>131236-DR-E</v>
          </cell>
          <cell r="N2520" t="str">
            <v>Panel Schematics - 6.6kV Switchgear WIL23-HVSG-0001A TERMINAL CONNECTION TABLE = LZ05</v>
          </cell>
        </row>
        <row r="2521">
          <cell r="M2521" t="str">
            <v>131236-DR-E</v>
          </cell>
          <cell r="N2521" t="str">
            <v>Panel Schematics - 6.6kV Switchgear WIL23-HVSG-0001A TERMINAL CONNECTION TABLE = LZ05</v>
          </cell>
        </row>
        <row r="2522">
          <cell r="M2522" t="str">
            <v>131236-DR-E</v>
          </cell>
          <cell r="N2522" t="str">
            <v>Panel Schematics - 6.6kV Switchgear WIL23-HVSG-0001A TERMINAL CONNECTION TABLE = LZ05</v>
          </cell>
        </row>
        <row r="2523">
          <cell r="M2523" t="str">
            <v>131236-DR-E</v>
          </cell>
          <cell r="N2523" t="str">
            <v>Panel Schematics - 6.6kV Switchgear WIL23-HVSG-0001A TERMINAL CONNECTION TABLE = LZ05</v>
          </cell>
        </row>
        <row r="2524">
          <cell r="M2524" t="str">
            <v>131236-DR-E</v>
          </cell>
          <cell r="N2524" t="str">
            <v>Panel Schematics - 6.6kV Switchgear WIL23-HVSG-0001A TERMINAL CONNECTION TABLE = LZ05</v>
          </cell>
        </row>
        <row r="2525">
          <cell r="M2525" t="str">
            <v>131236-DR-E</v>
          </cell>
          <cell r="N2525" t="str">
            <v>Panel Schematics - 6.6kV Switchgear WIL23-HVSG-0001A TERMINAL CONNECTION TABLE = LZ05</v>
          </cell>
        </row>
        <row r="2526">
          <cell r="M2526" t="str">
            <v>131236-DR-E</v>
          </cell>
          <cell r="N2526" t="str">
            <v>Panel Schematics - 6.6kV Switchgear WIL23-HVSG-0001A TERMINAL CONNECTION TABLE = LZ05</v>
          </cell>
        </row>
        <row r="2527">
          <cell r="M2527" t="str">
            <v>131236-DR-E</v>
          </cell>
          <cell r="N2527" t="str">
            <v>Panel Schematics - 6.6kV Switchgear WIL23-HVSG-0001A TERMINAL CONNECTION TABLE = LZ05</v>
          </cell>
        </row>
        <row r="2528">
          <cell r="M2528" t="str">
            <v>131236-DR-E</v>
          </cell>
          <cell r="N2528" t="str">
            <v>Panel Schematics - 6.6kV Switchgear WIL23-HVSG-0001A TERMINAL CONNECTION TABLE = LZ05</v>
          </cell>
        </row>
        <row r="2529">
          <cell r="M2529" t="str">
            <v>131236-DR-E</v>
          </cell>
          <cell r="N2529" t="str">
            <v>Panel Schematics - 6.6kV Switchgear WIL23-HVSG-0001BLV DOOR LAYOUT = LZ01</v>
          </cell>
        </row>
        <row r="2530">
          <cell r="M2530" t="str">
            <v>131236-DR-E</v>
          </cell>
          <cell r="N2530" t="str">
            <v>Panel Schematics - 6.6kV Switchgear WIL23-HVSG-0001BLV LAYOUT = LZ01</v>
          </cell>
        </row>
        <row r="2531">
          <cell r="M2531" t="str">
            <v>131236-DR-E</v>
          </cell>
          <cell r="N2531" t="str">
            <v>Panel Schematics - 6.6kV Switchgear WIL23-HVSG-0001BLV DOOR LAYOUT = LZ02</v>
          </cell>
        </row>
        <row r="2532">
          <cell r="M2532" t="str">
            <v>131236-DR-E</v>
          </cell>
          <cell r="N2532" t="str">
            <v>Panel Schematics - 6.6kV Switchgear WIL23-HVSG-0001BLV LAYOUT = LZ02</v>
          </cell>
        </row>
        <row r="2533">
          <cell r="M2533" t="str">
            <v>131236-DR-E</v>
          </cell>
          <cell r="N2533" t="str">
            <v>Panel Schematics - 6.6kV Switchgear WIL23-HVSG-0001BLV DOOR LAYOUT = LZ03, LZ03a</v>
          </cell>
        </row>
        <row r="2534">
          <cell r="M2534" t="str">
            <v>131236-DR-E</v>
          </cell>
          <cell r="N2534" t="str">
            <v>Panel Schematics - 6.6kV Switchgear WIL23-HVSG-0001BLV LAYOUT = LZ03</v>
          </cell>
        </row>
        <row r="2535">
          <cell r="M2535" t="str">
            <v>131236-DR-E</v>
          </cell>
          <cell r="N2535" t="str">
            <v>Panel Schematics - 6.6kV Switchgear WIL23-HVSG-0001BLV LAYOUT = LZ03a</v>
          </cell>
        </row>
        <row r="2536">
          <cell r="M2536" t="str">
            <v>131236-DR-E</v>
          </cell>
          <cell r="N2536" t="str">
            <v>Panel Schematics - 6.6kV Switchgear WIL23-HVSG-0001BLV DOOR LAYOUT = LZ05</v>
          </cell>
        </row>
        <row r="2537">
          <cell r="M2537" t="str">
            <v>131236-DR-E</v>
          </cell>
          <cell r="N2537" t="str">
            <v>Panel Schematics - 6.6kV Switchgear WIL23-HVSG-0001BLV LAYOUT = LZ05</v>
          </cell>
        </row>
        <row r="2538">
          <cell r="M2538" t="str">
            <v>131236-DR-E</v>
          </cell>
          <cell r="N2538" t="str">
            <v>Panel Schematics - 6.6kV Switchgear WIL23-HVSG-0001BLV LABEL</v>
          </cell>
        </row>
        <row r="2539">
          <cell r="M2539" t="str">
            <v>131236-DR-E</v>
          </cell>
          <cell r="N2539" t="str">
            <v>Panel Schematics - 6.6kV Switchgear WIL23-HVSG-0001BATS/ MTS TRANSFER SCHEME &amp; LOGIC DIAGRAM</v>
          </cell>
        </row>
        <row r="2540">
          <cell r="M2540" t="str">
            <v>131236-DR-E</v>
          </cell>
          <cell r="N2540" t="str">
            <v>Panel Schematics - 6.6kV Switchgear WIL23-HVSG-0001BATS/ MTS TRANSFER SCHEME &amp; LOGIC DIAGRAM</v>
          </cell>
        </row>
        <row r="2541">
          <cell r="M2541" t="str">
            <v>131236-DR-E</v>
          </cell>
          <cell r="N2541" t="str">
            <v>Panel Schematics - 6.6kV Switchgear WIL23-HVSG-0001BATS/ MTS TRANSFER SCHEME &amp; LOGIC DIAGRAM</v>
          </cell>
        </row>
        <row r="2542">
          <cell r="M2542" t="str">
            <v>131236-DR-E</v>
          </cell>
          <cell r="N2542" t="str">
            <v>Panel Schematics - 6.6kV Switchgear WIL23-HVSG-0001BATS/ MTS TRANSFER SCHEME &amp; LOGIC DIAGRAM</v>
          </cell>
        </row>
        <row r="2543">
          <cell r="M2543" t="str">
            <v>131236-DR-E</v>
          </cell>
          <cell r="N2543" t="str">
            <v>Panel Schematics - 6.6kV Switchgear WIL23-HVSG-0001BATS/ MTS TRANSFER SCHEME &amp; LOGIC DIAGRAM</v>
          </cell>
        </row>
        <row r="2544">
          <cell r="M2544" t="str">
            <v>131236-DR-E</v>
          </cell>
          <cell r="N2544" t="str">
            <v>Panel Schematics - 6.6kV Switchgear WIL23-HVSG-0001BPOWER/ BB VT/ BUS VT/ BUS WIRE DIAGRAMS</v>
          </cell>
        </row>
        <row r="2545">
          <cell r="M2545" t="str">
            <v>131236-DR-E</v>
          </cell>
          <cell r="N2545" t="str">
            <v>Panel Schematics - 6.6kV Switchgear WIL23-HVSG-0001BPOWER/ BB VT/ BUS VT/ BUS WIRE DIAGRAMS</v>
          </cell>
        </row>
        <row r="2546">
          <cell r="M2546" t="str">
            <v>131236-DR-E</v>
          </cell>
          <cell r="N2546" t="str">
            <v>Panel Schematics - 6.6kV Switchgear WIL23-HVSG-0001BPOWER/ BB VT/ BUS VT/ BUS WIRE DIAGRAMS</v>
          </cell>
        </row>
        <row r="2547">
          <cell r="M2547" t="str">
            <v>131236-DR-E</v>
          </cell>
          <cell r="N2547" t="str">
            <v>Panel Schematics - 6.6kV Switchgear WIL23-HVSG-0001BPOWER/ BB VT/ BUS VT/ BUS WIRE DIAGRAMS</v>
          </cell>
        </row>
        <row r="2548">
          <cell r="M2548" t="str">
            <v>131236-DR-E</v>
          </cell>
          <cell r="N2548" t="str">
            <v>Panel Schematics - 6.6kV Switchgear WIL23-HVSG-0001BPOWER/ BB VT/ BUS VT/ BUS WIRE DIAGRAMS</v>
          </cell>
        </row>
        <row r="2549">
          <cell r="M2549" t="str">
            <v>131236-DR-E</v>
          </cell>
          <cell r="N2549" t="str">
            <v>Panel Schematics - 6.6kV Switchgear WIL23-HVSG-0001BPOWER/ BB VT/ BUS VT/ BUS WIRE DIAGRAMS</v>
          </cell>
        </row>
        <row r="2550">
          <cell r="M2550" t="str">
            <v>131236-DR-E</v>
          </cell>
          <cell r="N2550" t="str">
            <v>Panel Schematics - 6.6kV Switchgear WIL23-HVSG-0001BPOWER/ BB VT/ BUS VT/ BUS WIRE DIAGRAMS</v>
          </cell>
        </row>
        <row r="2551">
          <cell r="M2551" t="str">
            <v>131236-DR-E</v>
          </cell>
          <cell r="N2551" t="str">
            <v>Panel Schematics - 6.6kV Switchgear WIL23-HVSG-0001BPOWER/ BB VT/ BUS VT/ BUS WIRE DIAGRAMS</v>
          </cell>
        </row>
        <row r="2552">
          <cell r="M2552" t="str">
            <v>131236-DR-E</v>
          </cell>
          <cell r="N2552" t="str">
            <v>Panel Schematics - 6.6kV Switchgear WIL23-HVSG-0001BINCOMER SCHEMATIC DIAGRAM  = LZ01</v>
          </cell>
        </row>
        <row r="2553">
          <cell r="M2553" t="str">
            <v>131236-DR-E</v>
          </cell>
          <cell r="N2553" t="str">
            <v>Panel Schematics - 6.6kV Switchgear WIL23-HVSG-0001BINCOMER SCHEMATIC DIAGRAM  = LZ01</v>
          </cell>
        </row>
        <row r="2554">
          <cell r="M2554" t="str">
            <v>131236-DR-E</v>
          </cell>
          <cell r="N2554" t="str">
            <v>Panel Schematics - 6.6kV Switchgear WIL23-HVSG-0001BINCOMER SCHEMATIC DIAGRAM  = LZ01</v>
          </cell>
        </row>
        <row r="2555">
          <cell r="M2555" t="str">
            <v>131236-DR-E</v>
          </cell>
          <cell r="N2555" t="str">
            <v>Panel Schematics - 6.6kV Switchgear WIL23-HVSG-0001BINCOMER SCHEMATIC DIAGRAM  = LZ01</v>
          </cell>
        </row>
        <row r="2556">
          <cell r="M2556" t="str">
            <v>131236-DR-E</v>
          </cell>
          <cell r="N2556" t="str">
            <v>Panel Schematics - 6.6kV Switchgear WIL23-HVSG-0001BINCOMER SCHEMATIC DIAGRAM  = LZ01</v>
          </cell>
        </row>
        <row r="2557">
          <cell r="M2557" t="str">
            <v>131236-DR-E</v>
          </cell>
          <cell r="N2557" t="str">
            <v>Panel Schematics - 6.6kV Switchgear WIL23-HVSG-0001BINCOMER SCHEMATIC DIAGRAM  = LZ01</v>
          </cell>
        </row>
        <row r="2558">
          <cell r="M2558" t="str">
            <v>131236-DR-E</v>
          </cell>
          <cell r="N2558" t="str">
            <v>Panel Schematics - 6.6kV Switchgear WIL23-HVSG-0001BINCOMER SCHEMATIC DIAGRAM  = LZ01</v>
          </cell>
        </row>
        <row r="2559">
          <cell r="M2559" t="str">
            <v>131236-DR-E</v>
          </cell>
          <cell r="N2559" t="str">
            <v>Panel Schematics - 6.6kV Switchgear WIL23-HVSG-0001BINCOMER SCHEMATIC DIAGRAM  = LZ01</v>
          </cell>
        </row>
        <row r="2560">
          <cell r="M2560" t="str">
            <v>131236-DR-E</v>
          </cell>
          <cell r="N2560" t="str">
            <v>Panel Schematics - 6.6kV Switchgear WIL23-HVSG-0001BINCOMER SCHEMATIC DIAGRAM  = LZ01</v>
          </cell>
        </row>
        <row r="2561">
          <cell r="M2561" t="str">
            <v>131236-DR-E</v>
          </cell>
          <cell r="N2561" t="str">
            <v>Panel Schematics - 6.6kV Switchgear WIL23-HVSG-0001BINCOMER SCHEMATIC DIAGRAM  = LZ01</v>
          </cell>
        </row>
        <row r="2562">
          <cell r="M2562" t="str">
            <v>131236-DR-E</v>
          </cell>
          <cell r="N2562" t="str">
            <v>Panel Schematics - 6.6kV Switchgear WIL23-HVSG-0001BINCOMER SCHEMATIC DIAGRAM  = LZ01</v>
          </cell>
        </row>
        <row r="2563">
          <cell r="M2563" t="str">
            <v>131236-DR-E</v>
          </cell>
          <cell r="N2563" t="str">
            <v>Panel Schematics - 6.6kV Switchgear WIL23-HVSG-0001BINCOMER SCHEMATIC DIAGRAM  = LZ01</v>
          </cell>
        </row>
        <row r="2564">
          <cell r="M2564" t="str">
            <v>131236-DR-E</v>
          </cell>
          <cell r="N2564" t="str">
            <v>Panel Schematics - 6.6kV Switchgear WIL23-HVSG-0001BINCOMER SCHEMATIC DIAGRAM  = LZ01</v>
          </cell>
        </row>
        <row r="2565">
          <cell r="M2565" t="str">
            <v>131236-DR-E</v>
          </cell>
          <cell r="N2565" t="str">
            <v>Panel Schematics - 6.6kV Switchgear WIL23-HVSG-0001BINCOMER SCHEMATIC DIAGRAM  = LZ01</v>
          </cell>
        </row>
        <row r="2566">
          <cell r="M2566" t="str">
            <v>131236-DR-E</v>
          </cell>
          <cell r="N2566" t="str">
            <v>Panel Schematics - 6.6kV Switchgear WIL23-HVSG-0001BINCOMER SCHEMATIC DIAGRAM  = LZ01</v>
          </cell>
        </row>
        <row r="2567">
          <cell r="M2567" t="str">
            <v>131236-DR-E</v>
          </cell>
          <cell r="N2567" t="str">
            <v>Panel Schematics - 6.6kV Switchgear WIL23-HVSG-0001BINCOMER SCHEMATIC DIAGRAM  = LZ01</v>
          </cell>
        </row>
        <row r="2568">
          <cell r="M2568" t="str">
            <v>131236-DR-E</v>
          </cell>
          <cell r="N2568" t="str">
            <v>Panel Schematics - 6.6kV Switchgear WIL23-HVSG-0001BINCOMER SCHEMATIC DIAGRAM  = LZ01</v>
          </cell>
        </row>
        <row r="2569">
          <cell r="M2569" t="str">
            <v>131236-DR-E</v>
          </cell>
          <cell r="N2569" t="str">
            <v>Panel Schematics - 6.6kV Switchgear WIL23-HVSG-0001BINCOMER SCHEMATIC DIAGRAM  = LZ01</v>
          </cell>
        </row>
        <row r="2570">
          <cell r="M2570" t="str">
            <v>131236-DR-E</v>
          </cell>
          <cell r="N2570" t="str">
            <v>Panel Schematics - 6.6kV Switchgear WIL23-HVSG-0001BINCOMER SCHEMATIC DIAGRAM  = LZ01</v>
          </cell>
        </row>
        <row r="2571">
          <cell r="M2571" t="str">
            <v>131236-DR-E</v>
          </cell>
          <cell r="N2571" t="str">
            <v>Panel Schematics - 6.6kV Switchgear WIL23-HVSG-0001BINCOMER SCHEMATIC DIAGRAM  = LZ01</v>
          </cell>
        </row>
        <row r="2572">
          <cell r="M2572" t="str">
            <v>131236-DR-E</v>
          </cell>
          <cell r="N2572" t="str">
            <v>Panel Schematics - 6.6kV Switchgear WIL23-HVSG-0001BINCOMER SCHEMATIC DIAGRAM  = LZ01</v>
          </cell>
        </row>
        <row r="2573">
          <cell r="M2573" t="str">
            <v>131236-DR-E</v>
          </cell>
          <cell r="N2573" t="str">
            <v>Panel Schematics - 6.6kV Switchgear WIL23-HVSG-0001BINCOMER SCHEMATIC DIAGRAM  = LZ01</v>
          </cell>
        </row>
        <row r="2574">
          <cell r="M2574" t="str">
            <v>131236-DR-E</v>
          </cell>
          <cell r="N2574" t="str">
            <v>Panel Schematics - 6.6kV Switchgear WIL23-HVSG-0001BINCOMER SCHEMATIC DIAGRAM  = LZ01</v>
          </cell>
        </row>
        <row r="2575">
          <cell r="M2575" t="str">
            <v>131236-DR-E</v>
          </cell>
          <cell r="N2575" t="str">
            <v>Panel Schematics - 6.6kV Switchgear WIL23-HVSG-0001BINCOMER SCHEMATIC DIAGRAM  = LZ01</v>
          </cell>
        </row>
        <row r="2576">
          <cell r="M2576" t="str">
            <v>131236-DR-E</v>
          </cell>
          <cell r="N2576" t="str">
            <v>Panel Schematics - 6.6kV Switchgear WIL23-HVSG-0001BINCOMER SCHEMATIC DIAGRAM  = LZ01</v>
          </cell>
        </row>
        <row r="2577">
          <cell r="M2577" t="str">
            <v>131236-DR-E</v>
          </cell>
          <cell r="N2577" t="str">
            <v>Panel Schematics - 6.6kV Switchgear WIL23-HVSG-0001BINCOMER SCHEMATIC DIAGRAM  = LZ01</v>
          </cell>
        </row>
        <row r="2578">
          <cell r="M2578" t="str">
            <v>131236-DR-E</v>
          </cell>
          <cell r="N2578" t="str">
            <v>Panel Schematics - 6.6kV Switchgear WIL23-HVSG-0001BINCOMER SCHEMATIC DIAGRAM  = LZ01</v>
          </cell>
        </row>
        <row r="2579">
          <cell r="M2579" t="str">
            <v>131236-DR-E</v>
          </cell>
          <cell r="N2579" t="str">
            <v>Panel Schematics - 6.6kV Switchgear WIL23-HVSG-0001BINCOMER SCHEMATIC DIAGRAM  = LZ01</v>
          </cell>
        </row>
        <row r="2580">
          <cell r="M2580" t="str">
            <v>131236-DR-E</v>
          </cell>
          <cell r="N2580" t="str">
            <v>Panel Schematics - 6.6kV Switchgear WIL23-HVSG-0001BTERMINAL CONNECTION TABLE = LZ01</v>
          </cell>
        </row>
        <row r="2581">
          <cell r="M2581" t="str">
            <v>131236-DR-E</v>
          </cell>
          <cell r="N2581" t="str">
            <v>Panel Schematics - 6.6kV Switchgear WIL23-HVSG-0001BTERMINAL CONNECTION TABLE = LZ01</v>
          </cell>
        </row>
        <row r="2582">
          <cell r="M2582" t="str">
            <v>131236-DR-E</v>
          </cell>
          <cell r="N2582" t="str">
            <v>Panel Schematics - 6.6kV Switchgear WIL23-HVSG-0001BTERMINAL CONNECTION TABLE = LZ01</v>
          </cell>
        </row>
        <row r="2583">
          <cell r="M2583" t="str">
            <v>131236-DR-E</v>
          </cell>
          <cell r="N2583" t="str">
            <v>Panel Schematics - 6.6kV Switchgear WIL23-HVSG-0001BTERMINAL CONNECTION TABLE = LZ01</v>
          </cell>
        </row>
        <row r="2584">
          <cell r="M2584" t="str">
            <v>131236-DR-E</v>
          </cell>
          <cell r="N2584" t="str">
            <v>Panel Schematics - 6.6kV Switchgear WIL23-HVSG-0001BTERMINAL CONNECTION TABLE = LZ01</v>
          </cell>
        </row>
        <row r="2585">
          <cell r="M2585" t="str">
            <v>131236-DR-E</v>
          </cell>
          <cell r="N2585" t="str">
            <v>Panel Schematics - 6.6kV Switchgear WIL23-HVSG-0001BTERMINAL CONNECTION TABLE = LZ01</v>
          </cell>
        </row>
        <row r="2586">
          <cell r="M2586" t="str">
            <v>131236-DR-E</v>
          </cell>
          <cell r="N2586" t="str">
            <v>Panel Schematics - 6.6kV Switchgear WIL23-HVSG-0001BTERMINAL CONNECTION TABLE = LZ01</v>
          </cell>
        </row>
        <row r="2587">
          <cell r="M2587" t="str">
            <v>131236-DR-E</v>
          </cell>
          <cell r="N2587" t="str">
            <v>Panel Schematics - 6.6kV Switchgear WIL23-HVSG-0001BTERMINAL CONNECTION TABLE = LZ01</v>
          </cell>
        </row>
        <row r="2588">
          <cell r="M2588" t="str">
            <v>131236-DR-E</v>
          </cell>
          <cell r="N2588" t="str">
            <v>Panel Schematics - 6.6kV Switchgear WIL23-HVSG-0001BTERMINAL CONNECTION TABLE = LZ01</v>
          </cell>
        </row>
        <row r="2589">
          <cell r="M2589" t="str">
            <v>131236-DR-E</v>
          </cell>
          <cell r="N2589" t="str">
            <v>Panel Schematics - 6.6kV Switchgear WIL23-HVSG-0001BTERMINAL CONNECTION TABLE = LZ01</v>
          </cell>
        </row>
        <row r="2590">
          <cell r="M2590" t="str">
            <v>131236-DR-E</v>
          </cell>
          <cell r="N2590" t="str">
            <v>Panel Schematics - 6.6kV Switchgear WIL23-HVSG-0001BTERMINAL CONNECTION TABLE = LZ01</v>
          </cell>
        </row>
        <row r="2591">
          <cell r="M2591" t="str">
            <v>131236-DR-E</v>
          </cell>
          <cell r="N2591" t="str">
            <v>Panel Schematics - 6.6kV Switchgear WIL23-HVSG-0001BTERMINAL CONNECTION TABLE = LZ01</v>
          </cell>
        </row>
        <row r="2592">
          <cell r="M2592" t="str">
            <v>131236-DR-E</v>
          </cell>
          <cell r="N2592" t="str">
            <v>Panel Schematics - 6.6kV Switchgear WIL23-HVSG-0001BTERMINAL CONNECTION TABLE = LZ01</v>
          </cell>
        </row>
        <row r="2593">
          <cell r="M2593" t="str">
            <v>131236-DR-E</v>
          </cell>
          <cell r="N2593" t="str">
            <v>Panel Schematics - 6.6kV Switchgear WIL23-HVSG-0001BTERMINAL CONNECTION TABLE = LZ01</v>
          </cell>
        </row>
        <row r="2594">
          <cell r="M2594" t="str">
            <v>131236-DR-E</v>
          </cell>
          <cell r="N2594" t="str">
            <v>Panel Schematics - 6.6kV Switchgear WIL23-HVSG-0001BTERMINAL CONNECTION TABLE = LZ01</v>
          </cell>
        </row>
        <row r="2595">
          <cell r="M2595" t="str">
            <v>131236-DR-E</v>
          </cell>
          <cell r="N2595" t="str">
            <v>Panel Schematics - 6.6kV Switchgear WIL23-HVSG-0001BTERMINAL CONNECTION TABLE = LZ01</v>
          </cell>
        </row>
        <row r="2596">
          <cell r="M2596" t="str">
            <v>131236-DR-E</v>
          </cell>
          <cell r="N2596" t="str">
            <v>Panel Schematics - 6.6kV Switchgear WIL23-HVSG-0001BTERMINAL CONNECTION TABLE = LZ01</v>
          </cell>
        </row>
        <row r="2597">
          <cell r="M2597" t="str">
            <v>131236-DR-E</v>
          </cell>
          <cell r="N2597" t="str">
            <v>Panel Schematics - 6.6kV Switchgear WIL23-HVSG-0001BTERMINAL CONNECTION TABLE = LZ01</v>
          </cell>
        </row>
        <row r="2598">
          <cell r="M2598" t="str">
            <v>131236-DR-E</v>
          </cell>
          <cell r="N2598" t="str">
            <v>Panel Schematics - 6.6kV Switchgear WIL23-HVSG-0001BTERMINAL CONNECTION TABLE = LZ01</v>
          </cell>
        </row>
        <row r="2599">
          <cell r="M2599" t="str">
            <v>131236-DR-E</v>
          </cell>
          <cell r="N2599" t="str">
            <v>Panel Schematics - 6.6kV Switchgear WIL23-HVSG-0001BTERMINAL CONNECTION TABLE = LZ01</v>
          </cell>
        </row>
        <row r="2600">
          <cell r="M2600" t="str">
            <v>131236-DR-E</v>
          </cell>
          <cell r="N2600" t="str">
            <v>Panel Schematics - 6.6kV Switchgear WIL23-HVSG-0001BTERMINAL CONNECTION TABLE = LZ01</v>
          </cell>
        </row>
        <row r="2601">
          <cell r="M2601" t="str">
            <v>131236-DR-E</v>
          </cell>
          <cell r="N2601" t="str">
            <v>Panel Schematics - 6.6kV Switchgear WIL23-HVSG-0001BOUTGOING FEEDER SCHEMATIC = LZ02</v>
          </cell>
        </row>
        <row r="2602">
          <cell r="M2602" t="str">
            <v>131236-DR-E</v>
          </cell>
          <cell r="N2602" t="str">
            <v>Panel Schematics - 6.6kV Switchgear WIL23-HVSG-0001BOUTGOING FEEDER SCHEMATIC = LZ02</v>
          </cell>
        </row>
        <row r="2603">
          <cell r="M2603" t="str">
            <v>131236-DR-E</v>
          </cell>
          <cell r="N2603" t="str">
            <v>Panel Schematics - 6.6kV Switchgear WIL23-HVSG-0001BOUTGOING FEEDER SCHEMATIC = LZ02</v>
          </cell>
        </row>
        <row r="2604">
          <cell r="M2604" t="str">
            <v>131236-DR-E</v>
          </cell>
          <cell r="N2604" t="str">
            <v>Panel Schematics - 6.6kV Switchgear WIL23-HVSG-0001BOUTGOING FEEDER SCHEMATIC = LZ02</v>
          </cell>
        </row>
        <row r="2605">
          <cell r="M2605" t="str">
            <v>131236-DR-E</v>
          </cell>
          <cell r="N2605" t="str">
            <v>Panel Schematics - 6.6kV Switchgear WIL23-HVSG-0001BOUTGOING FEEDER SCHEMATIC = LZ02</v>
          </cell>
        </row>
        <row r="2606">
          <cell r="M2606" t="str">
            <v>131236-DR-E</v>
          </cell>
          <cell r="N2606" t="str">
            <v>Panel Schematics - 6.6kV Switchgear WIL23-HVSG-0001BOUTGOING FEEDER SCHEMATIC = LZ02</v>
          </cell>
        </row>
        <row r="2607">
          <cell r="M2607" t="str">
            <v>131236-DR-E</v>
          </cell>
          <cell r="N2607" t="str">
            <v>Panel Schematics - 6.6kV Switchgear WIL23-HVSG-0001BOUTGOING FEEDER SCHEMATIC = LZ02</v>
          </cell>
        </row>
        <row r="2608">
          <cell r="M2608" t="str">
            <v>131236-DR-E</v>
          </cell>
          <cell r="N2608" t="str">
            <v>Panel Schematics - 6.6kV Switchgear WIL23-HVSG-0001BOUTGOING FEEDER SCHEMATIC = LZ02</v>
          </cell>
        </row>
        <row r="2609">
          <cell r="M2609" t="str">
            <v>131236-DR-E</v>
          </cell>
          <cell r="N2609" t="str">
            <v>Panel Schematics - 6.6kV Switchgear WIL23-HVSG-0001BOUTGOING FEEDER SCHEMATIC = LZ02</v>
          </cell>
        </row>
        <row r="2610">
          <cell r="M2610" t="str">
            <v>131236-DR-E</v>
          </cell>
          <cell r="N2610" t="str">
            <v>Panel Schematics - 6.6kV Switchgear WIL23-HVSG-0001BOUTGOING FEEDER SCHEMATIC = LZ02</v>
          </cell>
        </row>
        <row r="2611">
          <cell r="M2611" t="str">
            <v>131236-DR-E</v>
          </cell>
          <cell r="N2611" t="str">
            <v>Panel Schematics - 6.6kV Switchgear WIL23-HVSG-0001BOUTGOING FEEDER SCHEMATIC = LZ02</v>
          </cell>
        </row>
        <row r="2612">
          <cell r="M2612" t="str">
            <v>131236-DR-E</v>
          </cell>
          <cell r="N2612" t="str">
            <v>Panel Schematics - 6.6kV Switchgear WIL23-HVSG-0001BOUTGOING FEEDER SCHEMATIC = LZ02</v>
          </cell>
        </row>
        <row r="2613">
          <cell r="M2613" t="str">
            <v>131236-DR-E</v>
          </cell>
          <cell r="N2613" t="str">
            <v>Panel Schematics - 6.6kV Switchgear WIL23-HVSG-0001BOUTGOING FEEDER SCHEMATIC = LZ02</v>
          </cell>
        </row>
        <row r="2614">
          <cell r="M2614" t="str">
            <v>131236-DR-E</v>
          </cell>
          <cell r="N2614" t="str">
            <v>Panel Schematics - 6.6kV Switchgear WIL23-HVSG-0001BOUTGOING FEEDER SCHEMATIC = LZ02</v>
          </cell>
        </row>
        <row r="2615">
          <cell r="M2615" t="str">
            <v>131236-DR-E</v>
          </cell>
          <cell r="N2615" t="str">
            <v>Panel Schematics - 6.6kV Switchgear WIL23-HVSG-0001BOUTGOING FEEDER SCHEMATIC = LZ02</v>
          </cell>
        </row>
        <row r="2616">
          <cell r="M2616" t="str">
            <v>131236-DR-E</v>
          </cell>
          <cell r="N2616" t="str">
            <v>Panel Schematics - 6.6kV Switchgear WIL23-HVSG-0001BOUTGOING FEEDER SCHEMATIC = LZ02</v>
          </cell>
        </row>
        <row r="2617">
          <cell r="M2617" t="str">
            <v>131236-DR-E</v>
          </cell>
          <cell r="N2617" t="str">
            <v>Panel Schematics - 6.6kV Switchgear WIL23-HVSG-0001BOUTGOING FEEDER SCHEMATIC = LZ02</v>
          </cell>
        </row>
        <row r="2618">
          <cell r="M2618" t="str">
            <v>131236-DR-E</v>
          </cell>
          <cell r="N2618" t="str">
            <v>Panel Schematics - 6.6kV Switchgear WIL23-HVSG-0001BOUTGOING FEEDER SCHEMATIC = LZ02</v>
          </cell>
        </row>
        <row r="2619">
          <cell r="M2619" t="str">
            <v>131236-DR-E</v>
          </cell>
          <cell r="N2619" t="str">
            <v>Panel Schematics - 6.6kV Switchgear WIL23-HVSG-0001BOUTGOING FEEDER SCHEMATIC = LZ02</v>
          </cell>
        </row>
        <row r="2620">
          <cell r="M2620" t="str">
            <v>131236-DR-E</v>
          </cell>
          <cell r="N2620" t="str">
            <v>Panel Schematics - 6.6kV Switchgear WIL23-HVSG-0001BOUTGOING FEEDER SCHEMATIC = LZ02</v>
          </cell>
        </row>
        <row r="2621">
          <cell r="M2621" t="str">
            <v>131236-DR-E</v>
          </cell>
          <cell r="N2621" t="str">
            <v>Panel Schematics - 6.6kV Switchgear WIL23-HVSG-0001BOUTGOING FEEDER SCHEMATIC = LZ02</v>
          </cell>
        </row>
        <row r="2622">
          <cell r="M2622" t="str">
            <v>131236-DR-E</v>
          </cell>
          <cell r="N2622" t="str">
            <v>Panel Schematics - 6.6kV Switchgear WIL23-HVSG-0001BOUTGOING FEEDER SCHEMATIC = LZ02</v>
          </cell>
        </row>
        <row r="2623">
          <cell r="M2623" t="str">
            <v>131236-DR-E</v>
          </cell>
          <cell r="N2623" t="str">
            <v>Panel Schematics - 6.6kV Switchgear WIL23-HVSG-0001BOUTGOING FEEDER SCHEMATIC = LZ02</v>
          </cell>
        </row>
        <row r="2624">
          <cell r="M2624" t="str">
            <v>131236-DR-E</v>
          </cell>
          <cell r="N2624" t="str">
            <v>Panel Schematics - 6.6kV Switchgear WIL23-HVSG-0001BTERMINAL CONNECTION TABLE = LZ02</v>
          </cell>
        </row>
        <row r="2625">
          <cell r="M2625" t="str">
            <v>131236-DR-E</v>
          </cell>
          <cell r="N2625" t="str">
            <v>Panel Schematics - 6.6kV Switchgear WIL23-HVSG-0001BTERMINAL CONNECTION TABLE = LZ02</v>
          </cell>
        </row>
        <row r="2626">
          <cell r="M2626" t="str">
            <v>131236-DR-E</v>
          </cell>
          <cell r="N2626" t="str">
            <v>Panel Schematics - 6.6kV Switchgear WIL23-HVSG-0001BTERMINAL CONNECTION TABLE = LZ02</v>
          </cell>
        </row>
        <row r="2627">
          <cell r="M2627" t="str">
            <v>131236-DR-E</v>
          </cell>
          <cell r="N2627" t="str">
            <v>Panel Schematics - 6.6kV Switchgear WIL23-HVSG-0001BTERMINAL CONNECTION TABLE = LZ02</v>
          </cell>
        </row>
        <row r="2628">
          <cell r="M2628" t="str">
            <v>131236-DR-E</v>
          </cell>
          <cell r="N2628" t="str">
            <v>Panel Schematics - 6.6kV Switchgear WIL23-HVSG-0001BTERMINAL CONNECTION TABLE = LZ02</v>
          </cell>
        </row>
        <row r="2629">
          <cell r="M2629" t="str">
            <v>131236-DR-E</v>
          </cell>
          <cell r="N2629" t="str">
            <v>Panel Schematics - 6.6kV Switchgear WIL23-HVSG-0001BTERMINAL CONNECTION TABLE = LZ02</v>
          </cell>
        </row>
        <row r="2630">
          <cell r="M2630" t="str">
            <v>131236-DR-E</v>
          </cell>
          <cell r="N2630" t="str">
            <v>Panel Schematics - 6.6kV Switchgear WIL23-HVSG-0001BTERMINAL CONNECTION TABLE = LZ02</v>
          </cell>
        </row>
        <row r="2631">
          <cell r="M2631" t="str">
            <v>131236-DR-E</v>
          </cell>
          <cell r="N2631" t="str">
            <v>Panel Schematics - 6.6kV Switchgear WIL23-HVSG-0001BTERMINAL CONNECTION TABLE = LZ02</v>
          </cell>
        </row>
        <row r="2632">
          <cell r="M2632" t="str">
            <v>131236-DR-E</v>
          </cell>
          <cell r="N2632" t="str">
            <v>Panel Schematics - 6.6kV Switchgear WIL23-HVSG-0001BTERMINAL CONNECTION TABLE = LZ02</v>
          </cell>
        </row>
        <row r="2633">
          <cell r="M2633" t="str">
            <v>131236-DR-E</v>
          </cell>
          <cell r="N2633" t="str">
            <v>Panel Schematics - 6.6kV Switchgear WIL23-HVSG-0001BTERMINAL CONNECTION TABLE = LZ02</v>
          </cell>
        </row>
        <row r="2634">
          <cell r="M2634" t="str">
            <v>131236-DR-E</v>
          </cell>
          <cell r="N2634" t="str">
            <v>Panel Schematics - 6.6kV Switchgear WIL23-HVSG-0001BTERMINAL CONNECTION TABLE = LZ02</v>
          </cell>
        </row>
        <row r="2635">
          <cell r="M2635" t="str">
            <v>131236-DR-E</v>
          </cell>
          <cell r="N2635" t="str">
            <v>Panel Schematics - 6.6kV Switchgear WIL23-HVSG-0001BTERMINAL CONNECTION TABLE = LZ02</v>
          </cell>
        </row>
        <row r="2636">
          <cell r="M2636" t="str">
            <v>131236-DR-E</v>
          </cell>
          <cell r="N2636" t="str">
            <v>Panel Schematics - 6.6kV Switchgear WIL23-HVSG-0001BTERMINAL CONNECTION TABLE = LZ02</v>
          </cell>
        </row>
        <row r="2637">
          <cell r="M2637" t="str">
            <v>131236-DR-E</v>
          </cell>
          <cell r="N2637" t="str">
            <v>Panel Schematics - 6.6kV Switchgear WIL23-HVSG-0001BTERMINAL CONNECTION TABLE = LZ02</v>
          </cell>
        </row>
        <row r="2638">
          <cell r="M2638" t="str">
            <v>131236-DR-E</v>
          </cell>
          <cell r="N2638" t="str">
            <v>Panel Schematics - 6.6kV Switchgear WIL23-HVSG-0001BTERMINAL CONNECTION TABLE = LZ02</v>
          </cell>
        </row>
        <row r="2639">
          <cell r="M2639" t="str">
            <v>131236-DR-E</v>
          </cell>
          <cell r="N2639" t="str">
            <v>Panel Schematics - 6.6kV Switchgear WIL23-HVSG-0001BOUTGOING FEEDER SCHEMATIC = LZ03</v>
          </cell>
        </row>
        <row r="2640">
          <cell r="M2640" t="str">
            <v>131236-DR-E</v>
          </cell>
          <cell r="N2640" t="str">
            <v>Panel Schematics - 6.6kV Switchgear WIL23-HVSG-0001BOUTGOING FEEDER SCHEMATIC = LZ03</v>
          </cell>
        </row>
        <row r="2641">
          <cell r="M2641" t="str">
            <v>131236-DR-E</v>
          </cell>
          <cell r="N2641" t="str">
            <v>Panel Schematics - 6.6kV Switchgear WIL23-HVSG-0001BOUTGOING FEEDER SCHEMATIC = LZ03</v>
          </cell>
        </row>
        <row r="2642">
          <cell r="M2642" t="str">
            <v>131236-DR-E</v>
          </cell>
          <cell r="N2642" t="str">
            <v>Panel Schematics - 6.6kV Switchgear WIL23-HVSG-0001BOUTGOING FEEDER SCHEMATIC = LZ03</v>
          </cell>
        </row>
        <row r="2643">
          <cell r="M2643" t="str">
            <v>131236-DR-E</v>
          </cell>
          <cell r="N2643" t="str">
            <v>Panel Schematics - 6.6kV Switchgear WIL23-HVSG-0001BOUTGOING FEEDER SCHEMATIC = LZ03</v>
          </cell>
        </row>
        <row r="2644">
          <cell r="M2644" t="str">
            <v>131236-DR-E</v>
          </cell>
          <cell r="N2644" t="str">
            <v>Panel Schematics - 6.6kV Switchgear WIL23-HVSG-0001BOUTGOING FEEDER SCHEMATIC = LZ03</v>
          </cell>
        </row>
        <row r="2645">
          <cell r="M2645" t="str">
            <v>131236-DR-E</v>
          </cell>
          <cell r="N2645" t="str">
            <v>Panel Schematics - 6.6kV Switchgear WIL23-HVSG-0001BOUTGOING FEEDER SCHEMATIC = LZ03</v>
          </cell>
        </row>
        <row r="2646">
          <cell r="M2646" t="str">
            <v>131236-DR-E</v>
          </cell>
          <cell r="N2646" t="str">
            <v>Panel Schematics - 6.6kV Switchgear WIL23-HVSG-0001BOUTGOING FEEDER SCHEMATIC = LZ03</v>
          </cell>
        </row>
        <row r="2647">
          <cell r="M2647" t="str">
            <v>131236-DR-E</v>
          </cell>
          <cell r="N2647" t="str">
            <v>Panel Schematics - 6.6kV Switchgear WIL23-HVSG-0001BOUTGOING FEEDER SCHEMATIC = LZ03</v>
          </cell>
        </row>
        <row r="2648">
          <cell r="M2648" t="str">
            <v>131236-DR-E</v>
          </cell>
          <cell r="N2648" t="str">
            <v>Panel Schematics - 6.6kV Switchgear WIL23-HVSG-0001BOUTGOING FEEDER SCHEMATIC = LZ03</v>
          </cell>
        </row>
        <row r="2649">
          <cell r="M2649" t="str">
            <v>131236-DR-E</v>
          </cell>
          <cell r="N2649" t="str">
            <v>Panel Schematics - 6.6kV Switchgear WIL23-HVSG-0001BOUTGOING FEEDER SCHEMATIC = LZ03</v>
          </cell>
        </row>
        <row r="2650">
          <cell r="M2650" t="str">
            <v>131236-DR-E</v>
          </cell>
          <cell r="N2650" t="str">
            <v>Panel Schematics - 6.6kV Switchgear WIL23-HVSG-0001BOUTGOING FEEDER SCHEMATIC = LZ03</v>
          </cell>
        </row>
        <row r="2651">
          <cell r="M2651" t="str">
            <v>131236-DR-E</v>
          </cell>
          <cell r="N2651" t="str">
            <v>Panel Schematics - 6.6kV Switchgear WIL23-HVSG-0001BOUTGOING FEEDER SCHEMATIC = LZ03</v>
          </cell>
        </row>
        <row r="2652">
          <cell r="M2652" t="str">
            <v>131236-DR-E</v>
          </cell>
          <cell r="N2652" t="str">
            <v>Panel Schematics - 6.6kV Switchgear WIL23-HVSG-0001BOUTGOING FEEDER SCHEMATIC = LZ03</v>
          </cell>
        </row>
        <row r="2653">
          <cell r="M2653" t="str">
            <v>131236-DR-E</v>
          </cell>
          <cell r="N2653" t="str">
            <v>Panel Schematics - 6.6kV Switchgear WIL23-HVSG-0001BOUTGOING FEEDER SCHEMATIC = LZ03</v>
          </cell>
        </row>
        <row r="2654">
          <cell r="M2654" t="str">
            <v>131236-DR-E</v>
          </cell>
          <cell r="N2654" t="str">
            <v>Panel Schematics - 6.6kV Switchgear WIL23-HVSG-0001BOUTGOING FEEDER SCHEMATIC = LZ03</v>
          </cell>
        </row>
        <row r="2655">
          <cell r="M2655" t="str">
            <v>131236-DR-E</v>
          </cell>
          <cell r="N2655" t="str">
            <v>Panel Schematics - 6.6kV Switchgear WIL23-HVSG-0001BOUTGOING FEEDER SCHEMATIC = LZ03</v>
          </cell>
        </row>
        <row r="2656">
          <cell r="M2656" t="str">
            <v>131236-DR-E</v>
          </cell>
          <cell r="N2656" t="str">
            <v>Panel Schematics - 6.6kV Switchgear WIL23-HVSG-0001BOUTGOING FEEDER SCHEMATIC = LZ03</v>
          </cell>
        </row>
        <row r="2657">
          <cell r="M2657" t="str">
            <v>131236-DR-E</v>
          </cell>
          <cell r="N2657" t="str">
            <v>Panel Schematics - 6.6kV Switchgear WIL23-HVSG-0001BOUTGOING FEEDER SCHEMATIC = LZ03</v>
          </cell>
        </row>
        <row r="2658">
          <cell r="M2658" t="str">
            <v>131236-DR-E</v>
          </cell>
          <cell r="N2658" t="str">
            <v>Panel Schematics - 6.6kV Switchgear WIL23-HVSG-0001BOUTGOING FEEDER SCHEMATIC = LZ03</v>
          </cell>
        </row>
        <row r="2659">
          <cell r="M2659" t="str">
            <v>131236-DR-E</v>
          </cell>
          <cell r="N2659" t="str">
            <v>Panel Schematics - 6.6kV Switchgear WIL23-HVSG-0001BOUTGOING FEEDER SCHEMATIC = LZ03</v>
          </cell>
        </row>
        <row r="2660">
          <cell r="M2660" t="str">
            <v>131236-DR-E</v>
          </cell>
          <cell r="N2660" t="str">
            <v>Panel Schematics - 6.6kV Switchgear WIL23-HVSG-0001BOUTGOING FEEDER SCHEMATIC = LZ03</v>
          </cell>
        </row>
        <row r="2661">
          <cell r="M2661" t="str">
            <v>131236-DR-E</v>
          </cell>
          <cell r="N2661" t="str">
            <v>Panel Schematics - 6.6kV Switchgear WIL23-HVSG-0001BOUTGOING FEEDER SCHEMATIC = LZ03</v>
          </cell>
        </row>
        <row r="2662">
          <cell r="M2662" t="str">
            <v>131236-DR-E</v>
          </cell>
          <cell r="N2662" t="str">
            <v>Panel Schematics - 6.6kV Switchgear WIL23-HVSG-0001BOUTGOING FEEDER SCHEMATIC = LZ03</v>
          </cell>
        </row>
        <row r="2663">
          <cell r="M2663" t="str">
            <v>131236-DR-E</v>
          </cell>
          <cell r="N2663" t="str">
            <v>Panel Schematics - 6.6kV Switchgear WIL23-HVSG-0001BOUTGOING FEEDER SCHEMATIC = LZ03</v>
          </cell>
        </row>
        <row r="2664">
          <cell r="M2664" t="str">
            <v>131236-DR-E</v>
          </cell>
          <cell r="N2664" t="str">
            <v>Panel Schematics - 6.6kV Switchgear WIL23-HVSG-0001BTERMINAL CONNECTION TABLE = LZ03</v>
          </cell>
        </row>
        <row r="2665">
          <cell r="M2665" t="str">
            <v>131236-DR-E</v>
          </cell>
          <cell r="N2665" t="str">
            <v>Panel Schematics - 6.6kV Switchgear WIL23-HVSG-0001BTERMINAL CONNECTION TABLE = LZ03</v>
          </cell>
        </row>
        <row r="2666">
          <cell r="M2666" t="str">
            <v>131236-DR-E</v>
          </cell>
          <cell r="N2666" t="str">
            <v>Panel Schematics - 6.6kV Switchgear WIL23-HVSG-0001BTERMINAL CONNECTION TABLE = LZ03</v>
          </cell>
        </row>
        <row r="2667">
          <cell r="M2667" t="str">
            <v>131236-DR-E</v>
          </cell>
          <cell r="N2667" t="str">
            <v>Panel Schematics - 6.6kV Switchgear WIL23-HVSG-0001BTERMINAL CONNECTION TABLE = LZ03</v>
          </cell>
        </row>
        <row r="2668">
          <cell r="M2668" t="str">
            <v>131236-DR-E</v>
          </cell>
          <cell r="N2668" t="str">
            <v>Panel Schematics - 6.6kV Switchgear WIL23-HVSG-0001BTERMINAL CONNECTION TABLE = LZ03</v>
          </cell>
        </row>
        <row r="2669">
          <cell r="M2669" t="str">
            <v>131236-DR-E</v>
          </cell>
          <cell r="N2669" t="str">
            <v>Panel Schematics - 6.6kV Switchgear WIL23-HVSG-0001BTERMINAL CONNECTION TABLE = LZ03</v>
          </cell>
        </row>
        <row r="2670">
          <cell r="M2670" t="str">
            <v>131236-DR-E</v>
          </cell>
          <cell r="N2670" t="str">
            <v>Panel Schematics - 6.6kV Switchgear WIL23-HVSG-0001BTERMINAL CONNECTION TABLE = LZ03</v>
          </cell>
        </row>
        <row r="2671">
          <cell r="M2671" t="str">
            <v>131236-DR-E</v>
          </cell>
          <cell r="N2671" t="str">
            <v>Panel Schematics - 6.6kV Switchgear WIL23-HVSG-0001BTERMINAL CONNECTION TABLE = LZ03</v>
          </cell>
        </row>
        <row r="2672">
          <cell r="M2672" t="str">
            <v>131236-DR-E</v>
          </cell>
          <cell r="N2672" t="str">
            <v>Panel Schematics - 6.6kV Switchgear WIL23-HVSG-0001BTERMINAL CONNECTION TABLE = LZ03</v>
          </cell>
        </row>
        <row r="2673">
          <cell r="M2673" t="str">
            <v>131236-DR-E</v>
          </cell>
          <cell r="N2673" t="str">
            <v>Panel Schematics - 6.6kV Switchgear WIL23-HVSG-0001BTERMINAL CONNECTION TABLE = LZ03</v>
          </cell>
        </row>
        <row r="2674">
          <cell r="M2674" t="str">
            <v>131236-DR-E</v>
          </cell>
          <cell r="N2674" t="str">
            <v>Panel Schematics - 6.6kV Switchgear WIL23-HVSG-0001BTERMINAL CONNECTION TABLE = LZ03</v>
          </cell>
        </row>
        <row r="2675">
          <cell r="M2675" t="str">
            <v>131236-DR-E</v>
          </cell>
          <cell r="N2675" t="str">
            <v>Panel Schematics - 6.6kV Switchgear WIL23-HVSG-0001BTERMINAL CONNECTION TABLE = LZ03</v>
          </cell>
        </row>
        <row r="2676">
          <cell r="M2676" t="str">
            <v>131236-DR-E</v>
          </cell>
          <cell r="N2676" t="str">
            <v>Panel Schematics - 6.6kV Switchgear WIL23-HVSG-0001BTERMINAL CONNECTION TABLE = LZ03</v>
          </cell>
        </row>
        <row r="2677">
          <cell r="M2677" t="str">
            <v>131236-DR-E</v>
          </cell>
          <cell r="N2677" t="str">
            <v>Panel Schematics - 6.6kV Switchgear WIL23-HVSG-0001BTERMINAL CONNECTION TABLE = LZ03</v>
          </cell>
        </row>
        <row r="2678">
          <cell r="M2678" t="str">
            <v>131236-DR-E</v>
          </cell>
          <cell r="N2678" t="str">
            <v>Panel Schematics - 6.6kV Switchgear WIL23-HVSG-0001BTERMINAL CONNECTION TABLE = LZ03</v>
          </cell>
        </row>
        <row r="2679">
          <cell r="M2679" t="str">
            <v>131236-DR-E</v>
          </cell>
          <cell r="N2679" t="str">
            <v>Panel Schematics - 6.6kV Switchgear WIL23-HVSG-0001BTERMINAL CONNECTION TABLE = LZ03</v>
          </cell>
        </row>
        <row r="2680">
          <cell r="M2680" t="str">
            <v>131236-DR-E</v>
          </cell>
          <cell r="N2680" t="str">
            <v>Panel Schematics - 6.6kV Switchgear WIL23-HVSG-0001BOUTGOING FEEDER SCHEMATIC = LZ03a</v>
          </cell>
        </row>
        <row r="2681">
          <cell r="M2681" t="str">
            <v>131236-DR-E</v>
          </cell>
          <cell r="N2681" t="str">
            <v>Panel Schematics - 6.6kV Switchgear WIL23-HVSG-0001BOUTGOING FEEDER SCHEMATIC = LZ03a</v>
          </cell>
        </row>
        <row r="2682">
          <cell r="M2682" t="str">
            <v>131236-DR-E</v>
          </cell>
          <cell r="N2682" t="str">
            <v>Panel Schematics - 6.6kV Switchgear WIL23-HVSG-0001BOUTGOING FEEDER SCHEMATIC = LZ03a</v>
          </cell>
        </row>
        <row r="2683">
          <cell r="M2683" t="str">
            <v>131236-DR-E</v>
          </cell>
          <cell r="N2683" t="str">
            <v>Panel Schematics - 6.6kV Switchgear WIL23-HVSG-0001BOUTGOING FEEDER SCHEMATIC = LZ03a</v>
          </cell>
        </row>
        <row r="2684">
          <cell r="M2684" t="str">
            <v>131236-DR-E</v>
          </cell>
          <cell r="N2684" t="str">
            <v>Panel Schematics - 6.6kV Switchgear WIL23-HVSG-0001BOUTGOING FEEDER SCHEMATIC = LZ03a</v>
          </cell>
        </row>
        <row r="2685">
          <cell r="M2685" t="str">
            <v>131236-DR-E</v>
          </cell>
          <cell r="N2685" t="str">
            <v>Panel Schematics - 6.6kV Switchgear WIL23-HVSG-0001BOUTGOING FEEDER SCHEMATIC = LZ03a</v>
          </cell>
        </row>
        <row r="2686">
          <cell r="M2686" t="str">
            <v>131236-DR-E</v>
          </cell>
          <cell r="N2686" t="str">
            <v>Panel Schematics - 6.6kV Switchgear WIL23-HVSG-0001BOUTGOING FEEDER SCHEMATIC = LZ03a</v>
          </cell>
        </row>
        <row r="2687">
          <cell r="M2687" t="str">
            <v>131236-DR-E</v>
          </cell>
          <cell r="N2687" t="str">
            <v>Panel Schematics - 6.6kV Switchgear WIL23-HVSG-0001BOUTGOING FEEDER SCHEMATIC = LZ03a</v>
          </cell>
        </row>
        <row r="2688">
          <cell r="M2688" t="str">
            <v>131236-DR-E</v>
          </cell>
          <cell r="N2688" t="str">
            <v>Panel Schematics - 6.6kV Switchgear WIL23-HVSG-0001BOUTGOING FEEDER SCHEMATIC = LZ03a</v>
          </cell>
        </row>
        <row r="2689">
          <cell r="M2689" t="str">
            <v>131236-DR-E</v>
          </cell>
          <cell r="N2689" t="str">
            <v>Panel Schematics - 6.6kV Switchgear WIL23-HVSG-0001BOUTGOING FEEDER SCHEMATIC = LZ03a</v>
          </cell>
        </row>
        <row r="2690">
          <cell r="M2690" t="str">
            <v>131236-DR-E</v>
          </cell>
          <cell r="N2690" t="str">
            <v>Panel Schematics - 6.6kV Switchgear WIL23-HVSG-0001BOUTGOING FEEDER SCHEMATIC = LZ03a</v>
          </cell>
        </row>
        <row r="2691">
          <cell r="M2691" t="str">
            <v>131236-DR-E</v>
          </cell>
          <cell r="N2691" t="str">
            <v>Panel Schematics - 6.6kV Switchgear WIL23-HVSG-0001BOUTGOING FEEDER SCHEMATIC = LZ03a</v>
          </cell>
        </row>
        <row r="2692">
          <cell r="M2692" t="str">
            <v>131236-DR-E</v>
          </cell>
          <cell r="N2692" t="str">
            <v>Panel Schematics - 6.6kV Switchgear WIL23-HVSG-0001BOUTGOING FEEDER SCHEMATIC = LZ03a</v>
          </cell>
        </row>
        <row r="2693">
          <cell r="M2693" t="str">
            <v>131236-DR-E</v>
          </cell>
          <cell r="N2693" t="str">
            <v>Panel Schematics - 6.6kV Switchgear WIL23-HVSG-0001BOUTGOING FEEDER SCHEMATIC = LZ03a</v>
          </cell>
        </row>
        <row r="2694">
          <cell r="M2694" t="str">
            <v>131236-DR-E</v>
          </cell>
          <cell r="N2694" t="str">
            <v>Panel Schematics - 6.6kV Switchgear WIL23-HVSG-0001BOUTGOING FEEDER SCHEMATIC = LZ03a</v>
          </cell>
        </row>
        <row r="2695">
          <cell r="M2695" t="str">
            <v>131236-DR-E</v>
          </cell>
          <cell r="N2695" t="str">
            <v>Panel Schematics - 6.6kV Switchgear WIL23-HVSG-0001BOUTGOING FEEDER SCHEMATIC = LZ03a</v>
          </cell>
        </row>
        <row r="2696">
          <cell r="M2696" t="str">
            <v>131236-DR-E</v>
          </cell>
          <cell r="N2696" t="str">
            <v>Panel Schematics - 6.6kV Switchgear WIL23-HVSG-0001BOUTGOING FEEDER SCHEMATIC = LZ03a</v>
          </cell>
        </row>
        <row r="2697">
          <cell r="M2697" t="str">
            <v>131236-DR-E</v>
          </cell>
          <cell r="N2697" t="str">
            <v>Panel Schematics - 6.6kV Switchgear WIL23-HVSG-0001BOUTGOING FEEDER SCHEMATIC = LZ03a</v>
          </cell>
        </row>
        <row r="2698">
          <cell r="M2698" t="str">
            <v>131236-DR-E</v>
          </cell>
          <cell r="N2698" t="str">
            <v>Panel Schematics - 6.6kV Switchgear WIL23-HVSG-0001BOUTGOING FEEDER SCHEMATIC = LZ03a</v>
          </cell>
        </row>
        <row r="2699">
          <cell r="M2699" t="str">
            <v>131236-DR-E</v>
          </cell>
          <cell r="N2699" t="str">
            <v>Panel Schematics - 6.6kV Switchgear WIL23-HVSG-0001BOUTGOING FEEDER SCHEMATIC = LZ03a</v>
          </cell>
        </row>
        <row r="2700">
          <cell r="M2700" t="str">
            <v>131236-DR-E</v>
          </cell>
          <cell r="N2700" t="str">
            <v>Panel Schematics - 6.6kV Switchgear WIL23-HVSG-0001BOUTGOING FEEDER SCHEMATIC = LZ03a</v>
          </cell>
        </row>
        <row r="2701">
          <cell r="M2701" t="str">
            <v>131236-DR-E</v>
          </cell>
          <cell r="N2701" t="str">
            <v>Panel Schematics - 6.6kV Switchgear WIL23-HVSG-0001BOUTGOING FEEDER SCHEMATIC = LZ03a</v>
          </cell>
        </row>
        <row r="2702">
          <cell r="M2702" t="str">
            <v>131236-DR-E</v>
          </cell>
          <cell r="N2702" t="str">
            <v>Panel Schematics - 6.6kV Switchgear WIL23-HVSG-0001BOUTGOING FEEDER SCHEMATIC = LZ03a</v>
          </cell>
        </row>
        <row r="2703">
          <cell r="M2703" t="str">
            <v>131236-DR-E</v>
          </cell>
          <cell r="N2703" t="str">
            <v>Panel Schematics - 6.6kV Switchgear WIL23-HVSG-0001BTERMINAL CONNECTION TABLE = LZ03a</v>
          </cell>
        </row>
        <row r="2704">
          <cell r="M2704" t="str">
            <v>131236-DR-E</v>
          </cell>
          <cell r="N2704" t="str">
            <v>Panel Schematics - 6.6kV Switchgear WIL23-HVSG-0001BTERMINAL CONNECTION TABLE = LZ03a</v>
          </cell>
        </row>
        <row r="2705">
          <cell r="M2705" t="str">
            <v>131236-DR-E</v>
          </cell>
          <cell r="N2705" t="str">
            <v>Panel Schematics - 6.6kV Switchgear WIL23-HVSG-0001BTERMINAL CONNECTION TABLE = LZ03a</v>
          </cell>
        </row>
        <row r="2706">
          <cell r="M2706" t="str">
            <v>131236-DR-E</v>
          </cell>
          <cell r="N2706" t="str">
            <v>Panel Schematics - 6.6kV Switchgear WIL23-HVSG-0001BTERMINAL CONNECTION TABLE = LZ03a</v>
          </cell>
        </row>
        <row r="2707">
          <cell r="M2707" t="str">
            <v>131236-DR-E</v>
          </cell>
          <cell r="N2707" t="str">
            <v>Panel Schematics - 6.6kV Switchgear WIL23-HVSG-0001BTERMINAL CONNECTION TABLE = LZ03a</v>
          </cell>
        </row>
        <row r="2708">
          <cell r="M2708" t="str">
            <v>131236-DR-E</v>
          </cell>
          <cell r="N2708" t="str">
            <v>Panel Schematics - 6.6kV Switchgear WIL23-HVSG-0001BTERMINAL CONNECTION TABLE = LZ03a</v>
          </cell>
        </row>
        <row r="2709">
          <cell r="M2709" t="str">
            <v>131236-DR-E</v>
          </cell>
          <cell r="N2709" t="str">
            <v>Panel Schematics - 6.6kV Switchgear WIL23-HVSG-0001BTERMINAL CONNECTION TABLE = LZ03a</v>
          </cell>
        </row>
        <row r="2710">
          <cell r="M2710" t="str">
            <v>131236-DR-E</v>
          </cell>
          <cell r="N2710" t="str">
            <v>Panel Schematics - 6.6kV Switchgear WIL23-HVSG-0001BTERMINAL CONNECTION TABLE = LZ03a</v>
          </cell>
        </row>
        <row r="2711">
          <cell r="M2711" t="str">
            <v>131236-DR-E</v>
          </cell>
          <cell r="N2711" t="str">
            <v>Panel Schematics - 6.6kV Switchgear WIL23-HVSG-0001BTERMINAL CONNECTION TABLE = LZ03a</v>
          </cell>
        </row>
        <row r="2712">
          <cell r="M2712" t="str">
            <v>131236-DR-E</v>
          </cell>
          <cell r="N2712" t="str">
            <v>Panel Schematics - 6.6kV Switchgear WIL23-HVSG-0001BTERMINAL CONNECTION TABLE = LZ03a</v>
          </cell>
        </row>
        <row r="2713">
          <cell r="M2713" t="str">
            <v>131236-DR-E</v>
          </cell>
          <cell r="N2713" t="str">
            <v>Panel Schematics - 6.6kV Switchgear WIL23-HVSG-0001BTERMINAL CONNECTION TABLE = LZ03a</v>
          </cell>
        </row>
        <row r="2714">
          <cell r="M2714" t="str">
            <v>131236-DR-E</v>
          </cell>
          <cell r="N2714" t="str">
            <v>Panel Schematics - 6.6kV Switchgear WIL23-HVSG-0001BTERMINAL CONNECTION TABLE = LZ03a</v>
          </cell>
        </row>
        <row r="2715">
          <cell r="M2715" t="str">
            <v>131236-DR-E</v>
          </cell>
          <cell r="N2715" t="str">
            <v>Panel Schematics - 6.6kV Switchgear WIL23-HVSG-0001BTERMINAL CONNECTION TABLE = LZ03a</v>
          </cell>
        </row>
        <row r="2716">
          <cell r="M2716" t="str">
            <v>131236-DR-E</v>
          </cell>
          <cell r="N2716" t="str">
            <v>Panel Schematics - 6.6kV Switchgear WIL23-HVSG-0001BTERMINAL CONNECTION TABLE = LZ03a</v>
          </cell>
        </row>
        <row r="2717">
          <cell r="M2717" t="str">
            <v>131236-DR-E</v>
          </cell>
          <cell r="N2717" t="str">
            <v>Panel Schematics - 6.6kV Switchgear WIL23-HVSG-0001BTERMINAL CONNECTION TABLE = LZ03a</v>
          </cell>
        </row>
        <row r="2718">
          <cell r="M2718" t="str">
            <v>131236-DR-E</v>
          </cell>
          <cell r="N2718" t="str">
            <v>Panel Schematics - 6.6kV Switchgear WIL23-HVSG-0001BBUS SECTION SCHEMATIC = LZ05</v>
          </cell>
        </row>
        <row r="2719">
          <cell r="M2719" t="str">
            <v>131236-DR-E</v>
          </cell>
          <cell r="N2719" t="str">
            <v>Panel Schematics - 6.6kV Switchgear WIL23-HVSG-0001BBUS SECTION SCHEMATIC = LZ05</v>
          </cell>
        </row>
        <row r="2720">
          <cell r="M2720" t="str">
            <v>131236-DR-E</v>
          </cell>
          <cell r="N2720" t="str">
            <v>Panel Schematics - 6.6kV Switchgear WIL23-HVSG-0001BBUS SECTION SCHEMATIC = LZ05</v>
          </cell>
        </row>
        <row r="2721">
          <cell r="M2721" t="str">
            <v>131236-DR-E</v>
          </cell>
          <cell r="N2721" t="str">
            <v>Panel Schematics - 6.6kV Switchgear WIL23-HVSG-0001BBUS SECTION SCHEMATIC = LZ05</v>
          </cell>
        </row>
        <row r="2722">
          <cell r="M2722" t="str">
            <v>131236-DR-E</v>
          </cell>
          <cell r="N2722" t="str">
            <v>Panel Schematics - 6.6kV Switchgear WIL23-HVSG-0001BBUS SECTION SCHEMATIC = LZ05</v>
          </cell>
        </row>
        <row r="2723">
          <cell r="M2723" t="str">
            <v>131236-DR-E</v>
          </cell>
          <cell r="N2723" t="str">
            <v>Panel Schematics - 6.6kV Switchgear WIL23-HVSG-0001BBUS SECTION SCHEMATIC = LZ05</v>
          </cell>
        </row>
        <row r="2724">
          <cell r="M2724" t="str">
            <v>131236-DR-E</v>
          </cell>
          <cell r="N2724" t="str">
            <v>Panel Schematics - 6.6kV Switchgear WIL23-HVSG-0001BBUS SECTION SCHEMATIC = LZ05</v>
          </cell>
        </row>
        <row r="2725">
          <cell r="M2725" t="str">
            <v>131236-DR-E</v>
          </cell>
          <cell r="N2725" t="str">
            <v>Panel Schematics - 6.6kV Switchgear WIL23-HVSG-0001BBUS SECTION SCHEMATIC = LZ05</v>
          </cell>
        </row>
        <row r="2726">
          <cell r="M2726" t="str">
            <v>131236-DR-E</v>
          </cell>
          <cell r="N2726" t="str">
            <v>Panel Schematics - 6.6kV Switchgear WIL23-HVSG-0001BBUS SECTION SCHEMATIC = LZ05</v>
          </cell>
        </row>
        <row r="2727">
          <cell r="M2727" t="str">
            <v>131236-DR-E</v>
          </cell>
          <cell r="N2727" t="str">
            <v>Panel Schematics - 6.6kV Switchgear WIL23-HVSG-0001BBUS SECTION SCHEMATIC = LZ05</v>
          </cell>
        </row>
        <row r="2728">
          <cell r="M2728" t="str">
            <v>131236-DR-E</v>
          </cell>
          <cell r="N2728" t="str">
            <v>Panel Schematics - 6.6kV Switchgear WIL23-HVSG-0001BBUS SECTION SCHEMATIC = LZ05</v>
          </cell>
        </row>
        <row r="2729">
          <cell r="M2729" t="str">
            <v>131236-DR-E</v>
          </cell>
          <cell r="N2729" t="str">
            <v>Panel Schematics - 6.6kV Switchgear WIL23-HVSG-0001BBUS SECTION SCHEMATIC = LZ05</v>
          </cell>
        </row>
        <row r="2730">
          <cell r="M2730" t="str">
            <v>131236-DR-E</v>
          </cell>
          <cell r="N2730" t="str">
            <v>Panel Schematics - 6.6kV Switchgear WIL23-HVSG-0001BBUS SECTION SCHEMATIC = LZ05</v>
          </cell>
        </row>
        <row r="2731">
          <cell r="M2731" t="str">
            <v>131236-DR-E</v>
          </cell>
          <cell r="N2731" t="str">
            <v>Panel Schematics - 6.6kV Switchgear WIL23-HVSG-0001BBUS SECTION SCHEMATIC = LZ05</v>
          </cell>
        </row>
        <row r="2732">
          <cell r="M2732" t="str">
            <v>131236-DR-E</v>
          </cell>
          <cell r="N2732" t="str">
            <v>Panel Schematics - 6.6kV Switchgear WIL23-HVSG-0001BBUS SECTION SCHEMATIC = LZ05</v>
          </cell>
        </row>
        <row r="2733">
          <cell r="M2733" t="str">
            <v>131236-DR-E</v>
          </cell>
          <cell r="N2733" t="str">
            <v>Panel Schematics - 6.6kV Switchgear WIL23-HVSG-0001BBUS SECTION SCHEMATIC = LZ05</v>
          </cell>
        </row>
        <row r="2734">
          <cell r="M2734" t="str">
            <v>131236-DR-E</v>
          </cell>
          <cell r="N2734" t="str">
            <v>Panel Schematics - 6.6kV Switchgear WIL23-HVSG-0001BBUS SECTION SCHEMATIC = LZ05</v>
          </cell>
        </row>
        <row r="2735">
          <cell r="M2735" t="str">
            <v>131236-DR-E</v>
          </cell>
          <cell r="N2735" t="str">
            <v>Panel Schematics - 6.6kV Switchgear WIL23-HVSG-0001BBUS SECTION SCHEMATIC = LZ05</v>
          </cell>
        </row>
        <row r="2736">
          <cell r="M2736" t="str">
            <v>131236-DR-E</v>
          </cell>
          <cell r="N2736" t="str">
            <v>Panel Schematics - 6.6kV Switchgear WIL23-HVSG-0001BBUS SECTION SCHEMATIC = LZ05</v>
          </cell>
        </row>
        <row r="2737">
          <cell r="M2737" t="str">
            <v>131236-DR-E</v>
          </cell>
          <cell r="N2737" t="str">
            <v>Panel Schematics - 6.6kV Switchgear WIL23-HVSG-0001BBUS SECTION SCHEMATIC = LZ05</v>
          </cell>
        </row>
        <row r="2738">
          <cell r="M2738" t="str">
            <v>131236-DR-E</v>
          </cell>
          <cell r="N2738" t="str">
            <v>Panel Schematics - 6.6kV Switchgear WIL23-HVSG-0001BBUS SECTION SCHEMATIC = LZ05</v>
          </cell>
        </row>
        <row r="2739">
          <cell r="M2739" t="str">
            <v>131236-DR-E</v>
          </cell>
          <cell r="N2739" t="str">
            <v>Panel Schematics - 6.6kV Switchgear WIL23-HVSG-0001BBUS SECTION SCHEMATIC = LZ05</v>
          </cell>
        </row>
        <row r="2740">
          <cell r="M2740" t="str">
            <v>131236-DR-E</v>
          </cell>
          <cell r="N2740" t="str">
            <v>Panel Schematics - 6.6kV Switchgear WIL23-HVSG-0001BBUS SECTION SCHEMATIC = LZ05</v>
          </cell>
        </row>
        <row r="2741">
          <cell r="M2741" t="str">
            <v>131236-DR-E</v>
          </cell>
          <cell r="N2741" t="str">
            <v>Panel Schematics - 6.6kV Switchgear WIL23-HVSG-0001BBUS SECTION SCHEMATIC = LZ05</v>
          </cell>
        </row>
        <row r="2742">
          <cell r="M2742" t="str">
            <v>131236-DR-E</v>
          </cell>
          <cell r="N2742" t="str">
            <v>Panel Schematics - 6.6kV Switchgear WIL23-HVSG-0001BBUS SECTION SCHEMATIC = LZ05</v>
          </cell>
        </row>
        <row r="2743">
          <cell r="M2743" t="str">
            <v>131236-DR-E</v>
          </cell>
          <cell r="N2743" t="str">
            <v>Panel Schematics - 6.6kV Switchgear WIL23-HVSG-0001BBUS SECTION SCHEMATIC = LZ05</v>
          </cell>
        </row>
        <row r="2744">
          <cell r="M2744" t="str">
            <v>131236-DR-E</v>
          </cell>
          <cell r="N2744" t="str">
            <v>Panel Schematics - 6.6kV Switchgear WIL23-HVSG-0001BBUS SECTION SCHEMATIC = LZ05</v>
          </cell>
        </row>
        <row r="2745">
          <cell r="M2745" t="str">
            <v>131236-DR-E</v>
          </cell>
          <cell r="N2745" t="str">
            <v>Panel Schematics - 6.6kV Switchgear WIL23-HVSG-0001BTERMINAL CONNECTION TABLE = LZ05</v>
          </cell>
        </row>
        <row r="2746">
          <cell r="M2746" t="str">
            <v>131236-DR-E</v>
          </cell>
          <cell r="N2746" t="str">
            <v>Panel Schematics - 6.6kV Switchgear WIL23-HVSG-0001BTERMINAL CONNECTION TABLE = LZ05</v>
          </cell>
        </row>
        <row r="2747">
          <cell r="M2747" t="str">
            <v>131236-DR-E</v>
          </cell>
          <cell r="N2747" t="str">
            <v>Panel Schematics - 6.6kV Switchgear WIL23-HVSG-0001BTERMINAL CONNECTION TABLE = LZ05</v>
          </cell>
        </row>
        <row r="2748">
          <cell r="M2748" t="str">
            <v>131236-DR-E</v>
          </cell>
          <cell r="N2748" t="str">
            <v>Panel Schematics - 6.6kV Switchgear WIL23-HVSG-0001BTERMINAL CONNECTION TABLE = LZ05</v>
          </cell>
        </row>
        <row r="2749">
          <cell r="M2749" t="str">
            <v>131236-DR-E</v>
          </cell>
          <cell r="N2749" t="str">
            <v>Panel Schematics - 6.6kV Switchgear WIL23-HVSG-0001BTERMINAL CONNECTION TABLE = LZ05</v>
          </cell>
        </row>
        <row r="2750">
          <cell r="M2750" t="str">
            <v>131236-DR-E</v>
          </cell>
          <cell r="N2750" t="str">
            <v>Panel Schematics - 6.6kV Switchgear WIL23-HVSG-0001BTERMINAL CONNECTION TABLE = LZ05</v>
          </cell>
        </row>
        <row r="2751">
          <cell r="M2751" t="str">
            <v>131236-DR-E</v>
          </cell>
          <cell r="N2751" t="str">
            <v>Panel Schematics - 6.6kV Switchgear WIL23-HVSG-0001BTERMINAL CONNECTION TABLE = LZ05</v>
          </cell>
        </row>
        <row r="2752">
          <cell r="M2752" t="str">
            <v>131236-DR-E</v>
          </cell>
          <cell r="N2752" t="str">
            <v>Panel Schematics - 6.6kV Switchgear WIL23-HVSG-0001BTERMINAL CONNECTION TABLE = LZ05</v>
          </cell>
        </row>
        <row r="2753">
          <cell r="M2753" t="str">
            <v>131236-DR-E</v>
          </cell>
          <cell r="N2753" t="str">
            <v>Panel Schematics - 6.6kV Switchgear WIL23-HVSG-0001BTERMINAL CONNECTION TABLE = LZ05</v>
          </cell>
        </row>
        <row r="2754">
          <cell r="M2754" t="str">
            <v>131236-DR-E</v>
          </cell>
          <cell r="N2754" t="str">
            <v>Panel Schematics - 6.6kV Switchgear WIL23-HVSG-0001BTERMINAL CONNECTION TABLE = LZ05</v>
          </cell>
        </row>
        <row r="2755">
          <cell r="M2755" t="str">
            <v>131236-DR-E</v>
          </cell>
          <cell r="N2755" t="str">
            <v>Panel Schematics - 6.6kV Switchgear WIL23-HVSG-0001BTERMINAL CONNECTION TABLE = LZ05</v>
          </cell>
        </row>
        <row r="2756">
          <cell r="M2756" t="str">
            <v>131236-DR-E</v>
          </cell>
          <cell r="N2756" t="str">
            <v>Panel Schematics - 6.6kV Switchgear WIL23-HVSG-0001BTERMINAL CONNECTION TABLE = LZ05</v>
          </cell>
        </row>
        <row r="2757">
          <cell r="M2757" t="str">
            <v>131236-DR-E</v>
          </cell>
          <cell r="N2757" t="str">
            <v>Panel Schematics - 6.6kV Switchgear WIL23-HVSG-0001BTERMINAL CONNECTION TABLE = LZ05</v>
          </cell>
        </row>
        <row r="2758">
          <cell r="M2758" t="str">
            <v>131236-DR-E</v>
          </cell>
          <cell r="N2758" t="str">
            <v>Panel Schematics - 6.6kV Switchgear WIL23-HVSG-0001BTERMINAL CONNECTION TABLE = LZ05</v>
          </cell>
        </row>
        <row r="2759">
          <cell r="M2759" t="str">
            <v>131236-DR-E</v>
          </cell>
          <cell r="N2759" t="str">
            <v>Panel Schematics - 6.6kV Switchgear WIL23-HVSG-0001BTERMINAL CONNECTION TABLE = LZ05</v>
          </cell>
        </row>
        <row r="2760">
          <cell r="M2760" t="str">
            <v>131236-DR-E</v>
          </cell>
          <cell r="N2760" t="str">
            <v>Panel Schematics - 6.6kV Switchgear WIL23-HVSG-0001BTERMINAL CONNECTION TABLE = LZ05</v>
          </cell>
        </row>
        <row r="2761">
          <cell r="M2761" t="str">
            <v>131236-DR-E</v>
          </cell>
          <cell r="N2761" t="str">
            <v>Panel Schematics - 6.6kV Switchgear WIL23-HVSG-0001BTERMINAL CONNECTION TABLE = LZ05</v>
          </cell>
        </row>
        <row r="2762">
          <cell r="M2762" t="str">
            <v>131236-DR-E</v>
          </cell>
          <cell r="N2762" t="str">
            <v xml:space="preserve">Panel Schematics - 6.6kV Switchgear - Battery &amp; Battery Chargers </v>
          </cell>
        </row>
        <row r="2763">
          <cell r="M2763" t="str">
            <v>131236-DR-E</v>
          </cell>
          <cell r="N2763" t="str">
            <v>Panel Schematics - 6.6kV DOL Starter 510kW- Membrane Air Blower</v>
          </cell>
        </row>
        <row r="2764">
          <cell r="M2764" t="str">
            <v>131236-DR-E</v>
          </cell>
          <cell r="N2764" t="str">
            <v xml:space="preserve">Panel Schematics - 6.6kV DOL Starter 510kW- Membrane Air Blower (1 of 5) </v>
          </cell>
        </row>
        <row r="2765">
          <cell r="M2765" t="str">
            <v>131236-DR-E</v>
          </cell>
          <cell r="N2765" t="str">
            <v xml:space="preserve">Panel Schematics - 6.6kV DOL Starter 510kW- Membrane Air Blower (2 of 5) </v>
          </cell>
        </row>
        <row r="2766">
          <cell r="M2766" t="str">
            <v>131236-DR-E</v>
          </cell>
          <cell r="N2766" t="str">
            <v xml:space="preserve">Panel Schematics - 6.6kV DOL Starter 510kW- Membrane Air Blower (3 of 5) </v>
          </cell>
        </row>
        <row r="2767">
          <cell r="M2767" t="str">
            <v>131236-DR-E</v>
          </cell>
          <cell r="N2767" t="str">
            <v xml:space="preserve">Panel Schematics - 6.6kV DOL Starter 510kW- Membrane Air Blower (4 of 5) </v>
          </cell>
        </row>
        <row r="2768">
          <cell r="M2768" t="str">
            <v>131236-DR-E</v>
          </cell>
          <cell r="N2768" t="str">
            <v xml:space="preserve">Panel Schematics - 6.6kV DOL Starter 510kW- Membrane Air Blower (5 of 5) </v>
          </cell>
        </row>
        <row r="2769">
          <cell r="M2769" t="str">
            <v>131236-DR-E</v>
          </cell>
          <cell r="N2769" t="str">
            <v>Panel Schematics - 6.6kV DOL Starter 1205kW - Process Air Blower</v>
          </cell>
        </row>
        <row r="2770">
          <cell r="M2770" t="str">
            <v>131236-DR-E</v>
          </cell>
          <cell r="N2770" t="str">
            <v>Panel Schematics - 6.6kV DOL Starter 1205kW - Process Air Blower (1 of 5)</v>
          </cell>
        </row>
        <row r="2771">
          <cell r="M2771" t="str">
            <v>131236-DR-E</v>
          </cell>
          <cell r="N2771" t="str">
            <v>Panel Schematics - 6.6kV DOL Starter 1205kW - Process Air Blower (2 of 5)</v>
          </cell>
        </row>
        <row r="2772">
          <cell r="M2772" t="str">
            <v>131236-DR-E</v>
          </cell>
          <cell r="N2772" t="str">
            <v>Panel Schematics - 6.6kV DOL Starter 1205kW - Process Air Blower (3 of 5)</v>
          </cell>
        </row>
        <row r="2773">
          <cell r="M2773" t="str">
            <v>131236-DR-E</v>
          </cell>
          <cell r="N2773" t="str">
            <v>Panel Schematics - 6.6kV DOL Starter 1205kW - Process Air Blower (4 of 5)</v>
          </cell>
        </row>
        <row r="2774">
          <cell r="M2774" t="str">
            <v>131236-DR-E</v>
          </cell>
          <cell r="N2774" t="str">
            <v>Panel Schematics - 6.6kV DOL Starter 1205kW - Process Air Blower (5 of 5)</v>
          </cell>
        </row>
        <row r="2775">
          <cell r="M2775" t="str">
            <v>131236-DR-E</v>
          </cell>
          <cell r="N2775" t="str">
            <v xml:space="preserve"> Local Control Panel Schematic - 22/6.6kV Transformers (8/11MVA) - WIL23-TRF-0001A &amp; WIL23-TRF-0001B</v>
          </cell>
        </row>
        <row r="2776">
          <cell r="M2776" t="str">
            <v>131236-DR-E</v>
          </cell>
          <cell r="N2776" t="str">
            <v xml:space="preserve"> Local Control Panel Schematic - 22/6.6kV Transformers (8/11MVA) - WIL23-TRF-0001A &amp; WIL23-TRF-0001B</v>
          </cell>
        </row>
        <row r="2777">
          <cell r="M2777" t="str">
            <v>131236-DR-E</v>
          </cell>
          <cell r="N2777" t="str">
            <v xml:space="preserve"> Local Control Panel Schematic - 22/6.6kV Transformers (8/11MVA) - WIL23-TRF-0001A &amp; WIL23-TRF-0001B</v>
          </cell>
        </row>
        <row r="2778">
          <cell r="M2778" t="str">
            <v>131236-DR-E</v>
          </cell>
          <cell r="N2778" t="str">
            <v xml:space="preserve"> Local Control Panel Schematic - 22/6.6kV Transformers (8/11MVA) - WIL23-TRF-0001A &amp; WIL23-TRF-0001B</v>
          </cell>
        </row>
        <row r="2779">
          <cell r="M2779" t="str">
            <v>131236-DR-E</v>
          </cell>
          <cell r="N2779" t="str">
            <v xml:space="preserve"> Local Control Panel Schematic - 22/6.6kV Transformers (8/11MVA) - WIL23-TRF-0001A &amp; WIL23-TRF-0001B</v>
          </cell>
        </row>
        <row r="2780">
          <cell r="M2780" t="str">
            <v>131236-DR-E</v>
          </cell>
          <cell r="N2780" t="str">
            <v xml:space="preserve"> Local Control Panel Schematic - 22/6.6kV Transformers (8/11MVA) - WIL23-TRF-0001A &amp; WIL23-TRF-0001B</v>
          </cell>
        </row>
        <row r="2781">
          <cell r="M2781" t="str">
            <v>131236-DR-E</v>
          </cell>
          <cell r="N2781" t="str">
            <v xml:space="preserve"> Local Control Panel Schematic - 22/6.6kV Transformers (8/11MVA) - WIL23-TRF-0001A &amp; WIL23-TRF-0001B</v>
          </cell>
        </row>
        <row r="2782">
          <cell r="M2782" t="str">
            <v>131236-DR-E</v>
          </cell>
          <cell r="N2782" t="str">
            <v xml:space="preserve"> Local Control Panel Schematic - 22/6.6kV Transformers (8/11MVA) - WIL23-TRF-0001A &amp; WIL23-TRF-0001B</v>
          </cell>
        </row>
        <row r="2783">
          <cell r="M2783" t="str">
            <v>131236-DR-E</v>
          </cell>
          <cell r="N2783" t="str">
            <v xml:space="preserve"> Local Control Panel Schematic - 22/6.6kV Transformers (8/11MVA) - WIL23-TRF-0001A &amp; WIL23-TRF-0001B</v>
          </cell>
        </row>
        <row r="2784">
          <cell r="M2784" t="str">
            <v>131236-DR-E</v>
          </cell>
          <cell r="N2784" t="str">
            <v xml:space="preserve"> Local Control Panel Schematic - 22/6.6kV Transformers (8/11MVA) - WIL23-TRF-0001A &amp; WIL23-TRF-0001B</v>
          </cell>
        </row>
        <row r="2785">
          <cell r="M2785" t="str">
            <v>131236-DR-E</v>
          </cell>
          <cell r="N2785" t="str">
            <v xml:space="preserve"> Local Control Panel Schematic - 22/6.6kV Transformers (8/11MVA) - WIL23-TRF-0001A &amp; WIL23-TRF-0001B</v>
          </cell>
        </row>
        <row r="2786">
          <cell r="M2786" t="str">
            <v>131236-DR-E</v>
          </cell>
          <cell r="N2786" t="str">
            <v xml:space="preserve"> Local Control Panel Schematic - 22/6.6kV Transformers (8/11MVA) - WIL23-TRF-0001A &amp; WIL23-TRF-0001B</v>
          </cell>
        </row>
        <row r="2787">
          <cell r="M2787" t="str">
            <v>131236-DR-E</v>
          </cell>
          <cell r="N2787" t="str">
            <v xml:space="preserve"> Local Control Panel Schematic - 22/6.6kV Transformers (8/11MVA) - WIL23-TRF-0001A &amp; WIL23-TRF-0001B</v>
          </cell>
        </row>
        <row r="2788">
          <cell r="M2788" t="str">
            <v>131236-DR-E</v>
          </cell>
          <cell r="N2788" t="str">
            <v xml:space="preserve"> Local Control Panel Schematic - 22/6.6kV Transformers (8/11MVA) - WIL23-TRF-0001A &amp; WIL23-TRF-0001B</v>
          </cell>
        </row>
        <row r="2789">
          <cell r="M2789" t="str">
            <v>131236-DR-E</v>
          </cell>
          <cell r="N2789" t="str">
            <v xml:space="preserve"> Local Control Panel Schematic - 22/6.6kV Transformers (8/11MVA) - WIL23-TRF-0001A &amp; WIL23-TRF-0001B</v>
          </cell>
        </row>
        <row r="2790">
          <cell r="M2790" t="str">
            <v>131236-DR-E</v>
          </cell>
          <cell r="N2790" t="str">
            <v>Remote-Control Panel Schematic - 22/6.6kV Transformers (8/11MVA) - WIL23-TRF-0001A &amp; WIL23-TRF-0001B</v>
          </cell>
        </row>
        <row r="2791">
          <cell r="M2791" t="str">
            <v>131236-DR-E</v>
          </cell>
          <cell r="N2791" t="str">
            <v>Remote-Control Panel Schematic - 22/6.6kV Transformers (8/11MVA) - WIL23-TRF-0001A &amp; WIL23-TRF-0001B</v>
          </cell>
        </row>
        <row r="2792">
          <cell r="M2792" t="str">
            <v>131236-DR-E</v>
          </cell>
          <cell r="N2792" t="str">
            <v>Remote-Control Panel Schematic - 22/6.6kV Transformers (8/11MVA) - WIL23-TRF-0001A &amp; WIL23-TRF-0001B</v>
          </cell>
        </row>
        <row r="2793">
          <cell r="M2793" t="str">
            <v>131236-DR-E</v>
          </cell>
          <cell r="N2793" t="str">
            <v>Remote-Control Panel Schematic - 22/6.6kV Transformers (8/11MVA) - WIL23-TRF-0001A &amp; WIL23-TRF-0001B</v>
          </cell>
        </row>
        <row r="2794">
          <cell r="M2794" t="str">
            <v>131236-DR-E</v>
          </cell>
          <cell r="N2794" t="str">
            <v>Remote-Control Panel Schematic - 22/6.6kV Transformers (8/11MVA) - WIL23-TRF-0001A &amp; WIL23-TRF-0001B</v>
          </cell>
        </row>
        <row r="2795">
          <cell r="M2795" t="str">
            <v>131236-DR-E</v>
          </cell>
          <cell r="N2795" t="str">
            <v>Remote-Control Panel Schematic - 22/6.6kV Transformers (8/11MVA) - WIL23-TRF-0001A &amp; WIL23-TRF-0001B</v>
          </cell>
        </row>
        <row r="2796">
          <cell r="M2796" t="str">
            <v>131236-DR-E</v>
          </cell>
          <cell r="N2796" t="str">
            <v>Remote-Control Panel Schematic - 22/6.6kV Transformers (8/11MVA) - WIL23-TRF-0001A &amp; WIL23-TRF-0001B</v>
          </cell>
        </row>
        <row r="2797">
          <cell r="M2797" t="str">
            <v>131236-DR-E</v>
          </cell>
          <cell r="N2797" t="str">
            <v>Remote-Control Panel Schematic - 22/6.6kV Transformers (8/11MVA) - WIL23-TRF-0001A &amp; WIL23-TRF-0001B</v>
          </cell>
        </row>
        <row r="2798">
          <cell r="M2798" t="str">
            <v>131236-DR-E</v>
          </cell>
          <cell r="N2798" t="str">
            <v>Remote-Control Panel Schematic - 22/6.6kV Transformers (8/11MVA) - WIL23-TRF-0001A &amp; WIL23-TRF-0001B</v>
          </cell>
        </row>
        <row r="2799">
          <cell r="M2799" t="str">
            <v>131236-DR-E</v>
          </cell>
          <cell r="N2799" t="str">
            <v>Remote-Control Panel Schematic - 22/6.6kV Transformers (8/11MVA) - WIL23-TRF-0001A &amp; WIL23-TRF-0001B</v>
          </cell>
        </row>
        <row r="2800">
          <cell r="M2800" t="str">
            <v>131236-DR-E</v>
          </cell>
          <cell r="N2800" t="str">
            <v>Remote-Control Panel Schematic - 22/6.6kV Transformers (8/11MVA) - WIL23-TRF-0001A &amp; WIL23-TRF-0001B</v>
          </cell>
        </row>
        <row r="2801">
          <cell r="M2801" t="str">
            <v>131236-DR-E</v>
          </cell>
          <cell r="N2801" t="str">
            <v>Remote-Control Panel Schematic - 22/6.6kV Transformers (8/11MVA) - WIL23-TRF-0001A &amp; WIL23-TRF-0001B</v>
          </cell>
        </row>
        <row r="2802">
          <cell r="M2802" t="str">
            <v>131236-DR-E</v>
          </cell>
          <cell r="N2802" t="str">
            <v>Remote-Control Panel Schematic - 22/6.6kV Transformers (8/11MVA) - WIL23-TRF-0001A &amp; WIL23-TRF-0001B</v>
          </cell>
        </row>
        <row r="2803">
          <cell r="M2803" t="str">
            <v>131236-DR-E</v>
          </cell>
          <cell r="N2803" t="str">
            <v>Remote-Control Panel Schematic - 22/6.6kV Transformers (8/11MVA) - WIL23-TRF-0001A &amp; WIL23-TRF-0001B</v>
          </cell>
        </row>
        <row r="2804">
          <cell r="M2804" t="str">
            <v>131236-DR-E</v>
          </cell>
          <cell r="N2804" t="str">
            <v xml:space="preserve"> Local Control Panel Schematic - 22/0.415kV Transformers (2MVA, 2.5MVA &amp; 3MVA) - WIL23-TRF-0002A, 0002B, 0003A, 0003B, 0004A &amp; 0004B</v>
          </cell>
        </row>
        <row r="2805">
          <cell r="M2805" t="str">
            <v>131236-DR-E</v>
          </cell>
          <cell r="N2805" t="str">
            <v xml:space="preserve"> Local Control Panel Schematic - 22/0.415kV Transformers (2MVA, 2.5MVA &amp; 3MVA) - WIL23-TRF-0002A, 0002B, 0003A, 0003B, 0004A &amp; 0004B</v>
          </cell>
        </row>
        <row r="2806">
          <cell r="M2806" t="str">
            <v>131236-DR-E</v>
          </cell>
          <cell r="N2806" t="str">
            <v xml:space="preserve"> Local Control Panel Schematic - 22/0.415kV Transformers (2MVA, 2.5MVA &amp; 3MVA) - WIL23-TRF-0002A, 0002B, 0003A, 0003B, 0004A &amp; 0004B</v>
          </cell>
        </row>
        <row r="2807">
          <cell r="M2807" t="str">
            <v>131236-DR-E</v>
          </cell>
          <cell r="N2807" t="str">
            <v xml:space="preserve"> Local Control Panel Schematic - 22/0.415kV Transformers (2MVA, 2.5MVA &amp; 3MVA) - WIL23-TRF-0002A, 0002B, 0003A, 0003B, 0004A &amp; 0004B</v>
          </cell>
        </row>
        <row r="2808">
          <cell r="M2808" t="str">
            <v>131236-DR-E</v>
          </cell>
          <cell r="N2808" t="str">
            <v xml:space="preserve"> Local Control Panel Schematic - 22/0.415kV Transformers (2MVA, 2.5MVA &amp; 3MVA) - WIL23-TRF-0002A, 0002B, 0003A, 0003B, 0004A &amp; 0004B</v>
          </cell>
        </row>
        <row r="2809">
          <cell r="M2809" t="str">
            <v>131236-DR-E</v>
          </cell>
          <cell r="N2809" t="str">
            <v xml:space="preserve"> Local Control Panel Schematic - 22/0.415kV Transformers (2MVA, 2.5MVA &amp; 3MVA) - WIL23-TRF-0002A, 0002B, 0003A, 0003B, 0004A &amp; 0004B</v>
          </cell>
        </row>
        <row r="2810">
          <cell r="M2810" t="str">
            <v>131236-DR-E</v>
          </cell>
          <cell r="N2810" t="str">
            <v xml:space="preserve"> Local Control Panel Schematic - 22/0.415kV Transformers (2MVA, 2.5MVA &amp; 3MVA) - WIL23-TRF-0002A, 0002B, 0003A, 0003B, 0004A &amp; 0004B</v>
          </cell>
        </row>
        <row r="2811">
          <cell r="M2811" t="str">
            <v>131236-DR-E</v>
          </cell>
          <cell r="N2811" t="str">
            <v xml:space="preserve"> Local Control Panel Schematic - 22/0.415kV Transformers (2MVA, 2.5MVA &amp; 3MVA) - WIL23-TRF-0002A, 0002B, 0003A, 0003B, 0004A &amp; 0004B</v>
          </cell>
        </row>
        <row r="2812">
          <cell r="M2812" t="str">
            <v>131236-DR-E</v>
          </cell>
          <cell r="N2812" t="str">
            <v xml:space="preserve"> Local Control Panel Schematic - 22/0.415kV Transformers (2MVA, 2.5MVA &amp; 3MVA) - WIL23-TRF-0002A, 0002B, 0003A, 0003B, 0004A &amp; 0004B</v>
          </cell>
        </row>
        <row r="2813">
          <cell r="M2813" t="str">
            <v>131236-DR-E</v>
          </cell>
          <cell r="N2813" t="str">
            <v xml:space="preserve"> Local Control Panel Schematic - 22/0.415kV Transformers (2MVA, 2.5MVA &amp; 3MVA) - WIL23-TRF-0002A, 0002B, 0003A, 0003B, 0004A &amp; 0004B</v>
          </cell>
        </row>
        <row r="2814">
          <cell r="M2814" t="str">
            <v>131236-DR-E</v>
          </cell>
          <cell r="N2814" t="str">
            <v xml:space="preserve"> Local Control Panel Schematic - 22/0.415kV Transformers (2MVA, 2.5MVA &amp; 3MVA) - WIL23-TRF-0002A, 0002B, 0003A, 0003B, 0004A &amp; 0004B</v>
          </cell>
        </row>
        <row r="2815">
          <cell r="M2815" t="str">
            <v>131236-DR-E</v>
          </cell>
          <cell r="N2815" t="str">
            <v xml:space="preserve"> Local Control Panel Schematic - 22/0.415kV Transformers (2MVA, 2.5MVA &amp; 3MVA) - WIL23-TRF-0002A, 0002B, 0003A, 0003B, 0004A &amp; 0004B</v>
          </cell>
        </row>
        <row r="2816">
          <cell r="M2816" t="str">
            <v>131236-DR-E</v>
          </cell>
          <cell r="N2816" t="str">
            <v xml:space="preserve"> Local Control Panel Schematic - 22/0.415kV Transformers (2MVA, 2.5MVA &amp; 3MVA) - WIL23-TRF-0002A, 0002B, 0003A, 0003B, 0004A &amp; 0004B</v>
          </cell>
        </row>
        <row r="2817">
          <cell r="M2817" t="str">
            <v>131236-DR-E</v>
          </cell>
          <cell r="N2817" t="str">
            <v xml:space="preserve"> Local Control Panel Schematic - 22/0.415kV Transformers (2MVA, 2.5MVA &amp; 3MVA) - WIL23-TRF-0002A, 0002B, 0003A, 0003B, 0004A &amp; 0004B</v>
          </cell>
        </row>
        <row r="2818">
          <cell r="M2818" t="str">
            <v>131236-DR-E</v>
          </cell>
          <cell r="N2818" t="str">
            <v>WIL23-LVSG-0001A Control Circuit Legend</v>
          </cell>
        </row>
        <row r="2819">
          <cell r="M2819" t="str">
            <v>131236-DR-E</v>
          </cell>
          <cell r="N2819" t="str">
            <v>WIL23-LVSG-0001A Control Circuit - 1</v>
          </cell>
        </row>
        <row r="2820">
          <cell r="M2820" t="str">
            <v>131236-DR-E</v>
          </cell>
          <cell r="N2820" t="str">
            <v>WIL23-LVSG-0001A Control Circuit - 2</v>
          </cell>
        </row>
        <row r="2821">
          <cell r="M2821" t="str">
            <v>131236-DR-E</v>
          </cell>
          <cell r="N2821" t="str">
            <v>WIL23-LVSG-0001A Control Circuit - 3</v>
          </cell>
        </row>
        <row r="2822">
          <cell r="M2822" t="str">
            <v>131236-DR-E</v>
          </cell>
          <cell r="N2822" t="str">
            <v>WIL23-LVSG-0001A Control Circuit - 4</v>
          </cell>
        </row>
        <row r="2823">
          <cell r="M2823" t="str">
            <v>131236-DR-E</v>
          </cell>
          <cell r="N2823" t="str">
            <v>WIL23-LVSG-0001A Control Circuit - 5</v>
          </cell>
        </row>
        <row r="2824">
          <cell r="M2824" t="str">
            <v>131236-DR-E</v>
          </cell>
          <cell r="N2824" t="str">
            <v>WIL23-LVSG-0001A Control Circuit - 6</v>
          </cell>
        </row>
        <row r="2825">
          <cell r="M2825" t="str">
            <v>131236-DR-E</v>
          </cell>
          <cell r="N2825" t="str">
            <v>WIL23-LVSG-0001A Control Circuit - 7</v>
          </cell>
        </row>
        <row r="2826">
          <cell r="M2826" t="str">
            <v>131236-DR-E</v>
          </cell>
          <cell r="N2826" t="str">
            <v>WIL23-LVSG-0001A Control Circuit - 8</v>
          </cell>
        </row>
        <row r="2827">
          <cell r="M2827" t="str">
            <v>131236-DR-E</v>
          </cell>
          <cell r="N2827" t="str">
            <v>WIL23-LVSG-0001A Control Circuit - 9</v>
          </cell>
        </row>
        <row r="2828">
          <cell r="M2828" t="str">
            <v>131236-DR-E</v>
          </cell>
          <cell r="N2828" t="str">
            <v>WIL23-LVSG-0001A Control Circuit - 10</v>
          </cell>
        </row>
        <row r="2829">
          <cell r="M2829" t="str">
            <v>131236-DR-E</v>
          </cell>
          <cell r="N2829" t="str">
            <v>WIL23-LVSG-0001A Control Circuit - 11</v>
          </cell>
        </row>
        <row r="2830">
          <cell r="M2830" t="str">
            <v>131236-DR-E</v>
          </cell>
          <cell r="N2830" t="str">
            <v>Panel Schematics -  Low Voltage System Equipment LVSG - WIL23-LVSG-0001A</v>
          </cell>
        </row>
        <row r="2831">
          <cell r="M2831" t="str">
            <v>131236-DR-E</v>
          </cell>
          <cell r="N2831" t="str">
            <v>Panel Schematics -  Low Voltage System Equipment LVSG - WIL23-LVSG-0001A</v>
          </cell>
        </row>
        <row r="2832">
          <cell r="M2832" t="str">
            <v>131236-DR-E</v>
          </cell>
          <cell r="N2832" t="str">
            <v>Panel Schematics -  Low Voltage System Equipment LVSG - WIL23-LVSG-0001A</v>
          </cell>
        </row>
        <row r="2833">
          <cell r="M2833" t="str">
            <v>131236-DR-E</v>
          </cell>
          <cell r="N2833" t="str">
            <v>Panel Schematics -  Low Voltage System Equipment LVSG - WIL23-LVSG-0001A</v>
          </cell>
        </row>
        <row r="2834">
          <cell r="M2834" t="str">
            <v>131236-DR-E</v>
          </cell>
          <cell r="N2834" t="str">
            <v>Panel Schematics -  Low Voltage System Equipment LVSG - WIL23-LVSG-0001A</v>
          </cell>
        </row>
        <row r="2835">
          <cell r="M2835" t="str">
            <v>131236-DR-E</v>
          </cell>
          <cell r="N2835" t="str">
            <v>Panel Schematics -  Low Voltage System Equipment LVSG - WIL23-LVSG-0001A</v>
          </cell>
        </row>
        <row r="2836">
          <cell r="M2836" t="str">
            <v>131236-DR-E</v>
          </cell>
          <cell r="N2836" t="str">
            <v>Panel Schematics -  Low Voltage System Equipment LVSG - WIL23-LVSG-0001A</v>
          </cell>
        </row>
        <row r="2837">
          <cell r="M2837" t="str">
            <v>131236-DR-E</v>
          </cell>
          <cell r="N2837" t="str">
            <v>Panel Schematics -  Low Voltage System Equipment LVSG - WIL23-LVSG-0001A</v>
          </cell>
        </row>
        <row r="2838">
          <cell r="M2838" t="str">
            <v>131236-DR-E</v>
          </cell>
          <cell r="N2838" t="str">
            <v>Panel Schematics -  Low Voltage System Equipment LVSG - WIL23-LVSG-0001A</v>
          </cell>
        </row>
        <row r="2839">
          <cell r="M2839" t="str">
            <v>131236-DR-E</v>
          </cell>
          <cell r="N2839" t="str">
            <v>Panel Schematics -  Low Voltage System Equipment LVSG - WIL23-LVSG-0001A</v>
          </cell>
        </row>
        <row r="2840">
          <cell r="M2840" t="str">
            <v>131236-DR-E</v>
          </cell>
          <cell r="N2840" t="str">
            <v>Panel Schematics -  Low Voltage System Equipment LVSG - WIL23-LVSG-0001A</v>
          </cell>
        </row>
        <row r="2841">
          <cell r="M2841" t="str">
            <v>131236-DR-E</v>
          </cell>
          <cell r="N2841" t="str">
            <v>Panel Schematics -  Low Voltage System Equipment LVSG - WIL23-LVSG-0001A</v>
          </cell>
        </row>
        <row r="2842">
          <cell r="M2842" t="str">
            <v>131236-DR-E</v>
          </cell>
          <cell r="N2842" t="str">
            <v>Panel Schematics -  Low Voltage System Equipment LVSG - WIL23-LVSG-0001A</v>
          </cell>
        </row>
        <row r="2843">
          <cell r="M2843" t="str">
            <v>131236-DR-E</v>
          </cell>
          <cell r="N2843" t="str">
            <v>Panel Schematics -  Low Voltage System Equipment LVSG - WIL23-LVSG-0001A</v>
          </cell>
        </row>
        <row r="2844">
          <cell r="M2844" t="str">
            <v>131236-DR-E</v>
          </cell>
          <cell r="N2844" t="str">
            <v>Panel Schematics -  Low Voltage System Equipment LVSG - WIL23-LVSG-0001A</v>
          </cell>
        </row>
        <row r="2845">
          <cell r="M2845" t="str">
            <v>131236-DR-E</v>
          </cell>
          <cell r="N2845" t="str">
            <v>Panel Schematics -  Low Voltage System Equipment LVSG - WIL23-LVSG-0001A</v>
          </cell>
        </row>
        <row r="2846">
          <cell r="M2846" t="str">
            <v>131236-DR-E</v>
          </cell>
          <cell r="N2846" t="str">
            <v>Panel Schematics -  Low Voltage System Equipment LVSG - WIL23-LVSG-0001A</v>
          </cell>
        </row>
        <row r="2847">
          <cell r="M2847" t="str">
            <v>131236-DR-E</v>
          </cell>
          <cell r="N2847" t="str">
            <v>Panel Schematics -  Low Voltage System Equipment LVSG - WIL23-LVSG-0001A</v>
          </cell>
        </row>
        <row r="2848">
          <cell r="M2848" t="str">
            <v>131236-DR-E</v>
          </cell>
          <cell r="N2848" t="str">
            <v>Panel Schematics -  Low Voltage System Equipment LVSG - WIL23-LVSG-0001A</v>
          </cell>
        </row>
        <row r="2849">
          <cell r="M2849" t="str">
            <v>131236-DR-E</v>
          </cell>
          <cell r="N2849" t="str">
            <v>Panel Schematics -  Low Voltage System Equipment LVSG - WIL23-LVSG-0001A</v>
          </cell>
        </row>
        <row r="2850">
          <cell r="M2850" t="str">
            <v>131236-DR-E</v>
          </cell>
          <cell r="N2850" t="str">
            <v>Panel Schematics -  Low Voltage System Equipment LVSG - WIL23-LVSG-0001A</v>
          </cell>
        </row>
        <row r="2851">
          <cell r="M2851" t="str">
            <v>131236-DR-E</v>
          </cell>
          <cell r="N2851" t="str">
            <v>Panel Schematics -  Low Voltage System Equipment LVSG - WIL23-LVSG-0001A</v>
          </cell>
        </row>
        <row r="2852">
          <cell r="M2852" t="str">
            <v>131236-DR-E</v>
          </cell>
          <cell r="N2852" t="str">
            <v>Panel Schematics -  Low Voltage System Equipment LVSG - WIL23-LVSG-0001A</v>
          </cell>
        </row>
        <row r="2853">
          <cell r="M2853" t="str">
            <v>131236-DR-E</v>
          </cell>
          <cell r="N2853" t="str">
            <v>Panel Schematics -  Low Voltage System Equipment LVSG - WIL23-LVSG-0001A</v>
          </cell>
        </row>
        <row r="2854">
          <cell r="M2854" t="str">
            <v>131236-DR-E</v>
          </cell>
          <cell r="N2854" t="str">
            <v>Panel Schematics -  Low Voltage System Equipment LVSG - WIL23-LVSG-0001A</v>
          </cell>
        </row>
        <row r="2855">
          <cell r="M2855" t="str">
            <v>131236-DR-E</v>
          </cell>
          <cell r="N2855" t="str">
            <v>WIL23-LVSG-0001B Control Circuit Legend</v>
          </cell>
        </row>
        <row r="2856">
          <cell r="M2856" t="str">
            <v>131236-DR-E</v>
          </cell>
          <cell r="N2856" t="str">
            <v>WIL23-LVSG-0001B Control Circuit - 1</v>
          </cell>
        </row>
        <row r="2857">
          <cell r="M2857" t="str">
            <v>131236-DR-E</v>
          </cell>
          <cell r="N2857" t="str">
            <v>WIL23-LVSG-0001B Control Circuit - 2</v>
          </cell>
        </row>
        <row r="2858">
          <cell r="M2858" t="str">
            <v>131236-DR-E</v>
          </cell>
          <cell r="N2858" t="str">
            <v>WIL23-LVSG-0001B Control Circuit - 3</v>
          </cell>
        </row>
        <row r="2859">
          <cell r="M2859" t="str">
            <v>131236-DR-E</v>
          </cell>
          <cell r="N2859" t="str">
            <v>WIL23-LVSG-0001B Control Circuit - 4</v>
          </cell>
        </row>
        <row r="2860">
          <cell r="M2860" t="str">
            <v>131236-DR-E</v>
          </cell>
          <cell r="N2860" t="str">
            <v>WIL23-LVSG-0001B Control Circuit - 5</v>
          </cell>
        </row>
        <row r="2861">
          <cell r="M2861" t="str">
            <v>131236-DR-E</v>
          </cell>
          <cell r="N2861" t="str">
            <v>WIL23-LVSG-0001B Control Circuit - 6</v>
          </cell>
        </row>
        <row r="2862">
          <cell r="M2862" t="str">
            <v>131236-DR-E</v>
          </cell>
          <cell r="N2862" t="str">
            <v>WIL23-LVSG-0001B Control Circuit - 7</v>
          </cell>
        </row>
        <row r="2863">
          <cell r="M2863" t="str">
            <v>131236-DR-E</v>
          </cell>
          <cell r="N2863" t="str">
            <v>WIL23-LVSG-0001B Control Circuit - 8</v>
          </cell>
        </row>
        <row r="2864">
          <cell r="M2864" t="str">
            <v>131236-DR-E</v>
          </cell>
          <cell r="N2864" t="str">
            <v>WIL23-LVSG-0001B Control Circuit - 9</v>
          </cell>
        </row>
        <row r="2865">
          <cell r="M2865" t="str">
            <v>131236-DR-E</v>
          </cell>
          <cell r="N2865" t="str">
            <v>WIL23-LVSG-0001B Control Circuit - 10</v>
          </cell>
        </row>
        <row r="2866">
          <cell r="M2866" t="str">
            <v>131236-DR-E</v>
          </cell>
          <cell r="N2866" t="str">
            <v>Panel Schematics -  Low Voltage System Equipment LVSG - WIL23-LVSG-0001B</v>
          </cell>
        </row>
        <row r="2867">
          <cell r="M2867" t="str">
            <v>131236-DR-E</v>
          </cell>
          <cell r="N2867" t="str">
            <v>Panel Schematics -  Low Voltage System Equipment LVSG - WIL23-LVSG-0001B</v>
          </cell>
        </row>
        <row r="2868">
          <cell r="M2868" t="str">
            <v>131236-DR-E</v>
          </cell>
          <cell r="N2868" t="str">
            <v>Panel Schematics -  Low Voltage System Equipment LVSG - WIL23-LVSG-0001B</v>
          </cell>
        </row>
        <row r="2869">
          <cell r="M2869" t="str">
            <v>131236-DR-E</v>
          </cell>
          <cell r="N2869" t="str">
            <v>Panel Schematics -  Low Voltage System Equipment LVSG - WIL23-LVSG-0001B</v>
          </cell>
        </row>
        <row r="2870">
          <cell r="M2870" t="str">
            <v>131236-DR-E</v>
          </cell>
          <cell r="N2870" t="str">
            <v>Panel Schematics -  Low Voltage System Equipment LVSG - WIL23-LVSG-0001B</v>
          </cell>
        </row>
        <row r="2871">
          <cell r="M2871" t="str">
            <v>131236-DR-E</v>
          </cell>
          <cell r="N2871" t="str">
            <v>Panel Schematics -  Low Voltage System Equipment LVSG - WIL23-LVSG-0001B</v>
          </cell>
        </row>
        <row r="2872">
          <cell r="M2872" t="str">
            <v>131236-DR-E</v>
          </cell>
          <cell r="N2872" t="str">
            <v>Panel Schematics -  Low Voltage System Equipment LVSG - WIL23-LVSG-0001B</v>
          </cell>
        </row>
        <row r="2873">
          <cell r="M2873" t="str">
            <v>131236-DR-E</v>
          </cell>
          <cell r="N2873" t="str">
            <v>Panel Schematics -  Low Voltage System Equipment LVSG - WIL23-LVSG-0001B</v>
          </cell>
        </row>
        <row r="2874">
          <cell r="M2874" t="str">
            <v>131236-DR-E</v>
          </cell>
          <cell r="N2874" t="str">
            <v>Panel Schematics -  Low Voltage System Equipment LVSG - WIL23-LVSG-0001B</v>
          </cell>
        </row>
        <row r="2875">
          <cell r="M2875" t="str">
            <v>131236-DR-E</v>
          </cell>
          <cell r="N2875" t="str">
            <v>Panel Schematics -  Low Voltage System Equipment LVSG - WIL23-LVSG-0001B</v>
          </cell>
        </row>
        <row r="2876">
          <cell r="M2876" t="str">
            <v>131236-DR-E</v>
          </cell>
          <cell r="N2876" t="str">
            <v>Panel Schematics -  Low Voltage System Equipment LVSG - WIL23-LVSG-0001B</v>
          </cell>
        </row>
        <row r="2877">
          <cell r="M2877" t="str">
            <v>131236-DR-E</v>
          </cell>
          <cell r="N2877" t="str">
            <v>Panel Schematics -  Low Voltage System Equipment LVSG - WIL23-LVSG-0001B</v>
          </cell>
        </row>
        <row r="2878">
          <cell r="M2878" t="str">
            <v>131236-DR-E</v>
          </cell>
          <cell r="N2878" t="str">
            <v>Panel Schematics -  Low Voltage System Equipment LVSG - WIL23-LVSG-0001B</v>
          </cell>
        </row>
        <row r="2879">
          <cell r="M2879" t="str">
            <v>131236-DR-E</v>
          </cell>
          <cell r="N2879" t="str">
            <v>Panel Schematics -  Low Voltage System Equipment LVSG - WIL23-LVSG-0001B</v>
          </cell>
        </row>
        <row r="2880">
          <cell r="M2880" t="str">
            <v>131236-DR-E</v>
          </cell>
          <cell r="N2880" t="str">
            <v>Panel Schematics -  Low Voltage System Equipment LVSG - WIL23-LVSG-0001B</v>
          </cell>
        </row>
        <row r="2881">
          <cell r="M2881" t="str">
            <v>131236-DR-E</v>
          </cell>
          <cell r="N2881" t="str">
            <v>Panel Schematics -  Low Voltage System Equipment LVSG - WIL23-LVSG-0001B</v>
          </cell>
        </row>
        <row r="2882">
          <cell r="M2882" t="str">
            <v>131236-DR-E</v>
          </cell>
          <cell r="N2882" t="str">
            <v>Panel Schematics -  Low Voltage System Equipment LVSG - WIL23-LVSG-0001B</v>
          </cell>
        </row>
        <row r="2883">
          <cell r="M2883" t="str">
            <v>131236-DR-E</v>
          </cell>
          <cell r="N2883" t="str">
            <v>Panel Schematics -  Low Voltage System Equipment LVSG - WIL23-LVSG-0001B</v>
          </cell>
        </row>
        <row r="2884">
          <cell r="M2884" t="str">
            <v>131236-DR-E</v>
          </cell>
          <cell r="N2884" t="str">
            <v>Panel Schematics -  Low Voltage System Equipment LVSG - WIL23-LVSG-0001B</v>
          </cell>
        </row>
        <row r="2885">
          <cell r="M2885" t="str">
            <v>131236-DR-E</v>
          </cell>
          <cell r="N2885" t="str">
            <v>Panel Schematics -  Low Voltage System Equipment LVSG - WIL23-LVSG-0001B</v>
          </cell>
        </row>
        <row r="2886">
          <cell r="M2886" t="str">
            <v>131236-DR-E</v>
          </cell>
          <cell r="N2886" t="str">
            <v>Panel Schematics -  Low Voltage System Equipment LVSG - WIL23-LVSG-0001B</v>
          </cell>
        </row>
        <row r="2887">
          <cell r="M2887" t="str">
            <v>131236-DR-E</v>
          </cell>
          <cell r="N2887" t="str">
            <v>Panel Schematics -  Low Voltage System Equipment LVSG - WIL23-LVSG-0001B</v>
          </cell>
        </row>
        <row r="2888">
          <cell r="M2888" t="str">
            <v>131236-DR-E</v>
          </cell>
          <cell r="N2888" t="str">
            <v>Panel Schematics -  Low Voltage System Equipment LVSG - WIL23-LVSG-0001B</v>
          </cell>
        </row>
        <row r="2889">
          <cell r="M2889" t="str">
            <v>131236-DR-E</v>
          </cell>
          <cell r="N2889" t="str">
            <v>Panel Schematics -  Low Voltage System Equipment LVSG - WIL23-LVSG-0001B</v>
          </cell>
        </row>
        <row r="2890">
          <cell r="M2890" t="str">
            <v>131236-DR-E</v>
          </cell>
          <cell r="N2890" t="str">
            <v>Panel Schematics -  Low Voltage System Equipment LVSG - WIL23-LVSG-0001B</v>
          </cell>
        </row>
        <row r="2891">
          <cell r="M2891" t="str">
            <v>131236-DR-E</v>
          </cell>
          <cell r="N2891" t="str">
            <v>WIL23-LVSG-0002A Control Circuit Legend</v>
          </cell>
        </row>
        <row r="2892">
          <cell r="M2892" t="str">
            <v>131236-DR-E</v>
          </cell>
          <cell r="N2892" t="str">
            <v>WIL23-LVSG-0002A Control Circuit - 1</v>
          </cell>
        </row>
        <row r="2893">
          <cell r="M2893" t="str">
            <v>131236-DR-E</v>
          </cell>
          <cell r="N2893" t="str">
            <v>WIL23-LVSG-0002A Control Circuit - 2</v>
          </cell>
        </row>
        <row r="2894">
          <cell r="M2894" t="str">
            <v>131236-DR-E</v>
          </cell>
          <cell r="N2894" t="str">
            <v>WIL23-LVSG-0002A Control Circuit - 3</v>
          </cell>
        </row>
        <row r="2895">
          <cell r="M2895" t="str">
            <v>131236-DR-E</v>
          </cell>
          <cell r="N2895" t="str">
            <v>WIL23-LVSG-0002A Control Circuit - 4</v>
          </cell>
        </row>
        <row r="2896">
          <cell r="M2896" t="str">
            <v>131236-DR-E</v>
          </cell>
          <cell r="N2896" t="str">
            <v>WIL23-LVSG-0002A Control Circuit - 5</v>
          </cell>
        </row>
        <row r="2897">
          <cell r="M2897" t="str">
            <v>131236-DR-E</v>
          </cell>
          <cell r="N2897" t="str">
            <v>WIL23-LVSG-0002A Control Circuit - 6</v>
          </cell>
        </row>
        <row r="2898">
          <cell r="M2898" t="str">
            <v>131236-DR-E</v>
          </cell>
          <cell r="N2898" t="str">
            <v>WIL23-LVSG-0002A Control Circuit - 7</v>
          </cell>
        </row>
        <row r="2899">
          <cell r="M2899" t="str">
            <v>131236-DR-E</v>
          </cell>
          <cell r="N2899" t="str">
            <v>WIL23-LVSG-0002A Control Circuit - 8</v>
          </cell>
        </row>
        <row r="2900">
          <cell r="M2900" t="str">
            <v>131236-DR-E</v>
          </cell>
          <cell r="N2900" t="str">
            <v>WIL23-LVSG-0002A Control Circuit - 9</v>
          </cell>
        </row>
        <row r="2901">
          <cell r="M2901" t="str">
            <v>131236-DR-E</v>
          </cell>
          <cell r="N2901" t="str">
            <v>WIL23-LVSG-0002A Control Circuit - 10</v>
          </cell>
        </row>
        <row r="2902">
          <cell r="M2902" t="str">
            <v>131236-DR-E</v>
          </cell>
          <cell r="N2902" t="str">
            <v>WIL23-LVSG-0002A Control Circuit - 11</v>
          </cell>
        </row>
        <row r="2903">
          <cell r="M2903" t="str">
            <v>131236-DR-E</v>
          </cell>
          <cell r="N2903" t="str">
            <v>WIL23-LVSG-0002B Control Circuit Legend</v>
          </cell>
        </row>
        <row r="2904">
          <cell r="M2904" t="str">
            <v>131236-DR-E</v>
          </cell>
          <cell r="N2904" t="str">
            <v>WIL23-LVSG-0002B Control Circuit - 1</v>
          </cell>
        </row>
        <row r="2905">
          <cell r="M2905" t="str">
            <v>131236-DR-E</v>
          </cell>
          <cell r="N2905" t="str">
            <v>WIL23-LVSG-0002B Control Circuit - 2</v>
          </cell>
        </row>
        <row r="2906">
          <cell r="M2906" t="str">
            <v>131236-DR-E</v>
          </cell>
          <cell r="N2906" t="str">
            <v>WIL23-LVSG-0002B Control Circuit - 3</v>
          </cell>
        </row>
        <row r="2907">
          <cell r="M2907" t="str">
            <v>131236-DR-E</v>
          </cell>
          <cell r="N2907" t="str">
            <v>WIL23-LVSG-0002B Control Circuit - 4</v>
          </cell>
        </row>
        <row r="2908">
          <cell r="M2908" t="str">
            <v>131236-DR-E</v>
          </cell>
          <cell r="N2908" t="str">
            <v>WIL23-LVSG-0002B Control Circuit - 5</v>
          </cell>
        </row>
        <row r="2909">
          <cell r="M2909" t="str">
            <v>131236-DR-E</v>
          </cell>
          <cell r="N2909" t="str">
            <v>WIL23-LVSG-0002B Control Circuit - 6</v>
          </cell>
        </row>
        <row r="2910">
          <cell r="M2910" t="str">
            <v>131236-DR-E</v>
          </cell>
          <cell r="N2910" t="str">
            <v>WIL23-LVSG-0002B Control Circuit - 7</v>
          </cell>
        </row>
        <row r="2911">
          <cell r="M2911" t="str">
            <v>131236-DR-E</v>
          </cell>
          <cell r="N2911" t="str">
            <v>WIL23-LVSG-0002B Control Circuit - 8</v>
          </cell>
        </row>
        <row r="2912">
          <cell r="M2912" t="str">
            <v>131236-DR-E</v>
          </cell>
          <cell r="N2912" t="str">
            <v>WIL23-LVSG-0002B Control Circuit - 9</v>
          </cell>
        </row>
        <row r="2913">
          <cell r="M2913" t="str">
            <v>131236-DR-E</v>
          </cell>
          <cell r="N2913" t="str">
            <v>WIL23-LVSG-0002B Control Circuit - 10</v>
          </cell>
        </row>
        <row r="2914">
          <cell r="M2914" t="str">
            <v>131236-DR-E</v>
          </cell>
          <cell r="N2914" t="str">
            <v>WIL23-LVSG-0003A Control Circuit Legend</v>
          </cell>
        </row>
        <row r="2915">
          <cell r="M2915" t="str">
            <v>131236-DR-E</v>
          </cell>
          <cell r="N2915" t="str">
            <v>WIL23-LVSG-0003A Control Circuit - 1</v>
          </cell>
        </row>
        <row r="2916">
          <cell r="M2916" t="str">
            <v>131236-DR-E</v>
          </cell>
          <cell r="N2916" t="str">
            <v>WIL23-LVSG-0003A Control Circuit - 2</v>
          </cell>
        </row>
        <row r="2917">
          <cell r="M2917" t="str">
            <v>131236-DR-E</v>
          </cell>
          <cell r="N2917" t="str">
            <v>WIL23-LVSG-0003A Control Circuit - 3</v>
          </cell>
        </row>
        <row r="2918">
          <cell r="M2918" t="str">
            <v>131236-DR-E</v>
          </cell>
          <cell r="N2918" t="str">
            <v>WIL23-LVSG-0003A Control Circuit - 4</v>
          </cell>
        </row>
        <row r="2919">
          <cell r="M2919" t="str">
            <v>131236-DR-E</v>
          </cell>
          <cell r="N2919" t="str">
            <v>WIL23-LVSG-0003A Control Circuit - 5</v>
          </cell>
        </row>
        <row r="2920">
          <cell r="M2920" t="str">
            <v>131236-DR-E</v>
          </cell>
          <cell r="N2920" t="str">
            <v>WIL23-LVSG-0003A Control Circuit - 6</v>
          </cell>
        </row>
        <row r="2921">
          <cell r="M2921" t="str">
            <v>131236-DR-E</v>
          </cell>
          <cell r="N2921" t="str">
            <v>WIL23-LVSG-0003A Control Circuit - 7</v>
          </cell>
        </row>
        <row r="2922">
          <cell r="M2922" t="str">
            <v>131236-DR-E</v>
          </cell>
          <cell r="N2922" t="str">
            <v>WIL23-LVSG-0003A Control Circuit - 8</v>
          </cell>
        </row>
        <row r="2923">
          <cell r="M2923" t="str">
            <v>131236-DR-E</v>
          </cell>
          <cell r="N2923" t="str">
            <v>WIL23-LVSG-0003A Control Circuit - 9</v>
          </cell>
        </row>
        <row r="2924">
          <cell r="M2924" t="str">
            <v>131236-DR-E</v>
          </cell>
          <cell r="N2924" t="str">
            <v>WIL23-LVSG-0003A Control Circuit - 10</v>
          </cell>
        </row>
        <row r="2925">
          <cell r="M2925" t="str">
            <v>131236-DR-E</v>
          </cell>
          <cell r="N2925" t="str">
            <v>WIL23-LVSG-0003A Control Circuit - 11</v>
          </cell>
        </row>
        <row r="2926">
          <cell r="M2926" t="str">
            <v>131236-DR-E</v>
          </cell>
          <cell r="N2926" t="str">
            <v>WIL23-LVSG-0003B Control Circuit Legend</v>
          </cell>
        </row>
        <row r="2927">
          <cell r="M2927" t="str">
            <v>131236-DR-E</v>
          </cell>
          <cell r="N2927" t="str">
            <v>WIL23-LVSG-0003B Control Circuit - 1</v>
          </cell>
        </row>
        <row r="2928">
          <cell r="M2928" t="str">
            <v>131236-DR-E</v>
          </cell>
          <cell r="N2928" t="str">
            <v>WIL23-LVSG-0003B Control Circuit - 2</v>
          </cell>
        </row>
        <row r="2929">
          <cell r="M2929" t="str">
            <v>131236-DR-E</v>
          </cell>
          <cell r="N2929" t="str">
            <v>WIL23-LVSG-0003B Control Circuit - 3</v>
          </cell>
        </row>
        <row r="2930">
          <cell r="M2930" t="str">
            <v>131236-DR-E</v>
          </cell>
          <cell r="N2930" t="str">
            <v>WIL23-LVSG-0003B Control Circuit - 4</v>
          </cell>
        </row>
        <row r="2931">
          <cell r="M2931" t="str">
            <v>131236-DR-E</v>
          </cell>
          <cell r="N2931" t="str">
            <v>WIL23-LVSG-0003B Control Circuit - 5</v>
          </cell>
        </row>
        <row r="2932">
          <cell r="M2932" t="str">
            <v>131236-DR-E</v>
          </cell>
          <cell r="N2932" t="str">
            <v>WIL23-LVSG-0003B Control Circuit - 6</v>
          </cell>
        </row>
        <row r="2933">
          <cell r="M2933" t="str">
            <v>131236-DR-E</v>
          </cell>
          <cell r="N2933" t="str">
            <v>WIL23-LVSG-0003B Control Circuit - 7</v>
          </cell>
        </row>
        <row r="2934">
          <cell r="M2934" t="str">
            <v>131236-DR-E</v>
          </cell>
          <cell r="N2934" t="str">
            <v>WIL23-LVSG-0003B Control Circuit - 8</v>
          </cell>
        </row>
        <row r="2935">
          <cell r="M2935" t="str">
            <v>131236-DR-E</v>
          </cell>
          <cell r="N2935" t="str">
            <v>WIL23-LVSG-0003B Control Circuit - 9</v>
          </cell>
        </row>
        <row r="2936">
          <cell r="M2936" t="str">
            <v>131236-DR-E</v>
          </cell>
          <cell r="N2936" t="str">
            <v>WIL23-LVSG-0003B Control Circuit - 10</v>
          </cell>
        </row>
        <row r="2937">
          <cell r="M2937" t="str">
            <v>131236-DR-E</v>
          </cell>
          <cell r="N2937" t="str">
            <v>WIL23-MCC-0001A Control Circuit Legend</v>
          </cell>
        </row>
        <row r="2938">
          <cell r="M2938" t="str">
            <v>131236-DR-E</v>
          </cell>
          <cell r="N2938" t="str">
            <v>WIL23-MCC-0001A Control Circuit - 1</v>
          </cell>
        </row>
        <row r="2939">
          <cell r="M2939" t="str">
            <v>131236-DR-E</v>
          </cell>
          <cell r="N2939" t="str">
            <v>WIL23-MCC-0001A Control Circuit - 2</v>
          </cell>
        </row>
        <row r="2940">
          <cell r="M2940" t="str">
            <v>131236-DR-E</v>
          </cell>
          <cell r="N2940" t="str">
            <v>WIL23-MCC-0001A Control Circuit - 3</v>
          </cell>
        </row>
        <row r="2941">
          <cell r="M2941" t="str">
            <v>131236-DR-E</v>
          </cell>
          <cell r="N2941" t="str">
            <v>WIL23-MCC-0001A Control Circuit - 4</v>
          </cell>
        </row>
        <row r="2942">
          <cell r="M2942" t="str">
            <v>131236-DR-E</v>
          </cell>
          <cell r="N2942" t="str">
            <v>WIL23-MCC-0001A Control Circuit - 5</v>
          </cell>
        </row>
        <row r="2943">
          <cell r="M2943" t="str">
            <v>131236-DR-E</v>
          </cell>
          <cell r="N2943" t="str">
            <v>WIL23-MCC-0001A Control Circuit - 6</v>
          </cell>
        </row>
        <row r="2944">
          <cell r="M2944" t="str">
            <v>131236-DR-E</v>
          </cell>
          <cell r="N2944" t="str">
            <v>WIL23-MCC-0001A Control Circuit - 7</v>
          </cell>
        </row>
        <row r="2945">
          <cell r="M2945" t="str">
            <v>131236-DR-E</v>
          </cell>
          <cell r="N2945" t="str">
            <v>WIL23-MCC-0001A Control Circuit - 8</v>
          </cell>
        </row>
        <row r="2946">
          <cell r="M2946" t="str">
            <v>131236-DR-E</v>
          </cell>
          <cell r="N2946" t="str">
            <v>WIL23-MCC-0001A Control Circuit - 9</v>
          </cell>
        </row>
        <row r="2947">
          <cell r="M2947" t="str">
            <v>131236-DR-E</v>
          </cell>
          <cell r="N2947" t="str">
            <v>WIL23-MCC-0001A Control Circuit - 10</v>
          </cell>
        </row>
        <row r="2948">
          <cell r="M2948" t="str">
            <v>131236-DR-E</v>
          </cell>
          <cell r="N2948" t="str">
            <v>WIL23-MCC-0001A Control Circuit - 11</v>
          </cell>
        </row>
        <row r="2949">
          <cell r="M2949" t="str">
            <v>131236-DR-E</v>
          </cell>
          <cell r="N2949" t="str">
            <v>WIL23-MCC-0001A Control Circuit - 12</v>
          </cell>
        </row>
        <row r="2950">
          <cell r="M2950" t="str">
            <v>131236-DR-E</v>
          </cell>
          <cell r="N2950" t="str">
            <v>WIL23-MCC-0001A Control Circuit - 13</v>
          </cell>
        </row>
        <row r="2951">
          <cell r="M2951" t="str">
            <v>131236-DR-E</v>
          </cell>
          <cell r="N2951" t="str">
            <v>WIL23-MCC-0001A Control Circuit - 14</v>
          </cell>
        </row>
        <row r="2952">
          <cell r="M2952" t="str">
            <v>131236-DR-E</v>
          </cell>
          <cell r="N2952" t="str">
            <v>WIL23-MCC-0001A Control Circuit - 15</v>
          </cell>
        </row>
        <row r="2953">
          <cell r="M2953" t="str">
            <v>131236-DR-E</v>
          </cell>
          <cell r="N2953" t="str">
            <v>WIL23-MCC-0001B Control Circuit Legend</v>
          </cell>
        </row>
        <row r="2954">
          <cell r="M2954" t="str">
            <v>131236-DR-E</v>
          </cell>
          <cell r="N2954" t="str">
            <v>WIL23-MCC-0001B Control Circuit - 1</v>
          </cell>
        </row>
        <row r="2955">
          <cell r="M2955" t="str">
            <v>131236-DR-E</v>
          </cell>
          <cell r="N2955" t="str">
            <v>WIL23-MCC-0001B Control Circuit - 2</v>
          </cell>
        </row>
        <row r="2956">
          <cell r="M2956" t="str">
            <v>131236-DR-E</v>
          </cell>
          <cell r="N2956" t="str">
            <v>WIL23-MCC-0001B Control Circuit - 3</v>
          </cell>
        </row>
        <row r="2957">
          <cell r="M2957" t="str">
            <v>131236-DR-E</v>
          </cell>
          <cell r="N2957" t="str">
            <v>WIL23-MCC-0001B Control Circuit - 4</v>
          </cell>
        </row>
        <row r="2958">
          <cell r="M2958" t="str">
            <v>131236-DR-E</v>
          </cell>
          <cell r="N2958" t="str">
            <v>WIL23-MCC-0001B Control Circuit - 5</v>
          </cell>
        </row>
        <row r="2959">
          <cell r="M2959" t="str">
            <v>131236-DR-E</v>
          </cell>
          <cell r="N2959" t="str">
            <v>WIL23-MCC-0001B Control Circuit - 6</v>
          </cell>
        </row>
        <row r="2960">
          <cell r="M2960" t="str">
            <v>131236-DR-E</v>
          </cell>
          <cell r="N2960" t="str">
            <v>WIL23-MCC-0001B Control Circuit - 7</v>
          </cell>
        </row>
        <row r="2961">
          <cell r="M2961" t="str">
            <v>131236-DR-E</v>
          </cell>
          <cell r="N2961" t="str">
            <v>WIL23-MCC-0001B Control Circuit - 8</v>
          </cell>
        </row>
        <row r="2962">
          <cell r="M2962" t="str">
            <v>131236-DR-E</v>
          </cell>
          <cell r="N2962" t="str">
            <v>WIL23-MCC-0001B Control Circuit - 9</v>
          </cell>
        </row>
        <row r="2963">
          <cell r="M2963" t="str">
            <v>131236-DR-E</v>
          </cell>
          <cell r="N2963" t="str">
            <v>WIL23-MCC-0001B Control Circuit - 10</v>
          </cell>
        </row>
        <row r="2964">
          <cell r="M2964" t="str">
            <v>131236-DR-E</v>
          </cell>
          <cell r="N2964" t="str">
            <v>WIL23-MCC-0001B Control Circuit - 11</v>
          </cell>
        </row>
        <row r="2965">
          <cell r="M2965" t="str">
            <v>131236-DR-E</v>
          </cell>
          <cell r="N2965" t="str">
            <v>WIL23-MCC-0001B Control Circuit - 12</v>
          </cell>
        </row>
        <row r="2966">
          <cell r="M2966" t="str">
            <v>131236-DR-E</v>
          </cell>
          <cell r="N2966" t="str">
            <v>WIL23-MCC-0001B Control Circuit - 13</v>
          </cell>
        </row>
        <row r="2967">
          <cell r="M2967" t="str">
            <v>131236-DR-E</v>
          </cell>
          <cell r="N2967" t="str">
            <v>WIL23-MCC-0001B Control Circuit - 14</v>
          </cell>
        </row>
        <row r="2968">
          <cell r="M2968" t="str">
            <v>131236-DR-E</v>
          </cell>
          <cell r="N2968" t="str">
            <v>WIL23-MCC-0001B Control Circuit - 15</v>
          </cell>
        </row>
        <row r="2969">
          <cell r="M2969" t="str">
            <v>131236-DR-E</v>
          </cell>
          <cell r="N2969" t="str">
            <v>WIL23-MCC-0002A Control Circuit Legend</v>
          </cell>
        </row>
        <row r="2970">
          <cell r="M2970" t="str">
            <v>131236-DR-E</v>
          </cell>
          <cell r="N2970" t="str">
            <v>WIL23-MCC-0002A Control Circuit - 1</v>
          </cell>
        </row>
        <row r="2971">
          <cell r="M2971" t="str">
            <v>131236-DR-E</v>
          </cell>
          <cell r="N2971" t="str">
            <v>WIL23-MCC-0002A Control Circuit - 2</v>
          </cell>
        </row>
        <row r="2972">
          <cell r="M2972" t="str">
            <v>131236-DR-E</v>
          </cell>
          <cell r="N2972" t="str">
            <v>WIL23-MCC-0002A Control Circuit - 3</v>
          </cell>
        </row>
        <row r="2973">
          <cell r="M2973" t="str">
            <v>131236-DR-E</v>
          </cell>
          <cell r="N2973" t="str">
            <v>WIL23-MCC-0002A Control Circuit - 4</v>
          </cell>
        </row>
        <row r="2974">
          <cell r="M2974" t="str">
            <v>131236-DR-E</v>
          </cell>
          <cell r="N2974" t="str">
            <v>WIL23-MCC-0002A Control Circuit - 5</v>
          </cell>
        </row>
        <row r="2975">
          <cell r="M2975" t="str">
            <v>131236-DR-E</v>
          </cell>
          <cell r="N2975" t="str">
            <v>WIL23-MCC-0002A Control Circuit - 6</v>
          </cell>
        </row>
        <row r="2976">
          <cell r="M2976" t="str">
            <v>131236-DR-E</v>
          </cell>
          <cell r="N2976" t="str">
            <v>WIL23-MCC-0002A Control Circuit - 7</v>
          </cell>
        </row>
        <row r="2977">
          <cell r="M2977" t="str">
            <v>131236-DR-E</v>
          </cell>
          <cell r="N2977" t="str">
            <v>WIL23-MCC-0002A Control Circuit - 8</v>
          </cell>
        </row>
        <row r="2978">
          <cell r="M2978" t="str">
            <v>131236-DR-E</v>
          </cell>
          <cell r="N2978" t="str">
            <v>WIL23-MCC-0002A Control Circuit - 9</v>
          </cell>
        </row>
        <row r="2979">
          <cell r="M2979" t="str">
            <v>131236-DR-E</v>
          </cell>
          <cell r="N2979" t="str">
            <v>WIL23-MCC-0002A Control Circuit - 10</v>
          </cell>
        </row>
        <row r="2980">
          <cell r="M2980" t="str">
            <v>131236-DR-E</v>
          </cell>
          <cell r="N2980" t="str">
            <v>WIL23-MCC-0002A Control Circuit - 11</v>
          </cell>
        </row>
        <row r="2981">
          <cell r="M2981" t="str">
            <v>131236-DR-E</v>
          </cell>
          <cell r="N2981" t="str">
            <v>WIL23-MCC-0002A Control Circuit - 12</v>
          </cell>
        </row>
        <row r="2982">
          <cell r="M2982" t="str">
            <v>131236-DR-E</v>
          </cell>
          <cell r="N2982" t="str">
            <v>WIL23-MCC-0002A Control Circuit - 13</v>
          </cell>
        </row>
        <row r="2983">
          <cell r="M2983" t="str">
            <v>131236-DR-E</v>
          </cell>
          <cell r="N2983" t="str">
            <v>WIL23-MCC-0002A Control Circuit - 14</v>
          </cell>
        </row>
        <row r="2984">
          <cell r="M2984" t="str">
            <v>131236-DR-E</v>
          </cell>
          <cell r="N2984" t="str">
            <v>WIL23-MCC-0002B Control Circuit Legend</v>
          </cell>
        </row>
        <row r="2985">
          <cell r="M2985" t="str">
            <v>131236-DR-E</v>
          </cell>
          <cell r="N2985" t="str">
            <v>WIL23-MCC-0002B Control Circuit - 1</v>
          </cell>
        </row>
        <row r="2986">
          <cell r="M2986" t="str">
            <v>131236-DR-E</v>
          </cell>
          <cell r="N2986" t="str">
            <v>WIL23-MCC-0002B Control Circuit - 2</v>
          </cell>
        </row>
        <row r="2987">
          <cell r="M2987" t="str">
            <v>131236-DR-E</v>
          </cell>
          <cell r="N2987" t="str">
            <v>WIL23-MCC-0002B Control Circuit - 3</v>
          </cell>
        </row>
        <row r="2988">
          <cell r="M2988" t="str">
            <v>131236-DR-E</v>
          </cell>
          <cell r="N2988" t="str">
            <v>WIL23-MCC-0002B Control Circuit - 4</v>
          </cell>
        </row>
        <row r="2989">
          <cell r="M2989" t="str">
            <v>131236-DR-E</v>
          </cell>
          <cell r="N2989" t="str">
            <v>WIL23-MCC-0002B Control Circuit - 5</v>
          </cell>
        </row>
        <row r="2990">
          <cell r="M2990" t="str">
            <v>131236-DR-E</v>
          </cell>
          <cell r="N2990" t="str">
            <v>WIL23-MCC-0002B Control Circuit - 6</v>
          </cell>
        </row>
        <row r="2991">
          <cell r="M2991" t="str">
            <v>131236-DR-E</v>
          </cell>
          <cell r="N2991" t="str">
            <v>WIL23-MCC-0002B Control Circuit - 7</v>
          </cell>
        </row>
        <row r="2992">
          <cell r="M2992" t="str">
            <v>131236-DR-E</v>
          </cell>
          <cell r="N2992" t="str">
            <v>WIL23-MCC-0002B Control Circuit - 8</v>
          </cell>
        </row>
        <row r="2993">
          <cell r="M2993" t="str">
            <v>131236-DR-E</v>
          </cell>
          <cell r="N2993" t="str">
            <v>WIL23-MCC-0002B Control Circuit - 9</v>
          </cell>
        </row>
        <row r="2994">
          <cell r="M2994" t="str">
            <v>131236-DR-E</v>
          </cell>
          <cell r="N2994" t="str">
            <v>WIL23-MCC-0002B Control Circuit - 10</v>
          </cell>
        </row>
        <row r="2995">
          <cell r="M2995" t="str">
            <v>131236-DR-E</v>
          </cell>
          <cell r="N2995" t="str">
            <v>WIL23-MCC-0002B Control Circuit - 11</v>
          </cell>
        </row>
        <row r="2996">
          <cell r="M2996" t="str">
            <v>131236-DR-E</v>
          </cell>
          <cell r="N2996" t="str">
            <v>WIL23-MCC-0002B Control Circuit - 12</v>
          </cell>
        </row>
        <row r="2997">
          <cell r="M2997" t="str">
            <v>131236-DR-E</v>
          </cell>
          <cell r="N2997" t="str">
            <v>WIL23-MCC-0002B Control Circuit - 13</v>
          </cell>
        </row>
        <row r="2998">
          <cell r="M2998" t="str">
            <v>131236-DR-E</v>
          </cell>
          <cell r="N2998" t="str">
            <v>WIL23-MCC-0002B Control Circuit - 14</v>
          </cell>
        </row>
        <row r="2999">
          <cell r="M2999" t="str">
            <v>131236-DR-E</v>
          </cell>
          <cell r="N2999" t="str">
            <v>WIL23-MCC-0003A Control Circuit Legend</v>
          </cell>
        </row>
        <row r="3000">
          <cell r="M3000" t="str">
            <v>131236-DR-E</v>
          </cell>
          <cell r="N3000" t="str">
            <v>WIL23-MCC-0003A Control Circuit - 1</v>
          </cell>
        </row>
        <row r="3001">
          <cell r="M3001" t="str">
            <v>131236-DR-E</v>
          </cell>
          <cell r="N3001" t="str">
            <v>WIL23-MCC-0003A Control Circuit - 2</v>
          </cell>
        </row>
        <row r="3002">
          <cell r="M3002" t="str">
            <v>131236-DR-E</v>
          </cell>
          <cell r="N3002" t="str">
            <v>WIL23-MCC-0003A Control Circuit - 3</v>
          </cell>
        </row>
        <row r="3003">
          <cell r="M3003" t="str">
            <v>131236-DR-E</v>
          </cell>
          <cell r="N3003" t="str">
            <v>WIL23-MCC-0003A Control Circuit - 4</v>
          </cell>
        </row>
        <row r="3004">
          <cell r="M3004" t="str">
            <v>131236-DR-E</v>
          </cell>
          <cell r="N3004" t="str">
            <v>WIL23-MCC-0003A Control Circuit - 5</v>
          </cell>
        </row>
        <row r="3005">
          <cell r="M3005" t="str">
            <v>131236-DR-E</v>
          </cell>
          <cell r="N3005" t="str">
            <v>WIL23-MCC-0003A Control Circuit - 6</v>
          </cell>
        </row>
        <row r="3006">
          <cell r="M3006" t="str">
            <v>131236-DR-E</v>
          </cell>
          <cell r="N3006" t="str">
            <v>WIL23-MCC-0003A Control Circuit - 7</v>
          </cell>
        </row>
        <row r="3007">
          <cell r="M3007" t="str">
            <v>131236-DR-E</v>
          </cell>
          <cell r="N3007" t="str">
            <v>WIL23-MCC-0003A Control Circuit - 8</v>
          </cell>
        </row>
        <row r="3008">
          <cell r="M3008" t="str">
            <v>131236-DR-E</v>
          </cell>
          <cell r="N3008" t="str">
            <v>WIL23-MCC-0003A Control Circuit - 9</v>
          </cell>
        </row>
        <row r="3009">
          <cell r="M3009" t="str">
            <v>131236-DR-E</v>
          </cell>
          <cell r="N3009" t="str">
            <v>WIL23-MCC-0003A Control Circuit - 10</v>
          </cell>
        </row>
        <row r="3010">
          <cell r="M3010" t="str">
            <v>131236-DR-E</v>
          </cell>
          <cell r="N3010" t="str">
            <v>WIL23-MCC-0003A Control Circuit - 11</v>
          </cell>
        </row>
        <row r="3011">
          <cell r="M3011" t="str">
            <v>131236-DR-E</v>
          </cell>
          <cell r="N3011" t="str">
            <v>WIL23-MCC-0003A Control Circuit - 12</v>
          </cell>
        </row>
        <row r="3012">
          <cell r="M3012" t="str">
            <v>131236-DR-E</v>
          </cell>
          <cell r="N3012" t="str">
            <v>WIL23-MCC-0003A Control Circuit - 13</v>
          </cell>
        </row>
        <row r="3013">
          <cell r="M3013" t="str">
            <v>131236-DR-E</v>
          </cell>
          <cell r="N3013" t="str">
            <v>WIL23-MCC-0003A Control Circuit - 14</v>
          </cell>
        </row>
        <row r="3014">
          <cell r="M3014" t="str">
            <v>131236-DR-E</v>
          </cell>
          <cell r="N3014" t="str">
            <v>WIL23-MCC-0003B Control Circuit Legend</v>
          </cell>
        </row>
        <row r="3015">
          <cell r="M3015" t="str">
            <v>131236-DR-E</v>
          </cell>
          <cell r="N3015" t="str">
            <v>WIL23-MCC-0003B Control Circuit - 1</v>
          </cell>
        </row>
        <row r="3016">
          <cell r="M3016" t="str">
            <v>131236-DR-E</v>
          </cell>
          <cell r="N3016" t="str">
            <v>WIL23-MCC-0003B Control Circuit - 2</v>
          </cell>
        </row>
        <row r="3017">
          <cell r="M3017" t="str">
            <v>131236-DR-E</v>
          </cell>
          <cell r="N3017" t="str">
            <v>WIL23-MCC-0003B Control Circuit - 3</v>
          </cell>
        </row>
        <row r="3018">
          <cell r="M3018" t="str">
            <v>131236-DR-E</v>
          </cell>
          <cell r="N3018" t="str">
            <v>WIL23-MCC-0003B Control Circuit - 4</v>
          </cell>
        </row>
        <row r="3019">
          <cell r="M3019" t="str">
            <v>131236-DR-E</v>
          </cell>
          <cell r="N3019" t="str">
            <v>WIL23-MCC-0003B Control Circuit - 5</v>
          </cell>
        </row>
        <row r="3020">
          <cell r="M3020" t="str">
            <v>131236-DR-E</v>
          </cell>
          <cell r="N3020" t="str">
            <v>WIL23-MCC-0003B Control Circuit - 6</v>
          </cell>
        </row>
        <row r="3021">
          <cell r="M3021" t="str">
            <v>131236-DR-E</v>
          </cell>
          <cell r="N3021" t="str">
            <v>WIL23-MCC-0003B Control Circuit - 7</v>
          </cell>
        </row>
        <row r="3022">
          <cell r="M3022" t="str">
            <v>131236-DR-E</v>
          </cell>
          <cell r="N3022" t="str">
            <v>WIL23-MCC-0003B Control Circuit - 8</v>
          </cell>
        </row>
        <row r="3023">
          <cell r="M3023" t="str">
            <v>131236-DR-E</v>
          </cell>
          <cell r="N3023" t="str">
            <v>WIL23-MCC-0003B Control Circuit - 9</v>
          </cell>
        </row>
        <row r="3024">
          <cell r="M3024" t="str">
            <v>131236-DR-E</v>
          </cell>
          <cell r="N3024" t="str">
            <v>WIL23-MCC-0003B Control Circuit - 10</v>
          </cell>
        </row>
        <row r="3025">
          <cell r="M3025" t="str">
            <v>131236-DR-E</v>
          </cell>
          <cell r="N3025" t="str">
            <v>WIL23-MCC-0003B Control Circuit - 11</v>
          </cell>
        </row>
        <row r="3026">
          <cell r="M3026" t="str">
            <v>131236-DR-E</v>
          </cell>
          <cell r="N3026" t="str">
            <v>WIL23-MCC-0003B Control Circuit - 12</v>
          </cell>
        </row>
        <row r="3027">
          <cell r="M3027" t="str">
            <v>131236-DR-E</v>
          </cell>
          <cell r="N3027" t="str">
            <v>WIL23-MCC-0003B Control Circuit - 13</v>
          </cell>
        </row>
        <row r="3028">
          <cell r="M3028" t="str">
            <v>131236-DR-E</v>
          </cell>
          <cell r="N3028" t="str">
            <v>WIL23-MCC-0003B Control Circuit - 14</v>
          </cell>
        </row>
        <row r="3029">
          <cell r="M3029" t="str">
            <v>131236-DR-E</v>
          </cell>
          <cell r="N3029" t="str">
            <v>WIL23-MCC-0004A Control Circuit Legend</v>
          </cell>
        </row>
        <row r="3030">
          <cell r="M3030" t="str">
            <v>131236-DR-E</v>
          </cell>
          <cell r="N3030" t="str">
            <v>WIL23-MCC-0004A Control Circuit - 1</v>
          </cell>
        </row>
        <row r="3031">
          <cell r="M3031" t="str">
            <v>131236-DR-E</v>
          </cell>
          <cell r="N3031" t="str">
            <v>WIL23-MCC-0004A Control Circuit - 2</v>
          </cell>
        </row>
        <row r="3032">
          <cell r="M3032" t="str">
            <v>131236-DR-E</v>
          </cell>
          <cell r="N3032" t="str">
            <v>WIL23-MCC-0004A Control Circuit - 3</v>
          </cell>
        </row>
        <row r="3033">
          <cell r="M3033" t="str">
            <v>131236-DR-E</v>
          </cell>
          <cell r="N3033" t="str">
            <v>WIL23-MCC-0004A Control Circuit - 4</v>
          </cell>
        </row>
        <row r="3034">
          <cell r="M3034" t="str">
            <v>131236-DR-E</v>
          </cell>
          <cell r="N3034" t="str">
            <v>WIL23-MCC-0004A Control Circuit - 5</v>
          </cell>
        </row>
        <row r="3035">
          <cell r="M3035" t="str">
            <v>131236-DR-E</v>
          </cell>
          <cell r="N3035" t="str">
            <v>WIL23-MCC-0004A Control Circuit - 6</v>
          </cell>
        </row>
        <row r="3036">
          <cell r="M3036" t="str">
            <v>131236-DR-E</v>
          </cell>
          <cell r="N3036" t="str">
            <v>WIL23-MCC-0004A Control Circuit - 7</v>
          </cell>
        </row>
        <row r="3037">
          <cell r="M3037" t="str">
            <v>131236-DR-E</v>
          </cell>
          <cell r="N3037" t="str">
            <v>WIL23-MCC-0004A Control Circuit - 8</v>
          </cell>
        </row>
        <row r="3038">
          <cell r="M3038" t="str">
            <v>131236-DR-E</v>
          </cell>
          <cell r="N3038" t="str">
            <v>WIL23-MCC-0004A Control Circuit - 9</v>
          </cell>
        </row>
        <row r="3039">
          <cell r="M3039" t="str">
            <v>131236-DR-E</v>
          </cell>
          <cell r="N3039" t="str">
            <v>WIL23-MCC-0004A Control Circuit - 10</v>
          </cell>
        </row>
        <row r="3040">
          <cell r="M3040" t="str">
            <v>131236-DR-E</v>
          </cell>
          <cell r="N3040" t="str">
            <v>WIL23-MCC-0004A Control Circuit - 11</v>
          </cell>
        </row>
        <row r="3041">
          <cell r="M3041" t="str">
            <v>131236-DR-E</v>
          </cell>
          <cell r="N3041" t="str">
            <v>WIL23-MCC-0004A Control Circuit - 12</v>
          </cell>
        </row>
        <row r="3042">
          <cell r="M3042" t="str">
            <v>131236-DR-E</v>
          </cell>
          <cell r="N3042" t="str">
            <v>WIL23-MCC-0004A Control Circuit - 13</v>
          </cell>
        </row>
        <row r="3043">
          <cell r="M3043" t="str">
            <v>131236-DR-E</v>
          </cell>
          <cell r="N3043" t="str">
            <v>WIL23-MCC-0004A Control Circuit - 14</v>
          </cell>
        </row>
        <row r="3044">
          <cell r="M3044" t="str">
            <v>131236-DR-E</v>
          </cell>
          <cell r="N3044" t="str">
            <v>WIL23-MCC-0004A Control Circuit - 15</v>
          </cell>
        </row>
        <row r="3045">
          <cell r="M3045" t="str">
            <v>131236-DR-E</v>
          </cell>
          <cell r="N3045" t="str">
            <v>WIL23-MCC-0004A Control Circuit - 16</v>
          </cell>
        </row>
        <row r="3046">
          <cell r="M3046" t="str">
            <v>131236-DR-E</v>
          </cell>
          <cell r="N3046" t="str">
            <v>WIL23-MCC-0004B Control Circuit Legend</v>
          </cell>
        </row>
        <row r="3047">
          <cell r="M3047" t="str">
            <v>131236-DR-E</v>
          </cell>
          <cell r="N3047" t="str">
            <v>WIL23-MCC-0004B Control Circuit - 1</v>
          </cell>
        </row>
        <row r="3048">
          <cell r="M3048" t="str">
            <v>131236-DR-E</v>
          </cell>
          <cell r="N3048" t="str">
            <v>WIL23-MCC-0004B Control Circuit - 2</v>
          </cell>
        </row>
        <row r="3049">
          <cell r="M3049" t="str">
            <v>131236-DR-E</v>
          </cell>
          <cell r="N3049" t="str">
            <v>WIL23-MCC-0004B Control Circuit - 3</v>
          </cell>
        </row>
        <row r="3050">
          <cell r="M3050" t="str">
            <v>131236-DR-E</v>
          </cell>
          <cell r="N3050" t="str">
            <v>WIL23-MCC-0004B Control Circuit - 4</v>
          </cell>
        </row>
        <row r="3051">
          <cell r="M3051" t="str">
            <v>131236-DR-E</v>
          </cell>
          <cell r="N3051" t="str">
            <v>WIL23-MCC-0004B Control Circuit - 5</v>
          </cell>
        </row>
        <row r="3052">
          <cell r="M3052" t="str">
            <v>131236-DR-E</v>
          </cell>
          <cell r="N3052" t="str">
            <v>WIL23-MCC-0004B Control Circuit - 6</v>
          </cell>
        </row>
        <row r="3053">
          <cell r="M3053" t="str">
            <v>131236-DR-E</v>
          </cell>
          <cell r="N3053" t="str">
            <v>WIL23-MCC-0004B Control Circuit - 7</v>
          </cell>
        </row>
        <row r="3054">
          <cell r="M3054" t="str">
            <v>131236-DR-E</v>
          </cell>
          <cell r="N3054" t="str">
            <v>WIL23-MCC-0004B Control Circuit - 8</v>
          </cell>
        </row>
        <row r="3055">
          <cell r="M3055" t="str">
            <v>131236-DR-E</v>
          </cell>
          <cell r="N3055" t="str">
            <v>WIL23-MCC-0004B Control Circuit - 9</v>
          </cell>
        </row>
        <row r="3056">
          <cell r="M3056" t="str">
            <v>131236-DR-E</v>
          </cell>
          <cell r="N3056" t="str">
            <v>WIL23-MCC-0004B Control Circuit - 10</v>
          </cell>
        </row>
        <row r="3057">
          <cell r="M3057" t="str">
            <v>131236-DR-E</v>
          </cell>
          <cell r="N3057" t="str">
            <v>WIL23-MCC-0004B Control Circuit - 11</v>
          </cell>
        </row>
        <row r="3058">
          <cell r="M3058" t="str">
            <v>131236-DR-E</v>
          </cell>
          <cell r="N3058" t="str">
            <v>WIL23-MCC-0004B Control Circuit - 12</v>
          </cell>
        </row>
        <row r="3059">
          <cell r="M3059" t="str">
            <v>131236-DR-E</v>
          </cell>
          <cell r="N3059" t="str">
            <v>WIL23-MCC-0004B Control Circuit - 13</v>
          </cell>
        </row>
        <row r="3060">
          <cell r="M3060" t="str">
            <v>131236-DR-E</v>
          </cell>
          <cell r="N3060" t="str">
            <v>WIL23-MCC-0004B Control Circuit - 14</v>
          </cell>
        </row>
        <row r="3061">
          <cell r="M3061" t="str">
            <v>131236-DR-E</v>
          </cell>
          <cell r="N3061" t="str">
            <v>WIL23-MCC-0004B Control Circuit - 15</v>
          </cell>
        </row>
        <row r="3062">
          <cell r="M3062" t="str">
            <v>131236-DR-E</v>
          </cell>
          <cell r="N3062" t="str">
            <v>WIL23-MCC-0005A Control Circuit Legend</v>
          </cell>
        </row>
        <row r="3063">
          <cell r="M3063" t="str">
            <v>131236-DR-E</v>
          </cell>
          <cell r="N3063" t="str">
            <v>WIL23-MCC-0005A Control Circuit - 1</v>
          </cell>
        </row>
        <row r="3064">
          <cell r="M3064" t="str">
            <v>131236-DR-E</v>
          </cell>
          <cell r="N3064" t="str">
            <v>WIL23-MCC-0005A Control Circuit - 2</v>
          </cell>
        </row>
        <row r="3065">
          <cell r="M3065" t="str">
            <v>131236-DR-E</v>
          </cell>
          <cell r="N3065" t="str">
            <v>WIL23-MCC-0005A Control Circuit - 3</v>
          </cell>
        </row>
        <row r="3066">
          <cell r="M3066" t="str">
            <v>131236-DR-E</v>
          </cell>
          <cell r="N3066" t="str">
            <v>WIL23-MCC-0005A Control Circuit - 4</v>
          </cell>
        </row>
        <row r="3067">
          <cell r="M3067" t="str">
            <v>131236-DR-E</v>
          </cell>
          <cell r="N3067" t="str">
            <v>WIL23-MCC-0005A Control Circuit - 5</v>
          </cell>
        </row>
        <row r="3068">
          <cell r="M3068" t="str">
            <v>131236-DR-E</v>
          </cell>
          <cell r="N3068" t="str">
            <v>WIL23-MCC-0005A Control Circuit - 6</v>
          </cell>
        </row>
        <row r="3069">
          <cell r="M3069" t="str">
            <v>131236-DR-E</v>
          </cell>
          <cell r="N3069" t="str">
            <v>WIL23-MCC-0005A Control Circuit - 7</v>
          </cell>
        </row>
        <row r="3070">
          <cell r="M3070" t="str">
            <v>131236-DR-E</v>
          </cell>
          <cell r="N3070" t="str">
            <v>WIL23-MCC-0005A Control Circuit - 8</v>
          </cell>
        </row>
        <row r="3071">
          <cell r="M3071" t="str">
            <v>131236-DR-E</v>
          </cell>
          <cell r="N3071" t="str">
            <v>WIL23-MCC-0005A Control Circuit - 9</v>
          </cell>
        </row>
        <row r="3072">
          <cell r="M3072" t="str">
            <v>131236-DR-E</v>
          </cell>
          <cell r="N3072" t="str">
            <v>WIL23-MCC-0005A Control Circuit - 10</v>
          </cell>
        </row>
        <row r="3073">
          <cell r="M3073" t="str">
            <v>131236-DR-E</v>
          </cell>
          <cell r="N3073" t="str">
            <v>WIL23-MCC-0005A Control Circuit - 11</v>
          </cell>
        </row>
        <row r="3074">
          <cell r="M3074" t="str">
            <v>131236-DR-E</v>
          </cell>
          <cell r="N3074" t="str">
            <v>WIL23-MCC-0005A Control Circuit - 12</v>
          </cell>
        </row>
        <row r="3075">
          <cell r="M3075" t="str">
            <v>131236-DR-E</v>
          </cell>
          <cell r="N3075" t="str">
            <v>WIL23-MCC-0005A Control Circuit - 13</v>
          </cell>
        </row>
        <row r="3076">
          <cell r="M3076" t="str">
            <v>131236-DR-E</v>
          </cell>
          <cell r="N3076" t="str">
            <v>WIL23-MCC-0005A Control Circuit - 14</v>
          </cell>
        </row>
        <row r="3077">
          <cell r="M3077" t="str">
            <v>131236-DR-E</v>
          </cell>
          <cell r="N3077" t="str">
            <v>WIL23-MCC-0005A Control Circuit - 15</v>
          </cell>
        </row>
        <row r="3078">
          <cell r="M3078" t="str">
            <v>131236-DR-E</v>
          </cell>
          <cell r="N3078" t="str">
            <v>WIL23-MCC-0005A Control Circuit - 16</v>
          </cell>
        </row>
        <row r="3079">
          <cell r="M3079" t="str">
            <v>131236-DR-E</v>
          </cell>
          <cell r="N3079" t="str">
            <v>WIL23-MCC-0005A Control Circuit - 17</v>
          </cell>
        </row>
        <row r="3080">
          <cell r="M3080" t="str">
            <v>131236-DR-E</v>
          </cell>
          <cell r="N3080" t="str">
            <v>WIL23-MCC-0005A Control Circuit - 18</v>
          </cell>
        </row>
        <row r="3081">
          <cell r="M3081" t="str">
            <v>131236-DR-E</v>
          </cell>
          <cell r="N3081" t="str">
            <v>WIL23-MCC-0005B Control Circuit Legend</v>
          </cell>
        </row>
        <row r="3082">
          <cell r="M3082" t="str">
            <v>131236-DR-E</v>
          </cell>
          <cell r="N3082" t="str">
            <v>WIL23-MCC-0005B Control Circuit - 1</v>
          </cell>
        </row>
        <row r="3083">
          <cell r="M3083" t="str">
            <v>131236-DR-E</v>
          </cell>
          <cell r="N3083" t="str">
            <v>WIL23-MCC-0005B Control Circuit - 2</v>
          </cell>
        </row>
        <row r="3084">
          <cell r="M3084" t="str">
            <v>131236-DR-E</v>
          </cell>
          <cell r="N3084" t="str">
            <v>WIL23-MCC-0005B Control Circuit - 3</v>
          </cell>
        </row>
        <row r="3085">
          <cell r="M3085" t="str">
            <v>131236-DR-E</v>
          </cell>
          <cell r="N3085" t="str">
            <v>WIL23-MCC-0005B Control Circuit - 4</v>
          </cell>
        </row>
        <row r="3086">
          <cell r="M3086" t="str">
            <v>131236-DR-E</v>
          </cell>
          <cell r="N3086" t="str">
            <v>WIL23-MCC-0005B Control Circuit - 5</v>
          </cell>
        </row>
        <row r="3087">
          <cell r="M3087" t="str">
            <v>131236-DR-E</v>
          </cell>
          <cell r="N3087" t="str">
            <v>WIL23-MCC-0005B Control Circuit - 6</v>
          </cell>
        </row>
        <row r="3088">
          <cell r="M3088" t="str">
            <v>131236-DR-E</v>
          </cell>
          <cell r="N3088" t="str">
            <v>WIL23-MCC-0005B Control Circuit - 7</v>
          </cell>
        </row>
        <row r="3089">
          <cell r="M3089" t="str">
            <v>131236-DR-E</v>
          </cell>
          <cell r="N3089" t="str">
            <v>WIL23-MCC-0005B Control Circuit - 8</v>
          </cell>
        </row>
        <row r="3090">
          <cell r="M3090" t="str">
            <v>131236-DR-E</v>
          </cell>
          <cell r="N3090" t="str">
            <v>WIL23-MCC-0005B Control Circuit - 9</v>
          </cell>
        </row>
        <row r="3091">
          <cell r="M3091" t="str">
            <v>131236-DR-E</v>
          </cell>
          <cell r="N3091" t="str">
            <v>WIL23-MCC-0005B Control Circuit - 10</v>
          </cell>
        </row>
        <row r="3092">
          <cell r="M3092" t="str">
            <v>131236-DR-E</v>
          </cell>
          <cell r="N3092" t="str">
            <v>WIL23-MCC-0005B Control Circuit - 11</v>
          </cell>
        </row>
        <row r="3093">
          <cell r="M3093" t="str">
            <v>131236-DR-E</v>
          </cell>
          <cell r="N3093" t="str">
            <v>WIL23-MCC-0005B Control Circuit - 12</v>
          </cell>
        </row>
        <row r="3094">
          <cell r="M3094" t="str">
            <v>131236-DR-E</v>
          </cell>
          <cell r="N3094" t="str">
            <v>WIL23-MCC-0005B Control Circuit - 13</v>
          </cell>
        </row>
        <row r="3095">
          <cell r="M3095" t="str">
            <v>131236-DR-E</v>
          </cell>
          <cell r="N3095" t="str">
            <v>WIL23-MCC-0005B Control Circuit - 14</v>
          </cell>
        </row>
        <row r="3096">
          <cell r="M3096" t="str">
            <v>131236-DR-E</v>
          </cell>
          <cell r="N3096" t="str">
            <v>WIL23-MCC-0005B Control Circuit - 15</v>
          </cell>
        </row>
        <row r="3097">
          <cell r="M3097" t="str">
            <v>131236-DR-E</v>
          </cell>
          <cell r="N3097" t="str">
            <v>WIL23-MCC-0005B Control Circuit - 16</v>
          </cell>
        </row>
        <row r="3098">
          <cell r="M3098" t="str">
            <v>131236-DR-E</v>
          </cell>
          <cell r="N3098" t="str">
            <v>WIL23-MCC-0005B Control Circuit - 17</v>
          </cell>
        </row>
        <row r="3099">
          <cell r="M3099" t="str">
            <v>131236-DR-E</v>
          </cell>
          <cell r="N3099" t="str">
            <v>WIL23-MDB-0001A Control Circuit Legend</v>
          </cell>
        </row>
        <row r="3100">
          <cell r="M3100" t="str">
            <v>131236-DR-E</v>
          </cell>
          <cell r="N3100" t="str">
            <v>WIL23-MDB-0001A Control Circuit - 1</v>
          </cell>
        </row>
        <row r="3101">
          <cell r="M3101" t="str">
            <v>131236-DR-E</v>
          </cell>
          <cell r="N3101" t="str">
            <v>WIL23-MDB-0001A Control Circuit - 2</v>
          </cell>
        </row>
        <row r="3102">
          <cell r="M3102" t="str">
            <v>131236-DR-E</v>
          </cell>
          <cell r="N3102" t="str">
            <v>WIL23-MDB-0001A Control Circuit - 3</v>
          </cell>
        </row>
        <row r="3103">
          <cell r="M3103" t="str">
            <v>131236-DR-E</v>
          </cell>
          <cell r="N3103" t="str">
            <v>WIL23-MDB-0001A Control Circuit - 4</v>
          </cell>
        </row>
        <row r="3104">
          <cell r="M3104" t="str">
            <v>131236-DR-E</v>
          </cell>
          <cell r="N3104" t="str">
            <v>WIL23-MDB-0001A Control Circuit - 5</v>
          </cell>
        </row>
        <row r="3105">
          <cell r="M3105" t="str">
            <v>131236-DR-E</v>
          </cell>
          <cell r="N3105" t="str">
            <v>WIL23-MDB-0001A Control Circuit - 6</v>
          </cell>
        </row>
        <row r="3106">
          <cell r="M3106" t="str">
            <v>131236-DR-E</v>
          </cell>
          <cell r="N3106" t="str">
            <v>WIL23-MDB-0001A Control Circuit - 7</v>
          </cell>
        </row>
        <row r="3107">
          <cell r="M3107" t="str">
            <v>131236-DR-E</v>
          </cell>
          <cell r="N3107" t="str">
            <v>WIL23-MDB-0001A Control Circuit - 8</v>
          </cell>
        </row>
        <row r="3108">
          <cell r="M3108" t="str">
            <v>131236-DR-E</v>
          </cell>
          <cell r="N3108" t="str">
            <v>WIL23-MDB-0001B Control Circuit Legend</v>
          </cell>
        </row>
        <row r="3109">
          <cell r="M3109" t="str">
            <v>131236-DR-E</v>
          </cell>
          <cell r="N3109" t="str">
            <v>WIL23-MDB-0001B Control Circuit - 1</v>
          </cell>
        </row>
        <row r="3110">
          <cell r="M3110" t="str">
            <v>131236-DR-E</v>
          </cell>
          <cell r="N3110" t="str">
            <v>WIL23-MDB-0001B Control Circuit - 2</v>
          </cell>
        </row>
        <row r="3111">
          <cell r="M3111" t="str">
            <v>131236-DR-E</v>
          </cell>
          <cell r="N3111" t="str">
            <v>WIL23-MDB-0001B Control Circuit - 3</v>
          </cell>
        </row>
        <row r="3112">
          <cell r="M3112" t="str">
            <v>131236-DR-E</v>
          </cell>
          <cell r="N3112" t="str">
            <v>WIL23-MDB-0001B Control Circuit - 4</v>
          </cell>
        </row>
        <row r="3113">
          <cell r="M3113" t="str">
            <v>131236-DR-E</v>
          </cell>
          <cell r="N3113" t="str">
            <v>WIL23-MDB-0001B Control Circuit - 5</v>
          </cell>
        </row>
        <row r="3114">
          <cell r="M3114" t="str">
            <v>131236-DR-E</v>
          </cell>
          <cell r="N3114" t="str">
            <v>WIL23-MDB-0001B Control Circuit - 6</v>
          </cell>
        </row>
        <row r="3115">
          <cell r="M3115" t="str">
            <v>131236-DR-E</v>
          </cell>
          <cell r="N3115" t="str">
            <v>WIL23-MDB-0001B Control Circuit - 7</v>
          </cell>
        </row>
        <row r="3116">
          <cell r="M3116" t="str">
            <v>131236-DR-E</v>
          </cell>
          <cell r="N3116" t="str">
            <v>WIL23-MDB-0001B Control Circuit - 8</v>
          </cell>
        </row>
        <row r="3117">
          <cell r="M3117" t="str">
            <v>131236-DR-E</v>
          </cell>
          <cell r="N3117" t="str">
            <v>WIL23-MDB-0002A Control Circuit Legend</v>
          </cell>
        </row>
        <row r="3118">
          <cell r="M3118" t="str">
            <v>131236-DR-E</v>
          </cell>
          <cell r="N3118" t="str">
            <v>WIL23-MDB-0002A Control Circuit - 1</v>
          </cell>
        </row>
        <row r="3119">
          <cell r="M3119" t="str">
            <v>131236-DR-E</v>
          </cell>
          <cell r="N3119" t="str">
            <v>WIL23-MDB-0002A Control Circuit - 2</v>
          </cell>
        </row>
        <row r="3120">
          <cell r="M3120" t="str">
            <v>131236-DR-E</v>
          </cell>
          <cell r="N3120" t="str">
            <v>WIL23-MDB-0002A Control Circuit - 3</v>
          </cell>
        </row>
        <row r="3121">
          <cell r="M3121" t="str">
            <v>131236-DR-E</v>
          </cell>
          <cell r="N3121" t="str">
            <v>WIL23-MDB-0002A Control Circuit - 4</v>
          </cell>
        </row>
        <row r="3122">
          <cell r="M3122" t="str">
            <v>131236-DR-E</v>
          </cell>
          <cell r="N3122" t="str">
            <v>WIL23-MDB-0002A Control Circuit - 5</v>
          </cell>
        </row>
        <row r="3123">
          <cell r="M3123" t="str">
            <v>131236-DR-E</v>
          </cell>
          <cell r="N3123" t="str">
            <v>WIL23-MDB-0002A Control Circuit - 6</v>
          </cell>
        </row>
        <row r="3124">
          <cell r="M3124" t="str">
            <v>131236-DR-E</v>
          </cell>
          <cell r="N3124" t="str">
            <v>WIL23-MDB-0002A Control Circuit - 7</v>
          </cell>
        </row>
        <row r="3125">
          <cell r="M3125" t="str">
            <v>131236-DR-E</v>
          </cell>
          <cell r="N3125" t="str">
            <v>WIL23-MDB-0002A Control Circuit - 8</v>
          </cell>
        </row>
        <row r="3126">
          <cell r="M3126" t="str">
            <v>131236-DR-E</v>
          </cell>
          <cell r="N3126" t="str">
            <v>WIL23-MDB-0002B Control Circuit Legend</v>
          </cell>
        </row>
        <row r="3127">
          <cell r="M3127" t="str">
            <v>131236-DR-E</v>
          </cell>
          <cell r="N3127" t="str">
            <v>WIL23-MDB-0002B Control Circuit - 1</v>
          </cell>
        </row>
        <row r="3128">
          <cell r="M3128" t="str">
            <v>131236-DR-E</v>
          </cell>
          <cell r="N3128" t="str">
            <v>WIL23-MDB-0002B Control Circuit - 2</v>
          </cell>
        </row>
        <row r="3129">
          <cell r="M3129" t="str">
            <v>131236-DR-E</v>
          </cell>
          <cell r="N3129" t="str">
            <v>WIL23-MDB-0002B Control Circuit - 3</v>
          </cell>
        </row>
        <row r="3130">
          <cell r="M3130" t="str">
            <v>131236-DR-E</v>
          </cell>
          <cell r="N3130" t="str">
            <v>WIL23-MDB-0002B Control Circuit - 4</v>
          </cell>
        </row>
        <row r="3131">
          <cell r="M3131" t="str">
            <v>131236-DR-E</v>
          </cell>
          <cell r="N3131" t="str">
            <v>WIL23-MDB-0002B Control Circuit - 5</v>
          </cell>
        </row>
        <row r="3132">
          <cell r="M3132" t="str">
            <v>131236-DR-E</v>
          </cell>
          <cell r="N3132" t="str">
            <v>WIL23-MDB-0002B Control Circuit - 6</v>
          </cell>
        </row>
        <row r="3133">
          <cell r="M3133" t="str">
            <v>131236-DR-E</v>
          </cell>
          <cell r="N3133" t="str">
            <v>WIL23-MDB-0002B Control Circuit - 7</v>
          </cell>
        </row>
        <row r="3134">
          <cell r="M3134" t="str">
            <v>131236-DR-E</v>
          </cell>
          <cell r="N3134" t="str">
            <v>WIL23-MDB-0002B Control Circuit - 8</v>
          </cell>
        </row>
        <row r="3135">
          <cell r="M3135" t="str">
            <v>131236-DR-E</v>
          </cell>
          <cell r="N3135" t="str">
            <v>WIL23-MDB-0003A Control Circuit Legend</v>
          </cell>
        </row>
        <row r="3136">
          <cell r="M3136" t="str">
            <v>131236-DR-E</v>
          </cell>
          <cell r="N3136" t="str">
            <v>WIL23-MDB-0003A Control Circuit - 1</v>
          </cell>
        </row>
        <row r="3137">
          <cell r="M3137" t="str">
            <v>131236-DR-E</v>
          </cell>
          <cell r="N3137" t="str">
            <v>WIL23-MDB-0003A Control Circuit - 2</v>
          </cell>
        </row>
        <row r="3138">
          <cell r="M3138" t="str">
            <v>131236-DR-E</v>
          </cell>
          <cell r="N3138" t="str">
            <v>WIL23-MDB-0003A Control Circuit - 3</v>
          </cell>
        </row>
        <row r="3139">
          <cell r="M3139" t="str">
            <v>131236-DR-E</v>
          </cell>
          <cell r="N3139" t="str">
            <v>WIL23-MDB-0003A Control Circuit - 4</v>
          </cell>
        </row>
        <row r="3140">
          <cell r="M3140" t="str">
            <v>131236-DR-E</v>
          </cell>
          <cell r="N3140" t="str">
            <v>WIL23-MDB-0003A Control Circuit - 5</v>
          </cell>
        </row>
        <row r="3141">
          <cell r="M3141" t="str">
            <v>131236-DR-E</v>
          </cell>
          <cell r="N3141" t="str">
            <v>WIL23-MDB-0003A Control Circuit - 6</v>
          </cell>
        </row>
        <row r="3142">
          <cell r="M3142" t="str">
            <v>131236-DR-E</v>
          </cell>
          <cell r="N3142" t="str">
            <v>WIL23-MDB-0003A Control Circuit - 7</v>
          </cell>
        </row>
        <row r="3143">
          <cell r="M3143" t="str">
            <v>131236-DR-E</v>
          </cell>
          <cell r="N3143" t="str">
            <v>WIL23-MDB-0003A Control Circuit - 8</v>
          </cell>
        </row>
        <row r="3144">
          <cell r="M3144" t="str">
            <v>131236-DR-E</v>
          </cell>
          <cell r="N3144" t="str">
            <v>WIL23-MDB-0003B Control Circuit Legend</v>
          </cell>
        </row>
        <row r="3145">
          <cell r="M3145" t="str">
            <v>131236-DR-E</v>
          </cell>
          <cell r="N3145" t="str">
            <v>WIL23-MDB-0003B Control Circuit - 1</v>
          </cell>
        </row>
        <row r="3146">
          <cell r="M3146" t="str">
            <v>131236-DR-E</v>
          </cell>
          <cell r="N3146" t="str">
            <v>WIL23-MDB-0003B Control Circuit - 2</v>
          </cell>
        </row>
        <row r="3147">
          <cell r="M3147" t="str">
            <v>131236-DR-E</v>
          </cell>
          <cell r="N3147" t="str">
            <v>WIL23-MDB-0003B Control Circuit - 3</v>
          </cell>
        </row>
        <row r="3148">
          <cell r="M3148" t="str">
            <v>131236-DR-E</v>
          </cell>
          <cell r="N3148" t="str">
            <v>WIL23-MDB-0003B Control Circuit - 4</v>
          </cell>
        </row>
        <row r="3149">
          <cell r="M3149" t="str">
            <v>131236-DR-E</v>
          </cell>
          <cell r="N3149" t="str">
            <v>WIL23-MDB-0003B Control Circuit - 5</v>
          </cell>
        </row>
        <row r="3150">
          <cell r="M3150" t="str">
            <v>131236-DR-E</v>
          </cell>
          <cell r="N3150" t="str">
            <v>WIL23-MDB-0003B Control Circuit - 6</v>
          </cell>
        </row>
        <row r="3151">
          <cell r="M3151" t="str">
            <v>131236-DR-E</v>
          </cell>
          <cell r="N3151" t="str">
            <v>WIL23-MDB-0003B Control Circuit - 7</v>
          </cell>
        </row>
        <row r="3152">
          <cell r="M3152" t="str">
            <v>131236-DR-E</v>
          </cell>
          <cell r="N3152" t="str">
            <v>WIL23-MDB-0003B Control Circuit - 8</v>
          </cell>
        </row>
        <row r="3153">
          <cell r="M3153" t="str">
            <v>131236-DR-E</v>
          </cell>
          <cell r="N3153" t="str">
            <v>WIL23-MDB-0004A Control Circuit Legend</v>
          </cell>
        </row>
        <row r="3154">
          <cell r="M3154" t="str">
            <v>131236-DR-E</v>
          </cell>
          <cell r="N3154" t="str">
            <v>WIL23-MDB-0004A Control Circuit - 1</v>
          </cell>
        </row>
        <row r="3155">
          <cell r="M3155" t="str">
            <v>131236-DR-E</v>
          </cell>
          <cell r="N3155" t="str">
            <v>WIL23-MDB-0004A Control Circuit - 2</v>
          </cell>
        </row>
        <row r="3156">
          <cell r="M3156" t="str">
            <v>131236-DR-E</v>
          </cell>
          <cell r="N3156" t="str">
            <v>WIL23-MDB-0004A Control Circuit - 3</v>
          </cell>
        </row>
        <row r="3157">
          <cell r="M3157" t="str">
            <v>131236-DR-E</v>
          </cell>
          <cell r="N3157" t="str">
            <v>WIL23-MDB-0004A Control Circuit - 4</v>
          </cell>
        </row>
        <row r="3158">
          <cell r="M3158" t="str">
            <v>131236-DR-E</v>
          </cell>
          <cell r="N3158" t="str">
            <v>WIL23-MDB-0004A Control Circuit - 5</v>
          </cell>
        </row>
        <row r="3159">
          <cell r="M3159" t="str">
            <v>131236-DR-E</v>
          </cell>
          <cell r="N3159" t="str">
            <v>WIL23-MDB-0004A Control Circuit - 6</v>
          </cell>
        </row>
        <row r="3160">
          <cell r="M3160" t="str">
            <v>131236-DR-E</v>
          </cell>
          <cell r="N3160" t="str">
            <v>WIL23-MDB-0004A Control Circuit - 7</v>
          </cell>
        </row>
        <row r="3161">
          <cell r="M3161" t="str">
            <v>131236-DR-E</v>
          </cell>
          <cell r="N3161" t="str">
            <v>WIL23-MDB-0004A Control Circuit - 8</v>
          </cell>
        </row>
        <row r="3162">
          <cell r="M3162" t="str">
            <v>131236-DR-E</v>
          </cell>
          <cell r="N3162" t="str">
            <v>WIL23-MDB-0004B Control Circuit Legend</v>
          </cell>
        </row>
        <row r="3163">
          <cell r="M3163" t="str">
            <v>131236-DR-E</v>
          </cell>
          <cell r="N3163" t="str">
            <v>WIL23-MDB-0004B Control Circuit - 1</v>
          </cell>
        </row>
        <row r="3164">
          <cell r="M3164" t="str">
            <v>131236-DR-E</v>
          </cell>
          <cell r="N3164" t="str">
            <v>WIL23-MDB-0004B Control Circuit - 2</v>
          </cell>
        </row>
        <row r="3165">
          <cell r="M3165" t="str">
            <v>131236-DR-E</v>
          </cell>
          <cell r="N3165" t="str">
            <v>WIL23-MDB-0004B Control Circuit - 3</v>
          </cell>
        </row>
        <row r="3166">
          <cell r="M3166" t="str">
            <v>131236-DR-E</v>
          </cell>
          <cell r="N3166" t="str">
            <v>WIL23-MDB-0004B Control Circuit - 4</v>
          </cell>
        </row>
        <row r="3167">
          <cell r="M3167" t="str">
            <v>131236-DR-E</v>
          </cell>
          <cell r="N3167" t="str">
            <v>WIL23-MDB-0004B Control Circuit - 5</v>
          </cell>
        </row>
        <row r="3168">
          <cell r="M3168" t="str">
            <v>131236-DR-E</v>
          </cell>
          <cell r="N3168" t="str">
            <v>WIL23-MDB-0004B Control Circuit - 6</v>
          </cell>
        </row>
        <row r="3169">
          <cell r="M3169" t="str">
            <v>131236-DR-E</v>
          </cell>
          <cell r="N3169" t="str">
            <v>WIL23-MDB-0004B Control Circuit - 7</v>
          </cell>
        </row>
        <row r="3170">
          <cell r="M3170" t="str">
            <v>131236-DR-E</v>
          </cell>
          <cell r="N3170" t="str">
            <v>WIL23-MDB-0004B Control Circuit - 8</v>
          </cell>
        </row>
        <row r="3171">
          <cell r="M3171" t="str">
            <v>131236-DR-E</v>
          </cell>
          <cell r="N3171" t="str">
            <v>Panel Schematics -  Low Voltage System Equipment LCS - WIL23-LCS-0001xx</v>
          </cell>
        </row>
        <row r="3172">
          <cell r="M3172" t="str">
            <v>131236-DR-E</v>
          </cell>
          <cell r="N3172" t="str">
            <v>Panel Schematics -  450kW LV VFD (Sheet 01 of 05)</v>
          </cell>
        </row>
        <row r="3173">
          <cell r="M3173" t="str">
            <v>131236-DR-E</v>
          </cell>
          <cell r="N3173" t="str">
            <v>Panel Schematics -  450kW LV VFD (Sheet 01 of 05)</v>
          </cell>
        </row>
        <row r="3174">
          <cell r="M3174" t="str">
            <v>131236-DR-E</v>
          </cell>
          <cell r="N3174" t="str">
            <v>Panel Schematics -  450kW LV VFD (Sheet 01 of 05)</v>
          </cell>
        </row>
        <row r="3175">
          <cell r="M3175" t="str">
            <v>131236-DR-E</v>
          </cell>
          <cell r="N3175" t="str">
            <v>Panel Schematics -  450kW LV VFD (Sheet 01 of 05)</v>
          </cell>
        </row>
        <row r="3176">
          <cell r="M3176" t="str">
            <v>131236-DR-E</v>
          </cell>
          <cell r="N3176" t="str">
            <v>Panel Schematics -  450kW LV VFD (Sheet 01 of 05)</v>
          </cell>
        </row>
        <row r="3177">
          <cell r="M3177" t="str">
            <v>131236-DR-E</v>
          </cell>
          <cell r="N3177" t="str">
            <v>Panel Schematics -  315kW LV VFD (Sheet 01 of 04)</v>
          </cell>
        </row>
        <row r="3178">
          <cell r="M3178" t="str">
            <v>131236-DR-E</v>
          </cell>
          <cell r="N3178" t="str">
            <v>Panel Schematics -  315kW LV VFD (Sheet 02 of 04)</v>
          </cell>
        </row>
        <row r="3179">
          <cell r="M3179" t="str">
            <v>131236-DR-E</v>
          </cell>
          <cell r="N3179" t="str">
            <v>Panel Schematics -  315kW LV VFD (Sheet 03 of 04)</v>
          </cell>
        </row>
        <row r="3180">
          <cell r="M3180" t="str">
            <v>131236-DR-E</v>
          </cell>
          <cell r="N3180" t="str">
            <v>Panel Schematics -  315kW LV VFD (Sheet 04 of 04)</v>
          </cell>
        </row>
        <row r="3181">
          <cell r="M3181" t="str">
            <v>131236-DR-E</v>
          </cell>
          <cell r="N3181" t="str">
            <v>Panel Schematics -  400kW LV VFD (Sheet 10 of 17)</v>
          </cell>
        </row>
        <row r="3182">
          <cell r="M3182" t="str">
            <v>131236-DR-E</v>
          </cell>
          <cell r="N3182" t="str">
            <v>Panel Schematics -  400kW LV VFD (Sheet 11 of 17)</v>
          </cell>
        </row>
        <row r="3183">
          <cell r="M3183" t="str">
            <v>131236-DR-E</v>
          </cell>
          <cell r="N3183" t="str">
            <v>Panel Schematics -  400kW LV VFD (Sheet 12 of 17)</v>
          </cell>
        </row>
        <row r="3184">
          <cell r="M3184" t="str">
            <v>131236-DR-E</v>
          </cell>
          <cell r="N3184" t="str">
            <v>Panel Schematics -  400kW LV VFD (Sheet 13 of 17)</v>
          </cell>
        </row>
        <row r="3185">
          <cell r="M3185" t="str">
            <v>131236-DR-E</v>
          </cell>
          <cell r="N3185" t="str">
            <v>Panel Schematics -  400kW LV VFD (Sheet 14 of 17)</v>
          </cell>
        </row>
        <row r="3186">
          <cell r="M3186" t="str">
            <v>131236-DR-E</v>
          </cell>
          <cell r="N3186" t="str">
            <v>Panel Schematics -  400kW LV VFD (Sheet 15 of 17)</v>
          </cell>
        </row>
        <row r="3187">
          <cell r="M3187" t="str">
            <v>131236-DR-E</v>
          </cell>
          <cell r="N3187" t="str">
            <v>Panel Schematics -  400kW LV VFD (Sheet 16 of 17)</v>
          </cell>
        </row>
        <row r="3188">
          <cell r="M3188" t="str">
            <v>131236-DR-E</v>
          </cell>
          <cell r="N3188" t="str">
            <v>Panel Schematics -  400kW LV VFD (Sheet 17 of 17)</v>
          </cell>
        </row>
        <row r="3189">
          <cell r="M3189" t="str">
            <v>131236-DR-E</v>
          </cell>
          <cell r="N3189" t="str">
            <v>Panel Schematics -  280kW LV VFD (Sheet 01 of 05)</v>
          </cell>
        </row>
        <row r="3190">
          <cell r="M3190" t="str">
            <v>131236-DR-E</v>
          </cell>
          <cell r="N3190" t="str">
            <v>Panel Schematics -  280kW LV VFD (Sheet 02 of 05)</v>
          </cell>
        </row>
        <row r="3191">
          <cell r="M3191" t="str">
            <v>131236-DR-E</v>
          </cell>
          <cell r="N3191" t="str">
            <v>Panel Schematics -  280kW LV VFD (Sheet 03 of 05)</v>
          </cell>
        </row>
        <row r="3192">
          <cell r="M3192" t="str">
            <v>131236-DR-E</v>
          </cell>
          <cell r="N3192" t="str">
            <v>Panel Schematics -  280kW LV VFD (Sheet 04 of 05)</v>
          </cell>
        </row>
        <row r="3193">
          <cell r="M3193" t="str">
            <v>131236-DR-E</v>
          </cell>
          <cell r="N3193" t="str">
            <v>Panel Schematics -  280kW LV VFD (Sheet 05 of 05)</v>
          </cell>
        </row>
        <row r="3194">
          <cell r="M3194" t="str">
            <v>131236-DR-E</v>
          </cell>
          <cell r="N3194" t="str">
            <v>Panel Schematics -  225kW LV VFD (Sheet 01 of 13)</v>
          </cell>
        </row>
        <row r="3195">
          <cell r="M3195" t="str">
            <v>131236-DR-E</v>
          </cell>
          <cell r="N3195" t="str">
            <v>Panel Schematics -  225kW LV VFD (Sheet 02 of 13)</v>
          </cell>
        </row>
        <row r="3196">
          <cell r="M3196" t="str">
            <v>131236-DR-E</v>
          </cell>
          <cell r="N3196" t="str">
            <v>Panel Schematics -  225kW LV VFD (Sheet 03 of 13)</v>
          </cell>
        </row>
        <row r="3197">
          <cell r="M3197" t="str">
            <v>131236-DR-E</v>
          </cell>
          <cell r="N3197" t="str">
            <v>Panel Schematics -  225kW LV VFD (Sheet 04 of 13)</v>
          </cell>
        </row>
        <row r="3198">
          <cell r="M3198" t="str">
            <v>131236-DR-E</v>
          </cell>
          <cell r="N3198" t="str">
            <v>Panel Schematics -  225kW LV VFD (Sheet 05 of 13)</v>
          </cell>
        </row>
        <row r="3199">
          <cell r="M3199" t="str">
            <v>131236-DR-E</v>
          </cell>
          <cell r="N3199" t="str">
            <v>Panel Schematics -  225kW LV VFD (Sheet 06 of 13)</v>
          </cell>
        </row>
        <row r="3200">
          <cell r="M3200" t="str">
            <v>131236-DR-E</v>
          </cell>
          <cell r="N3200" t="str">
            <v>Panel Schematics -  225kW LV VFD (Sheet 07 of 13)</v>
          </cell>
        </row>
        <row r="3201">
          <cell r="M3201" t="str">
            <v>131236-DR-E</v>
          </cell>
          <cell r="N3201" t="str">
            <v>Panel Schematics -  225kW LV VFD (Sheet 08 of 13)</v>
          </cell>
        </row>
        <row r="3202">
          <cell r="M3202" t="str">
            <v>131236-DR-E</v>
          </cell>
          <cell r="N3202" t="str">
            <v>Panel Schematics -  225kW LV VFD (Sheet 09 of 13)</v>
          </cell>
        </row>
        <row r="3203">
          <cell r="M3203" t="str">
            <v>131236-DR-E</v>
          </cell>
          <cell r="N3203" t="str">
            <v>Panel Schematics -  225kW LV VFD (Sheet 10 of 13)</v>
          </cell>
        </row>
        <row r="3204">
          <cell r="M3204" t="str">
            <v>131236-DR-E</v>
          </cell>
          <cell r="N3204" t="str">
            <v>Panel Schematics -  225kW LV VFD (Sheet 11 of 13)</v>
          </cell>
        </row>
        <row r="3205">
          <cell r="M3205" t="str">
            <v>131236-DR-E</v>
          </cell>
          <cell r="N3205" t="str">
            <v>Panel Schematics -  225kW LV VFD (Sheet 12 of 13)</v>
          </cell>
        </row>
        <row r="3206">
          <cell r="M3206" t="str">
            <v>131236-DR-E</v>
          </cell>
          <cell r="N3206" t="str">
            <v>Panel Schematics -  225kW LV VFD (Sheet 13 of 13)</v>
          </cell>
        </row>
        <row r="3207">
          <cell r="M3207" t="str">
            <v>131236-DR-E</v>
          </cell>
          <cell r="N3207" t="str">
            <v>Panel Schematics -  160kW LV VFD (Sheet 01 of 13)</v>
          </cell>
        </row>
        <row r="3208">
          <cell r="M3208" t="str">
            <v>131236-DR-E</v>
          </cell>
          <cell r="N3208" t="str">
            <v>Panel Schematics -  160kW LV VFD (Sheet 02 of 13)</v>
          </cell>
        </row>
        <row r="3209">
          <cell r="M3209" t="str">
            <v>131236-DR-E</v>
          </cell>
          <cell r="N3209" t="str">
            <v>Panel Schematics -  160kW LV VFD (Sheet 03 of 13)</v>
          </cell>
        </row>
        <row r="3210">
          <cell r="M3210" t="str">
            <v>131236-DR-E</v>
          </cell>
          <cell r="N3210" t="str">
            <v>Panel Schematics -  160kW LV VFD (Sheet 04 of 13)</v>
          </cell>
        </row>
        <row r="3211">
          <cell r="M3211" t="str">
            <v>131236-DR-E</v>
          </cell>
          <cell r="N3211" t="str">
            <v>Panel Schematics -  160kW LV VFD (Sheet 05 of 13)</v>
          </cell>
        </row>
        <row r="3212">
          <cell r="M3212" t="str">
            <v>131236-DR-E</v>
          </cell>
          <cell r="N3212" t="str">
            <v>Panel Schematics -  160kW LV VFD (Sheet 06 of 13)</v>
          </cell>
        </row>
        <row r="3213">
          <cell r="M3213" t="str">
            <v>131236-DR-E</v>
          </cell>
          <cell r="N3213" t="str">
            <v>Panel Schematics -  160kW LV VFD (Sheet 07 of 13)</v>
          </cell>
        </row>
        <row r="3214">
          <cell r="M3214" t="str">
            <v>131236-DR-E</v>
          </cell>
          <cell r="N3214" t="str">
            <v>Panel Schematics -  160kW LV VFD (Sheet 08 of 13)</v>
          </cell>
        </row>
        <row r="3215">
          <cell r="M3215" t="str">
            <v>131236-DR-E</v>
          </cell>
          <cell r="N3215" t="str">
            <v>Panel Schematics -  160kW LV VFD (Sheet 09 of 13)</v>
          </cell>
        </row>
        <row r="3216">
          <cell r="M3216" t="str">
            <v>131236-DR-E</v>
          </cell>
          <cell r="N3216" t="str">
            <v>Panel Schematics -  160kW LV VFD (Sheet 10 of 13)</v>
          </cell>
        </row>
        <row r="3217">
          <cell r="M3217" t="str">
            <v>131236-DR-E</v>
          </cell>
          <cell r="N3217" t="str">
            <v>Panel Schematics -  160kW LV VFD (Sheet 11 of 13)</v>
          </cell>
        </row>
        <row r="3218">
          <cell r="M3218" t="str">
            <v>131236-DR-E</v>
          </cell>
          <cell r="N3218" t="str">
            <v>Panel Schematics -  160kW LV VFD (Sheet 12 of 13)</v>
          </cell>
        </row>
        <row r="3219">
          <cell r="M3219" t="str">
            <v>131236-DR-E</v>
          </cell>
          <cell r="N3219" t="str">
            <v>Panel Schematics -  160kW LV VFD (Sheet 13 of 13)</v>
          </cell>
        </row>
        <row r="3220">
          <cell r="M3220" t="str">
            <v>131236-DR-E</v>
          </cell>
          <cell r="N3220" t="str">
            <v>Panel Schematics -  90kW LV VFD (Sheet 01 of 05)</v>
          </cell>
        </row>
        <row r="3221">
          <cell r="M3221" t="str">
            <v>131236-DR-E</v>
          </cell>
          <cell r="N3221" t="str">
            <v>Panel Schematics -  90kW LV VFD (Sheet 02 of 05)</v>
          </cell>
        </row>
        <row r="3222">
          <cell r="M3222" t="str">
            <v>131236-DR-E</v>
          </cell>
          <cell r="N3222" t="str">
            <v>Panel Schematics -  90kW LV VFD (Sheet 03 of 05)</v>
          </cell>
        </row>
        <row r="3223">
          <cell r="M3223" t="str">
            <v>131236-DR-E</v>
          </cell>
          <cell r="N3223" t="str">
            <v>Panel Schematics -  90kW LV VFD (Sheet 04 of 05)</v>
          </cell>
        </row>
        <row r="3224">
          <cell r="M3224" t="str">
            <v>131236-DR-E</v>
          </cell>
          <cell r="N3224" t="str">
            <v>Panel Schematics -  90kW LV VFD (Sheet 05 of 05)</v>
          </cell>
        </row>
        <row r="3225">
          <cell r="M3225" t="str">
            <v>131236-DR-E</v>
          </cell>
          <cell r="N3225" t="str">
            <v>Panel Schematics -  90kW LV VFD (Sheet 06 of 12)</v>
          </cell>
        </row>
        <row r="3226">
          <cell r="M3226" t="str">
            <v>131236-DR-E</v>
          </cell>
          <cell r="N3226" t="str">
            <v>Panel Schematics -  90kW LV VFD (Sheet 07 of 12)</v>
          </cell>
        </row>
        <row r="3227">
          <cell r="M3227" t="str">
            <v>131236-DR-E</v>
          </cell>
          <cell r="N3227" t="str">
            <v>Panel Schematics -  90kW LV VFD (Sheet 08 of 12)</v>
          </cell>
        </row>
        <row r="3228">
          <cell r="M3228" t="str">
            <v>131236-DR-E</v>
          </cell>
          <cell r="N3228" t="str">
            <v>Panel Schematics -  90kW LV VFD (Sheet 09 of 12)</v>
          </cell>
        </row>
        <row r="3229">
          <cell r="M3229" t="str">
            <v>131236-DR-E</v>
          </cell>
          <cell r="N3229" t="str">
            <v>Panel Schematics -  90kW LV VFD (Sheet 10 of 12)</v>
          </cell>
        </row>
        <row r="3230">
          <cell r="M3230" t="str">
            <v>131236-DR-E</v>
          </cell>
          <cell r="N3230" t="str">
            <v>Panel Schematics -  90kW LV VFD (Sheet 11 of 12)</v>
          </cell>
        </row>
        <row r="3231">
          <cell r="M3231" t="str">
            <v>131236-DR-E</v>
          </cell>
          <cell r="N3231" t="str">
            <v>Panel Schematics -  90kW LV VFD (Sheet 12 of 12)</v>
          </cell>
        </row>
        <row r="3232">
          <cell r="M3232" t="str">
            <v>131236-DR-E</v>
          </cell>
          <cell r="N3232" t="str">
            <v>Panel Schematics -  75kW LV VFD (Sheet 01 of 12)</v>
          </cell>
        </row>
        <row r="3233">
          <cell r="M3233" t="str">
            <v>131236-DR-E</v>
          </cell>
          <cell r="N3233" t="str">
            <v>Panel Schematics -  75kW LV VFD (Sheet 02 of 12)</v>
          </cell>
        </row>
        <row r="3234">
          <cell r="M3234" t="str">
            <v>131236-DR-E</v>
          </cell>
          <cell r="N3234" t="str">
            <v>Panel Schematics -  75kW LV VFD (Sheet 03 of 12)</v>
          </cell>
        </row>
        <row r="3235">
          <cell r="M3235" t="str">
            <v>131236-DR-E</v>
          </cell>
          <cell r="N3235" t="str">
            <v>Panel Schematics -  75kW LV VFD (Sheet 04 of 12)</v>
          </cell>
        </row>
        <row r="3236">
          <cell r="M3236" t="str">
            <v>131236-DR-E</v>
          </cell>
          <cell r="N3236" t="str">
            <v>Panel Schematics -  75kW LV VFD (Sheet 05 of 12)</v>
          </cell>
        </row>
        <row r="3237">
          <cell r="M3237" t="str">
            <v>131236-DR-E</v>
          </cell>
          <cell r="N3237" t="str">
            <v>Panel Schematics -  75kW LV VFD (Sheet 06 of 12)</v>
          </cell>
        </row>
        <row r="3238">
          <cell r="M3238" t="str">
            <v>131236-DR-E</v>
          </cell>
          <cell r="N3238" t="str">
            <v>Panel Schematics -  75kW LV VFD (Sheet 07 of 12)</v>
          </cell>
        </row>
        <row r="3239">
          <cell r="M3239" t="str">
            <v>131236-DR-E</v>
          </cell>
          <cell r="N3239" t="str">
            <v>Panel Schematics -  75kW LV VFD (Sheet 08 of 12)</v>
          </cell>
        </row>
        <row r="3240">
          <cell r="M3240" t="str">
            <v>131236-DR-E</v>
          </cell>
          <cell r="N3240" t="str">
            <v>Panel Schematics -  75kW LV VFD (Sheet 09 of 12)</v>
          </cell>
        </row>
        <row r="3241">
          <cell r="M3241" t="str">
            <v>131236-DR-E</v>
          </cell>
          <cell r="N3241" t="str">
            <v>Panel Schematics -  75kW LV VFD (Sheet 10 of 12)</v>
          </cell>
        </row>
        <row r="3242">
          <cell r="M3242" t="str">
            <v>131236-DR-E</v>
          </cell>
          <cell r="N3242" t="str">
            <v>Panel Schematics -  75kW LV VFD (Sheet 11 of 12)</v>
          </cell>
        </row>
        <row r="3243">
          <cell r="M3243" t="str">
            <v>131236-DR-E</v>
          </cell>
          <cell r="N3243" t="str">
            <v>Panel Schematics -  75kW LV VFD (Sheet 12 of 12)</v>
          </cell>
        </row>
        <row r="3245">
          <cell r="M3245"/>
          <cell r="N3245"/>
        </row>
        <row r="3246">
          <cell r="M3246"/>
          <cell r="N3246"/>
        </row>
        <row r="3247">
          <cell r="M3247" t="str">
            <v>131236-SD-E</v>
          </cell>
          <cell r="N3247" t="str">
            <v>Shop Drawings - HV System Equipment - 22kV Switchgears Remote Control Panels</v>
          </cell>
        </row>
        <row r="3248">
          <cell r="M3248" t="str">
            <v>131236-SD-E</v>
          </cell>
          <cell r="N3248" t="str">
            <v>Shop Drawings - HV - 6.6kV Switchgears Remote Control Panels</v>
          </cell>
        </row>
        <row r="3249">
          <cell r="M3249" t="str">
            <v>131236-SD-E</v>
          </cell>
          <cell r="N3249" t="str">
            <v>Shop Drawings - HV System Equipment - 22/6.6kV Transformers OLTC &amp; Marshalling Panel</v>
          </cell>
        </row>
        <row r="3250">
          <cell r="M3250" t="str">
            <v>131236-SD-E</v>
          </cell>
          <cell r="N3250" t="str">
            <v>Shop Drawings - Low Voltage System Equipment - Valve DBs</v>
          </cell>
        </row>
        <row r="3251">
          <cell r="M3251" t="str">
            <v>131236-SD-E</v>
          </cell>
          <cell r="N3251" t="str">
            <v>Shop Drawings - Low Voltage System Equipment - Lighting &amp; Small Power DB</v>
          </cell>
        </row>
        <row r="3252">
          <cell r="M3252" t="str">
            <v>131236-SD-E</v>
          </cell>
          <cell r="N3252" t="str">
            <v>Shop Drawings - Continuous On-line hot spot temperature Monitoring and Alert System</v>
          </cell>
        </row>
        <row r="3254">
          <cell r="M3254"/>
          <cell r="N3254"/>
        </row>
      </sheetData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workbookViewId="0">
      <selection activeCell="B4" sqref="B4"/>
    </sheetView>
  </sheetViews>
  <sheetFormatPr defaultRowHeight="14.25"/>
  <cols>
    <col min="2" max="2" width="96.8554687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</row>
    <row r="7" spans="1:2">
      <c r="A7" t="s">
        <v>8</v>
      </c>
    </row>
    <row r="8" spans="1:2">
      <c r="A8" t="s">
        <v>9</v>
      </c>
    </row>
    <row r="9" spans="1:2">
      <c r="A9" t="s">
        <v>10</v>
      </c>
    </row>
    <row r="10" spans="1:2">
      <c r="A10" t="s">
        <v>11</v>
      </c>
    </row>
    <row r="11" spans="1:2">
      <c r="A11" t="s">
        <v>12</v>
      </c>
    </row>
    <row r="12" spans="1:2">
      <c r="A12" t="s">
        <v>13</v>
      </c>
    </row>
    <row r="18" spans="1:1">
      <c r="A18" t="s">
        <v>14</v>
      </c>
    </row>
    <row r="19" spans="1:1">
      <c r="A19" t="s">
        <v>15</v>
      </c>
    </row>
    <row r="20" spans="1:1">
      <c r="A20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0"/>
  <sheetViews>
    <sheetView tabSelected="1" zoomScale="70" zoomScaleNormal="70" workbookViewId="0">
      <pane ySplit="1" topLeftCell="G46" activePane="bottomLeft" state="frozen"/>
      <selection pane="bottomLeft" activeCell="P56" sqref="P56"/>
      <selection activeCell="A2" sqref="A2"/>
    </sheetView>
  </sheetViews>
  <sheetFormatPr defaultRowHeight="14.25"/>
  <cols>
    <col min="1" max="1" width="9.28515625" style="2" bestFit="1" customWidth="1"/>
    <col min="2" max="2" width="14.28515625" style="15" bestFit="1" customWidth="1"/>
    <col min="3" max="3" width="14.28515625" bestFit="1" customWidth="1"/>
    <col min="4" max="4" width="109" customWidth="1"/>
    <col min="5" max="5" width="29.28515625" style="5" customWidth="1"/>
    <col min="6" max="6" width="12.5703125" style="2" bestFit="1" customWidth="1"/>
    <col min="7" max="7" width="24" style="5" customWidth="1"/>
    <col min="8" max="8" width="19.5703125" style="39" bestFit="1" customWidth="1"/>
    <col min="9" max="9" width="17.85546875" style="6" bestFit="1" customWidth="1"/>
    <col min="10" max="11" width="21.5703125" style="39" bestFit="1" customWidth="1"/>
    <col min="12" max="12" width="26.7109375" style="5" bestFit="1" customWidth="1"/>
    <col min="13" max="13" width="21.5703125" style="5" bestFit="1" customWidth="1"/>
    <col min="14" max="14" width="20.85546875" customWidth="1"/>
    <col min="15" max="15" width="18.85546875" style="2" bestFit="1" customWidth="1"/>
    <col min="16" max="16" width="25.7109375" style="5" bestFit="1" customWidth="1"/>
    <col min="17" max="17" width="61" customWidth="1"/>
  </cols>
  <sheetData>
    <row r="1" spans="1:17" s="4" customFormat="1" ht="16.149999999999999" customHeight="1">
      <c r="A1" s="3" t="s">
        <v>17</v>
      </c>
      <c r="B1" s="17" t="s">
        <v>18</v>
      </c>
      <c r="C1" s="18" t="s">
        <v>19</v>
      </c>
      <c r="D1" s="18" t="s">
        <v>20</v>
      </c>
      <c r="E1" s="18" t="s">
        <v>21</v>
      </c>
      <c r="F1" s="18" t="s">
        <v>22</v>
      </c>
      <c r="G1" s="18" t="s">
        <v>23</v>
      </c>
      <c r="H1" s="19" t="s">
        <v>24</v>
      </c>
      <c r="I1" s="20" t="s">
        <v>25</v>
      </c>
      <c r="J1" s="19" t="s">
        <v>26</v>
      </c>
      <c r="K1" s="19" t="s">
        <v>27</v>
      </c>
      <c r="L1" s="21" t="s">
        <v>28</v>
      </c>
      <c r="M1" s="21" t="s">
        <v>29</v>
      </c>
      <c r="N1" s="18" t="s">
        <v>30</v>
      </c>
      <c r="O1" s="18" t="s">
        <v>31</v>
      </c>
      <c r="P1" s="18" t="s">
        <v>32</v>
      </c>
      <c r="Q1" s="14" t="s">
        <v>33</v>
      </c>
    </row>
    <row r="2" spans="1:17" s="27" customFormat="1" ht="16.149999999999999" customHeight="1">
      <c r="A2" s="22"/>
      <c r="B2" s="22"/>
      <c r="C2" s="23"/>
      <c r="D2" s="54" t="s">
        <v>34</v>
      </c>
      <c r="E2" s="26"/>
      <c r="F2" s="24"/>
      <c r="G2" s="26"/>
      <c r="H2" s="38"/>
      <c r="I2" s="25"/>
      <c r="J2" s="38"/>
      <c r="K2" s="38"/>
      <c r="L2" s="26"/>
      <c r="M2" s="42"/>
      <c r="N2" s="25"/>
      <c r="O2" s="24"/>
      <c r="P2" s="26"/>
      <c r="Q2" s="23"/>
    </row>
    <row r="3" spans="1:17" ht="15">
      <c r="A3" s="2">
        <v>1</v>
      </c>
      <c r="B3" s="15" t="s">
        <v>35</v>
      </c>
      <c r="D3" t="str">
        <f>_xlfn.IFNA(VLOOKUP(E3,[1]ICA!$M$1:$N$1905,2,FALSE),"")</f>
        <v>Vendor Information For Pressure Gauge (BAUMER SINGAPORE PTE LTD)</v>
      </c>
      <c r="E3" s="5" t="s">
        <v>36</v>
      </c>
      <c r="F3" s="2" t="s">
        <v>37</v>
      </c>
      <c r="G3" s="5" t="s">
        <v>38</v>
      </c>
      <c r="H3" s="39">
        <v>46125</v>
      </c>
      <c r="I3" s="6">
        <v>20</v>
      </c>
      <c r="J3" s="39">
        <f>$H3+$I3</f>
        <v>46145</v>
      </c>
      <c r="K3" s="39">
        <v>46157</v>
      </c>
      <c r="L3" s="5">
        <f ca="1">IF(NOT(ISBLANK($K3)),$K3-$H3,TODAY()-$H3)</f>
        <v>32</v>
      </c>
      <c r="M3" s="43">
        <f ca="1">IF(($L3-$I3)&gt;0,$L3-$I3,0)</f>
        <v>12</v>
      </c>
      <c r="N3" s="6" t="str" cm="1">
        <f t="array" ref="N3">_xlfn.IFS(
AND(NOT(ISBLANK(H3)),ISBLANK(K3)),"SUR",
AND(NOT(ISBLANK(H3)),NOT(ISBLANK(K3)),$P3="YES"),"RTR",
AND(NOT(ISBLANK(H3)),NOT(ISBLANK(K3)),$P3="NO"),"NTS",
TRUE,"TO Check"
)</f>
        <v>NTS</v>
      </c>
      <c r="O3" s="2" t="s">
        <v>39</v>
      </c>
      <c r="P3" s="5" t="s">
        <v>40</v>
      </c>
    </row>
    <row r="4" spans="1:17" ht="15">
      <c r="A4" s="2">
        <v>2</v>
      </c>
      <c r="B4" s="15" t="s">
        <v>41</v>
      </c>
      <c r="D4" t="str">
        <f>_xlfn.IFNA(VLOOKUP(E4,[1]ICA!$M$1:$N$1905,2,FALSE),"")</f>
        <v>Vendor Information For Cable Raceway (TRI-STAR INDUSTRIES PTE LTD)</v>
      </c>
      <c r="E4" s="5" t="s">
        <v>42</v>
      </c>
      <c r="F4" s="2" t="s">
        <v>37</v>
      </c>
      <c r="G4" s="5" t="s">
        <v>38</v>
      </c>
      <c r="H4" s="39">
        <v>46127</v>
      </c>
      <c r="I4" s="6">
        <v>20</v>
      </c>
      <c r="J4" s="39">
        <f>$H4+$I4</f>
        <v>46147</v>
      </c>
      <c r="K4" s="39">
        <v>46167</v>
      </c>
      <c r="L4" s="5">
        <f ca="1">IF(NOT(ISBLANK($K4)),$K4-$H4,TODAY()-$H4)</f>
        <v>40</v>
      </c>
      <c r="M4" s="43">
        <f ca="1">L4-I4</f>
        <v>20</v>
      </c>
      <c r="N4" s="6" t="str" cm="1">
        <f t="array" ref="N4">_xlfn.IFS(
AND(NOT(ISBLANK(H4)),ISBLANK(K4)),"SUR",
AND(NOT(ISBLANK(H4)),NOT(ISBLANK(K4)),$P4="YES"),"RTR",
AND(NOT(ISBLANK(H4)),NOT(ISBLANK(K4)),$P4="NO"),"NTS",
TRUE,"TO Check"
)</f>
        <v>RTR</v>
      </c>
      <c r="O4" s="2" t="s">
        <v>43</v>
      </c>
      <c r="P4" s="5" t="s">
        <v>44</v>
      </c>
    </row>
    <row r="5" spans="1:17" ht="15">
      <c r="A5" s="2">
        <v>3</v>
      </c>
      <c r="B5" s="15" t="s">
        <v>45</v>
      </c>
      <c r="D5" t="str">
        <f>_xlfn.IFNA(VLOOKUP(E5,[1]ICA!$M$1:$N$1905,2,FALSE),"")</f>
        <v>Vendor Information For Temperature Transmitter c/w RTD (ENDRESS + HAUSER S.E.A. PTE LTD)</v>
      </c>
      <c r="E5" s="5" t="s">
        <v>46</v>
      </c>
      <c r="F5" s="2" t="s">
        <v>37</v>
      </c>
      <c r="G5" s="5" t="s">
        <v>38</v>
      </c>
      <c r="H5" s="39">
        <v>46140</v>
      </c>
      <c r="I5" s="6">
        <v>20</v>
      </c>
      <c r="J5" s="39">
        <f>$H5+$I5</f>
        <v>46160</v>
      </c>
      <c r="K5" s="39">
        <v>46157</v>
      </c>
      <c r="L5" s="5">
        <f ca="1">IF(NOT(ISBLANK($K5)),$K5-$H5,TODAY()-$H5)</f>
        <v>17</v>
      </c>
      <c r="M5" s="43">
        <f ca="1">L5-I5</f>
        <v>-3</v>
      </c>
      <c r="N5" s="6" t="str" cm="1">
        <f t="array" ref="N5">_xlfn.IFS(
AND(NOT(ISBLANK(H5)),ISBLANK(K5)),"SUR",
AND(NOT(ISBLANK(H5)),NOT(ISBLANK(K5)),$P5="YES"),"RTR",
AND(NOT(ISBLANK(H5)),NOT(ISBLANK(K5)),$P5="NO"),"NTS",
TRUE,"TO Check"
)</f>
        <v>NTS</v>
      </c>
      <c r="O5" s="2" t="s">
        <v>39</v>
      </c>
      <c r="P5" s="5" t="s">
        <v>40</v>
      </c>
    </row>
    <row r="6" spans="1:17" ht="15">
      <c r="A6" s="2">
        <v>4</v>
      </c>
      <c r="B6" s="15" t="s">
        <v>47</v>
      </c>
      <c r="D6" t="str">
        <f>_xlfn.IFNA(VLOOKUP(E6,[1]ICA!$M$1:$N$1905,2,FALSE),"")</f>
        <v>Vendor Information For Pressure Transmitter (EMERSON ASIA PACIFIC PTE. LTD.)</v>
      </c>
      <c r="E6" s="5" t="s">
        <v>48</v>
      </c>
      <c r="F6" s="2" t="s">
        <v>37</v>
      </c>
      <c r="G6" s="5" t="s">
        <v>38</v>
      </c>
      <c r="H6" s="39">
        <v>46141</v>
      </c>
      <c r="I6" s="6">
        <v>20</v>
      </c>
      <c r="J6" s="39">
        <f>$H6+$I6</f>
        <v>46161</v>
      </c>
      <c r="K6" s="39">
        <v>46157</v>
      </c>
      <c r="L6" s="5">
        <f ca="1">IF(NOT(ISBLANK($K6)),$K6-$H6,TODAY()-$H6)</f>
        <v>16</v>
      </c>
      <c r="M6" s="43">
        <f ca="1">L6-I6</f>
        <v>-4</v>
      </c>
      <c r="N6" s="6" t="str" cm="1">
        <f t="array" ref="N6">_xlfn.IFS(
AND(NOT(ISBLANK(H6)),ISBLANK(K6)),"SUR",
AND(NOT(ISBLANK(H6)),NOT(ISBLANK(K6)),$P6="YES"),"RTR",
AND(NOT(ISBLANK(H6)),NOT(ISBLANK(K6)),$P6="NO"),"NTS",
TRUE,"TO Check"
)</f>
        <v>RTR</v>
      </c>
      <c r="O6" s="2" t="s">
        <v>39</v>
      </c>
      <c r="P6" s="5" t="s">
        <v>44</v>
      </c>
    </row>
    <row r="7" spans="1:17" ht="15">
      <c r="A7" s="2">
        <v>5</v>
      </c>
      <c r="B7" s="15" t="s">
        <v>49</v>
      </c>
      <c r="D7" t="str">
        <f>_xlfn.IFNA(VLOOKUP(E7,[1]ICA!$M$1:$N$1905,2,FALSE),"")</f>
        <v>Vendor Information For Level Transmitter Radar (Non-Contacting) (ENDRESS + HAUSER S.E.A. PTE LTD)</v>
      </c>
      <c r="E7" s="5" t="s">
        <v>50</v>
      </c>
      <c r="F7" s="2" t="s">
        <v>37</v>
      </c>
      <c r="G7" s="5" t="s">
        <v>38</v>
      </c>
      <c r="H7" s="39">
        <v>46142</v>
      </c>
      <c r="I7" s="6">
        <v>20</v>
      </c>
      <c r="J7" s="39">
        <f>$H7+$I7</f>
        <v>46162</v>
      </c>
      <c r="K7" s="39">
        <v>46157</v>
      </c>
      <c r="L7" s="5">
        <f ca="1">IF(NOT(ISBLANK($K7)),$K7-$H7,TODAY()-$H7)</f>
        <v>15</v>
      </c>
      <c r="M7" s="43">
        <f ca="1">L7-I7</f>
        <v>-5</v>
      </c>
      <c r="N7" s="6" t="str" cm="1">
        <f t="array" ref="N7">_xlfn.IFS(
AND(NOT(ISBLANK(H7)),ISBLANK(K7)),"SUR",
AND(NOT(ISBLANK(H7)),NOT(ISBLANK(K7)),$P7="YES"),"RTR",
AND(NOT(ISBLANK(H7)),NOT(ISBLANK(K7)),$P7="NO"),"NTS",
TRUE,"TO Check"
)</f>
        <v>RTR</v>
      </c>
      <c r="O7" s="2" t="s">
        <v>43</v>
      </c>
      <c r="P7" s="5" t="s">
        <v>44</v>
      </c>
    </row>
    <row r="8" spans="1:17" ht="15">
      <c r="A8" s="2">
        <v>6</v>
      </c>
      <c r="B8" s="15" t="s">
        <v>51</v>
      </c>
      <c r="D8" t="str">
        <f>_xlfn.IFNA(VLOOKUP(E8,[1]ICA!$M$1:$N$1905,2,FALSE),"")</f>
        <v>Vendor Information For Pressure Switch(WIKA INSTRUMENTATION PTE. LTD.)</v>
      </c>
      <c r="E8" s="5" t="s">
        <v>52</v>
      </c>
      <c r="F8" s="2" t="s">
        <v>37</v>
      </c>
      <c r="G8" s="5" t="s">
        <v>38</v>
      </c>
      <c r="H8" s="39">
        <v>46142</v>
      </c>
      <c r="I8" s="6">
        <v>20</v>
      </c>
      <c r="J8" s="39">
        <f>$H8+$I8</f>
        <v>46162</v>
      </c>
      <c r="K8" s="39">
        <v>46167</v>
      </c>
      <c r="L8" s="5">
        <f ca="1">IF(NOT(ISBLANK($K8)),$K8-$H8,TODAY()-$H8)</f>
        <v>25</v>
      </c>
      <c r="M8" s="43">
        <f ca="1">L8-I8</f>
        <v>5</v>
      </c>
      <c r="N8" s="6" t="str" cm="1">
        <f t="array" ref="N8">_xlfn.IFS(
AND(NOT(ISBLANK(H8)),ISBLANK(K8)),"SUR",
AND(NOT(ISBLANK(H8)),NOT(ISBLANK(K8)),$P8="YES"),"RTR",
AND(NOT(ISBLANK(H8)),NOT(ISBLANK(K8)),$P8="NO"),"NTS",
TRUE,"TO Check"
)</f>
        <v>RTR</v>
      </c>
      <c r="O8" s="2" t="s">
        <v>39</v>
      </c>
      <c r="P8" s="5" t="s">
        <v>44</v>
      </c>
    </row>
    <row r="9" spans="1:17" ht="15">
      <c r="A9" s="2">
        <v>7</v>
      </c>
      <c r="B9" s="15" t="s">
        <v>53</v>
      </c>
      <c r="D9" t="str">
        <f>_xlfn.IFNA(VLOOKUP(E9,[1]ICA!$M$1:$N$1905,2,FALSE),"")</f>
        <v>Vendor Information For Level Transmitter – RF Admittance(ENDRESS + HAUSER S.E.A. PTE LTD)</v>
      </c>
      <c r="E9" s="5" t="s">
        <v>54</v>
      </c>
      <c r="F9" s="2" t="s">
        <v>37</v>
      </c>
      <c r="G9" s="5" t="s">
        <v>38</v>
      </c>
      <c r="H9" s="39">
        <v>46150</v>
      </c>
      <c r="I9" s="6">
        <v>20</v>
      </c>
      <c r="J9" s="39">
        <f>$H9+$I9</f>
        <v>46170</v>
      </c>
      <c r="K9" s="39">
        <v>46157</v>
      </c>
      <c r="L9" s="5">
        <f ca="1">IF(NOT(ISBLANK($K9)),$K9-$H9,TODAY()-$H9)</f>
        <v>7</v>
      </c>
      <c r="M9" s="43">
        <f ca="1">L9-I9</f>
        <v>-13</v>
      </c>
      <c r="N9" s="6" t="str" cm="1">
        <f t="array" ref="N9">_xlfn.IFS(
AND(NOT(ISBLANK(H9)),ISBLANK(K9)),"SUR",
AND(NOT(ISBLANK(H9)),NOT(ISBLANK(K9)),$P9="YES"),"RTR",
AND(NOT(ISBLANK(H9)),NOT(ISBLANK(K9)),$P9="NO"),"NTS",
TRUE,"TO Check"
)</f>
        <v>RTR</v>
      </c>
      <c r="O9" s="2" t="s">
        <v>43</v>
      </c>
      <c r="P9" s="5" t="s">
        <v>44</v>
      </c>
    </row>
    <row r="10" spans="1:17" ht="15">
      <c r="A10" s="2">
        <v>8</v>
      </c>
      <c r="B10" s="15" t="s">
        <v>55</v>
      </c>
      <c r="D10" t="str">
        <f>_xlfn.IFNA(VLOOKUP(E10,[1]ICA!$M$1:$N$1905,2,FALSE),"")</f>
        <v>Vendor Information For Auto Sampler (ENDRESS + HAUSER S.E.A. PTE LTD)</v>
      </c>
      <c r="E10" s="5" t="s">
        <v>56</v>
      </c>
      <c r="F10" s="2" t="s">
        <v>37</v>
      </c>
      <c r="G10" s="5" t="s">
        <v>38</v>
      </c>
      <c r="H10" s="39">
        <v>46153</v>
      </c>
      <c r="I10" s="6">
        <v>20</v>
      </c>
      <c r="J10" s="39">
        <f>$H10+$I10</f>
        <v>46173</v>
      </c>
      <c r="K10" s="39">
        <v>46167</v>
      </c>
      <c r="L10" s="5">
        <f ca="1">IF(NOT(ISBLANK($K10)),$K10-$H10,TODAY()-$H10)</f>
        <v>14</v>
      </c>
      <c r="M10" s="43">
        <f ca="1">L10-I10</f>
        <v>-6</v>
      </c>
      <c r="N10" s="6" t="str" cm="1">
        <f t="array" ref="N10">_xlfn.IFS(
AND(NOT(ISBLANK(H10)),ISBLANK(K10)),"SUR",
AND(NOT(ISBLANK(H10)),NOT(ISBLANK(K10)),$P10="YES"),"RTR",
AND(NOT(ISBLANK(H10)),NOT(ISBLANK(K10)),$P10="NO"),"NTS",
TRUE,"TO Check"
)</f>
        <v>RTR</v>
      </c>
      <c r="O10" s="2" t="s">
        <v>43</v>
      </c>
      <c r="P10" s="5" t="s">
        <v>44</v>
      </c>
    </row>
    <row r="11" spans="1:17" ht="15">
      <c r="A11" s="2">
        <v>9</v>
      </c>
      <c r="B11" s="15" t="s">
        <v>57</v>
      </c>
      <c r="D11" t="str">
        <f>_xlfn.IFNA(VLOOKUP(E11,[1]ICA!$M$1:$N$1905,2,FALSE),"")</f>
        <v>Vendor Information For Low Point Leak Detector (IFM ELECTRONIC PTE LTD)</v>
      </c>
      <c r="E11" s="5" t="s">
        <v>58</v>
      </c>
      <c r="F11" s="2" t="s">
        <v>37</v>
      </c>
      <c r="G11" s="5" t="s">
        <v>38</v>
      </c>
      <c r="H11" s="39">
        <v>46154</v>
      </c>
      <c r="I11" s="6">
        <v>20</v>
      </c>
      <c r="J11" s="39">
        <f>$H11+$I11</f>
        <v>46174</v>
      </c>
      <c r="K11" s="39">
        <v>46167</v>
      </c>
      <c r="L11" s="5">
        <f ca="1">IF(NOT(ISBLANK($K11)),$K11-$H11,TODAY()-$H11)</f>
        <v>13</v>
      </c>
      <c r="M11" s="43">
        <f ca="1">L11-I11</f>
        <v>-7</v>
      </c>
      <c r="N11" s="6" t="str" cm="1">
        <f t="array" ref="N11">_xlfn.IFS(
AND(NOT(ISBLANK(H11)),ISBLANK(K11)),"SUR",
AND(NOT(ISBLANK(H11)),NOT(ISBLANK(K11)),$P11="YES"),"RTR",
AND(NOT(ISBLANK(H11)),NOT(ISBLANK(K11)),$P11="NO"),"NTS",
TRUE,"TO Check"
)</f>
        <v>RTR</v>
      </c>
      <c r="O11" s="2" t="s">
        <v>39</v>
      </c>
      <c r="P11" s="5" t="s">
        <v>44</v>
      </c>
    </row>
    <row r="12" spans="1:17" ht="15">
      <c r="A12" s="2">
        <v>10</v>
      </c>
      <c r="B12" s="15" t="s">
        <v>59</v>
      </c>
      <c r="D12" t="str">
        <f>_xlfn.IFNA(VLOOKUP(E12,[1]ICA!$M$1:$N$1905,2,FALSE),"")</f>
        <v>Vendor Information For Thermal Mass Flowmeter (ENDRESS + HAUSER S.E.A. PTE LTD)</v>
      </c>
      <c r="E12" s="5" t="s">
        <v>60</v>
      </c>
      <c r="F12" s="2" t="s">
        <v>37</v>
      </c>
      <c r="G12" s="5" t="s">
        <v>38</v>
      </c>
      <c r="H12" s="39">
        <v>46155</v>
      </c>
      <c r="I12" s="6">
        <v>20</v>
      </c>
      <c r="J12" s="39">
        <f>$H12+$I12</f>
        <v>46175</v>
      </c>
      <c r="K12" s="39">
        <v>46173</v>
      </c>
      <c r="L12" s="5">
        <f ca="1">IF(NOT(ISBLANK($K12)),$K12-$H12,TODAY()-$H12)</f>
        <v>18</v>
      </c>
      <c r="M12" s="43">
        <f ca="1">L12-I12</f>
        <v>-2</v>
      </c>
      <c r="N12" s="6" t="str" cm="1">
        <f t="array" ref="N12">_xlfn.IFS(
AND(NOT(ISBLANK(H12)),ISBLANK(K12)),"SUR",
AND(NOT(ISBLANK(H12)),NOT(ISBLANK(K12)),$P12="YES"),"RTR",
AND(NOT(ISBLANK(H12)),NOT(ISBLANK(K12)),$P12="NO"),"NTS",
TRUE,"TO Check"
)</f>
        <v>RTR</v>
      </c>
      <c r="O12" s="2" t="s">
        <v>43</v>
      </c>
      <c r="P12" s="5" t="s">
        <v>44</v>
      </c>
    </row>
    <row r="13" spans="1:17" ht="15">
      <c r="A13" s="2">
        <v>11</v>
      </c>
      <c r="B13" s="15" t="s">
        <v>61</v>
      </c>
      <c r="D13" t="str">
        <f>_xlfn.IFNA(VLOOKUP(E13,[1]ICA!$M$1:$N$1905,2,FALSE),"")</f>
        <v>Vendor Information For Thermal Flow Switch (ENDRESS + HAUSER S.E.A. PTE LTD)</v>
      </c>
      <c r="E13" s="5" t="s">
        <v>62</v>
      </c>
      <c r="F13" s="2" t="s">
        <v>37</v>
      </c>
      <c r="G13" s="5" t="s">
        <v>38</v>
      </c>
      <c r="H13" s="39">
        <v>46156</v>
      </c>
      <c r="I13" s="6">
        <v>20</v>
      </c>
      <c r="J13" s="39">
        <f>$H13+$I13</f>
        <v>46176</v>
      </c>
      <c r="K13" s="39">
        <v>46173</v>
      </c>
      <c r="L13" s="5">
        <f ca="1">IF(NOT(ISBLANK($K13)),$K13-$H13,TODAY()-$H13)</f>
        <v>17</v>
      </c>
      <c r="M13" s="43">
        <f ca="1">L13-I13</f>
        <v>-3</v>
      </c>
      <c r="N13" s="6" t="str" cm="1">
        <f t="array" ref="N13">_xlfn.IFS(
AND(NOT(ISBLANK(H13)),ISBLANK(K13)),"SUR",
AND(NOT(ISBLANK(H13)),NOT(ISBLANK(K13)),$P13="YES"),"RTR",
AND(NOT(ISBLANK(H13)),NOT(ISBLANK(K13)),$P13="NO"),"NTS",
TRUE,"TO Check"
)</f>
        <v>NTS</v>
      </c>
      <c r="O13" s="2" t="s">
        <v>43</v>
      </c>
      <c r="P13" s="5" t="s">
        <v>40</v>
      </c>
    </row>
    <row r="14" spans="1:17" ht="15">
      <c r="A14" s="2">
        <v>12</v>
      </c>
      <c r="B14" s="15" t="s">
        <v>63</v>
      </c>
      <c r="D14" t="str">
        <f>_xlfn.IFNA(VLOOKUP(E14,[1]ICA!$M$1:$N$1905,2,FALSE),"")</f>
        <v>Vendor Information For Turbidity Analyser (HACH WATER QUALITY SINGAPORE PTE LTD)</v>
      </c>
      <c r="E14" s="5" t="s">
        <v>64</v>
      </c>
      <c r="F14" s="2" t="s">
        <v>37</v>
      </c>
      <c r="G14" s="5" t="s">
        <v>38</v>
      </c>
      <c r="H14" s="39">
        <v>46160</v>
      </c>
      <c r="I14" s="6">
        <v>20</v>
      </c>
      <c r="J14" s="39">
        <f>$H14+$I14</f>
        <v>46180</v>
      </c>
      <c r="K14" s="39">
        <v>46173</v>
      </c>
      <c r="L14" s="5">
        <f ca="1">IF(NOT(ISBLANK($K14)),$K14-$H14,TODAY()-$H14)</f>
        <v>13</v>
      </c>
      <c r="M14" s="43">
        <f ca="1">L14-I14</f>
        <v>-7</v>
      </c>
      <c r="N14" s="6" t="str" cm="1">
        <f t="array" ref="N14">_xlfn.IFS(
AND(NOT(ISBLANK(H14)),ISBLANK(K14)),"SUR",
AND(NOT(ISBLANK(H14)),NOT(ISBLANK(K14)),$P14="YES"),"RTR",
AND(NOT(ISBLANK(H14)),NOT(ISBLANK(K14)),$P14="NO"),"NTS",
TRUE,"TO Check"
)</f>
        <v>NTS</v>
      </c>
      <c r="O14" s="2" t="s">
        <v>43</v>
      </c>
      <c r="P14" s="5" t="s">
        <v>40</v>
      </c>
    </row>
    <row r="15" spans="1:17" ht="15">
      <c r="A15" s="2">
        <v>13</v>
      </c>
      <c r="B15" s="15" t="s">
        <v>65</v>
      </c>
      <c r="D15" t="str">
        <f>_xlfn.IFNA(VLOOKUP(E15,[1]ICA!$M$1:$N$1905,2,FALSE),"")</f>
        <v>Vendor Information For Level Switch – Conductive Probe (ENDRESS + HAUSER S.E.A.
PTE LTD)</v>
      </c>
      <c r="E15" s="5" t="s">
        <v>66</v>
      </c>
      <c r="F15" s="2" t="s">
        <v>37</v>
      </c>
      <c r="G15" s="5" t="s">
        <v>38</v>
      </c>
      <c r="H15" s="39">
        <v>46168</v>
      </c>
      <c r="I15" s="6">
        <v>20</v>
      </c>
      <c r="J15" s="39">
        <f>$H15+$I15</f>
        <v>46188</v>
      </c>
      <c r="K15" s="39">
        <v>46176</v>
      </c>
      <c r="L15" s="5">
        <f ca="1">IF(NOT(ISBLANK($K15)),$K15-$H15,TODAY()-$H15)</f>
        <v>8</v>
      </c>
      <c r="M15" s="43">
        <f ca="1">L15-I15</f>
        <v>-12</v>
      </c>
      <c r="N15" s="6" t="str" cm="1">
        <f t="array" ref="N15">_xlfn.IFS(
AND(NOT(ISBLANK(H15)),ISBLANK(K15)),"SUR",
AND(NOT(ISBLANK(H15)),NOT(ISBLANK(K15)),$P15="YES"),"RTR",
AND(NOT(ISBLANK(H15)),NOT(ISBLANK(K15)),$P15="NO"),"NTS",
TRUE,"TO Check"
)</f>
        <v>NTS</v>
      </c>
      <c r="O15" s="2" t="s">
        <v>43</v>
      </c>
      <c r="P15" s="5" t="s">
        <v>40</v>
      </c>
    </row>
    <row r="16" spans="1:17" ht="15">
      <c r="A16" s="2">
        <v>14</v>
      </c>
      <c r="B16" s="15" t="s">
        <v>67</v>
      </c>
      <c r="D16" t="str">
        <f>_xlfn.IFNA(VLOOKUP(E16,[1]ICA!$M$1:$N$1905,2,FALSE),"")</f>
        <v>Vendor Information For pH Analyser (EMERSON ASIA PACIFIC PTE. LTD.)</v>
      </c>
      <c r="E16" s="5" t="s">
        <v>68</v>
      </c>
      <c r="F16" s="2" t="s">
        <v>37</v>
      </c>
      <c r="G16" s="5" t="s">
        <v>38</v>
      </c>
      <c r="H16" s="39">
        <v>46170</v>
      </c>
      <c r="I16" s="6">
        <v>20</v>
      </c>
      <c r="J16" s="39">
        <f>$H16+$I16</f>
        <v>46190</v>
      </c>
      <c r="K16" s="39">
        <v>46195</v>
      </c>
      <c r="L16" s="5">
        <f ca="1">IF(NOT(ISBLANK($K16)),$K16-$H16,TODAY()-$H16)</f>
        <v>25</v>
      </c>
      <c r="M16" s="43">
        <f ca="1">L16-I16</f>
        <v>5</v>
      </c>
      <c r="N16" s="6" t="str" cm="1">
        <f t="array" ref="N16">_xlfn.IFS(
AND(NOT(ISBLANK(H16)),ISBLANK(K16)),"SUR",
AND(NOT(ISBLANK(H16)),NOT(ISBLANK(K16)),$P16="YES"),"RTR",
AND(NOT(ISBLANK(H16)),NOT(ISBLANK(K16)),$P16="NO"),"NTS",
TRUE,"TO Check"
)</f>
        <v>RTR</v>
      </c>
      <c r="O16" s="2" t="s">
        <v>43</v>
      </c>
      <c r="P16" s="5" t="s">
        <v>44</v>
      </c>
    </row>
    <row r="17" spans="1:16" ht="15">
      <c r="A17" s="2">
        <v>15</v>
      </c>
      <c r="B17" s="15" t="s">
        <v>69</v>
      </c>
      <c r="D17" t="str">
        <f>_xlfn.IFNA(VLOOKUP(E17,[1]ICA!$M$1:$N$1905,2,FALSE),"")</f>
        <v>Vendor Information For Room Temperature Sensor (KELE &amp; ASSOCIATES PTE LTD - VAISALA)</v>
      </c>
      <c r="E17" s="5" t="s">
        <v>70</v>
      </c>
      <c r="F17" s="2" t="s">
        <v>37</v>
      </c>
      <c r="G17" s="5" t="s">
        <v>38</v>
      </c>
      <c r="H17" s="39">
        <v>46219</v>
      </c>
      <c r="I17" s="6">
        <v>20</v>
      </c>
      <c r="J17" s="39">
        <f>$H17+$I17</f>
        <v>46239</v>
      </c>
      <c r="K17" s="39">
        <v>46232</v>
      </c>
      <c r="L17" s="5">
        <f ca="1">IF(NOT(ISBLANK($K17)),$K17-$H17,TODAY()-$H17)</f>
        <v>13</v>
      </c>
      <c r="M17" s="43">
        <f ca="1">L17-I17</f>
        <v>-7</v>
      </c>
      <c r="N17" s="6" t="str" cm="1">
        <f t="array" ref="N17">_xlfn.IFS(
AND(NOT(ISBLANK(H17)),ISBLANK(K17)),"SUR",
AND(NOT(ISBLANK(H17)),NOT(ISBLANK(K17)),$P17="YES"),"RTR",
AND(NOT(ISBLANK(H17)),NOT(ISBLANK(K17)),$P17="NO"),"NTS",
TRUE,"TO Check"
)</f>
        <v>NTS</v>
      </c>
      <c r="O17" s="2" t="s">
        <v>43</v>
      </c>
      <c r="P17" s="5" t="s">
        <v>40</v>
      </c>
    </row>
    <row r="18" spans="1:16" ht="15">
      <c r="A18" s="2">
        <v>16</v>
      </c>
      <c r="B18" s="15" t="s">
        <v>71</v>
      </c>
      <c r="D18" t="str">
        <f>_xlfn.IFNA(VLOOKUP(E18,[1]ICA!$M$1:$N$1905,2,FALSE),"")</f>
        <v>Vendor Information For Local Display (ENDRESS + HAUSER S.E.A. PTE LTD)</v>
      </c>
      <c r="E18" s="5" t="s">
        <v>72</v>
      </c>
      <c r="F18" s="2" t="s">
        <v>37</v>
      </c>
      <c r="G18" s="5" t="s">
        <v>38</v>
      </c>
      <c r="H18" s="39">
        <v>46247</v>
      </c>
      <c r="I18" s="6">
        <v>20</v>
      </c>
      <c r="J18" s="39">
        <f>$H18+$I18</f>
        <v>46267</v>
      </c>
      <c r="K18" s="39">
        <v>46262</v>
      </c>
      <c r="L18" s="5">
        <f ca="1">IF(NOT(ISBLANK($K18)),$K18-$H18,TODAY()-$H18)</f>
        <v>15</v>
      </c>
      <c r="M18" s="43">
        <f ca="1">L18-I18</f>
        <v>-5</v>
      </c>
      <c r="N18" s="6" t="str" cm="1">
        <f t="array" ref="N18">_xlfn.IFS(
AND(NOT(ISBLANK(H18)),ISBLANK(K18)),"SUR",
AND(NOT(ISBLANK(H18)),NOT(ISBLANK(K18)),$P18="YES"),"RTR",
AND(NOT(ISBLANK(H18)),NOT(ISBLANK(K18)),$P18="NO"),"NTS",
TRUE,"TO Check"
)</f>
        <v>NTS</v>
      </c>
      <c r="O18" s="2" t="s">
        <v>43</v>
      </c>
      <c r="P18" s="5" t="s">
        <v>40</v>
      </c>
    </row>
    <row r="19" spans="1:16" ht="15">
      <c r="A19" s="2">
        <v>17</v>
      </c>
      <c r="B19" s="15" t="s">
        <v>73</v>
      </c>
      <c r="D19" t="str">
        <f>_xlfn.IFNA(VLOOKUP(E19,[1]ICA!$M$1:$N$1905,2,FALSE),"")</f>
        <v>Vendor Information For Cable (LV Power, Signal &amp; Control) (C-KINGDOM CABLE TECHNOLOGY CO., LTD.)</v>
      </c>
      <c r="E19" s="5" t="s">
        <v>74</v>
      </c>
      <c r="F19" s="2" t="s">
        <v>37</v>
      </c>
      <c r="G19" s="5" t="s">
        <v>38</v>
      </c>
      <c r="H19" s="39">
        <v>46286</v>
      </c>
      <c r="I19" s="6">
        <v>20</v>
      </c>
      <c r="J19" s="39">
        <f>$H19+$I19</f>
        <v>46306</v>
      </c>
      <c r="L19" s="5">
        <f ca="1">IF(NOT(ISBLANK($K19)),$K19-$H19,TODAY()-$H19)</f>
        <v>23</v>
      </c>
      <c r="M19" s="43">
        <f ca="1">L19-I19</f>
        <v>3</v>
      </c>
      <c r="N19" s="6" t="str" cm="1">
        <f t="array" ref="N19">_xlfn.IFS(
AND(NOT(ISBLANK(H19)),ISBLANK(K19)),"SUR",
AND(NOT(ISBLANK(H19)),NOT(ISBLANK(K19)),$P19="YES"),"RTR",
AND(NOT(ISBLANK(H19)),NOT(ISBLANK(K19)),$P19="NO"),"NTS",
TRUE,"TO Check"
)</f>
        <v>SUR</v>
      </c>
    </row>
    <row r="20" spans="1:16" ht="15">
      <c r="A20" s="2">
        <v>18</v>
      </c>
      <c r="B20" s="15" t="s">
        <v>75</v>
      </c>
      <c r="D20" t="str">
        <f>_xlfn.IFNA(VLOOKUP(E20,[1]ICA!$M$1:$N$1905,2,FALSE),"")</f>
        <v>Vendor Information For SS316 Tube Fittings (YANGZHONG SINYA AUTO-CONTROL ENGINEERING CO.,LTD.)</v>
      </c>
      <c r="E20" s="5" t="s">
        <v>76</v>
      </c>
      <c r="F20" s="2" t="s">
        <v>37</v>
      </c>
      <c r="G20" s="5" t="s">
        <v>38</v>
      </c>
      <c r="H20" s="39">
        <v>46286</v>
      </c>
      <c r="I20" s="6">
        <v>20</v>
      </c>
      <c r="J20" s="39">
        <f>$H20+$I20</f>
        <v>46306</v>
      </c>
      <c r="L20" s="5">
        <f ca="1">IF(NOT(ISBLANK($K20)),$K20-$H20,TODAY()-$H20)</f>
        <v>23</v>
      </c>
      <c r="M20" s="43">
        <f ca="1">L20-I20</f>
        <v>3</v>
      </c>
      <c r="N20" s="6" t="str" cm="1">
        <f t="array" ref="N20">_xlfn.IFS(
AND(NOT(ISBLANK(H20)),ISBLANK(K20)),"SUR",
AND(NOT(ISBLANK(H20)),NOT(ISBLANK(K20)),$P20="YES"),"RTR",
AND(NOT(ISBLANK(H20)),NOT(ISBLANK(K20)),$P20="NO"),"NTS",
TRUE,"TO Check"
)</f>
        <v>SUR</v>
      </c>
    </row>
    <row r="21" spans="1:16" ht="15">
      <c r="A21" s="2">
        <v>19</v>
      </c>
      <c r="B21" s="15" t="s">
        <v>77</v>
      </c>
      <c r="D21" t="str">
        <f>_xlfn.IFNA(VLOOKUP(E21,[1]ICA!$M$1:$N$1905,2,FALSE),"")</f>
        <v>Vendor Information For Cable (LV Power, Signal &amp; Control)(KEI INDUSTRIES LTD)</v>
      </c>
      <c r="E21" s="5" t="s">
        <v>78</v>
      </c>
      <c r="F21" s="2" t="s">
        <v>37</v>
      </c>
      <c r="G21" s="5" t="s">
        <v>38</v>
      </c>
      <c r="H21" s="39">
        <v>46294</v>
      </c>
      <c r="I21" s="6">
        <v>20</v>
      </c>
      <c r="J21" s="39">
        <f>$H21+$I21</f>
        <v>46314</v>
      </c>
      <c r="L21" s="5">
        <f ca="1">IF(NOT(ISBLANK($K21)),$K21-$H21,TODAY()-$H21)</f>
        <v>15</v>
      </c>
      <c r="M21" s="43">
        <f ca="1">L21-I21</f>
        <v>-5</v>
      </c>
      <c r="N21" s="6" t="str" cm="1">
        <f t="array" ref="N21">_xlfn.IFS(
AND(NOT(ISBLANK(H21)),ISBLANK(K21)),"SUR",
AND(NOT(ISBLANK(H21)),NOT(ISBLANK(K21)),$P21="YES"),"RTR",
AND(NOT(ISBLANK(H21)),NOT(ISBLANK(K21)),$P21="NO"),"NTS",
TRUE,"TO Check"
)</f>
        <v>SUR</v>
      </c>
    </row>
    <row r="22" spans="1:16" ht="15">
      <c r="A22" s="2">
        <v>20</v>
      </c>
      <c r="B22" s="15">
        <v>166</v>
      </c>
      <c r="D22" t="str">
        <f>_xlfn.IFNA(VLOOKUP(E22,[1]ICA!$M$1:$N$1905,2,FALSE),"")</f>
        <v>Vendor Information For Flowmeter - Electromagnetic (ENDRESS + HAUSER S.E.A. PTE LTD)</v>
      </c>
      <c r="E22" s="5" t="s">
        <v>79</v>
      </c>
      <c r="F22" s="2">
        <v>0</v>
      </c>
      <c r="G22" s="5" t="s">
        <v>38</v>
      </c>
      <c r="H22" s="39">
        <v>46298</v>
      </c>
      <c r="I22" s="6">
        <v>20</v>
      </c>
      <c r="J22" s="39">
        <f>$H22+$I22</f>
        <v>46318</v>
      </c>
      <c r="L22" s="5">
        <f ca="1">IF(NOT(ISBLANK($K22)),$K22-$H22,TODAY()-$H22)</f>
        <v>11</v>
      </c>
      <c r="M22" s="43">
        <f ca="1">L22-I22</f>
        <v>-9</v>
      </c>
      <c r="N22" s="6" t="str" cm="1">
        <f t="array" ref="N22">_xlfn.IFS(
AND(NOT(ISBLANK(H22)),ISBLANK(K22)),"SUR",
AND(NOT(ISBLANK(H22)),NOT(ISBLANK(K22)),$P22="YES"),"RTR",
AND(NOT(ISBLANK(H22)),NOT(ISBLANK(K22)),$P22="NO"),"NTS",
TRUE,"TO Check"
)</f>
        <v>SUR</v>
      </c>
    </row>
    <row r="23" spans="1:16" ht="15">
      <c r="A23" s="2">
        <v>21</v>
      </c>
      <c r="B23" s="15" t="s">
        <v>80</v>
      </c>
      <c r="D23" t="str">
        <f>_xlfn.IFNA(VLOOKUP(E23,[1]ICA!$M$1:$N$1905,2,FALSE),"")</f>
        <v>Vendor Information For Hydrogen Sulfide Gas Detector (DRAEGER SINGAPORE PTE LTD)</v>
      </c>
      <c r="E23" s="5" t="s">
        <v>81</v>
      </c>
      <c r="F23" s="2" t="s">
        <v>37</v>
      </c>
      <c r="G23" s="5" t="s">
        <v>38</v>
      </c>
      <c r="H23" s="39">
        <v>46129</v>
      </c>
      <c r="I23" s="6">
        <v>20</v>
      </c>
      <c r="J23" s="39">
        <f>$H23+$I23</f>
        <v>46149</v>
      </c>
      <c r="K23" s="39">
        <v>46157</v>
      </c>
      <c r="L23" s="5">
        <f ca="1">IF(NOT(ISBLANK($K23)),$K23-$H23,TODAY()-$H23)</f>
        <v>28</v>
      </c>
      <c r="M23" s="43">
        <f ca="1">L23-I23</f>
        <v>8</v>
      </c>
      <c r="N23" s="6" t="str" cm="1">
        <f t="array" ref="N23">_xlfn.IFS(
AND(NOT(ISBLANK(H23)),ISBLANK(K23)),"SUR",
AND(NOT(ISBLANK(H23)),NOT(ISBLANK(K23)),$P23="YES"),"RTR",
AND(NOT(ISBLANK(H23)),NOT(ISBLANK(K23)),$P23="NO"),"NTS",
TRUE,"TO Check"
)</f>
        <v>RTR</v>
      </c>
      <c r="O23" s="2" t="s">
        <v>43</v>
      </c>
      <c r="P23" s="5" t="s">
        <v>44</v>
      </c>
    </row>
    <row r="24" spans="1:16" ht="15">
      <c r="A24" s="2">
        <v>22</v>
      </c>
      <c r="B24" s="15" t="s">
        <v>82</v>
      </c>
      <c r="D24" t="str">
        <f>_xlfn.IFNA(VLOOKUP(E24,[1]ICA!$M$1:$N$1905,2,FALSE),"")</f>
        <v>Vendor Information For Carbon Monoxide Gas Detector (DRAEGER SINGAPORE PTE LTD)</v>
      </c>
      <c r="E24" s="5" t="s">
        <v>83</v>
      </c>
      <c r="F24" s="2" t="s">
        <v>37</v>
      </c>
      <c r="G24" s="5" t="s">
        <v>38</v>
      </c>
      <c r="H24" s="39">
        <v>46129</v>
      </c>
      <c r="I24" s="6">
        <v>20</v>
      </c>
      <c r="J24" s="39">
        <f>$H24+$I24</f>
        <v>46149</v>
      </c>
      <c r="K24" s="39">
        <v>46157</v>
      </c>
      <c r="L24" s="5">
        <f ca="1">IF(NOT(ISBLANK($K24)),$K24-$H24,TODAY()-$H24)</f>
        <v>28</v>
      </c>
      <c r="M24" s="43">
        <f ca="1">L24-I24</f>
        <v>8</v>
      </c>
      <c r="N24" s="6" t="str" cm="1">
        <f t="array" ref="N24">_xlfn.IFS(
AND(NOT(ISBLANK(H24)),ISBLANK(K24)),"SUR",
AND(NOT(ISBLANK(H24)),NOT(ISBLANK(K24)),$P24="YES"),"RTR",
AND(NOT(ISBLANK(H24)),NOT(ISBLANK(K24)),$P24="NO"),"NTS",
TRUE,"TO Check"
)</f>
        <v>RTR</v>
      </c>
      <c r="O24" s="2" t="s">
        <v>43</v>
      </c>
      <c r="P24" s="5" t="s">
        <v>44</v>
      </c>
    </row>
    <row r="25" spans="1:16" ht="15">
      <c r="A25" s="2">
        <v>23</v>
      </c>
      <c r="B25" s="15" t="s">
        <v>84</v>
      </c>
      <c r="D25" t="str">
        <f>_xlfn.IFNA(VLOOKUP(E25,[1]ICA!$M$1:$N$1905,2,FALSE),"")</f>
        <v>Vendor Information For Flammable (LEL) Gas Detector (DRAEGER SINGAPORE PTE LTD)</v>
      </c>
      <c r="E25" s="5" t="s">
        <v>85</v>
      </c>
      <c r="F25" s="2" t="s">
        <v>37</v>
      </c>
      <c r="G25" s="5" t="s">
        <v>38</v>
      </c>
      <c r="H25" s="39">
        <v>46129</v>
      </c>
      <c r="I25" s="6">
        <v>20</v>
      </c>
      <c r="J25" s="39">
        <f>$H25+$I25</f>
        <v>46149</v>
      </c>
      <c r="K25" s="39">
        <v>46157</v>
      </c>
      <c r="L25" s="5">
        <f ca="1">IF(NOT(ISBLANK($K25)),$K25-$H25,TODAY()-$H25)</f>
        <v>28</v>
      </c>
      <c r="M25" s="43">
        <f ca="1">L25-I25</f>
        <v>8</v>
      </c>
      <c r="N25" s="6" t="str" cm="1">
        <f t="array" ref="N25">_xlfn.IFS(
AND(NOT(ISBLANK(H25)),ISBLANK(K25)),"SUR",
AND(NOT(ISBLANK(H25)),NOT(ISBLANK(K25)),$P25="YES"),"RTR",
AND(NOT(ISBLANK(H25)),NOT(ISBLANK(K25)),$P25="NO"),"NTS",
TRUE,"TO Check"
)</f>
        <v>RTR</v>
      </c>
      <c r="O25" s="2" t="s">
        <v>43</v>
      </c>
      <c r="P25" s="5" t="s">
        <v>44</v>
      </c>
    </row>
    <row r="26" spans="1:16" ht="15">
      <c r="A26" s="2">
        <v>24</v>
      </c>
      <c r="B26" s="15" t="s">
        <v>86</v>
      </c>
      <c r="D26" t="str">
        <f>_xlfn.IFNA(VLOOKUP(E26,[1]ICA!$M$1:$N$1905,2,FALSE),"")</f>
        <v>Vendor Information For Weight Transmitter (METTLER – TOLEDO (S) PTE LTD)</v>
      </c>
      <c r="E26" s="5" t="s">
        <v>87</v>
      </c>
      <c r="F26" s="2" t="s">
        <v>37</v>
      </c>
      <c r="G26" s="5" t="s">
        <v>38</v>
      </c>
      <c r="H26" s="39">
        <v>46140</v>
      </c>
      <c r="I26" s="6">
        <v>20</v>
      </c>
      <c r="J26" s="39">
        <f>$H26+$I26</f>
        <v>46160</v>
      </c>
      <c r="K26" s="39">
        <v>46173</v>
      </c>
      <c r="L26" s="5">
        <f ca="1">IF(NOT(ISBLANK($K26)),$K26-$H26,TODAY()-$H26)</f>
        <v>33</v>
      </c>
      <c r="M26" s="43">
        <f ca="1">L26-I26</f>
        <v>13</v>
      </c>
      <c r="N26" s="6" t="str" cm="1">
        <f t="array" ref="N26">_xlfn.IFS(
AND(NOT(ISBLANK(H26)),ISBLANK(K26)),"SUR",
AND(NOT(ISBLANK(H26)),NOT(ISBLANK(K26)),$P26="YES"),"RTR",
AND(NOT(ISBLANK(H26)),NOT(ISBLANK(K26)),$P26="NO"),"NTS",
TRUE,"TO Check"
)</f>
        <v>RTR</v>
      </c>
      <c r="O26" s="2" t="s">
        <v>43</v>
      </c>
      <c r="P26" s="5" t="s">
        <v>44</v>
      </c>
    </row>
    <row r="27" spans="1:16" ht="15">
      <c r="A27" s="2">
        <v>25</v>
      </c>
      <c r="B27" s="15" t="s">
        <v>88</v>
      </c>
      <c r="D27" t="str">
        <f>_xlfn.IFNA(VLOOKUP(E27,[1]ICA!$M$1:$N$1905,2,FALSE),"")</f>
        <v>Vendor Information For Toxicity Analyser (AI ANALYTICAL PTE LTD)</v>
      </c>
      <c r="E27" s="5" t="s">
        <v>89</v>
      </c>
      <c r="F27" s="2" t="s">
        <v>37</v>
      </c>
      <c r="G27" s="5" t="s">
        <v>38</v>
      </c>
      <c r="H27" s="39">
        <v>46168</v>
      </c>
      <c r="I27" s="6">
        <v>20</v>
      </c>
      <c r="J27" s="39">
        <f>$H27+$I27</f>
        <v>46188</v>
      </c>
      <c r="K27" s="39">
        <v>46176</v>
      </c>
      <c r="L27" s="5">
        <f ca="1">IF(NOT(ISBLANK($K27)),$K27-$H27,TODAY()-$H27)</f>
        <v>8</v>
      </c>
      <c r="M27" s="43">
        <f ca="1">L27-I27</f>
        <v>-12</v>
      </c>
      <c r="N27" s="6" t="str" cm="1">
        <f t="array" ref="N27">_xlfn.IFS(
AND(NOT(ISBLANK(H27)),ISBLANK(K27)),"SUR",
AND(NOT(ISBLANK(H27)),NOT(ISBLANK(K27)),$P27="YES"),"RTR",
AND(NOT(ISBLANK(H27)),NOT(ISBLANK(K27)),$P27="NO"),"NTS",
TRUE,"TO Check"
)</f>
        <v>RTR</v>
      </c>
      <c r="O27" s="2" t="s">
        <v>43</v>
      </c>
      <c r="P27" s="5" t="s">
        <v>44</v>
      </c>
    </row>
    <row r="28" spans="1:16" ht="15">
      <c r="A28" s="2">
        <v>26</v>
      </c>
      <c r="B28" s="15" t="s">
        <v>90</v>
      </c>
      <c r="D28" t="str">
        <f>_xlfn.IFNA(VLOOKUP(E28,[1]ICA!$M$1:$N$1905,2,FALSE),"")</f>
        <v>Vendor Information For Motion Switch (IFM ELECTRONIC PTE LTD)</v>
      </c>
      <c r="E28" s="5" t="s">
        <v>91</v>
      </c>
      <c r="F28" s="2" t="s">
        <v>37</v>
      </c>
      <c r="G28" s="5" t="s">
        <v>38</v>
      </c>
      <c r="H28" s="39">
        <v>46168</v>
      </c>
      <c r="I28" s="6">
        <v>20</v>
      </c>
      <c r="J28" s="39">
        <f>$H28+$I28</f>
        <v>46188</v>
      </c>
      <c r="K28" s="39">
        <v>46177</v>
      </c>
      <c r="L28" s="5">
        <f ca="1">IF(NOT(ISBLANK($K28)),$K28-$H28,TODAY()-$H28)</f>
        <v>9</v>
      </c>
      <c r="M28" s="43">
        <f ca="1">L28-I28</f>
        <v>-11</v>
      </c>
      <c r="N28" s="6" t="str" cm="1">
        <f t="array" ref="N28">_xlfn.IFS(
AND(NOT(ISBLANK(H28)),ISBLANK(K28)),"SUR",
AND(NOT(ISBLANK(H28)),NOT(ISBLANK(K28)),$P28="YES"),"RTR",
AND(NOT(ISBLANK(H28)),NOT(ISBLANK(K28)),$P28="NO"),"NTS",
TRUE,"TO Check"
)</f>
        <v>RTR</v>
      </c>
      <c r="O28" s="2" t="s">
        <v>39</v>
      </c>
      <c r="P28" s="5" t="s">
        <v>44</v>
      </c>
    </row>
    <row r="29" spans="1:16" ht="15">
      <c r="A29" s="2">
        <v>27</v>
      </c>
      <c r="B29" s="15" t="s">
        <v>92</v>
      </c>
      <c r="D29" t="str">
        <f>_xlfn.IFNA(VLOOKUP(E29,[1]ICA!$M$1:$N$1905,2,FALSE),"")</f>
        <v>Vendor Information For Volatile Organic Compound (VOC) Gas Analyser (HONEYWELL RAE SYSTEMS)</v>
      </c>
      <c r="E29" s="5" t="s">
        <v>93</v>
      </c>
      <c r="F29" s="2" t="s">
        <v>37</v>
      </c>
      <c r="G29" s="5" t="s">
        <v>38</v>
      </c>
      <c r="H29" s="39">
        <v>46176</v>
      </c>
      <c r="I29" s="6">
        <v>20</v>
      </c>
      <c r="J29" s="39">
        <f>$H29+$I29</f>
        <v>46196</v>
      </c>
      <c r="K29" s="39">
        <v>46184</v>
      </c>
      <c r="L29" s="5">
        <f ca="1">IF(NOT(ISBLANK($K29)),$K29-$H29,TODAY()-$H29)</f>
        <v>8</v>
      </c>
      <c r="M29" s="43">
        <f ca="1">L29-I29</f>
        <v>-12</v>
      </c>
      <c r="N29" s="6" t="str" cm="1">
        <f t="array" ref="N29">_xlfn.IFS(
AND(NOT(ISBLANK(H29)),ISBLANK(K29)),"SUR",
AND(NOT(ISBLANK(H29)),NOT(ISBLANK(K29)),$P29="YES"),"RTR",
AND(NOT(ISBLANK(H29)),NOT(ISBLANK(K29)),$P29="NO"),"NTS",
TRUE,"TO Check"
)</f>
        <v>RTR</v>
      </c>
      <c r="O29" s="2" t="s">
        <v>39</v>
      </c>
      <c r="P29" s="5" t="s">
        <v>44</v>
      </c>
    </row>
    <row r="30" spans="1:16" ht="15">
      <c r="A30" s="2">
        <v>28</v>
      </c>
      <c r="B30" s="15" t="s">
        <v>94</v>
      </c>
      <c r="D30" t="str">
        <f>_xlfn.IFNA(VLOOKUP(E30,[1]ICA!$M$1:$N$1905,2,FALSE),"")</f>
        <v>Vendor Information For Total Solid Analyser (VALMET - WETEC PTE LTD)</v>
      </c>
      <c r="E30" s="5" t="s">
        <v>95</v>
      </c>
      <c r="F30" s="2" t="s">
        <v>37</v>
      </c>
      <c r="G30" s="5" t="s">
        <v>38</v>
      </c>
      <c r="H30" s="39">
        <v>46154</v>
      </c>
      <c r="I30" s="6">
        <v>20</v>
      </c>
      <c r="J30" s="39">
        <f>$H30+$I30</f>
        <v>46174</v>
      </c>
      <c r="K30" s="39">
        <v>46157</v>
      </c>
      <c r="L30" s="5">
        <f ca="1">IF(NOT(ISBLANK($K30)),$K30-$H30,TODAY()-$H30)</f>
        <v>3</v>
      </c>
      <c r="M30" s="43">
        <f ca="1">L30-I30</f>
        <v>-17</v>
      </c>
      <c r="N30" s="6" t="str" cm="1">
        <f t="array" ref="N30">_xlfn.IFS(
AND(NOT(ISBLANK(H30)),ISBLANK(K30)),"SUR",
AND(NOT(ISBLANK(H30)),NOT(ISBLANK(K30)),$P30="YES"),"RTR",
AND(NOT(ISBLANK(H30)),NOT(ISBLANK(K30)),$P30="NO"),"NTS",
TRUE,"TO Check"
)</f>
        <v>RTR</v>
      </c>
      <c r="O30" s="2" t="s">
        <v>43</v>
      </c>
      <c r="P30" s="5" t="s">
        <v>44</v>
      </c>
    </row>
    <row r="31" spans="1:16" ht="15">
      <c r="A31" s="2">
        <v>29</v>
      </c>
      <c r="B31" s="15" t="s">
        <v>96</v>
      </c>
      <c r="D31" t="str">
        <f>_xlfn.IFNA(VLOOKUP(E31,[1]ICA!$M$1:$N$1905,2,FALSE),"")</f>
        <v>Vendor Information For Level Switch Sludge Blanket – Ultrasonic (PULSAR – MAESTRO ASIA)</v>
      </c>
      <c r="E31" s="5" t="s">
        <v>97</v>
      </c>
      <c r="F31" s="2" t="s">
        <v>37</v>
      </c>
      <c r="G31" s="5" t="s">
        <v>38</v>
      </c>
      <c r="H31" s="39">
        <v>46182</v>
      </c>
      <c r="I31" s="6">
        <v>20</v>
      </c>
      <c r="J31" s="39">
        <f>$H31+$I31</f>
        <v>46202</v>
      </c>
      <c r="K31" s="39">
        <v>46201</v>
      </c>
      <c r="L31" s="5">
        <f ca="1">IF(NOT(ISBLANK($K31)),$K31-$H31,TODAY()-$H31)</f>
        <v>19</v>
      </c>
      <c r="M31" s="43">
        <f ca="1">L31-I31</f>
        <v>-1</v>
      </c>
      <c r="N31" s="6" t="str" cm="1">
        <f t="array" ref="N31">_xlfn.IFS(
AND(NOT(ISBLANK(H31)),ISBLANK(K31)),"SUR",
AND(NOT(ISBLANK(H31)),NOT(ISBLANK(K31)),$P31="YES"),"RTR",
AND(NOT(ISBLANK(H31)),NOT(ISBLANK(K31)),$P31="NO"),"NTS",
TRUE,"TO Check"
)</f>
        <v>RTR</v>
      </c>
      <c r="O31" s="2" t="s">
        <v>39</v>
      </c>
      <c r="P31" s="5" t="s">
        <v>44</v>
      </c>
    </row>
    <row r="32" spans="1:16" ht="15">
      <c r="A32" s="2">
        <v>30</v>
      </c>
      <c r="B32" s="15" t="s">
        <v>98</v>
      </c>
      <c r="D32" t="str">
        <f>_xlfn.IFNA(VLOOKUP(E32,[1]ICA!$M$1:$N$1905,2,FALSE),"")</f>
        <v>Vendor Information For Level Switch – Tuning Fork (ENDRESS + HAUSER S.E.A. PTE LTD)</v>
      </c>
      <c r="E32" s="5" t="s">
        <v>99</v>
      </c>
      <c r="F32" s="2" t="s">
        <v>37</v>
      </c>
      <c r="G32" s="5" t="s">
        <v>38</v>
      </c>
      <c r="H32" s="39">
        <v>46146</v>
      </c>
      <c r="I32" s="6">
        <v>20</v>
      </c>
      <c r="J32" s="39">
        <f>$H32+$I32</f>
        <v>46166</v>
      </c>
      <c r="K32" s="39">
        <v>46192</v>
      </c>
      <c r="L32" s="5">
        <f ca="1">IF(NOT(ISBLANK($K32)),$K32-$H32,TODAY()-$H32)</f>
        <v>46</v>
      </c>
      <c r="M32" s="43">
        <f ca="1">L32-I32</f>
        <v>26</v>
      </c>
      <c r="N32" s="6" t="str" cm="1">
        <f t="array" ref="N32">_xlfn.IFS(
AND(NOT(ISBLANK(H32)),ISBLANK(K32)),"SUR",
AND(NOT(ISBLANK(H32)),NOT(ISBLANK(K32)),$P32="YES"),"RTR",
AND(NOT(ISBLANK(H32)),NOT(ISBLANK(K32)),$P32="NO"),"NTS",
TRUE,"TO Check"
)</f>
        <v>RTR</v>
      </c>
      <c r="O32" s="2" t="s">
        <v>39</v>
      </c>
      <c r="P32" s="5" t="s">
        <v>44</v>
      </c>
    </row>
    <row r="33" spans="1:16" ht="15">
      <c r="A33" s="2">
        <v>31</v>
      </c>
      <c r="B33" s="15" t="s">
        <v>100</v>
      </c>
      <c r="D33" t="str">
        <f>_xlfn.IFNA(VLOOKUP(E33,[1]ICA!$M$1:$N$1905,2,FALSE),"")</f>
        <v>Vendor Information For Orthophosphate Analyser(ENDRESS + HAUSER S.E.A. PTE LTD)</v>
      </c>
      <c r="E33" s="5" t="s">
        <v>101</v>
      </c>
      <c r="F33" s="2" t="s">
        <v>37</v>
      </c>
      <c r="G33" s="5" t="s">
        <v>38</v>
      </c>
      <c r="H33" s="39">
        <v>46148</v>
      </c>
      <c r="I33" s="6">
        <v>20</v>
      </c>
      <c r="J33" s="39">
        <f>$H33+$I33</f>
        <v>46168</v>
      </c>
      <c r="K33" s="39">
        <v>46157</v>
      </c>
      <c r="L33" s="5">
        <f ca="1">IF(NOT(ISBLANK($K33)),$K33-$H33,TODAY()-$H33)</f>
        <v>9</v>
      </c>
      <c r="M33" s="43">
        <f ca="1">L33-I33</f>
        <v>-11</v>
      </c>
      <c r="N33" s="6" t="str" cm="1">
        <f t="array" ref="N33">_xlfn.IFS(
AND(NOT(ISBLANK(H33)),ISBLANK(K33)),"SUR",
AND(NOT(ISBLANK(H33)),NOT(ISBLANK(K33)),$P33="YES"),"RTR",
AND(NOT(ISBLANK(H33)),NOT(ISBLANK(K33)),$P33="NO"),"NTS",
TRUE,"TO Check"
)</f>
        <v>RTR</v>
      </c>
      <c r="O33" s="2" t="s">
        <v>43</v>
      </c>
      <c r="P33" s="5" t="s">
        <v>44</v>
      </c>
    </row>
    <row r="34" spans="1:16" ht="15">
      <c r="A34" s="2">
        <v>32</v>
      </c>
      <c r="B34" s="15" t="s">
        <v>102</v>
      </c>
      <c r="D34" t="str">
        <f>_xlfn.IFNA(VLOOKUP(E34,[1]ICA!$M$1:$N$1905,2,FALSE),"")</f>
        <v>Vendor Information For Conductivity Analyser(ENDRESS + HAUSER S.E.A. PTE LTD)</v>
      </c>
      <c r="E34" s="5" t="s">
        <v>103</v>
      </c>
      <c r="F34" s="2" t="s">
        <v>37</v>
      </c>
      <c r="G34" s="5" t="s">
        <v>38</v>
      </c>
      <c r="H34" s="39">
        <v>46150</v>
      </c>
      <c r="I34" s="6">
        <v>20</v>
      </c>
      <c r="J34" s="39">
        <f>$H34+$I34</f>
        <v>46170</v>
      </c>
      <c r="K34" s="39">
        <v>46157</v>
      </c>
      <c r="L34" s="5">
        <f ca="1">IF(NOT(ISBLANK($K34)),$K34-$H34,TODAY()-$H34)</f>
        <v>7</v>
      </c>
      <c r="M34" s="43">
        <f ca="1">L34-I34</f>
        <v>-13</v>
      </c>
      <c r="N34" s="6" t="str" cm="1">
        <f t="array" ref="N34">_xlfn.IFS(
AND(NOT(ISBLANK(H34)),ISBLANK(K34)),"SUR",
AND(NOT(ISBLANK(H34)),NOT(ISBLANK(K34)),$P34="YES"),"RTR",
AND(NOT(ISBLANK(H34)),NOT(ISBLANK(K34)),$P34="NO"),"NTS",
TRUE,"TO Check"
)</f>
        <v>RTR</v>
      </c>
      <c r="O34" s="2" t="s">
        <v>39</v>
      </c>
      <c r="P34" s="5" t="s">
        <v>44</v>
      </c>
    </row>
    <row r="35" spans="1:16" ht="15">
      <c r="A35" s="2">
        <v>33</v>
      </c>
      <c r="B35" s="15" t="s">
        <v>104</v>
      </c>
      <c r="D35" t="str">
        <f>_xlfn.IFNA(VLOOKUP(E35,[1]ICA!$M$1:$N$1905,2,FALSE),"")</f>
        <v>Vendor Information For ORP Analyser(YOKOGAWA ENGINEERING ASIA PTE LTD)</v>
      </c>
      <c r="E35" s="5" t="s">
        <v>105</v>
      </c>
      <c r="F35" s="2" t="s">
        <v>37</v>
      </c>
      <c r="G35" s="5" t="s">
        <v>38</v>
      </c>
      <c r="H35" s="39">
        <v>46153</v>
      </c>
      <c r="I35" s="6">
        <v>20</v>
      </c>
      <c r="J35" s="39">
        <f>$H35+$I35</f>
        <v>46173</v>
      </c>
      <c r="K35" s="39">
        <v>46157</v>
      </c>
      <c r="L35" s="5">
        <f ca="1">IF(NOT(ISBLANK($K35)),$K35-$H35,TODAY()-$H35)</f>
        <v>4</v>
      </c>
      <c r="M35" s="43">
        <f ca="1">L35-I35</f>
        <v>-16</v>
      </c>
      <c r="N35" s="6" t="str" cm="1">
        <f t="array" ref="N35">_xlfn.IFS(
AND(NOT(ISBLANK(H35)),ISBLANK(K35)),"SUR",
AND(NOT(ISBLANK(H35)),NOT(ISBLANK(K35)),$P35="YES"),"RTR",
AND(NOT(ISBLANK(H35)),NOT(ISBLANK(K35)),$P35="NO"),"NTS",
TRUE,"TO Check"
)</f>
        <v>RTR</v>
      </c>
      <c r="O35" s="2" t="s">
        <v>39</v>
      </c>
      <c r="P35" s="5" t="s">
        <v>44</v>
      </c>
    </row>
    <row r="36" spans="1:16" ht="15">
      <c r="A36" s="2">
        <v>34</v>
      </c>
      <c r="B36" s="15" t="s">
        <v>106</v>
      </c>
      <c r="D36" t="str">
        <f>_xlfn.IFNA(VLOOKUP(E36,[1]ICA!$M$1:$N$1905,2,FALSE),"")</f>
        <v>Vendor Information For Total Suspended Solid (MLSS) Analyser (HACH WATER
QUALITY SINGAPORE PTE LTD)</v>
      </c>
      <c r="E36" s="5" t="s">
        <v>107</v>
      </c>
      <c r="F36" s="2" t="s">
        <v>37</v>
      </c>
      <c r="G36" s="5" t="s">
        <v>38</v>
      </c>
      <c r="H36" s="39">
        <v>46168</v>
      </c>
      <c r="I36" s="6">
        <v>20</v>
      </c>
      <c r="J36" s="39">
        <f>$H36+$I36</f>
        <v>46188</v>
      </c>
      <c r="K36" s="39">
        <v>46176</v>
      </c>
      <c r="L36" s="5">
        <f ca="1">IF(NOT(ISBLANK($K36)),$K36-$H36,TODAY()-$H36)</f>
        <v>8</v>
      </c>
      <c r="M36" s="43">
        <f ca="1">L36-I36</f>
        <v>-12</v>
      </c>
      <c r="N36" s="6" t="str" cm="1">
        <f t="array" ref="N36">_xlfn.IFS(
AND(NOT(ISBLANK(H36)),ISBLANK(K36)),"SUR",
AND(NOT(ISBLANK(H36)),NOT(ISBLANK(K36)),$P36="YES"),"RTR",
AND(NOT(ISBLANK(H36)),NOT(ISBLANK(K36)),$P36="NO"),"NTS",
TRUE,"TO Check"
)</f>
        <v>RTR</v>
      </c>
      <c r="O36" s="2" t="s">
        <v>43</v>
      </c>
      <c r="P36" s="5" t="s">
        <v>44</v>
      </c>
    </row>
    <row r="37" spans="1:16" ht="15">
      <c r="A37" s="2">
        <v>35</v>
      </c>
      <c r="B37" s="15" t="s">
        <v>108</v>
      </c>
      <c r="D37" t="str">
        <f>_xlfn.IFNA(VLOOKUP(E37,[1]ICA!$M$1:$N$1905,2,FALSE),"")</f>
        <v>Vendor Information For Ammonia Analyser (HACH WATER QUALITY SINGAPORE PTE
LTD)</v>
      </c>
      <c r="E37" s="5" t="s">
        <v>109</v>
      </c>
      <c r="F37" s="2" t="s">
        <v>37</v>
      </c>
      <c r="G37" s="5" t="s">
        <v>38</v>
      </c>
      <c r="H37" s="39">
        <v>46168</v>
      </c>
      <c r="I37" s="6">
        <v>20</v>
      </c>
      <c r="J37" s="39">
        <f>$H37+$I37</f>
        <v>46188</v>
      </c>
      <c r="K37" s="39">
        <v>46176</v>
      </c>
      <c r="L37" s="5">
        <f ca="1">IF(NOT(ISBLANK($K37)),$K37-$H37,TODAY()-$H37)</f>
        <v>8</v>
      </c>
      <c r="M37" s="43">
        <f ca="1">L37-I37</f>
        <v>-12</v>
      </c>
      <c r="N37" s="6" t="str" cm="1">
        <f t="array" ref="N37">_xlfn.IFS(
AND(NOT(ISBLANK(H37)),ISBLANK(K37)),"SUR",
AND(NOT(ISBLANK(H37)),NOT(ISBLANK(K37)),$P37="YES"),"RTR",
AND(NOT(ISBLANK(H37)),NOT(ISBLANK(K37)),$P37="NO"),"NTS",
TRUE,"TO Check"
)</f>
        <v>RTR</v>
      </c>
      <c r="O37" s="2" t="s">
        <v>43</v>
      </c>
      <c r="P37" s="5" t="s">
        <v>44</v>
      </c>
    </row>
    <row r="38" spans="1:16" ht="15">
      <c r="A38" s="2">
        <v>36</v>
      </c>
      <c r="B38" s="15" t="s">
        <v>110</v>
      </c>
      <c r="D38" t="str">
        <f>_xlfn.IFNA(VLOOKUP(E38,[1]ICA!$M$1:$N$1905,2,FALSE),"")</f>
        <v>Vendor Information For Dissolved Oxygen Analyser (EMERSON ASIA PACIFIC PTE.
LTD.)</v>
      </c>
      <c r="E38" s="5" t="s">
        <v>111</v>
      </c>
      <c r="F38" s="2" t="s">
        <v>37</v>
      </c>
      <c r="G38" s="5" t="s">
        <v>38</v>
      </c>
      <c r="H38" s="39">
        <v>46170</v>
      </c>
      <c r="I38" s="6">
        <v>20</v>
      </c>
      <c r="J38" s="39">
        <f>$H38+$I38</f>
        <v>46190</v>
      </c>
      <c r="K38" s="39">
        <v>46195</v>
      </c>
      <c r="L38" s="5">
        <f ca="1">IF(NOT(ISBLANK($K38)),$K38-$H38,TODAY()-$H38)</f>
        <v>25</v>
      </c>
      <c r="M38" s="43">
        <f ca="1">L38-I38</f>
        <v>5</v>
      </c>
      <c r="N38" s="6" t="str" cm="1">
        <f t="array" ref="N38">_xlfn.IFS(
AND(NOT(ISBLANK(H38)),ISBLANK(K38)),"SUR",
AND(NOT(ISBLANK(H38)),NOT(ISBLANK(K38)),$P38="YES"),"RTR",
AND(NOT(ISBLANK(H38)),NOT(ISBLANK(K38)),$P38="NO"),"NTS",
TRUE,"TO Check"
)</f>
        <v>RTR</v>
      </c>
      <c r="O38" s="2" t="s">
        <v>43</v>
      </c>
      <c r="P38" s="5" t="s">
        <v>44</v>
      </c>
    </row>
    <row r="39" spans="1:16" ht="15">
      <c r="A39" s="2">
        <v>37</v>
      </c>
      <c r="B39" s="15" t="s">
        <v>112</v>
      </c>
      <c r="D39" t="str">
        <f>_xlfn.IFNA(VLOOKUP(E39,[1]ICA!$M$1:$N$1905,2,FALSE),"")</f>
        <v>Vendor Information For Nitrate / Nitrite Analyser (HACH WATER QUALITY SINGAPORE
PTE LTD)</v>
      </c>
      <c r="E39" s="5" t="s">
        <v>113</v>
      </c>
      <c r="F39" s="2" t="s">
        <v>37</v>
      </c>
      <c r="G39" s="5" t="s">
        <v>38</v>
      </c>
      <c r="H39" s="39">
        <v>46170</v>
      </c>
      <c r="I39" s="6">
        <v>20</v>
      </c>
      <c r="J39" s="39">
        <f>$H39+$I39</f>
        <v>46190</v>
      </c>
      <c r="K39" s="39">
        <v>46201</v>
      </c>
      <c r="L39" s="5">
        <f ca="1">IF(NOT(ISBLANK($K39)),$K39-$H39,TODAY()-$H39)</f>
        <v>31</v>
      </c>
      <c r="M39" s="43">
        <f ca="1">L39-I39</f>
        <v>11</v>
      </c>
      <c r="N39" s="6" t="str" cm="1">
        <f t="array" ref="N39">_xlfn.IFS(
AND(NOT(ISBLANK(H39)),ISBLANK(K39)),"SUR",
AND(NOT(ISBLANK(H39)),NOT(ISBLANK(K39)),$P39="YES"),"RTR",
AND(NOT(ISBLANK(H39)),NOT(ISBLANK(K39)),$P39="NO"),"NTS",
TRUE,"TO Check"
)</f>
        <v>RTR</v>
      </c>
      <c r="O39" s="2" t="s">
        <v>114</v>
      </c>
      <c r="P39" s="5" t="s">
        <v>44</v>
      </c>
    </row>
    <row r="40" spans="1:16" ht="15">
      <c r="A40" s="2">
        <v>38</v>
      </c>
      <c r="B40" s="15" t="s">
        <v>115</v>
      </c>
      <c r="D40" t="str">
        <f>_xlfn.IFNA(VLOOKUP(E40,[1]ICA!$M$1:$N$1905,2,FALSE),"")</f>
        <v>Vendor Information For Differential Pressure Transmitter (EMERSON ASIA PACIFIC PTE. LTD.)</v>
      </c>
      <c r="E40" s="5" t="s">
        <v>116</v>
      </c>
      <c r="F40" s="2" t="s">
        <v>37</v>
      </c>
      <c r="G40" s="5" t="s">
        <v>38</v>
      </c>
      <c r="H40" s="39">
        <v>46141</v>
      </c>
      <c r="I40" s="6">
        <v>20</v>
      </c>
      <c r="J40" s="39">
        <f>$H40+$I40</f>
        <v>46161</v>
      </c>
      <c r="K40" s="39">
        <v>46157</v>
      </c>
      <c r="L40" s="5">
        <f ca="1">IF(NOT(ISBLANK($K40)),$K40-$H40,TODAY()-$H40)</f>
        <v>16</v>
      </c>
      <c r="M40" s="43">
        <f ca="1">L40-I40</f>
        <v>-4</v>
      </c>
      <c r="N40" s="6" t="str" cm="1">
        <f t="array" ref="N40">_xlfn.IFS(
AND(NOT(ISBLANK(H40)),ISBLANK(K40)),"SUR",
AND(NOT(ISBLANK(H40)),NOT(ISBLANK(K40)),$P40="YES"),"RTR",
AND(NOT(ISBLANK(H40)),NOT(ISBLANK(K40)),$P40="NO"),"NTS",
TRUE,"TO Check"
)</f>
        <v>RTR</v>
      </c>
      <c r="O40" s="2" t="s">
        <v>43</v>
      </c>
      <c r="P40" s="5" t="s">
        <v>44</v>
      </c>
    </row>
    <row r="41" spans="1:16" ht="15">
      <c r="A41" s="2">
        <v>39</v>
      </c>
      <c r="B41" s="15" t="str">
        <f>TEXT(LEFT(C41,FIND("-",C41,1)-1),"00000")</f>
        <v>00031</v>
      </c>
      <c r="C41" s="16" t="s">
        <v>117</v>
      </c>
      <c r="D41" t="str">
        <f>_xlfn.IFNA(VLOOKUP(E41,[1]ICA!$M$1:$N$1905,2,FALSE),"")</f>
        <v>Vendor Information For Cable Raceway (TRI-STAR INDUSTRIES PTE LTD)</v>
      </c>
      <c r="E41" s="5" t="s">
        <v>42</v>
      </c>
      <c r="F41" s="2">
        <v>1</v>
      </c>
      <c r="G41" s="5" t="s">
        <v>38</v>
      </c>
      <c r="H41" s="39">
        <v>46211</v>
      </c>
      <c r="I41" s="6">
        <v>14</v>
      </c>
      <c r="J41" s="39">
        <f>$H41+$I41</f>
        <v>46225</v>
      </c>
      <c r="K41" s="39">
        <v>46220</v>
      </c>
      <c r="L41" s="5">
        <f ca="1">IF(NOT(ISBLANK($K41)),$K41-$H41,TODAY()-$H41)</f>
        <v>9</v>
      </c>
      <c r="M41" s="43">
        <f ca="1">L41-I41</f>
        <v>-5</v>
      </c>
      <c r="N41" s="6" t="str" cm="1">
        <f t="array" ref="N41">_xlfn.IFS(
AND(NOT(ISBLANK(H41)),ISBLANK(K41)),"SUR",
AND(NOT(ISBLANK(H41)),NOT(ISBLANK(K41)),$P41="YES"),"RTR",
AND(NOT(ISBLANK(H41)),NOT(ISBLANK(K41)),$P41="NO"),"NTS",
TRUE,"TO Check"
)</f>
        <v>NTS</v>
      </c>
      <c r="O41" s="2" t="s">
        <v>39</v>
      </c>
      <c r="P41" s="5" t="s">
        <v>40</v>
      </c>
    </row>
    <row r="42" spans="1:16" ht="15">
      <c r="A42" s="2">
        <v>40</v>
      </c>
      <c r="B42" s="15" t="str">
        <f>TEXT(LEFT(C42,FIND("-",C42,1)-1),"00000")</f>
        <v>00031</v>
      </c>
      <c r="C42" s="16" t="s">
        <v>118</v>
      </c>
      <c r="D42" t="str">
        <f>_xlfn.IFNA(VLOOKUP(E42,[1]ICA!$M$1:$N$1905,2,FALSE),"")</f>
        <v>Vendor Information For Cable Raceway (TRI-STAR INDUSTRIES PTE LTD)</v>
      </c>
      <c r="E42" s="5" t="s">
        <v>42</v>
      </c>
      <c r="F42" s="2">
        <v>2</v>
      </c>
      <c r="G42" s="5" t="s">
        <v>38</v>
      </c>
      <c r="H42" s="39">
        <v>46259</v>
      </c>
      <c r="I42" s="6">
        <v>14</v>
      </c>
      <c r="J42" s="39">
        <f>$H42+$I42</f>
        <v>46273</v>
      </c>
      <c r="K42" s="39">
        <v>46266</v>
      </c>
      <c r="L42" s="5">
        <f ca="1">IF(NOT(ISBLANK($K42)),$K42-$H42,TODAY()-$H42)</f>
        <v>7</v>
      </c>
      <c r="M42" s="43">
        <f ca="1">L42-I42</f>
        <v>-7</v>
      </c>
      <c r="N42" s="6" t="str" cm="1">
        <f t="array" ref="N42">_xlfn.IFS(
AND(NOT(ISBLANK(H42)),ISBLANK(K42)),"SUR",
AND(NOT(ISBLANK(H42)),NOT(ISBLANK(K42)),$P42="YES"),"RTR",
AND(NOT(ISBLANK(H42)),NOT(ISBLANK(K42)),$P42="NO"),"NTS",
TRUE,"TO Check"
)</f>
        <v>RTR</v>
      </c>
      <c r="O42" s="2" t="s">
        <v>43</v>
      </c>
      <c r="P42" s="5" t="s">
        <v>44</v>
      </c>
    </row>
    <row r="43" spans="1:16" ht="15">
      <c r="A43" s="2">
        <v>41</v>
      </c>
      <c r="B43" s="15" t="str">
        <f>TEXT(LEFT(C43,FIND("-",C43,1)-1),"00000")</f>
        <v>00038</v>
      </c>
      <c r="C43" s="2" t="s">
        <v>119</v>
      </c>
      <c r="D43" t="str">
        <f>_xlfn.IFNA(VLOOKUP(E43,[1]ICA!$M$1:$N$1905,2,FALSE),"")</f>
        <v>Vendor Information For Pressure Transmitter (EMERSON ASIA PACIFIC PTE. LTD.)</v>
      </c>
      <c r="E43" s="5" t="s">
        <v>48</v>
      </c>
      <c r="F43" s="2">
        <v>1</v>
      </c>
      <c r="G43" s="5" t="s">
        <v>38</v>
      </c>
      <c r="H43" s="39">
        <v>46185</v>
      </c>
      <c r="I43" s="6">
        <v>14</v>
      </c>
      <c r="J43" s="39">
        <f>$H43+$I43</f>
        <v>46199</v>
      </c>
      <c r="K43" s="39">
        <v>46195</v>
      </c>
      <c r="L43" s="5">
        <f ca="1">IF(NOT(ISBLANK($K43)),$K43-$H43,TODAY()-$H43)</f>
        <v>10</v>
      </c>
      <c r="M43" s="43">
        <f ca="1">L43-I43</f>
        <v>-4</v>
      </c>
      <c r="N43" s="6" t="str" cm="1">
        <f t="array" ref="N43">_xlfn.IFS(
AND(NOT(ISBLANK(H43)),ISBLANK(K43)),"SUR",
AND(NOT(ISBLANK(H43)),NOT(ISBLANK(K43)),$P43="YES"),"RTR",
AND(NOT(ISBLANK(H43)),NOT(ISBLANK(K43)),$P43="NO"),"NTS",
TRUE,"TO Check"
)</f>
        <v>NTS</v>
      </c>
      <c r="O43" s="2" t="s">
        <v>39</v>
      </c>
      <c r="P43" s="5" t="s">
        <v>40</v>
      </c>
    </row>
    <row r="44" spans="1:16" ht="15">
      <c r="A44" s="2">
        <v>42</v>
      </c>
      <c r="B44" s="15" t="str">
        <f>TEXT(LEFT(C44,FIND("-",C44,1)-1),"00000")</f>
        <v>00040</v>
      </c>
      <c r="C44" s="2" t="s">
        <v>120</v>
      </c>
      <c r="D44" t="str">
        <f>_xlfn.IFNA(VLOOKUP(E44,[1]ICA!$M$1:$N$1905,2,FALSE),"")</f>
        <v>Vendor Information For Level Transmitter Radar (Non-Contacting) (ENDRESS + HAUSER S.E.A. PTE LTD)</v>
      </c>
      <c r="E44" s="5" t="s">
        <v>50</v>
      </c>
      <c r="F44" s="2">
        <v>1</v>
      </c>
      <c r="G44" s="5" t="s">
        <v>38</v>
      </c>
      <c r="H44" s="39">
        <v>46176</v>
      </c>
      <c r="I44" s="6">
        <v>14</v>
      </c>
      <c r="J44" s="39">
        <f>$H44+$I44</f>
        <v>46190</v>
      </c>
      <c r="K44" s="39">
        <v>46184</v>
      </c>
      <c r="L44" s="5">
        <f ca="1">IF(NOT(ISBLANK($K44)),$K44-$H44,TODAY()-$H44)</f>
        <v>8</v>
      </c>
      <c r="M44" s="43">
        <f ca="1">L44-I44</f>
        <v>-6</v>
      </c>
      <c r="N44" s="6" t="str" cm="1">
        <f t="array" ref="N44">_xlfn.IFS(
AND(NOT(ISBLANK(H44)),ISBLANK(K44)),"SUR",
AND(NOT(ISBLANK(H44)),NOT(ISBLANK(K44)),$P44="YES"),"RTR",
AND(NOT(ISBLANK(H44)),NOT(ISBLANK(K44)),$P44="NO"),"NTS",
TRUE,"TO Check"
)</f>
        <v>NTS</v>
      </c>
      <c r="O44" s="2" t="s">
        <v>39</v>
      </c>
      <c r="P44" s="5" t="s">
        <v>40</v>
      </c>
    </row>
    <row r="45" spans="1:16" ht="15">
      <c r="A45" s="2">
        <v>43</v>
      </c>
      <c r="B45" s="15" t="str">
        <f>TEXT(LEFT(C45,FIND("-",C45,1)-1),"00000")</f>
        <v>00041</v>
      </c>
      <c r="C45" s="2" t="s">
        <v>121</v>
      </c>
      <c r="D45" t="str">
        <f>_xlfn.IFNA(VLOOKUP(E45,[1]ICA!$M$1:$N$1905,2,FALSE),"")</f>
        <v>Vendor Information For Pressure Switch(WIKA INSTRUMENTATION PTE. LTD.)</v>
      </c>
      <c r="E45" s="5" t="s">
        <v>52</v>
      </c>
      <c r="F45" s="2">
        <v>1</v>
      </c>
      <c r="G45" s="5" t="s">
        <v>38</v>
      </c>
      <c r="H45" s="39">
        <v>46213</v>
      </c>
      <c r="I45" s="6">
        <v>14</v>
      </c>
      <c r="J45" s="39">
        <f>$H45+$I45</f>
        <v>46227</v>
      </c>
      <c r="K45" s="39">
        <v>46240</v>
      </c>
      <c r="L45" s="5">
        <f ca="1">IF(NOT(ISBLANK($K45)),$K45-$H45,TODAY()-$H45)</f>
        <v>27</v>
      </c>
      <c r="M45" s="43">
        <f ca="1">L45-I45</f>
        <v>13</v>
      </c>
      <c r="N45" s="6" t="str" cm="1">
        <f t="array" ref="N45">_xlfn.IFS(
AND(NOT(ISBLANK(H45)),ISBLANK(K45)),"SUR",
AND(NOT(ISBLANK(H45)),NOT(ISBLANK(K45)),$P45="YES"),"RTR",
AND(NOT(ISBLANK(H45)),NOT(ISBLANK(K45)),$P45="NO"),"NTS",
TRUE,"TO Check"
)</f>
        <v>NTS</v>
      </c>
      <c r="O45" s="2" t="s">
        <v>39</v>
      </c>
      <c r="P45" s="5" t="s">
        <v>40</v>
      </c>
    </row>
    <row r="46" spans="1:16" ht="15">
      <c r="A46" s="2">
        <v>44</v>
      </c>
      <c r="B46" s="15" t="str">
        <f>TEXT(LEFT(C46,FIND("-",C46,1)-1),"00000")</f>
        <v>00046</v>
      </c>
      <c r="C46" s="2" t="s">
        <v>122</v>
      </c>
      <c r="D46" t="str">
        <f>_xlfn.IFNA(VLOOKUP(E46,[1]ICA!$M$1:$N$1905,2,FALSE),"")</f>
        <v>Vendor Information For Level Transmitter – RF Admittance(ENDRESS + HAUSER S.E.A. PTE LTD)</v>
      </c>
      <c r="E46" s="5" t="s">
        <v>54</v>
      </c>
      <c r="F46" s="2">
        <v>1</v>
      </c>
      <c r="G46" s="5" t="s">
        <v>38</v>
      </c>
      <c r="H46" s="39">
        <v>46160</v>
      </c>
      <c r="I46" s="6">
        <v>14</v>
      </c>
      <c r="J46" s="39">
        <f>$H46+$I46</f>
        <v>46174</v>
      </c>
      <c r="K46" s="39">
        <v>46173</v>
      </c>
      <c r="L46" s="5">
        <f ca="1">IF(NOT(ISBLANK($K46)),$K46-$H46,TODAY()-$H46)</f>
        <v>13</v>
      </c>
      <c r="M46" s="43">
        <f ca="1">L46-I46</f>
        <v>-1</v>
      </c>
      <c r="N46" s="6" t="str" cm="1">
        <f t="array" ref="N46">_xlfn.IFS(
AND(NOT(ISBLANK(H46)),ISBLANK(K46)),"SUR",
AND(NOT(ISBLANK(H46)),NOT(ISBLANK(K46)),$P46="YES"),"RTR",
AND(NOT(ISBLANK(H46)),NOT(ISBLANK(K46)),$P46="NO"),"NTS",
TRUE,"TO Check"
)</f>
        <v>NTS</v>
      </c>
      <c r="O46" s="2" t="s">
        <v>39</v>
      </c>
      <c r="P46" s="5" t="s">
        <v>40</v>
      </c>
    </row>
    <row r="47" spans="1:16" ht="15">
      <c r="A47" s="2">
        <v>45</v>
      </c>
      <c r="B47" s="15" t="str">
        <f>TEXT(LEFT(C47,FIND("-",C47,1)-1),"00000")</f>
        <v>00048</v>
      </c>
      <c r="C47" s="2" t="s">
        <v>123</v>
      </c>
      <c r="D47" t="str">
        <f>_xlfn.IFNA(VLOOKUP(E47,[1]ICA!$M$1:$N$1905,2,FALSE),"")</f>
        <v>Vendor Information For Auto Sampler (ENDRESS + HAUSER S.E.A. PTE LTD)</v>
      </c>
      <c r="E47" s="5" t="s">
        <v>56</v>
      </c>
      <c r="F47" s="2">
        <v>1</v>
      </c>
      <c r="G47" s="5" t="s">
        <v>38</v>
      </c>
      <c r="H47" s="39">
        <v>46185</v>
      </c>
      <c r="I47" s="6">
        <v>14</v>
      </c>
      <c r="J47" s="39">
        <f>$H47+$I47</f>
        <v>46199</v>
      </c>
      <c r="K47" s="39">
        <v>46195</v>
      </c>
      <c r="L47" s="5">
        <f ca="1">IF(NOT(ISBLANK($K47)),$K47-$H47,TODAY()-$H47)</f>
        <v>10</v>
      </c>
      <c r="M47" s="43">
        <f ca="1">L47-I47</f>
        <v>-4</v>
      </c>
      <c r="N47" s="6" t="str" cm="1">
        <f t="array" ref="N47">_xlfn.IFS(
AND(NOT(ISBLANK(H47)),ISBLANK(K47)),"SUR",
AND(NOT(ISBLANK(H47)),NOT(ISBLANK(K47)),$P47="YES"),"RTR",
AND(NOT(ISBLANK(H47)),NOT(ISBLANK(K47)),$P47="NO"),"NTS",
TRUE,"TO Check"
)</f>
        <v>NTS</v>
      </c>
      <c r="O47" s="2" t="s">
        <v>39</v>
      </c>
      <c r="P47" s="5" t="s">
        <v>40</v>
      </c>
    </row>
    <row r="48" spans="1:16" ht="15">
      <c r="A48" s="2">
        <v>46</v>
      </c>
      <c r="B48" s="15" t="str">
        <f>TEXT(LEFT(C48,FIND("-",C48,1)-1),"00000")</f>
        <v>00050</v>
      </c>
      <c r="C48" s="2" t="s">
        <v>124</v>
      </c>
      <c r="D48" t="str">
        <f>_xlfn.IFNA(VLOOKUP(E48,[1]ICA!$M$1:$N$1905,2,FALSE),"")</f>
        <v>Vendor Information For Low Point Leak Detector (IFM ELECTRONIC PTE LTD)</v>
      </c>
      <c r="E48" s="5" t="s">
        <v>58</v>
      </c>
      <c r="F48" s="2">
        <v>1</v>
      </c>
      <c r="G48" s="5" t="s">
        <v>38</v>
      </c>
      <c r="H48" s="39">
        <v>46185</v>
      </c>
      <c r="I48" s="6">
        <v>14</v>
      </c>
      <c r="J48" s="39">
        <f>$H48+$I48</f>
        <v>46199</v>
      </c>
      <c r="K48" s="39">
        <v>46204</v>
      </c>
      <c r="L48" s="5">
        <f ca="1">IF(NOT(ISBLANK($K48)),$K48-$H48,TODAY()-$H48)</f>
        <v>19</v>
      </c>
      <c r="M48" s="43">
        <f ca="1">L48-I48</f>
        <v>5</v>
      </c>
      <c r="N48" s="6" t="str" cm="1">
        <f t="array" ref="N48">_xlfn.IFS(
AND(NOT(ISBLANK(H48)),ISBLANK(K48)),"SUR",
AND(NOT(ISBLANK(H48)),NOT(ISBLANK(K48)),$P48="YES"),"RTR",
AND(NOT(ISBLANK(H48)),NOT(ISBLANK(K48)),$P48="NO"),"NTS",
TRUE,"TO Check"
)</f>
        <v>NTS</v>
      </c>
      <c r="O48" s="2" t="s">
        <v>39</v>
      </c>
      <c r="P48" s="5" t="s">
        <v>40</v>
      </c>
    </row>
    <row r="49" spans="1:16" ht="15">
      <c r="A49" s="2">
        <v>47</v>
      </c>
      <c r="B49" s="15" t="str">
        <f>TEXT(LEFT(C49,FIND("-",C49,1)-1),"00000")</f>
        <v>00051</v>
      </c>
      <c r="C49" s="2" t="s">
        <v>125</v>
      </c>
      <c r="D49" t="str">
        <f>_xlfn.IFNA(VLOOKUP(E49,[1]ICA!$M$1:$N$1905,2,FALSE),"")</f>
        <v>Vendor Information For Thermal Mass Flowmeter (ENDRESS + HAUSER S.E.A. PTE LTD)</v>
      </c>
      <c r="E49" s="5" t="s">
        <v>60</v>
      </c>
      <c r="F49" s="2">
        <v>1</v>
      </c>
      <c r="G49" s="5" t="s">
        <v>38</v>
      </c>
      <c r="H49" s="39">
        <v>46182</v>
      </c>
      <c r="I49" s="6">
        <v>14</v>
      </c>
      <c r="J49" s="39">
        <f>$H49+$I49</f>
        <v>46196</v>
      </c>
      <c r="K49" s="39">
        <v>46204</v>
      </c>
      <c r="L49" s="5">
        <f ca="1">IF(NOT(ISBLANK($K49)),$K49-$H49,TODAY()-$H49)</f>
        <v>22</v>
      </c>
      <c r="M49" s="43">
        <f ca="1">L49-I49</f>
        <v>8</v>
      </c>
      <c r="N49" s="6" t="str" cm="1">
        <f t="array" ref="N49">_xlfn.IFS(
AND(NOT(ISBLANK(H49)),ISBLANK(K49)),"SUR",
AND(NOT(ISBLANK(H49)),NOT(ISBLANK(K49)),$P49="YES"),"RTR",
AND(NOT(ISBLANK(H49)),NOT(ISBLANK(K49)),$P49="NO"),"NTS",
TRUE,"TO Check"
)</f>
        <v>NTS</v>
      </c>
      <c r="O49" s="2" t="s">
        <v>39</v>
      </c>
      <c r="P49" s="5" t="s">
        <v>40</v>
      </c>
    </row>
    <row r="50" spans="1:16" ht="15">
      <c r="A50" s="2">
        <v>48</v>
      </c>
      <c r="B50" s="15" t="str">
        <f>TEXT(LEFT(C50,FIND("-",C50,1)-1),"00000")</f>
        <v>00067</v>
      </c>
      <c r="C50" s="2" t="s">
        <v>126</v>
      </c>
      <c r="D50" t="str">
        <f>_xlfn.IFNA(VLOOKUP(E50,[1]ICA!$M$1:$N$1905,2,FALSE),"")</f>
        <v>Vendor Information For pH Analyser (EMERSON ASIA PACIFIC PTE. LTD.)</v>
      </c>
      <c r="E50" s="5" t="s">
        <v>68</v>
      </c>
      <c r="F50" s="2">
        <v>1</v>
      </c>
      <c r="G50" s="5" t="s">
        <v>38</v>
      </c>
      <c r="H50" s="39">
        <v>46211</v>
      </c>
      <c r="I50" s="6">
        <v>14</v>
      </c>
      <c r="J50" s="39">
        <f>$H50+$I50</f>
        <v>46225</v>
      </c>
      <c r="K50" s="39">
        <v>46220</v>
      </c>
      <c r="L50" s="5">
        <f ca="1">IF(NOT(ISBLANK($K50)),$K50-$H50,TODAY()-$H50)</f>
        <v>9</v>
      </c>
      <c r="M50" s="43">
        <f ca="1">L50-I50</f>
        <v>-5</v>
      </c>
      <c r="N50" s="6" t="str" cm="1">
        <f t="array" ref="N50">_xlfn.IFS(
AND(NOT(ISBLANK(H50)),ISBLANK(K50)),"SUR",
AND(NOT(ISBLANK(H50)),NOT(ISBLANK(K50)),$P50="YES"),"RTR",
AND(NOT(ISBLANK(H50)),NOT(ISBLANK(K50)),$P50="NO"),"NTS",
TRUE,"TO Check"
)</f>
        <v>RTR</v>
      </c>
      <c r="O50" s="2" t="s">
        <v>43</v>
      </c>
      <c r="P50" s="5" t="s">
        <v>44</v>
      </c>
    </row>
    <row r="51" spans="1:16" ht="15">
      <c r="A51" s="2">
        <v>49</v>
      </c>
      <c r="B51" s="15" t="str">
        <f>TEXT(LEFT(C51,FIND("-",C51,1)-1),"00000")</f>
        <v>00067</v>
      </c>
      <c r="C51" s="2" t="s">
        <v>127</v>
      </c>
      <c r="D51" t="str">
        <f>_xlfn.IFNA(VLOOKUP(E51,[1]ICA!$M$1:$N$1905,2,FALSE),"")</f>
        <v>Vendor Information For pH Analyser (EMERSON ASIA PACIFIC PTE. LTD.)</v>
      </c>
      <c r="E51" s="5" t="s">
        <v>68</v>
      </c>
      <c r="F51" s="2">
        <v>2</v>
      </c>
      <c r="G51" s="5" t="s">
        <v>38</v>
      </c>
      <c r="H51" s="39">
        <v>46248</v>
      </c>
      <c r="I51" s="6">
        <v>14</v>
      </c>
      <c r="J51" s="39">
        <f>$H51+$I51</f>
        <v>46262</v>
      </c>
      <c r="K51" s="39">
        <v>46262</v>
      </c>
      <c r="L51" s="5">
        <f ca="1">IF(NOT(ISBLANK($K51)),$K51-$H51,TODAY()-$H51)</f>
        <v>14</v>
      </c>
      <c r="M51" s="43">
        <f ca="1">L51-I51</f>
        <v>0</v>
      </c>
      <c r="N51" s="6" t="str" cm="1">
        <f t="array" ref="N51">_xlfn.IFS(
AND(NOT(ISBLANK(H51)),ISBLANK(K51)),"SUR",
AND(NOT(ISBLANK(H51)),NOT(ISBLANK(K51)),$P51="YES"),"RTR",
AND(NOT(ISBLANK(H51)),NOT(ISBLANK(K51)),$P51="NO"),"NTS",
TRUE,"TO Check"
)</f>
        <v>NTS</v>
      </c>
      <c r="O51" s="2" t="s">
        <v>39</v>
      </c>
      <c r="P51" s="5" t="s">
        <v>40</v>
      </c>
    </row>
    <row r="52" spans="1:16" ht="15">
      <c r="A52" s="2">
        <v>50</v>
      </c>
      <c r="B52" s="15" t="str">
        <f>TEXT(LEFT(C52,FIND("-",C52,1)-1),"00000")</f>
        <v>00033</v>
      </c>
      <c r="C52" s="5" t="s">
        <v>128</v>
      </c>
      <c r="D52" t="str">
        <f>_xlfn.IFNA(VLOOKUP(E52,[1]ICA!$M$1:$N$1905,2,FALSE),"")</f>
        <v>Vendor Information For Hydrogen Sulfide Gas Detector (DRAEGER SINGAPORE PTE LTD)</v>
      </c>
      <c r="E52" s="5" t="s">
        <v>81</v>
      </c>
      <c r="F52" s="2">
        <v>1</v>
      </c>
      <c r="G52" s="5" t="s">
        <v>38</v>
      </c>
      <c r="H52" s="39">
        <v>46171</v>
      </c>
      <c r="I52" s="6">
        <v>14</v>
      </c>
      <c r="J52" s="39">
        <f>$H52+$I52</f>
        <v>46185</v>
      </c>
      <c r="K52" s="39">
        <v>46184</v>
      </c>
      <c r="L52" s="5">
        <f ca="1">IF(NOT(ISBLANK($K52)),$K52-$H52,TODAY()-$H52)</f>
        <v>13</v>
      </c>
      <c r="M52" s="43">
        <f ca="1">L52-I52</f>
        <v>-1</v>
      </c>
      <c r="N52" s="6" t="str" cm="1">
        <f t="array" ref="N52">_xlfn.IFS(
AND(NOT(ISBLANK(H52)),ISBLANK(K52)),"SUR",
AND(NOT(ISBLANK(H52)),NOT(ISBLANK(K52)),$P52="YES"),"RTR",
AND(NOT(ISBLANK(H52)),NOT(ISBLANK(K52)),$P52="NO"),"NTS",
TRUE,"TO Check"
)</f>
        <v>NTS</v>
      </c>
      <c r="O52" s="2" t="s">
        <v>39</v>
      </c>
      <c r="P52" s="5" t="s">
        <v>40</v>
      </c>
    </row>
    <row r="53" spans="1:16" ht="15">
      <c r="A53" s="2">
        <v>51</v>
      </c>
      <c r="B53" s="15" t="str">
        <f>TEXT(LEFT(C53,FIND("-",C53,1)-1),"00000")</f>
        <v>00034</v>
      </c>
      <c r="C53" s="5" t="s">
        <v>129</v>
      </c>
      <c r="D53" t="str">
        <f>_xlfn.IFNA(VLOOKUP(E53,[1]ICA!$M$1:$N$1905,2,FALSE),"")</f>
        <v>Vendor Information For Carbon Monoxide Gas Detector (DRAEGER SINGAPORE PTE LTD)</v>
      </c>
      <c r="E53" s="5" t="s">
        <v>83</v>
      </c>
      <c r="F53" s="2">
        <v>1</v>
      </c>
      <c r="G53" s="5" t="s">
        <v>38</v>
      </c>
      <c r="H53" s="39">
        <v>46171</v>
      </c>
      <c r="I53" s="6">
        <v>14</v>
      </c>
      <c r="J53" s="39">
        <f>$H53+$I53</f>
        <v>46185</v>
      </c>
      <c r="K53" s="39">
        <v>46195</v>
      </c>
      <c r="L53" s="5">
        <f ca="1">IF(NOT(ISBLANK($K53)),$K53-$H53,TODAY()-$H53)</f>
        <v>24</v>
      </c>
      <c r="M53" s="43">
        <f ca="1">L53-I53</f>
        <v>10</v>
      </c>
      <c r="N53" s="6" t="str" cm="1">
        <f t="array" ref="N53">_xlfn.IFS(
AND(NOT(ISBLANK(H53)),ISBLANK(K53)),"SUR",
AND(NOT(ISBLANK(H53)),NOT(ISBLANK(K53)),$P53="YES"),"RTR",
AND(NOT(ISBLANK(H53)),NOT(ISBLANK(K53)),$P53="NO"),"NTS",
TRUE,"TO Check"
)</f>
        <v>NTS</v>
      </c>
      <c r="O53" s="2" t="s">
        <v>39</v>
      </c>
      <c r="P53" s="5" t="s">
        <v>40</v>
      </c>
    </row>
    <row r="54" spans="1:16" ht="15">
      <c r="A54" s="2">
        <v>52</v>
      </c>
      <c r="B54" s="15" t="str">
        <f>TEXT(LEFT(C54,FIND("-",C54,1)-1),"00000")</f>
        <v>00035</v>
      </c>
      <c r="C54" s="5" t="s">
        <v>130</v>
      </c>
      <c r="D54" t="str">
        <f>_xlfn.IFNA(VLOOKUP(E54,[1]ICA!$M$1:$N$1905,2,FALSE),"")</f>
        <v>Vendor Information For Flammable (LEL) Gas Detector (DRAEGER SINGAPORE PTE LTD)</v>
      </c>
      <c r="E54" s="5" t="s">
        <v>85</v>
      </c>
      <c r="F54" s="2">
        <v>1</v>
      </c>
      <c r="G54" s="5" t="s">
        <v>38</v>
      </c>
      <c r="H54" s="39">
        <v>46171</v>
      </c>
      <c r="I54" s="6">
        <v>14</v>
      </c>
      <c r="J54" s="39">
        <f>$H54+$I54</f>
        <v>46185</v>
      </c>
      <c r="K54" s="39">
        <v>46195</v>
      </c>
      <c r="L54" s="5">
        <f ca="1">IF(NOT(ISBLANK($K54)),$K54-$H54,TODAY()-$H54)</f>
        <v>24</v>
      </c>
      <c r="M54" s="43">
        <f ca="1">L54-I54</f>
        <v>10</v>
      </c>
      <c r="N54" s="6" t="str" cm="1">
        <f t="array" ref="N54">_xlfn.IFS(
AND(NOT(ISBLANK(H54)),ISBLANK(K54)),"SUR",
AND(NOT(ISBLANK(H54)),NOT(ISBLANK(K54)),$P54="YES"),"RTR",
AND(NOT(ISBLANK(H54)),NOT(ISBLANK(K54)),$P54="NO"),"NTS",
TRUE,"TO Check"
)</f>
        <v>NTS</v>
      </c>
      <c r="O54" s="2" t="s">
        <v>39</v>
      </c>
      <c r="P54" s="5" t="s">
        <v>40</v>
      </c>
    </row>
    <row r="55" spans="1:16" ht="15">
      <c r="A55" s="2">
        <v>53</v>
      </c>
      <c r="B55" s="15" t="str">
        <f>TEXT(LEFT(C55,FIND("-",C55,1)-1),"00000")</f>
        <v>00036</v>
      </c>
      <c r="C55" s="5" t="s">
        <v>131</v>
      </c>
      <c r="D55" t="str">
        <f>_xlfn.IFNA(VLOOKUP(E55,[1]ICA!$M$1:$N$1905,2,FALSE),"")</f>
        <v>Vendor Information For Weight Transmitter (METTLER – TOLEDO (S) PTE LTD)</v>
      </c>
      <c r="E55" s="5" t="s">
        <v>87</v>
      </c>
      <c r="F55" s="2">
        <v>1</v>
      </c>
      <c r="G55" s="5" t="s">
        <v>38</v>
      </c>
      <c r="H55" s="39">
        <v>46195</v>
      </c>
      <c r="I55" s="6">
        <v>14</v>
      </c>
      <c r="J55" s="39">
        <f>$H55+$I55</f>
        <v>46209</v>
      </c>
      <c r="K55" s="39">
        <v>46210</v>
      </c>
      <c r="L55" s="5">
        <f ca="1">IF(NOT(ISBLANK($K55)),$K55-$H55,TODAY()-$H55)</f>
        <v>15</v>
      </c>
      <c r="M55" s="43">
        <f ca="1">L55-I55</f>
        <v>1</v>
      </c>
      <c r="N55" s="6" t="str" cm="1">
        <f t="array" ref="N55">_xlfn.IFS(
AND(NOT(ISBLANK(H55)),ISBLANK(K55)),"SUR",
AND(NOT(ISBLANK(H55)),NOT(ISBLANK(K55)),$P55="YES"),"RTR",
AND(NOT(ISBLANK(H55)),NOT(ISBLANK(K55)),$P55="NO"),"NTS",
TRUE,"TO Check"
)</f>
        <v>RTR</v>
      </c>
      <c r="O55" s="2" t="s">
        <v>43</v>
      </c>
      <c r="P55" s="5" t="s">
        <v>44</v>
      </c>
    </row>
    <row r="56" spans="1:16" ht="15">
      <c r="B56" s="15" t="str">
        <f>TEXT(LEFT(C56,FIND("-",C56,1)-1),"00000")</f>
        <v>00036</v>
      </c>
      <c r="C56" s="5" t="s">
        <v>132</v>
      </c>
      <c r="D56" t="str">
        <f>_xlfn.IFNA(VLOOKUP(E56,[1]ICA!$M$1:$N$1905,2,FALSE),"")</f>
        <v>Vendor Information For Weight Transmitter (METTLER – TOLEDO (S) PTE LTD)</v>
      </c>
      <c r="E56" s="5" t="s">
        <v>87</v>
      </c>
      <c r="F56" s="2">
        <v>2</v>
      </c>
      <c r="G56" s="5" t="s">
        <v>38</v>
      </c>
      <c r="H56" s="39">
        <v>46213</v>
      </c>
      <c r="I56" s="6">
        <v>14</v>
      </c>
      <c r="J56" s="39">
        <f>$H56+$I56</f>
        <v>46227</v>
      </c>
      <c r="K56" s="39">
        <v>46230</v>
      </c>
      <c r="L56" s="5">
        <f ca="1">IF(NOT(ISBLANK($K56)),$K56-$H56,TODAY()-$H56)</f>
        <v>17</v>
      </c>
      <c r="M56" s="43">
        <f ca="1">L56-I56</f>
        <v>3</v>
      </c>
      <c r="N56" s="6" t="str" cm="1">
        <f t="array" ref="N56">_xlfn.IFS(
AND(NOT(ISBLANK(H56)),ISBLANK(K56)),"SUR",
AND(NOT(ISBLANK(H56)),NOT(ISBLANK(K56)),$P56="YES"),"RTR",
AND(NOT(ISBLANK(H56)),NOT(ISBLANK(K56)),$P56="NO"),"NTS",
TRUE,"TO Check"
)</f>
        <v>NTS</v>
      </c>
      <c r="O56" s="2" t="s">
        <v>39</v>
      </c>
      <c r="P56" s="5" t="s">
        <v>40</v>
      </c>
    </row>
    <row r="57" spans="1:16" ht="15">
      <c r="A57" s="2">
        <v>54</v>
      </c>
      <c r="B57" s="15" t="str">
        <f>TEXT(LEFT(C57,FIND("-",C57,1)-1),"00000")</f>
        <v>00061</v>
      </c>
      <c r="C57" s="5" t="s">
        <v>133</v>
      </c>
      <c r="D57" t="str">
        <f>_xlfn.IFNA(VLOOKUP(E57,[1]ICA!$M$1:$N$1905,2,FALSE),"")</f>
        <v>Vendor Information For Toxicity Analyser (AI ANALYTICAL PTE LTD)</v>
      </c>
      <c r="E57" s="5" t="s">
        <v>89</v>
      </c>
      <c r="F57" s="2">
        <v>1</v>
      </c>
      <c r="G57" s="5" t="s">
        <v>38</v>
      </c>
      <c r="H57" s="39">
        <v>46213</v>
      </c>
      <c r="I57" s="6">
        <v>14</v>
      </c>
      <c r="J57" s="39">
        <f>$H57+$I57</f>
        <v>46227</v>
      </c>
      <c r="K57" s="39">
        <v>46230</v>
      </c>
      <c r="L57" s="5">
        <f ca="1">IF(NOT(ISBLANK($K57)),$K57-$H57,TODAY()-$H57)</f>
        <v>17</v>
      </c>
      <c r="M57" s="43">
        <f ca="1">L57-I57</f>
        <v>3</v>
      </c>
      <c r="N57" s="6" t="str" cm="1">
        <f t="array" ref="N57">_xlfn.IFS(
AND(NOT(ISBLANK(H57)),ISBLANK(K57)),"SUR",
AND(NOT(ISBLANK(H57)),NOT(ISBLANK(K57)),$P57="YES"),"RTR",
AND(NOT(ISBLANK(H57)),NOT(ISBLANK(K57)),$P57="NO"),"NTS",
TRUE,"TO Check"
)</f>
        <v>NTS</v>
      </c>
      <c r="O57" s="2" t="s">
        <v>39</v>
      </c>
      <c r="P57" s="5" t="s">
        <v>40</v>
      </c>
    </row>
    <row r="58" spans="1:16" ht="15">
      <c r="A58" s="2">
        <v>55</v>
      </c>
      <c r="B58" s="15" t="str">
        <f>TEXT(LEFT(C58,FIND("-",C58,1)-1),"00000")</f>
        <v>00072</v>
      </c>
      <c r="C58" s="5" t="s">
        <v>134</v>
      </c>
      <c r="D58" t="str">
        <f>_xlfn.IFNA(VLOOKUP(E58,[1]ICA!$M$1:$N$1905,2,FALSE),"")</f>
        <v>Vendor Information For Volatile Organic Compound (VOC) Gas Analyser (HONEYWELL RAE SYSTEMS)</v>
      </c>
      <c r="E58" s="5" t="s">
        <v>93</v>
      </c>
      <c r="F58" s="2">
        <v>1</v>
      </c>
      <c r="G58" s="5" t="s">
        <v>38</v>
      </c>
      <c r="H58" s="39">
        <v>46195</v>
      </c>
      <c r="I58" s="6">
        <v>14</v>
      </c>
      <c r="J58" s="39">
        <f>$H58+$I58</f>
        <v>46209</v>
      </c>
      <c r="K58" s="39">
        <v>46210</v>
      </c>
      <c r="L58" s="5">
        <f ca="1">IF(NOT(ISBLANK($K58)),$K58-$H58,TODAY()-$H58)</f>
        <v>15</v>
      </c>
      <c r="M58" s="43">
        <f ca="1">L58-I58</f>
        <v>1</v>
      </c>
      <c r="N58" s="6" t="str" cm="1">
        <f t="array" ref="N58">_xlfn.IFS(
AND(NOT(ISBLANK(H58)),ISBLANK(K58)),"SUR",
AND(NOT(ISBLANK(H58)),NOT(ISBLANK(K58)),$P58="YES"),"RTR",
AND(NOT(ISBLANK(H58)),NOT(ISBLANK(K58)),$P58="NO"),"NTS",
TRUE,"TO Check"
)</f>
        <v>NTS</v>
      </c>
      <c r="O58" s="2" t="s">
        <v>39</v>
      </c>
      <c r="P58" s="5" t="s">
        <v>40</v>
      </c>
    </row>
    <row r="59" spans="1:16" ht="15">
      <c r="A59" s="2">
        <v>56</v>
      </c>
      <c r="B59" s="15" t="str">
        <f>TEXT(LEFT(C59,FIND("-",C59,1)-1),"00000")</f>
        <v>00049</v>
      </c>
      <c r="C59" s="5" t="s">
        <v>135</v>
      </c>
      <c r="D59" t="str">
        <f>_xlfn.IFNA(VLOOKUP(E59,[1]ICA!$M$1:$N$1905,2,FALSE),"")</f>
        <v>Vendor Information For Total Solid Analyser (VALMET - WETEC PTE LTD)</v>
      </c>
      <c r="E59" s="5" t="s">
        <v>95</v>
      </c>
      <c r="F59" s="2">
        <v>1</v>
      </c>
      <c r="G59" s="5" t="s">
        <v>38</v>
      </c>
      <c r="H59" s="39">
        <v>46176</v>
      </c>
      <c r="I59" s="6">
        <v>14</v>
      </c>
      <c r="J59" s="39">
        <f>$H59+$I59</f>
        <v>46190</v>
      </c>
      <c r="K59" s="39">
        <v>46184</v>
      </c>
      <c r="L59" s="5">
        <f ca="1">IF(NOT(ISBLANK($K59)),$K59-$H59,TODAY()-$H59)</f>
        <v>8</v>
      </c>
      <c r="M59" s="43">
        <f ca="1">L59-I59</f>
        <v>-6</v>
      </c>
      <c r="N59" s="6" t="str" cm="1">
        <f t="array" ref="N59">_xlfn.IFS(
AND(NOT(ISBLANK(H59)),ISBLANK(K59)),"SUR",
AND(NOT(ISBLANK(H59)),NOT(ISBLANK(K59)),$P59="YES"),"RTR",
AND(NOT(ISBLANK(H59)),NOT(ISBLANK(K59)),$P59="NO"),"NTS",
TRUE,"TO Check"
)</f>
        <v>NTS</v>
      </c>
      <c r="O59" s="2" t="s">
        <v>39</v>
      </c>
      <c r="P59" s="5" t="s">
        <v>40</v>
      </c>
    </row>
    <row r="60" spans="1:16" ht="15">
      <c r="A60" s="2">
        <v>57</v>
      </c>
      <c r="B60" s="15" t="str">
        <f>TEXT(LEFT(C60,FIND("-",C60,1)-1),"00000")</f>
        <v>00042</v>
      </c>
      <c r="C60" s="2" t="s">
        <v>136</v>
      </c>
      <c r="D60" t="str">
        <f>_xlfn.IFNA(VLOOKUP(E60,[1]ICA!$M$1:$N$1905,2,FALSE),"")</f>
        <v>Vendor Information For Level Switch – Tuning Fork (ENDRESS + HAUSER S.E.A. PTE LTD)</v>
      </c>
      <c r="E60" s="5" t="s">
        <v>99</v>
      </c>
      <c r="F60" s="2">
        <v>1</v>
      </c>
      <c r="G60" s="5" t="s">
        <v>38</v>
      </c>
      <c r="H60" s="39">
        <v>46213</v>
      </c>
      <c r="I60" s="6">
        <v>14</v>
      </c>
      <c r="J60" s="39">
        <f>$H60+$I60</f>
        <v>46227</v>
      </c>
      <c r="K60" s="39">
        <v>46230</v>
      </c>
      <c r="L60" s="5">
        <f ca="1">IF(NOT(ISBLANK($K60)),$K60-$H60,TODAY()-$H60)</f>
        <v>17</v>
      </c>
      <c r="M60" s="43">
        <f ca="1">L60-I60</f>
        <v>3</v>
      </c>
      <c r="N60" s="6" t="str" cm="1">
        <f t="array" ref="N60">_xlfn.IFS(
AND(NOT(ISBLANK(H60)),ISBLANK(K60)),"SUR",
AND(NOT(ISBLANK(H60)),NOT(ISBLANK(K60)),$P60="YES"),"RTR",
AND(NOT(ISBLANK(H60)),NOT(ISBLANK(K60)),$P60="NO"),"NTS",
TRUE,"TO Check"
)</f>
        <v>NTS</v>
      </c>
      <c r="O60" s="2" t="s">
        <v>39</v>
      </c>
      <c r="P60" s="5" t="s">
        <v>40</v>
      </c>
    </row>
    <row r="61" spans="1:16" ht="15">
      <c r="A61" s="2">
        <v>58</v>
      </c>
      <c r="B61" s="15" t="str">
        <f>TEXT(LEFT(C61,FIND("-",C61,1)-1),"00000")</f>
        <v>00043</v>
      </c>
      <c r="C61" s="2" t="s">
        <v>137</v>
      </c>
      <c r="D61" t="str">
        <f>_xlfn.IFNA(VLOOKUP(E61,[1]ICA!$M$1:$N$1905,2,FALSE),"")</f>
        <v>Vendor Information For Orthophosphate Analyser(ENDRESS + HAUSER S.E.A. PTE LTD)</v>
      </c>
      <c r="E61" s="5" t="s">
        <v>101</v>
      </c>
      <c r="F61" s="2">
        <v>1</v>
      </c>
      <c r="G61" s="5" t="s">
        <v>38</v>
      </c>
      <c r="H61" s="39">
        <v>46176</v>
      </c>
      <c r="I61" s="6">
        <v>14</v>
      </c>
      <c r="J61" s="39">
        <f>$H61+$I61</f>
        <v>46190</v>
      </c>
      <c r="K61" s="39">
        <v>46184</v>
      </c>
      <c r="L61" s="5">
        <f ca="1">IF(NOT(ISBLANK($K61)),$K61-$H61,TODAY()-$H61)</f>
        <v>8</v>
      </c>
      <c r="M61" s="43">
        <f ca="1">L61-I61</f>
        <v>-6</v>
      </c>
      <c r="N61" s="6" t="str" cm="1">
        <f t="array" ref="N61">_xlfn.IFS(
AND(NOT(ISBLANK(H61)),ISBLANK(K61)),"SUR",
AND(NOT(ISBLANK(H61)),NOT(ISBLANK(K61)),$P61="YES"),"RTR",
AND(NOT(ISBLANK(H61)),NOT(ISBLANK(K61)),$P61="NO"),"NTS",
TRUE,"TO Check"
)</f>
        <v>NTS</v>
      </c>
      <c r="O61" s="2" t="s">
        <v>39</v>
      </c>
      <c r="P61" s="5" t="s">
        <v>40</v>
      </c>
    </row>
    <row r="62" spans="1:16" ht="15">
      <c r="A62" s="2">
        <v>59</v>
      </c>
      <c r="B62" s="15" t="str">
        <f>TEXT(LEFT(C62,FIND("-",C62,1)-1),"00000")</f>
        <v>00045</v>
      </c>
      <c r="C62" s="2" t="s">
        <v>138</v>
      </c>
      <c r="D62" t="str">
        <f>_xlfn.IFNA(VLOOKUP(E62,[1]ICA!$M$1:$N$1905,2,FALSE),"")</f>
        <v>Vendor Information For Conductivity Analyser(ENDRESS + HAUSER S.E.A. PTE LTD)</v>
      </c>
      <c r="E62" s="5" t="s">
        <v>103</v>
      </c>
      <c r="F62" s="2">
        <v>1</v>
      </c>
      <c r="G62" s="5" t="s">
        <v>38</v>
      </c>
      <c r="H62" s="39">
        <v>46176</v>
      </c>
      <c r="I62" s="6">
        <v>14</v>
      </c>
      <c r="J62" s="39">
        <f>$H62+$I62</f>
        <v>46190</v>
      </c>
      <c r="K62" s="39">
        <v>46184</v>
      </c>
      <c r="L62" s="5">
        <f ca="1">IF(NOT(ISBLANK($K62)),$K62-$H62,TODAY()-$H62)</f>
        <v>8</v>
      </c>
      <c r="M62" s="43">
        <f ca="1">L62-I62</f>
        <v>-6</v>
      </c>
      <c r="N62" s="6" t="str" cm="1">
        <f t="array" ref="N62">_xlfn.IFS(
AND(NOT(ISBLANK(H62)),ISBLANK(K62)),"SUR",
AND(NOT(ISBLANK(H62)),NOT(ISBLANK(K62)),$P62="YES"),"RTR",
AND(NOT(ISBLANK(H62)),NOT(ISBLANK(K62)),$P62="NO"),"NTS",
TRUE,"TO Check"
)</f>
        <v>NTS</v>
      </c>
      <c r="O62" s="2" t="s">
        <v>39</v>
      </c>
      <c r="P62" s="5" t="s">
        <v>40</v>
      </c>
    </row>
    <row r="63" spans="1:16" ht="15">
      <c r="A63" s="2">
        <v>60</v>
      </c>
      <c r="B63" s="15" t="str">
        <f>TEXT(LEFT(C63,FIND("-",C63,1)-1),"00000")</f>
        <v>00047</v>
      </c>
      <c r="C63" s="2" t="s">
        <v>139</v>
      </c>
      <c r="D63" t="str">
        <f>_xlfn.IFNA(VLOOKUP(E63,[1]ICA!$M$1:$N$1905,2,FALSE),"")</f>
        <v>Vendor Information For ORP Analyser(YOKOGAWA ENGINEERING ASIA PTE LTD)</v>
      </c>
      <c r="E63" s="5" t="s">
        <v>105</v>
      </c>
      <c r="F63" s="2">
        <v>1</v>
      </c>
      <c r="G63" s="5" t="s">
        <v>38</v>
      </c>
      <c r="H63" s="39">
        <v>46160</v>
      </c>
      <c r="I63" s="6">
        <v>14</v>
      </c>
      <c r="J63" s="39">
        <f>$H63+$I63</f>
        <v>46174</v>
      </c>
      <c r="K63" s="39">
        <v>46173</v>
      </c>
      <c r="L63" s="5">
        <f ca="1">IF(NOT(ISBLANK($K63)),$K63-$H63,TODAY()-$H63)</f>
        <v>13</v>
      </c>
      <c r="M63" s="43">
        <f ca="1">L63-I63</f>
        <v>-1</v>
      </c>
      <c r="N63" s="6" t="str" cm="1">
        <f t="array" ref="N63">_xlfn.IFS(
AND(NOT(ISBLANK(H63)),ISBLANK(K63)),"SUR",
AND(NOT(ISBLANK(H63)),NOT(ISBLANK(K63)),$P63="YES"),"RTR",
AND(NOT(ISBLANK(H63)),NOT(ISBLANK(K63)),$P63="NO"),"NTS",
TRUE,"TO Check"
)</f>
        <v>NTS</v>
      </c>
      <c r="O63" s="2" t="s">
        <v>39</v>
      </c>
      <c r="P63" s="5" t="s">
        <v>40</v>
      </c>
    </row>
    <row r="64" spans="1:16" ht="15">
      <c r="A64" s="2">
        <v>61</v>
      </c>
      <c r="B64" s="15" t="str">
        <f>TEXT(LEFT(C64,FIND("-",C64,1)-1),"00000")</f>
        <v>00060</v>
      </c>
      <c r="C64" s="2" t="s">
        <v>140</v>
      </c>
      <c r="D64" t="str">
        <f>_xlfn.IFNA(VLOOKUP(E64,[1]ICA!$M$1:$N$1905,2,FALSE),"")</f>
        <v>Vendor Information For Ammonia Analyser (HACH WATER QUALITY SINGAPORE PTE
LTD)</v>
      </c>
      <c r="E64" s="5" t="s">
        <v>109</v>
      </c>
      <c r="F64" s="2">
        <v>1</v>
      </c>
      <c r="G64" s="5" t="s">
        <v>38</v>
      </c>
      <c r="H64" s="39">
        <v>46213</v>
      </c>
      <c r="I64" s="6">
        <v>14</v>
      </c>
      <c r="J64" s="39">
        <f>$H64+$I64</f>
        <v>46227</v>
      </c>
      <c r="K64" s="39">
        <v>46230</v>
      </c>
      <c r="L64" s="5">
        <f ca="1">IF(NOT(ISBLANK($K64)),$K64-$H64,TODAY()-$H64)</f>
        <v>17</v>
      </c>
      <c r="M64" s="43">
        <f ca="1">L64-I64</f>
        <v>3</v>
      </c>
      <c r="N64" s="6" t="str" cm="1">
        <f t="array" ref="N64">_xlfn.IFS(
AND(NOT(ISBLANK(H64)),ISBLANK(K64)),"SUR",
AND(NOT(ISBLANK(H64)),NOT(ISBLANK(K64)),$P64="YES"),"RTR",
AND(NOT(ISBLANK(H64)),NOT(ISBLANK(K64)),$P64="NO"),"NTS",
TRUE,"TO Check"
)</f>
        <v>NTS</v>
      </c>
      <c r="O64" s="2" t="s">
        <v>39</v>
      </c>
      <c r="P64" s="5" t="s">
        <v>40</v>
      </c>
    </row>
    <row r="65" spans="1:16" ht="15">
      <c r="A65" s="2">
        <v>62</v>
      </c>
      <c r="B65" s="15" t="str">
        <f>TEXT(LEFT(C65,FIND("-",C65,1)-1),"00000")</f>
        <v>00068</v>
      </c>
      <c r="C65" s="2" t="s">
        <v>141</v>
      </c>
      <c r="D65" t="str">
        <f>_xlfn.IFNA(VLOOKUP(E65,[1]ICA!$M$1:$N$1905,2,FALSE),"")</f>
        <v>Vendor Information For Dissolved Oxygen Analyser (EMERSON ASIA PACIFIC PTE.
LTD.)</v>
      </c>
      <c r="E65" s="5" t="s">
        <v>111</v>
      </c>
      <c r="F65" s="2">
        <v>1</v>
      </c>
      <c r="G65" s="5" t="s">
        <v>38</v>
      </c>
      <c r="H65" s="39">
        <v>46211</v>
      </c>
      <c r="I65" s="6">
        <v>14</v>
      </c>
      <c r="J65" s="39">
        <f>$H65+$I65</f>
        <v>46225</v>
      </c>
      <c r="K65" s="39">
        <v>46219</v>
      </c>
      <c r="L65" s="5">
        <f ca="1">IF(NOT(ISBLANK($K65)),$K65-$H65,TODAY()-$H65)</f>
        <v>8</v>
      </c>
      <c r="M65" s="43">
        <f ca="1">L65-I65</f>
        <v>-6</v>
      </c>
      <c r="N65" s="6" t="str" cm="1">
        <f t="array" ref="N65">_xlfn.IFS(
AND(NOT(ISBLANK(H65)),ISBLANK(K65)),"SUR",
AND(NOT(ISBLANK(H65)),NOT(ISBLANK(K65)),$P65="YES"),"RTR",
AND(NOT(ISBLANK(H65)),NOT(ISBLANK(K65)),$P65="NO"),"NTS",
TRUE,"TO Check"
)</f>
        <v>RTR</v>
      </c>
      <c r="O65" s="2" t="s">
        <v>43</v>
      </c>
      <c r="P65" s="5" t="s">
        <v>44</v>
      </c>
    </row>
    <row r="66" spans="1:16" ht="15">
      <c r="A66" s="2">
        <v>63</v>
      </c>
      <c r="B66" s="15" t="str">
        <f>TEXT(LEFT(C66,FIND("-",C66,1)-1),"00000")</f>
        <v>00068</v>
      </c>
      <c r="C66" s="2" t="s">
        <v>142</v>
      </c>
      <c r="D66" t="str">
        <f>_xlfn.IFNA(VLOOKUP(E66,[1]ICA!$M$1:$N$1905,2,FALSE),"")</f>
        <v>Vendor Information For Dissolved Oxygen Analyser (EMERSON ASIA PACIFIC PTE.
LTD.)</v>
      </c>
      <c r="E66" s="5" t="s">
        <v>111</v>
      </c>
      <c r="F66" s="2">
        <v>2</v>
      </c>
      <c r="G66" s="5" t="s">
        <v>38</v>
      </c>
      <c r="H66" s="39">
        <v>46248</v>
      </c>
      <c r="I66" s="6">
        <v>14</v>
      </c>
      <c r="J66" s="39">
        <f>$H66+$I66</f>
        <v>46262</v>
      </c>
      <c r="K66" s="39">
        <v>46262</v>
      </c>
      <c r="L66" s="5">
        <f ca="1">IF(NOT(ISBLANK($K66)),$K66-$H66,TODAY()-$H66)</f>
        <v>14</v>
      </c>
      <c r="M66" s="43">
        <f ca="1">L66-I66</f>
        <v>0</v>
      </c>
      <c r="N66" s="6" t="str" cm="1">
        <f t="array" ref="N66">_xlfn.IFS(
AND(NOT(ISBLANK(H66)),ISBLANK(K66)),"SUR",
AND(NOT(ISBLANK(H66)),NOT(ISBLANK(K66)),$P66="YES"),"RTR",
AND(NOT(ISBLANK(H66)),NOT(ISBLANK(K66)),$P66="NO"),"NTS",
TRUE,"TO Check"
)</f>
        <v>NTS</v>
      </c>
      <c r="O66" s="2" t="s">
        <v>39</v>
      </c>
      <c r="P66" s="5" t="s">
        <v>40</v>
      </c>
    </row>
    <row r="67" spans="1:16" ht="15">
      <c r="A67" s="2">
        <v>64</v>
      </c>
      <c r="B67" s="15" t="str">
        <f>TEXT(LEFT(C67,FIND("-",C67,1)-1),"00000")</f>
        <v>00069</v>
      </c>
      <c r="C67" s="2" t="s">
        <v>143</v>
      </c>
      <c r="D67" t="str">
        <f>_xlfn.IFNA(VLOOKUP(E67,[1]ICA!$M$1:$N$1905,2,FALSE),"")</f>
        <v>Vendor Information For Nitrate / Nitrite Analyser (HACH WATER QUALITY SINGAPORE
PTE LTD)</v>
      </c>
      <c r="E67" s="5" t="s">
        <v>113</v>
      </c>
      <c r="F67" s="2">
        <v>1</v>
      </c>
      <c r="G67" s="5" t="s">
        <v>38</v>
      </c>
      <c r="H67" s="39">
        <v>46212</v>
      </c>
      <c r="I67" s="6">
        <v>14</v>
      </c>
      <c r="J67" s="39">
        <f>$H67+$I67</f>
        <v>46226</v>
      </c>
      <c r="K67" s="39">
        <v>46240</v>
      </c>
      <c r="L67" s="5">
        <f ca="1">IF(NOT(ISBLANK($K67)),$K67-$H67,TODAY()-$H67)</f>
        <v>28</v>
      </c>
      <c r="M67" s="43">
        <f ca="1">L67-I67</f>
        <v>14</v>
      </c>
      <c r="N67" s="6" t="str" cm="1">
        <f t="array" ref="N67">_xlfn.IFS(
AND(NOT(ISBLANK(H67)),ISBLANK(K67)),"SUR",
AND(NOT(ISBLANK(H67)),NOT(ISBLANK(K67)),$P67="YES"),"RTR",
AND(NOT(ISBLANK(H67)),NOT(ISBLANK(K67)),$P67="NO"),"NTS",
TRUE,"TO Check"
)</f>
        <v>RTR</v>
      </c>
      <c r="O67" s="2" t="s">
        <v>114</v>
      </c>
      <c r="P67" s="5" t="s">
        <v>44</v>
      </c>
    </row>
    <row r="68" spans="1:16" ht="15">
      <c r="A68" s="2">
        <v>65</v>
      </c>
      <c r="B68" s="15" t="str">
        <f>TEXT(LEFT(C68,FIND("-",C68,1)-1),"00000")</f>
        <v>00039</v>
      </c>
      <c r="C68" s="2" t="s">
        <v>144</v>
      </c>
      <c r="D68" t="str">
        <f>_xlfn.IFNA(VLOOKUP(E68,[1]ICA!$M$1:$N$1905,2,FALSE),"")</f>
        <v>Vendor Information For Differential Pressure Transmitter (EMERSON ASIA PACIFIC PTE. LTD.)</v>
      </c>
      <c r="E68" s="5" t="s">
        <v>116</v>
      </c>
      <c r="F68" s="2">
        <v>1</v>
      </c>
      <c r="G68" s="5" t="s">
        <v>38</v>
      </c>
      <c r="H68" s="39">
        <v>46185</v>
      </c>
      <c r="I68" s="6">
        <v>14</v>
      </c>
      <c r="J68" s="39">
        <f>$H68+$I68</f>
        <v>46199</v>
      </c>
      <c r="K68" s="39">
        <v>46195</v>
      </c>
      <c r="L68" s="5">
        <f ca="1">IF(NOT(ISBLANK($K68)),$K68-$H68,TODAY()-$H68)</f>
        <v>10</v>
      </c>
      <c r="M68" s="43">
        <f ca="1">L68-I68</f>
        <v>-4</v>
      </c>
      <c r="N68" s="6" t="str" cm="1">
        <f t="array" ref="N68">_xlfn.IFS(
AND(NOT(ISBLANK(H68)),ISBLANK(K68)),"SUR",
AND(NOT(ISBLANK(H68)),NOT(ISBLANK(K68)),$P68="YES"),"RTR",
AND(NOT(ISBLANK(H68)),NOT(ISBLANK(K68)),$P68="NO"),"NTS",
TRUE,"TO Check"
)</f>
        <v>NTS</v>
      </c>
      <c r="O68" s="2" t="s">
        <v>39</v>
      </c>
      <c r="P68" s="5" t="s">
        <v>40</v>
      </c>
    </row>
    <row r="69" spans="1:16" ht="15">
      <c r="A69" s="2">
        <v>66</v>
      </c>
      <c r="B69" s="15" t="s">
        <v>145</v>
      </c>
      <c r="D69" t="str">
        <f>_xlfn.IFNA(VLOOKUP(E69,[1]ICA!$M$1:$N$1905,2,FALSE),"")</f>
        <v>Instrument Master List</v>
      </c>
      <c r="E69" s="5" t="s">
        <v>146</v>
      </c>
      <c r="F69" s="2">
        <v>0</v>
      </c>
      <c r="G69" s="5" t="s">
        <v>38</v>
      </c>
      <c r="H69" s="39">
        <v>46288</v>
      </c>
      <c r="I69" s="6">
        <v>20</v>
      </c>
      <c r="J69" s="39">
        <f>$H69+$I69</f>
        <v>46308</v>
      </c>
      <c r="L69" s="5">
        <f ca="1">IF(NOT(ISBLANK($K69)),$K69-$H69,TODAY()-$H69)</f>
        <v>21</v>
      </c>
      <c r="M69" s="43">
        <f ca="1">L69-I69</f>
        <v>1</v>
      </c>
      <c r="N69" s="6" t="str" cm="1">
        <f t="array" ref="N69">_xlfn.IFS(
AND(NOT(ISBLANK(H69)),ISBLANK(K69)),"SUR",
AND(NOT(ISBLANK(H69)),NOT(ISBLANK(K69)),$P69="YES"),"RTR",
AND(NOT(ISBLANK(H69)),NOT(ISBLANK(K69)),$P69="NO"),"NTS",
TRUE,"TO Check"
)</f>
        <v>SUR</v>
      </c>
    </row>
    <row r="70" spans="1:16" ht="15">
      <c r="A70" s="2">
        <v>67</v>
      </c>
      <c r="B70" s="15" t="s">
        <v>147</v>
      </c>
      <c r="D70" t="str">
        <f>_xlfn.IFNA(VLOOKUP(E70,[1]ICA!$M$1:$N$1905,2,FALSE),"")</f>
        <v>Detailed Engineering FOIP (Fiber Optic Interface Panel) &amp; FOBOT (Fiber Optic Break-Out Tray) Master List</v>
      </c>
      <c r="E70" s="5" t="s">
        <v>148</v>
      </c>
      <c r="F70" s="2">
        <v>0</v>
      </c>
      <c r="G70" s="5" t="s">
        <v>38</v>
      </c>
      <c r="H70" s="39">
        <v>46301</v>
      </c>
      <c r="I70" s="6">
        <v>20</v>
      </c>
      <c r="J70" s="39">
        <f>$H70+$I70</f>
        <v>46321</v>
      </c>
      <c r="L70" s="5">
        <f ca="1">IF(NOT(ISBLANK($K70)),$K70-$H70,TODAY()-$H70)</f>
        <v>8</v>
      </c>
      <c r="M70" s="43">
        <f ca="1">L70-I70</f>
        <v>-12</v>
      </c>
      <c r="N70" s="6" t="str" cm="1">
        <f t="array" ref="N70">_xlfn.IFS(
AND(NOT(ISBLANK(H70)),ISBLANK(K70)),"SUR",
AND(NOT(ISBLANK(H70)),NOT(ISBLANK(K70)),$P70="YES"),"RTR",
AND(NOT(ISBLANK(H70)),NOT(ISBLANK(K70)),$P70="NO"),"NTS",
TRUE,"TO Check"
)</f>
        <v>SUR</v>
      </c>
    </row>
    <row r="71" spans="1:16" ht="15">
      <c r="A71" s="2">
        <v>68</v>
      </c>
      <c r="B71" s="15" t="s">
        <v>149</v>
      </c>
      <c r="D71" t="str">
        <f>_xlfn.IFNA(VLOOKUP(E71,[1]ICA!$M$1:$N$1905,2,FALSE),"")</f>
        <v>Detailed Engineering UPSDB Master List</v>
      </c>
      <c r="E71" s="5" t="s">
        <v>150</v>
      </c>
      <c r="F71" s="2">
        <v>0</v>
      </c>
      <c r="G71" s="5" t="s">
        <v>38</v>
      </c>
      <c r="H71" s="39">
        <v>46301</v>
      </c>
      <c r="I71" s="6">
        <v>20</v>
      </c>
      <c r="J71" s="39">
        <f>$H71+$I71</f>
        <v>46321</v>
      </c>
      <c r="L71" s="5">
        <f ca="1">IF(NOT(ISBLANK($K71)),$K71-$H71,TODAY()-$H71)</f>
        <v>8</v>
      </c>
      <c r="M71" s="43">
        <f ca="1">L71-I71</f>
        <v>-12</v>
      </c>
      <c r="N71" s="6" t="str" cm="1">
        <f t="array" ref="N71">_xlfn.IFS(
AND(NOT(ISBLANK(H71)),ISBLANK(K71)),"SUR",
AND(NOT(ISBLANK(H71)),NOT(ISBLANK(K71)),$P71="YES"),"RTR",
AND(NOT(ISBLANK(H71)),NOT(ISBLANK(K71)),$P71="NO"),"NTS",
TRUE,"TO Check"
)</f>
        <v>SUR</v>
      </c>
    </row>
    <row r="72" spans="1:16" ht="15">
      <c r="A72" s="2">
        <v>69</v>
      </c>
      <c r="B72" s="15">
        <v>174</v>
      </c>
      <c r="D72" t="str">
        <f>_xlfn.IFNA(VLOOKUP(E72,[1]ICA!$M$1:$N$1905,2,FALSE),"")</f>
        <v>RIO Panel Master List</v>
      </c>
      <c r="E72" s="5" t="s">
        <v>151</v>
      </c>
      <c r="F72" s="2">
        <v>0</v>
      </c>
      <c r="G72" s="5" t="s">
        <v>38</v>
      </c>
      <c r="H72" s="39">
        <v>46302</v>
      </c>
      <c r="I72" s="6">
        <v>20</v>
      </c>
      <c r="J72" s="39">
        <f>$H72+$I72</f>
        <v>46322</v>
      </c>
      <c r="L72" s="5">
        <f ca="1">IF(NOT(ISBLANK($K72)),$K72-$H72,TODAY()-$H72)</f>
        <v>7</v>
      </c>
      <c r="M72" s="43">
        <f ca="1">L72-I72</f>
        <v>-13</v>
      </c>
      <c r="N72" s="6" t="str" cm="1">
        <f t="array" ref="N72">_xlfn.IFS(
AND(NOT(ISBLANK(H72)),ISBLANK(K72)),"SUR",
AND(NOT(ISBLANK(H72)),NOT(ISBLANK(K72)),$P72="YES"),"RTR",
AND(NOT(ISBLANK(H72)),NOT(ISBLANK(K72)),$P72="NO"),"NTS",
TRUE,"TO Check"
)</f>
        <v>SUR</v>
      </c>
    </row>
    <row r="73" spans="1:16" ht="15">
      <c r="A73" s="2">
        <v>70</v>
      </c>
      <c r="B73" s="15" t="s">
        <v>152</v>
      </c>
      <c r="D73" t="str">
        <f>_xlfn.IFNA(VLOOKUP(E73,[1]ICA!$M$1:$N$1905,2,FALSE),"")</f>
        <v>Datasheet For Flammable (LEL) Gas Detector (DRAEGER SINGAPORE PTE LTD)</v>
      </c>
      <c r="E73" s="5" t="s">
        <v>153</v>
      </c>
      <c r="F73" s="2">
        <v>0</v>
      </c>
      <c r="G73" s="5" t="s">
        <v>38</v>
      </c>
      <c r="H73" s="39">
        <v>46198</v>
      </c>
      <c r="I73" s="6">
        <v>20</v>
      </c>
      <c r="J73" s="39">
        <f>$H73+$I73</f>
        <v>46218</v>
      </c>
      <c r="K73" s="39">
        <v>46220</v>
      </c>
      <c r="L73" s="5">
        <f ca="1">IF(NOT(ISBLANK($K73)),$K73-$H73,TODAY()-$H73)</f>
        <v>22</v>
      </c>
      <c r="M73" s="43">
        <f ca="1">L73-I73</f>
        <v>2</v>
      </c>
      <c r="N73" s="6" t="str" cm="1">
        <f t="array" ref="N73">_xlfn.IFS(
AND(NOT(ISBLANK(H73)),ISBLANK(K73)),"SUR",
AND(NOT(ISBLANK(H73)),NOT(ISBLANK(K73)),$P73="YES"),"RTR",
AND(NOT(ISBLANK(H73)),NOT(ISBLANK(K73)),$P73="NO"),"NTS",
TRUE,"TO Check"
)</f>
        <v>NTS</v>
      </c>
      <c r="O73" s="2" t="s">
        <v>43</v>
      </c>
      <c r="P73" s="5" t="s">
        <v>40</v>
      </c>
    </row>
    <row r="74" spans="1:16" ht="15">
      <c r="A74" s="2">
        <v>71</v>
      </c>
      <c r="B74" s="15" t="s">
        <v>154</v>
      </c>
      <c r="D74" t="str">
        <f>_xlfn.IFNA(VLOOKUP(E74,[1]ICA!$M$1:$N$1905,2,FALSE),"")</f>
        <v>Datasheet For CO Gas Detector (DRAEGER SINGAPORE PTE LTD)</v>
      </c>
      <c r="E74" s="5" t="s">
        <v>155</v>
      </c>
      <c r="F74" s="2">
        <v>0</v>
      </c>
      <c r="G74" s="5" t="s">
        <v>38</v>
      </c>
      <c r="H74" s="39">
        <v>46198</v>
      </c>
      <c r="I74" s="6">
        <v>20</v>
      </c>
      <c r="J74" s="39">
        <f>$H74+$I74</f>
        <v>46218</v>
      </c>
      <c r="K74" s="39">
        <v>46231</v>
      </c>
      <c r="L74" s="5">
        <f ca="1">IF(NOT(ISBLANK($K74)),$K74-$H74,TODAY()-$H74)</f>
        <v>33</v>
      </c>
      <c r="M74" s="43">
        <f ca="1">L74-I74</f>
        <v>13</v>
      </c>
      <c r="N74" s="6" t="str" cm="1">
        <f t="array" ref="N74">_xlfn.IFS(
AND(NOT(ISBLANK(H74)),ISBLANK(K74)),"SUR",
AND(NOT(ISBLANK(H74)),NOT(ISBLANK(K74)),$P74="YES"),"RTR",
AND(NOT(ISBLANK(H74)),NOT(ISBLANK(K74)),$P74="NO"),"NTS",
TRUE,"TO Check"
)</f>
        <v>NTS</v>
      </c>
      <c r="O74" s="2" t="s">
        <v>43</v>
      </c>
      <c r="P74" s="5" t="s">
        <v>40</v>
      </c>
    </row>
    <row r="75" spans="1:16" ht="15">
      <c r="A75" s="2">
        <v>72</v>
      </c>
      <c r="B75" s="15" t="s">
        <v>156</v>
      </c>
      <c r="D75" t="str">
        <f>_xlfn.IFNA(VLOOKUP(E75,[1]ICA!$M$1:$N$1905,2,FALSE),"")</f>
        <v>Datasheet For H2S Gas Detector (DRAEGER SINGAPORE PTE LTD)</v>
      </c>
      <c r="E75" s="5" t="s">
        <v>157</v>
      </c>
      <c r="F75" s="2">
        <v>0</v>
      </c>
      <c r="G75" s="5" t="s">
        <v>38</v>
      </c>
      <c r="H75" s="39">
        <v>46220</v>
      </c>
      <c r="I75" s="6">
        <v>20</v>
      </c>
      <c r="J75" s="39">
        <f>$H75+$I75</f>
        <v>46240</v>
      </c>
      <c r="K75" s="39">
        <v>46240</v>
      </c>
      <c r="L75" s="5">
        <f ca="1">IF(NOT(ISBLANK($K75)),$K75-$H75,TODAY()-$H75)</f>
        <v>20</v>
      </c>
      <c r="M75" s="43">
        <f ca="1">L75-I75</f>
        <v>0</v>
      </c>
      <c r="N75" s="6" t="str" cm="1">
        <f t="array" ref="N75">_xlfn.IFS(
AND(NOT(ISBLANK(H75)),ISBLANK(K75)),"SUR",
AND(NOT(ISBLANK(H75)),NOT(ISBLANK(K75)),$P75="YES"),"RTR",
AND(NOT(ISBLANK(H75)),NOT(ISBLANK(K75)),$P75="NO"),"NTS",
TRUE,"TO Check"
)</f>
        <v>NTS</v>
      </c>
      <c r="O75" s="2" t="s">
        <v>43</v>
      </c>
      <c r="P75" s="5" t="s">
        <v>40</v>
      </c>
    </row>
    <row r="76" spans="1:16" ht="15">
      <c r="A76" s="2">
        <v>73</v>
      </c>
      <c r="B76" s="15" t="s">
        <v>158</v>
      </c>
      <c r="D76" t="str">
        <f>_xlfn.IFNA(VLOOKUP(E76,[1]ICA!$M$1:$N$1905,2,FALSE),"")</f>
        <v>Datasheet For Motion Switch (IFM ELECTRONIC PTE LTD)</v>
      </c>
      <c r="E76" s="5" t="s">
        <v>159</v>
      </c>
      <c r="F76" s="2">
        <v>0</v>
      </c>
      <c r="G76" s="5" t="s">
        <v>38</v>
      </c>
      <c r="H76" s="39">
        <v>46220</v>
      </c>
      <c r="I76" s="6">
        <v>20</v>
      </c>
      <c r="J76" s="39">
        <f>$H76+$I76</f>
        <v>46240</v>
      </c>
      <c r="K76" s="39">
        <v>46240</v>
      </c>
      <c r="L76" s="5">
        <f ca="1">IF(NOT(ISBLANK($K76)),$K76-$H76,TODAY()-$H76)</f>
        <v>20</v>
      </c>
      <c r="M76" s="43">
        <f ca="1">L76-I76</f>
        <v>0</v>
      </c>
      <c r="N76" s="6" t="str" cm="1">
        <f t="array" ref="N76">_xlfn.IFS(
AND(NOT(ISBLANK(H76)),ISBLANK(K76)),"SUR",
AND(NOT(ISBLANK(H76)),NOT(ISBLANK(K76)),$P76="YES"),"RTR",
AND(NOT(ISBLANK(H76)),NOT(ISBLANK(K76)),$P76="NO"),"NTS",
TRUE,"TO Check"
)</f>
        <v>RTR</v>
      </c>
      <c r="O76" s="2" t="s">
        <v>160</v>
      </c>
      <c r="P76" s="5" t="s">
        <v>44</v>
      </c>
    </row>
    <row r="77" spans="1:16" ht="15">
      <c r="A77" s="2">
        <v>74</v>
      </c>
      <c r="B77" s="15" t="s">
        <v>161</v>
      </c>
      <c r="D77" t="str">
        <f>_xlfn.IFNA(VLOOKUP(E77,[1]ICA!$M$1:$N$1905,2,FALSE),"")</f>
        <v>Datasheet For Weight Transmitter with Load Cell (METTLER TOLEDO (S) PTE. LTD.)</v>
      </c>
      <c r="E77" s="5" t="s">
        <v>162</v>
      </c>
      <c r="F77" s="2">
        <v>0</v>
      </c>
      <c r="G77" s="5" t="s">
        <v>38</v>
      </c>
      <c r="H77" s="39">
        <v>46247</v>
      </c>
      <c r="I77" s="6">
        <v>20</v>
      </c>
      <c r="J77" s="39">
        <f>$H77+$I77</f>
        <v>46267</v>
      </c>
      <c r="K77" s="39">
        <v>46262</v>
      </c>
      <c r="L77" s="5">
        <f ca="1">IF(NOT(ISBLANK($K77)),$K77-$H77,TODAY()-$H77)</f>
        <v>15</v>
      </c>
      <c r="M77" s="43">
        <f ca="1">L77-I77</f>
        <v>-5</v>
      </c>
      <c r="N77" s="6" t="str" cm="1">
        <f t="array" ref="N77">_xlfn.IFS(
AND(NOT(ISBLANK(H77)),ISBLANK(K77)),"SUR",
AND(NOT(ISBLANK(H77)),NOT(ISBLANK(K77)),$P77="YES"),"RTR",
AND(NOT(ISBLANK(H77)),NOT(ISBLANK(K77)),$P77="NO"),"NTS",
TRUE,"TO Check"
)</f>
        <v>RTR</v>
      </c>
      <c r="O77" s="2" t="s">
        <v>160</v>
      </c>
      <c r="P77" s="5" t="s">
        <v>44</v>
      </c>
    </row>
    <row r="78" spans="1:16" ht="15">
      <c r="A78" s="2">
        <v>75</v>
      </c>
      <c r="B78" s="15" t="s">
        <v>163</v>
      </c>
      <c r="D78" t="str">
        <f>_xlfn.IFNA(VLOOKUP(E78,[1]ICA!$M$1:$N$1905,2,FALSE),"")</f>
        <v>Datasheet For ORP Analyser (YOKOGAWA ENGINEERING ASIA PTE LTD)</v>
      </c>
      <c r="E78" s="5" t="s">
        <v>164</v>
      </c>
      <c r="F78" s="2">
        <v>0</v>
      </c>
      <c r="G78" s="5" t="s">
        <v>38</v>
      </c>
      <c r="H78" s="39">
        <v>46261</v>
      </c>
      <c r="I78" s="6">
        <v>20</v>
      </c>
      <c r="J78" s="39">
        <f>$H78+$I78</f>
        <v>46281</v>
      </c>
      <c r="K78" s="39">
        <v>46287</v>
      </c>
      <c r="L78" s="5">
        <f ca="1">IF(NOT(ISBLANK($K78)),$K78-$H78,TODAY()-$H78)</f>
        <v>26</v>
      </c>
      <c r="M78" s="43">
        <f ca="1">L78-I78</f>
        <v>6</v>
      </c>
      <c r="N78" s="6" t="str" cm="1">
        <f t="array" ref="N78">_xlfn.IFS(
AND(NOT(ISBLANK(H78)),ISBLANK(K78)),"SUR",
AND(NOT(ISBLANK(H78)),NOT(ISBLANK(K78)),$P78="YES"),"RTR",
AND(NOT(ISBLANK(H78)),NOT(ISBLANK(K78)),$P78="NO"),"NTS",
TRUE,"TO Check"
)</f>
        <v>NTS</v>
      </c>
      <c r="O78" s="2" t="s">
        <v>39</v>
      </c>
      <c r="P78" s="5" t="s">
        <v>40</v>
      </c>
    </row>
    <row r="79" spans="1:16" ht="15">
      <c r="A79" s="2">
        <v>76</v>
      </c>
      <c r="B79" s="15" t="s">
        <v>165</v>
      </c>
      <c r="D79" t="str">
        <f>_xlfn.IFNA(VLOOKUP(E79,[1]ICA!$M$1:$N$1905,2,FALSE),"")</f>
        <v>Datasheet For Low Point Leak Detector (IFM ELECTRONIC PTE LTD)</v>
      </c>
      <c r="E79" s="5" t="s">
        <v>166</v>
      </c>
      <c r="F79" s="2">
        <v>0</v>
      </c>
      <c r="G79" s="5" t="s">
        <v>38</v>
      </c>
      <c r="H79" s="39">
        <v>46220</v>
      </c>
      <c r="I79" s="6">
        <v>20</v>
      </c>
      <c r="J79" s="39">
        <f>$H79+$I79</f>
        <v>46240</v>
      </c>
      <c r="K79" s="39">
        <v>46232</v>
      </c>
      <c r="L79" s="5">
        <f ca="1">IF(NOT(ISBLANK($K79)),$K79-$H79,TODAY()-$H79)</f>
        <v>12</v>
      </c>
      <c r="M79" s="43">
        <f ca="1">L79-I79</f>
        <v>-8</v>
      </c>
      <c r="N79" s="6" t="str" cm="1">
        <f t="array" ref="N79">_xlfn.IFS(
AND(NOT(ISBLANK(H79)),ISBLANK(K79)),"SUR",
AND(NOT(ISBLANK(H79)),NOT(ISBLANK(K79)),$P79="YES"),"RTR",
AND(NOT(ISBLANK(H79)),NOT(ISBLANK(K79)),$P79="NO"),"NTS",
TRUE,"TO Check"
)</f>
        <v>NTS</v>
      </c>
      <c r="O79" s="2" t="s">
        <v>39</v>
      </c>
      <c r="P79" s="5" t="s">
        <v>40</v>
      </c>
    </row>
    <row r="80" spans="1:16" ht="15">
      <c r="A80" s="2">
        <v>77</v>
      </c>
      <c r="B80" s="15" t="s">
        <v>167</v>
      </c>
      <c r="D80" t="str">
        <f>_xlfn.IFNA(VLOOKUP(E80,[1]ICA!$M$1:$N$1905,2,FALSE),"")</f>
        <v>Datasheet For pH Analyser (EMERSON ASIA PACIFIC PTE. LTD.)</v>
      </c>
      <c r="E80" s="5" t="s">
        <v>168</v>
      </c>
      <c r="F80" s="2">
        <v>0</v>
      </c>
      <c r="G80" s="5" t="s">
        <v>38</v>
      </c>
      <c r="H80" s="39">
        <v>46262</v>
      </c>
      <c r="I80" s="6">
        <v>20</v>
      </c>
      <c r="J80" s="39">
        <f>$H80+$I80</f>
        <v>46282</v>
      </c>
      <c r="K80" s="39">
        <v>46287</v>
      </c>
      <c r="L80" s="5">
        <f ca="1">IF(NOT(ISBLANK($K80)),$K80-$H80,TODAY()-$H80)</f>
        <v>25</v>
      </c>
      <c r="M80" s="43">
        <f ca="1">L80-I80</f>
        <v>5</v>
      </c>
      <c r="N80" s="6" t="str" cm="1">
        <f t="array" ref="N80">_xlfn.IFS(
AND(NOT(ISBLANK(H80)),ISBLANK(K80)),"SUR",
AND(NOT(ISBLANK(H80)),NOT(ISBLANK(K80)),$P80="YES"),"RTR",
AND(NOT(ISBLANK(H80)),NOT(ISBLANK(K80)),$P80="NO"),"NTS",
TRUE,"TO Check"
)</f>
        <v>RTR</v>
      </c>
      <c r="O80" s="2" t="s">
        <v>160</v>
      </c>
      <c r="P80" s="5" t="s">
        <v>44</v>
      </c>
    </row>
    <row r="81" spans="1:16" ht="15">
      <c r="A81" s="2">
        <v>78</v>
      </c>
      <c r="B81" s="15" t="s">
        <v>169</v>
      </c>
      <c r="D81" t="str">
        <f>_xlfn.IFNA(VLOOKUP(E81,[1]ICA!$M$1:$N$1905,2,FALSE),"")</f>
        <v xml:space="preserve">INSTRUMENT HOOKUP DRAWINGS FOR DIFFERENTIAL PRESSURE TRANSMITTER (SHEET 1 OF 1)
</v>
      </c>
      <c r="E81" s="5" t="s">
        <v>170</v>
      </c>
      <c r="F81" s="2">
        <v>0</v>
      </c>
      <c r="G81" s="5" t="s">
        <v>38</v>
      </c>
      <c r="H81" s="39">
        <v>46260</v>
      </c>
      <c r="I81" s="6">
        <v>20</v>
      </c>
      <c r="J81" s="39">
        <f>$H81+$I81</f>
        <v>46280</v>
      </c>
      <c r="K81" s="39">
        <v>46287</v>
      </c>
      <c r="L81" s="5">
        <f ca="1">IF(NOT(ISBLANK($K81)),$K81-$H81,TODAY()-$H81)</f>
        <v>27</v>
      </c>
      <c r="M81" s="43">
        <f ca="1">L81-I81</f>
        <v>7</v>
      </c>
      <c r="N81" s="6" t="str" cm="1">
        <f t="array" ref="N81">_xlfn.IFS(
AND(NOT(ISBLANK(H81)),ISBLANK(K81)),"SUR",
AND(NOT(ISBLANK(H81)),NOT(ISBLANK(K81)),$P81="YES"),"RTR",
AND(NOT(ISBLANK(H81)),NOT(ISBLANK(K81)),$P81="NO"),"NTS",
TRUE,"TO Check"
)</f>
        <v>NTS</v>
      </c>
      <c r="O81" s="2" t="s">
        <v>43</v>
      </c>
      <c r="P81" s="5" t="s">
        <v>40</v>
      </c>
    </row>
    <row r="82" spans="1:16" ht="15">
      <c r="A82" s="58">
        <v>80</v>
      </c>
      <c r="B82" s="59">
        <v>116</v>
      </c>
      <c r="D82" t="str">
        <f>_xlfn.IFNA(VLOOKUP(E82,[1]ICA!$M$1:$N$1905,2,FALSE),"")</f>
        <v>Datasheet For Weight Transmitter (METTLER – TOLEDO (S) PTE LTD)</v>
      </c>
      <c r="E82" s="5" t="s">
        <v>171</v>
      </c>
      <c r="F82" s="2">
        <v>0</v>
      </c>
      <c r="G82" s="5" t="s">
        <v>38</v>
      </c>
      <c r="H82" s="39">
        <v>46247</v>
      </c>
      <c r="I82" s="6">
        <v>20</v>
      </c>
      <c r="J82" s="39">
        <f>$H82+$I82</f>
        <v>46267</v>
      </c>
      <c r="K82" s="39">
        <v>46240</v>
      </c>
      <c r="L82" s="5">
        <f ca="1">IF(NOT(ISBLANK($K82)),$K82-$H82,TODAY()-$H82)</f>
        <v>-7</v>
      </c>
      <c r="M82" s="43">
        <f ca="1">L82-I82</f>
        <v>-27</v>
      </c>
      <c r="N82" s="6" t="str" cm="1">
        <f t="array" ref="N82">_xlfn.IFS(
AND(NOT(ISBLANK(H82)),ISBLANK(K82)),"SUR",
AND(NOT(ISBLANK(H82)),NOT(ISBLANK(K82)),$P82="YES"),"RTR",
AND(NOT(ISBLANK(H82)),NOT(ISBLANK(K82)),$P82="NO"),"NTS",
TRUE,"TO Check"
)</f>
        <v>RTR</v>
      </c>
      <c r="O82" s="2" t="s">
        <v>160</v>
      </c>
      <c r="P82" s="5" t="s">
        <v>44</v>
      </c>
    </row>
    <row r="83" spans="1:16" ht="14.25" customHeight="1">
      <c r="M83" s="43"/>
      <c r="N83" s="6"/>
    </row>
    <row r="84" spans="1:16" s="29" customFormat="1" ht="18.75">
      <c r="B84" s="28"/>
      <c r="D84" s="53" t="s">
        <v>172</v>
      </c>
      <c r="E84" s="32"/>
      <c r="F84" s="30"/>
      <c r="G84" s="32"/>
      <c r="H84" s="40"/>
      <c r="I84" s="31"/>
      <c r="J84" s="40"/>
      <c r="K84" s="40"/>
      <c r="L84" s="32"/>
      <c r="M84" s="44"/>
      <c r="N84" s="31"/>
      <c r="O84" s="30"/>
      <c r="P84" s="32"/>
    </row>
    <row r="85" spans="1:16" ht="15">
      <c r="A85" s="2">
        <v>1</v>
      </c>
      <c r="B85" s="16" t="s">
        <v>173</v>
      </c>
      <c r="D85" t="str">
        <f>_xlfn.IFNA(VLOOKUP(E85,[1]Electrical!$M$1:$N$3254,2,FALSE),"")</f>
        <v>Vendor Information For Electrical Power Transformer &amp; Distribution Transformer (TECO ELECTRIC &amp; MACHINERY PTE LTD)</v>
      </c>
      <c r="E85" s="5" t="s">
        <v>174</v>
      </c>
      <c r="F85" s="2">
        <v>0</v>
      </c>
      <c r="G85" s="5" t="s">
        <v>175</v>
      </c>
      <c r="H85" s="39">
        <v>46211</v>
      </c>
      <c r="I85" s="6">
        <v>20</v>
      </c>
      <c r="J85" s="39">
        <f>$H85+$I85</f>
        <v>46231</v>
      </c>
      <c r="K85" s="39">
        <v>46230</v>
      </c>
      <c r="L85" s="5">
        <f ca="1">IF(NOT(ISBLANK($K85)),$K85-$H85,TODAY()-$H85)</f>
        <v>19</v>
      </c>
      <c r="M85" s="43">
        <f ca="1">L85-I85</f>
        <v>-1</v>
      </c>
      <c r="N85" s="6" t="str" cm="1">
        <f t="array" ref="N85">_xlfn.IFS(
AND(NOT(ISBLANK(H85)),ISBLANK(K85)),"SUR",
AND(NOT(ISBLANK(H85)),NOT(ISBLANK(K85)),$P85="YES"),"RTR",
AND(NOT(ISBLANK(H85)),NOT(ISBLANK(K85)),$P85="NO"),"NTS",
TRUE,"TO Check"
)</f>
        <v>RTR</v>
      </c>
      <c r="O85" s="2" t="s">
        <v>160</v>
      </c>
      <c r="P85" s="5" t="s">
        <v>44</v>
      </c>
    </row>
    <row r="86" spans="1:16" ht="15">
      <c r="A86" s="2">
        <v>2</v>
      </c>
      <c r="B86" s="16" t="s">
        <v>176</v>
      </c>
      <c r="D86" t="str">
        <f>_xlfn.IFNA(VLOOKUP(E86,[1]Electrical!$M$1:$N$3254,2,FALSE),"")</f>
        <v>Vendor Information For Electrical High Voltage Switchgear Panel (SCHNEIDER ELECTRIC PTE LTD)</v>
      </c>
      <c r="E86" s="5" t="s">
        <v>177</v>
      </c>
      <c r="F86" s="2">
        <v>0</v>
      </c>
      <c r="G86" s="5" t="s">
        <v>175</v>
      </c>
      <c r="H86" s="39">
        <v>46211</v>
      </c>
      <c r="I86" s="6">
        <v>20</v>
      </c>
      <c r="J86" s="39">
        <f>$H86+$I86</f>
        <v>46231</v>
      </c>
      <c r="K86" s="39">
        <v>46230</v>
      </c>
      <c r="L86" s="5">
        <f ca="1">IF(NOT(ISBLANK($K86)),$K86-$H86,TODAY()-$H86)</f>
        <v>19</v>
      </c>
      <c r="M86" s="43">
        <f ca="1">L86-I86</f>
        <v>-1</v>
      </c>
      <c r="N86" s="6" t="str" cm="1">
        <f t="array" ref="N86">_xlfn.IFS(
AND(NOT(ISBLANK(H86)),ISBLANK(K86)),"SUR",
AND(NOT(ISBLANK(H86)),NOT(ISBLANK(K86)),$P86="YES"),"RTR",
AND(NOT(ISBLANK(H86)),NOT(ISBLANK(K86)),$P86="NO"),"NTS",
TRUE,"TO Check"
)</f>
        <v>RTR</v>
      </c>
      <c r="O86" s="2" t="s">
        <v>160</v>
      </c>
      <c r="P86" s="5" t="s">
        <v>44</v>
      </c>
    </row>
    <row r="87" spans="1:16" ht="15">
      <c r="A87" s="2">
        <v>3</v>
      </c>
      <c r="B87" s="16" t="s">
        <v>178</v>
      </c>
      <c r="D87" t="str">
        <f>_xlfn.IFNA(VLOOKUP(E87,[1]Electrical!$M$1:$N$3254,2,FALSE),"")</f>
        <v>Vendor Information For Low Voltage Electrical Equipment Works (SUNLIGHT ELECTRICAL PTE LTD)</v>
      </c>
      <c r="E87" s="5" t="s">
        <v>179</v>
      </c>
      <c r="F87" s="2">
        <v>0</v>
      </c>
      <c r="G87" s="5" t="s">
        <v>175</v>
      </c>
      <c r="H87" s="39">
        <v>46218</v>
      </c>
      <c r="I87" s="6">
        <v>20</v>
      </c>
      <c r="J87" s="39">
        <f>$H87+$I87</f>
        <v>46238</v>
      </c>
      <c r="K87" s="39">
        <v>46230</v>
      </c>
      <c r="L87" s="5">
        <f ca="1">IF(NOT(ISBLANK($K87)),$K87-$H87,TODAY()-$H87)</f>
        <v>12</v>
      </c>
      <c r="M87" s="43">
        <f ca="1">L87-I87</f>
        <v>-8</v>
      </c>
      <c r="N87" s="6" t="str" cm="1">
        <f t="array" ref="N87">_xlfn.IFS(
AND(NOT(ISBLANK(H87)),ISBLANK(K87)),"SUR",
AND(NOT(ISBLANK(H87)),NOT(ISBLANK(K87)),$P87="YES"),"RTR",
AND(NOT(ISBLANK(H87)),NOT(ISBLANK(K87)),$P87="NO"),"NTS",
TRUE,"TO Check"
)</f>
        <v>RTR</v>
      </c>
      <c r="O87" s="2" t="s">
        <v>160</v>
      </c>
      <c r="P87" s="5" t="s">
        <v>44</v>
      </c>
    </row>
    <row r="88" spans="1:16" ht="15">
      <c r="A88" s="2">
        <v>4</v>
      </c>
      <c r="B88" s="16" t="s">
        <v>180</v>
      </c>
      <c r="D88" t="str">
        <f>_xlfn.IFNA(VLOOKUP(E88,[1]Electrical!$M$1:$N$3254,2,FALSE),"")</f>
        <v>Vendor Information For Cable Raceway (TRI-STAR INDUSTRIES PTE LTD)</v>
      </c>
      <c r="E88" s="5" t="s">
        <v>181</v>
      </c>
      <c r="F88" s="2">
        <v>0</v>
      </c>
      <c r="G88" s="5" t="s">
        <v>175</v>
      </c>
      <c r="H88" s="39">
        <v>46260</v>
      </c>
      <c r="I88" s="6">
        <v>20</v>
      </c>
      <c r="J88" s="39">
        <f>$H88+$I88</f>
        <v>46280</v>
      </c>
      <c r="K88" s="39">
        <v>46275</v>
      </c>
      <c r="L88" s="5">
        <f ca="1">IF(NOT(ISBLANK($K88)),$K88-$H88,TODAY()-$H88)</f>
        <v>15</v>
      </c>
      <c r="M88" s="43">
        <f ca="1">L88-I88</f>
        <v>-5</v>
      </c>
      <c r="N88" s="6" t="str" cm="1">
        <f t="array" ref="N88">_xlfn.IFS(
AND(NOT(ISBLANK(H88)),ISBLANK(K88)),"SUR",
AND(NOT(ISBLANK(H88)),NOT(ISBLANK(K88)),$P88="YES"),"RTR",
AND(NOT(ISBLANK(H88)),NOT(ISBLANK(K88)),$P88="NO"),"NTS",
TRUE,"TO Check"
)</f>
        <v>RTR</v>
      </c>
      <c r="O88" s="2" t="s">
        <v>43</v>
      </c>
      <c r="P88" s="5" t="s">
        <v>44</v>
      </c>
    </row>
    <row r="89" spans="1:16" ht="15">
      <c r="A89" s="2">
        <v>5</v>
      </c>
      <c r="B89" s="16" t="s">
        <v>182</v>
      </c>
      <c r="D89" t="str">
        <f>_xlfn.IFNA(VLOOKUP(E89,[1]Electrical!$M$1:$N$3254,2,FALSE),"")</f>
        <v>Vendor Information For Electrical High Voltage DOL Panel (SCHNEIDER ELECTRIC PTE LTD)</v>
      </c>
      <c r="E89" s="5" t="s">
        <v>183</v>
      </c>
      <c r="F89" s="2">
        <v>0</v>
      </c>
      <c r="G89" s="5" t="s">
        <v>175</v>
      </c>
      <c r="H89" s="39">
        <v>46260</v>
      </c>
      <c r="I89" s="6">
        <v>20</v>
      </c>
      <c r="J89" s="39">
        <f>$H89+$I89</f>
        <v>46280</v>
      </c>
      <c r="K89" s="39">
        <v>46275</v>
      </c>
      <c r="L89" s="5">
        <f ca="1">IF(NOT(ISBLANK($K89)),$K89-$H89,TODAY()-$H89)</f>
        <v>15</v>
      </c>
      <c r="M89" s="43">
        <f ca="1">L89-I89</f>
        <v>-5</v>
      </c>
      <c r="N89" s="6" t="str" cm="1">
        <f t="array" ref="N89">_xlfn.IFS(
AND(NOT(ISBLANK(H89)),ISBLANK(K89)),"SUR",
AND(NOT(ISBLANK(H89)),NOT(ISBLANK(K89)),$P89="YES"),"RTR",
AND(NOT(ISBLANK(H89)),NOT(ISBLANK(K89)),$P89="NO"),"NTS",
TRUE,"TO Check"
)</f>
        <v>RTR</v>
      </c>
      <c r="O89" s="2" t="s">
        <v>160</v>
      </c>
      <c r="P89" s="5" t="s">
        <v>44</v>
      </c>
    </row>
    <row r="90" spans="1:16" ht="15">
      <c r="A90" s="2">
        <v>6</v>
      </c>
      <c r="B90" s="16" t="s">
        <v>184</v>
      </c>
      <c r="D90" t="str">
        <f>_xlfn.IFNA(VLOOKUP(E90,[1]Electrical!$M$1:$N$3254,2,FALSE),"")</f>
        <v>Vendor Information For Emergency Generator (VIBROPOWER PTE LTD)</v>
      </c>
      <c r="E90" s="5" t="s">
        <v>185</v>
      </c>
      <c r="F90" s="2">
        <v>0</v>
      </c>
      <c r="G90" s="5" t="s">
        <v>175</v>
      </c>
      <c r="H90" s="39">
        <v>46269</v>
      </c>
      <c r="I90" s="6">
        <v>20</v>
      </c>
      <c r="J90" s="39">
        <f>$H90+$I90</f>
        <v>46289</v>
      </c>
      <c r="K90" s="39">
        <v>46287</v>
      </c>
      <c r="L90" s="5">
        <f ca="1">IF(NOT(ISBLANK($K90)),$K90-$H90,TODAY()-$H90)</f>
        <v>18</v>
      </c>
      <c r="M90" s="43">
        <f ca="1">L90-I90</f>
        <v>-2</v>
      </c>
      <c r="N90" s="6" t="str" cm="1">
        <f t="array" ref="N90">_xlfn.IFS(
AND(NOT(ISBLANK(H90)),ISBLANK(K90)),"SUR",
AND(NOT(ISBLANK(H90)),NOT(ISBLANK(K90)),$P90="YES"),"RTR",
AND(NOT(ISBLANK(H90)),NOT(ISBLANK(K90)),$P90="NO"),"NTS",
TRUE,"TO Check"
)</f>
        <v>RTR</v>
      </c>
      <c r="O90" s="2" t="s">
        <v>43</v>
      </c>
      <c r="P90" s="5" t="s">
        <v>44</v>
      </c>
    </row>
    <row r="91" spans="1:16" ht="15">
      <c r="A91" s="2">
        <v>7</v>
      </c>
      <c r="B91" s="15" t="str">
        <f>TEXT(LEFT(C91,FIND("-",C91,1)-1),"00000")</f>
        <v>00094</v>
      </c>
      <c r="C91" s="16" t="s">
        <v>186</v>
      </c>
      <c r="D91" t="str">
        <f>_xlfn.IFNA(VLOOKUP(E91,[1]Electrical!$M$1:$N$3254,2,FALSE),"")</f>
        <v>Vendor Information For Electrical Power Transformer &amp; Distribution Transformer (TECO ELECTRIC &amp; MACHINERY PTE LTD)</v>
      </c>
      <c r="E91" s="5" t="s">
        <v>174</v>
      </c>
      <c r="F91" s="2">
        <v>1</v>
      </c>
      <c r="G91" s="5" t="s">
        <v>175</v>
      </c>
      <c r="H91" s="39">
        <v>46290</v>
      </c>
      <c r="I91" s="6">
        <v>14</v>
      </c>
      <c r="J91" s="39">
        <f>$H91+$I91</f>
        <v>46304</v>
      </c>
      <c r="L91" s="5">
        <f ca="1">IF(NOT(ISBLANK($K91)),$K91-$H91,TODAY()-$H91)</f>
        <v>19</v>
      </c>
      <c r="M91" s="43">
        <f ca="1">L91-I91</f>
        <v>5</v>
      </c>
      <c r="N91" s="6" t="str" cm="1">
        <f t="array" ref="N91">_xlfn.IFS(
AND(NOT(ISBLANK(H91)),ISBLANK(K91)),"SUR",
AND(NOT(ISBLANK(H91)),NOT(ISBLANK(K91)),$P91="YES"),"RTR",
AND(NOT(ISBLANK(H91)),NOT(ISBLANK(K91)),$P91="NO"),"NTS",
TRUE,"TO Check"
)</f>
        <v>SUR</v>
      </c>
    </row>
    <row r="92" spans="1:16" ht="15">
      <c r="A92" s="2">
        <v>8</v>
      </c>
      <c r="B92" s="15" t="str">
        <f>TEXT(LEFT(C92,FIND("-",C92,1)-1),"00000")</f>
        <v>00095</v>
      </c>
      <c r="C92" s="16" t="s">
        <v>187</v>
      </c>
      <c r="D92" t="str">
        <f>_xlfn.IFNA(VLOOKUP(E92,[1]Electrical!$M$1:$N$3254,2,FALSE),"")</f>
        <v>Vendor Information For Electrical High Voltage Switchgear Panel (SCHNEIDER ELECTRIC PTE LTD)</v>
      </c>
      <c r="E92" s="5" t="s">
        <v>177</v>
      </c>
      <c r="F92" s="2">
        <v>1</v>
      </c>
      <c r="G92" s="5" t="s">
        <v>175</v>
      </c>
      <c r="H92" s="39">
        <v>46260</v>
      </c>
      <c r="I92" s="6">
        <v>14</v>
      </c>
      <c r="J92" s="39">
        <f>$H92+$I92</f>
        <v>46274</v>
      </c>
      <c r="K92" s="39">
        <v>46275</v>
      </c>
      <c r="L92" s="5">
        <f ca="1">IF(NOT(ISBLANK($K92)),$K92-$H92,TODAY()-$H92)</f>
        <v>15</v>
      </c>
      <c r="M92" s="43">
        <f ca="1">L92-I92</f>
        <v>1</v>
      </c>
      <c r="N92" s="6" t="str" cm="1">
        <f t="array" ref="N92">_xlfn.IFS(
AND(NOT(ISBLANK(H92)),ISBLANK(K92)),"SUR",
AND(NOT(ISBLANK(H92)),NOT(ISBLANK(K92)),$P92="YES"),"RTR",
AND(NOT(ISBLANK(H92)),NOT(ISBLANK(K92)),$P92="NO"),"NTS",
TRUE,"TO Check"
)</f>
        <v>RTR</v>
      </c>
      <c r="O92" s="2" t="s">
        <v>43</v>
      </c>
      <c r="P92" s="5" t="s">
        <v>44</v>
      </c>
    </row>
    <row r="93" spans="1:16" ht="15">
      <c r="A93" s="2">
        <v>9</v>
      </c>
      <c r="B93" s="15" t="str">
        <f>TEXT(LEFT(C93,FIND("-",C93,1)-1),"00000")</f>
        <v>00101</v>
      </c>
      <c r="C93" s="16" t="s">
        <v>188</v>
      </c>
      <c r="D93" t="str">
        <f>_xlfn.IFNA(VLOOKUP(E93,[1]Electrical!$M$1:$N$3254,2,FALSE),"")</f>
        <v>Vendor Information For Low Voltage Electrical Equipment Works (SUNLIGHT ELECTRICAL PTE LTD)</v>
      </c>
      <c r="E93" s="5" t="s">
        <v>179</v>
      </c>
      <c r="F93" s="2">
        <v>1</v>
      </c>
      <c r="G93" s="5" t="s">
        <v>175</v>
      </c>
      <c r="H93" s="39">
        <v>46262</v>
      </c>
      <c r="I93" s="6">
        <v>14</v>
      </c>
      <c r="J93" s="39">
        <f>$H93+$I93</f>
        <v>46276</v>
      </c>
      <c r="K93" s="39">
        <v>46287</v>
      </c>
      <c r="L93" s="5">
        <f ca="1">IF(NOT(ISBLANK($K93)),$K93-$H93,TODAY()-$H93)</f>
        <v>25</v>
      </c>
      <c r="M93" s="43">
        <f ca="1">L93-I93</f>
        <v>11</v>
      </c>
      <c r="N93" s="6" t="str" cm="1">
        <f t="array" ref="N93">_xlfn.IFS(
AND(NOT(ISBLANK(H93)),ISBLANK(K93)),"SUR",
AND(NOT(ISBLANK(H93)),NOT(ISBLANK(K93)),$P93="YES"),"RTR",
AND(NOT(ISBLANK(H93)),NOT(ISBLANK(K93)),$P93="NO"),"NTS",
TRUE,"TO Check"
)</f>
        <v>RTR</v>
      </c>
      <c r="O93" s="2" t="s">
        <v>160</v>
      </c>
      <c r="P93" s="5" t="s">
        <v>44</v>
      </c>
    </row>
    <row r="94" spans="1:16" ht="15">
      <c r="B94" s="2"/>
      <c r="C94" s="16"/>
      <c r="M94" s="43"/>
      <c r="N94" s="6"/>
    </row>
    <row r="95" spans="1:16" ht="15">
      <c r="B95" s="2"/>
      <c r="M95" s="43"/>
      <c r="N95" s="6"/>
    </row>
    <row r="96" spans="1:16" s="34" customFormat="1" ht="21">
      <c r="B96" s="33"/>
      <c r="D96" s="55" t="s">
        <v>189</v>
      </c>
      <c r="E96" s="36"/>
      <c r="F96" s="33"/>
      <c r="G96" s="36"/>
      <c r="H96" s="41"/>
      <c r="I96" s="35"/>
      <c r="J96" s="41"/>
      <c r="K96" s="41"/>
      <c r="L96" s="36"/>
      <c r="M96" s="45"/>
      <c r="N96" s="35"/>
      <c r="O96" s="33"/>
      <c r="P96" s="36"/>
    </row>
    <row r="97" spans="1:16" ht="15">
      <c r="A97" s="2">
        <v>1</v>
      </c>
      <c r="B97" s="16" t="s">
        <v>190</v>
      </c>
      <c r="D97" t="s">
        <v>191</v>
      </c>
      <c r="E97" s="5" t="s">
        <v>192</v>
      </c>
      <c r="F97" s="2">
        <v>0</v>
      </c>
      <c r="G97" s="5" t="s">
        <v>193</v>
      </c>
      <c r="H97" s="39">
        <v>46170</v>
      </c>
      <c r="I97" s="6">
        <v>20</v>
      </c>
      <c r="J97" s="39">
        <f>$H97+$I97</f>
        <v>46190</v>
      </c>
      <c r="K97" s="39">
        <v>46202</v>
      </c>
      <c r="L97" s="5">
        <f ca="1">IF(NOT(ISBLANK($K97)),$K97-$H97,TODAY()-$H97)</f>
        <v>32</v>
      </c>
      <c r="M97" s="43">
        <f ca="1">L97-I97</f>
        <v>12</v>
      </c>
      <c r="N97" s="6" t="str" cm="1">
        <f t="array" ref="N97">_xlfn.IFS(
AND(NOT(ISBLANK(H97)),ISBLANK(K97)),"SUR",
AND(NOT(ISBLANK(H97)),NOT(ISBLANK(K97)),$P97="YES"),"RTR",
AND(NOT(ISBLANK(H97)),NOT(ISBLANK(K97)),$P97="NO"),"NTS",
TRUE,"TO Check"
)</f>
        <v>RTR</v>
      </c>
      <c r="O97" s="2" t="s">
        <v>43</v>
      </c>
      <c r="P97" s="5" t="s">
        <v>44</v>
      </c>
    </row>
    <row r="98" spans="1:16" ht="15">
      <c r="A98" s="2">
        <v>2</v>
      </c>
      <c r="B98" s="16" t="s">
        <v>194</v>
      </c>
      <c r="D98" t="s">
        <v>195</v>
      </c>
      <c r="E98" s="5" t="s">
        <v>196</v>
      </c>
      <c r="F98" s="2">
        <v>0</v>
      </c>
      <c r="G98" s="5" t="s">
        <v>197</v>
      </c>
      <c r="H98" s="39">
        <v>46182</v>
      </c>
      <c r="I98" s="6">
        <v>20</v>
      </c>
      <c r="J98" s="39">
        <f>$H98+$I98</f>
        <v>46202</v>
      </c>
      <c r="K98" s="39">
        <v>46202</v>
      </c>
      <c r="L98" s="5">
        <f ca="1">IF(NOT(ISBLANK($K98)),$K98-$H98,TODAY()-$H98)</f>
        <v>20</v>
      </c>
      <c r="M98" s="43">
        <f ca="1">L98-I98</f>
        <v>0</v>
      </c>
      <c r="N98" s="6" t="str" cm="1">
        <f t="array" ref="N98">_xlfn.IFS(
AND(NOT(ISBLANK(H98)),ISBLANK(K98)),"SUR",
AND(NOT(ISBLANK(H98)),NOT(ISBLANK(K98)),$P98="YES"),"RTR",
AND(NOT(ISBLANK(H98)),NOT(ISBLANK(K98)),$P98="NO"),"NTS",
TRUE,"TO Check"
)</f>
        <v>RTR</v>
      </c>
      <c r="O98" s="2" t="s">
        <v>43</v>
      </c>
      <c r="P98" s="5" t="s">
        <v>44</v>
      </c>
    </row>
    <row r="99" spans="1:16" ht="15">
      <c r="A99" s="2">
        <v>3</v>
      </c>
      <c r="B99" s="16" t="s">
        <v>198</v>
      </c>
      <c r="D99" t="s">
        <v>199</v>
      </c>
      <c r="E99" s="5" t="s">
        <v>200</v>
      </c>
      <c r="F99" s="2">
        <v>0</v>
      </c>
      <c r="G99" s="5" t="s">
        <v>201</v>
      </c>
      <c r="H99" s="39">
        <v>46168</v>
      </c>
      <c r="I99" s="6">
        <v>20</v>
      </c>
      <c r="J99" s="39">
        <f>$H99+$I99</f>
        <v>46188</v>
      </c>
      <c r="K99" s="39">
        <v>46201</v>
      </c>
      <c r="L99" s="5">
        <f ca="1">IF(NOT(ISBLANK($K99)),$K99-$H99,TODAY()-$H99)</f>
        <v>33</v>
      </c>
      <c r="M99" s="43">
        <f ca="1">L99-I99</f>
        <v>13</v>
      </c>
      <c r="N99" s="6" t="str" cm="1">
        <f t="array" ref="N99">_xlfn.IFS(
AND(NOT(ISBLANK(H99)),ISBLANK(K99)),"SUR",
AND(NOT(ISBLANK(H99)),NOT(ISBLANK(K99)),$P99="YES"),"RTR",
AND(NOT(ISBLANK(H99)),NOT(ISBLANK(K99)),$P99="NO"),"NTS",
TRUE,"TO Check"
)</f>
        <v>RTR</v>
      </c>
      <c r="O99" s="2" t="s">
        <v>43</v>
      </c>
      <c r="P99" s="5" t="s">
        <v>44</v>
      </c>
    </row>
    <row r="100" spans="1:16" ht="15">
      <c r="A100" s="2">
        <v>4</v>
      </c>
      <c r="B100" s="16" t="s">
        <v>202</v>
      </c>
      <c r="D100" t="s">
        <v>203</v>
      </c>
      <c r="E100" s="5" t="s">
        <v>204</v>
      </c>
      <c r="F100" s="2">
        <v>0</v>
      </c>
      <c r="G100" s="5" t="s">
        <v>201</v>
      </c>
      <c r="H100" s="39">
        <v>46170</v>
      </c>
      <c r="I100" s="6">
        <v>20</v>
      </c>
      <c r="J100" s="39">
        <f>$H100+$I100</f>
        <v>46190</v>
      </c>
      <c r="K100" s="39">
        <v>46202</v>
      </c>
      <c r="L100" s="5">
        <f ca="1">IF(NOT(ISBLANK($K100)),$K100-$H100,TODAY()-$H100)</f>
        <v>32</v>
      </c>
      <c r="M100" s="43">
        <f ca="1">L100-I100</f>
        <v>12</v>
      </c>
      <c r="N100" s="6" t="str" cm="1">
        <f t="array" ref="N100">_xlfn.IFS(
AND(NOT(ISBLANK(H100)),ISBLANK(K100)),"SUR",
AND(NOT(ISBLANK(H100)),NOT(ISBLANK(K100)),$P100="YES"),"RTR",
AND(NOT(ISBLANK(H100)),NOT(ISBLANK(K100)),$P100="NO"),"NTS",
TRUE,"TO Check"
)</f>
        <v>RTR</v>
      </c>
      <c r="O100" s="2" t="s">
        <v>43</v>
      </c>
      <c r="P100" s="5" t="s">
        <v>44</v>
      </c>
    </row>
    <row r="101" spans="1:16" ht="15">
      <c r="A101" s="2">
        <v>5</v>
      </c>
      <c r="B101" s="16" t="s">
        <v>205</v>
      </c>
      <c r="D101" t="s">
        <v>206</v>
      </c>
      <c r="E101" s="5" t="s">
        <v>207</v>
      </c>
      <c r="F101" s="2">
        <v>0</v>
      </c>
      <c r="G101" s="5" t="s">
        <v>201</v>
      </c>
      <c r="H101" s="39">
        <v>46182</v>
      </c>
      <c r="I101" s="6">
        <v>20</v>
      </c>
      <c r="J101" s="39">
        <f>$H101+$I101</f>
        <v>46202</v>
      </c>
      <c r="K101" s="39">
        <v>46230</v>
      </c>
      <c r="L101" s="5">
        <f ca="1">IF(NOT(ISBLANK($K101)),$K101-$H101,TODAY()-$H101)</f>
        <v>48</v>
      </c>
      <c r="M101" s="43">
        <f ca="1">L101-I101</f>
        <v>28</v>
      </c>
      <c r="N101" s="6" t="str" cm="1">
        <f t="array" ref="N101">_xlfn.IFS(
AND(NOT(ISBLANK(H101)),ISBLANK(K101)),"SUR",
AND(NOT(ISBLANK(H101)),NOT(ISBLANK(K101)),$P101="YES"),"RTR",
AND(NOT(ISBLANK(H101)),NOT(ISBLANK(K101)),$P101="NO"),"NTS",
TRUE,"TO Check"
)</f>
        <v>RTR</v>
      </c>
      <c r="O101" s="2" t="s">
        <v>43</v>
      </c>
      <c r="P101" s="5" t="s">
        <v>44</v>
      </c>
    </row>
    <row r="102" spans="1:16" ht="15">
      <c r="A102" s="2">
        <v>6</v>
      </c>
      <c r="B102" s="16" t="s">
        <v>208</v>
      </c>
      <c r="D102" t="s">
        <v>209</v>
      </c>
      <c r="E102" s="5" t="s">
        <v>210</v>
      </c>
      <c r="F102" s="2">
        <v>0</v>
      </c>
      <c r="G102" s="5" t="s">
        <v>197</v>
      </c>
      <c r="H102" s="39">
        <v>46240</v>
      </c>
      <c r="I102" s="6">
        <v>20</v>
      </c>
      <c r="J102" s="39">
        <f>$H102+$I102</f>
        <v>46260</v>
      </c>
      <c r="K102" s="39">
        <v>46261</v>
      </c>
      <c r="L102" s="5">
        <f ca="1">IF(NOT(ISBLANK($K102)),$K102-$H102,TODAY()-$H102)</f>
        <v>21</v>
      </c>
      <c r="M102" s="43">
        <f ca="1">L102-I102</f>
        <v>1</v>
      </c>
      <c r="N102" s="6" t="str" cm="1">
        <f t="array" ref="N102">_xlfn.IFS(
AND(NOT(ISBLANK(H102)),ISBLANK(K102)),"SUR",
AND(NOT(ISBLANK(H102)),NOT(ISBLANK(K102)),$P102="YES"),"RTR",
AND(NOT(ISBLANK(H102)),NOT(ISBLANK(K102)),$P102="NO"),"NTS",
TRUE,"TO Check"
)</f>
        <v>RTR</v>
      </c>
      <c r="O102" s="2" t="s">
        <v>160</v>
      </c>
      <c r="P102" s="5" t="s">
        <v>44</v>
      </c>
    </row>
    <row r="103" spans="1:16" ht="15">
      <c r="A103" s="2">
        <v>7</v>
      </c>
      <c r="B103" s="16" t="s">
        <v>211</v>
      </c>
      <c r="D103" t="s">
        <v>212</v>
      </c>
      <c r="E103" s="5" t="s">
        <v>213</v>
      </c>
      <c r="F103" s="2">
        <v>0</v>
      </c>
      <c r="G103" s="5" t="s">
        <v>214</v>
      </c>
      <c r="H103" s="39">
        <v>46211</v>
      </c>
      <c r="I103" s="6">
        <v>20</v>
      </c>
      <c r="J103" s="39">
        <f>$H103+$I103</f>
        <v>46231</v>
      </c>
      <c r="K103" s="39">
        <v>46251</v>
      </c>
      <c r="L103" s="5">
        <f ca="1">IF(NOT(ISBLANK($K103)),$K103-$H103,TODAY()-$H103)</f>
        <v>40</v>
      </c>
      <c r="M103" s="43">
        <f ca="1">L103-I103</f>
        <v>20</v>
      </c>
      <c r="N103" s="6" t="str" cm="1">
        <f t="array" ref="N103">_xlfn.IFS(
AND(NOT(ISBLANK(H103)),ISBLANK(K103)),"SUR",
AND(NOT(ISBLANK(H103)),NOT(ISBLANK(K103)),$P103="YES"),"RTR",
AND(NOT(ISBLANK(H103)),NOT(ISBLANK(K103)),$P103="NO"),"NTS",
TRUE,"TO Check"
)</f>
        <v>RTR</v>
      </c>
      <c r="O103" s="2" t="s">
        <v>160</v>
      </c>
      <c r="P103" s="5" t="s">
        <v>44</v>
      </c>
    </row>
    <row r="104" spans="1:16" ht="15">
      <c r="A104" s="2">
        <v>8</v>
      </c>
      <c r="B104" s="16" t="s">
        <v>215</v>
      </c>
      <c r="D104" t="s">
        <v>216</v>
      </c>
      <c r="E104" s="5" t="s">
        <v>217</v>
      </c>
      <c r="F104" s="2">
        <v>0</v>
      </c>
      <c r="G104" s="5" t="s">
        <v>218</v>
      </c>
      <c r="H104" s="39">
        <v>46107</v>
      </c>
      <c r="I104" s="6">
        <v>20</v>
      </c>
      <c r="J104" s="39">
        <f>$H104+$I104</f>
        <v>46127</v>
      </c>
      <c r="K104" s="39">
        <v>46142</v>
      </c>
      <c r="L104" s="5">
        <f ca="1">IF(NOT(ISBLANK($K104)),$K104-$H104,TODAY()-$H104)</f>
        <v>35</v>
      </c>
      <c r="M104" s="43">
        <f ca="1">L104-I104</f>
        <v>15</v>
      </c>
      <c r="N104" s="6" t="str" cm="1">
        <f t="array" ref="N104">_xlfn.IFS(
AND(NOT(ISBLANK(H104)),ISBLANK(K104)),"SUR",
AND(NOT(ISBLANK(H104)),NOT(ISBLANK(K104)),$P104="YES"),"RTR",
AND(NOT(ISBLANK(H104)),NOT(ISBLANK(K104)),$P104="NO"),"NTS",
TRUE,"TO Check"
)</f>
        <v>RTR</v>
      </c>
      <c r="O104" s="2" t="s">
        <v>43</v>
      </c>
      <c r="P104" s="5" t="s">
        <v>44</v>
      </c>
    </row>
    <row r="105" spans="1:16" ht="15">
      <c r="A105" s="2">
        <v>9</v>
      </c>
      <c r="B105" s="16" t="s">
        <v>219</v>
      </c>
      <c r="D105" t="s">
        <v>220</v>
      </c>
      <c r="E105" s="5" t="s">
        <v>221</v>
      </c>
      <c r="F105" s="2">
        <v>0</v>
      </c>
      <c r="G105" s="5" t="s">
        <v>222</v>
      </c>
      <c r="H105" s="39">
        <v>46185</v>
      </c>
      <c r="I105" s="6">
        <v>20</v>
      </c>
      <c r="J105" s="39">
        <f>$H105+$I105</f>
        <v>46205</v>
      </c>
      <c r="K105" s="39">
        <v>46221</v>
      </c>
      <c r="L105" s="5">
        <f ca="1">IF(NOT(ISBLANK($K105)),$K105-$H105,TODAY()-$H105)</f>
        <v>36</v>
      </c>
      <c r="M105" s="43">
        <f ca="1">L105-I105</f>
        <v>16</v>
      </c>
      <c r="N105" s="6" t="str" cm="1">
        <f t="array" ref="N105">_xlfn.IFS(
AND(NOT(ISBLANK(H105)),ISBLANK(K105)),"SUR",
AND(NOT(ISBLANK(H105)),NOT(ISBLANK(K105)),$P105="YES"),"RTR",
AND(NOT(ISBLANK(H105)),NOT(ISBLANK(K105)),$P105="NO"),"NTS",
TRUE,"TO Check"
)</f>
        <v>RTR</v>
      </c>
      <c r="O105" s="2" t="s">
        <v>43</v>
      </c>
      <c r="P105" s="5" t="s">
        <v>44</v>
      </c>
    </row>
    <row r="106" spans="1:16" ht="15">
      <c r="A106" s="2">
        <v>10</v>
      </c>
      <c r="B106" s="16" t="s">
        <v>223</v>
      </c>
      <c r="D106" t="s">
        <v>224</v>
      </c>
      <c r="E106" s="5" t="s">
        <v>225</v>
      </c>
      <c r="F106" s="2">
        <v>0</v>
      </c>
      <c r="G106" s="5" t="s">
        <v>197</v>
      </c>
      <c r="H106" s="39">
        <v>46202</v>
      </c>
      <c r="I106" s="6">
        <v>20</v>
      </c>
      <c r="J106" s="39">
        <f>$H106+$I106</f>
        <v>46222</v>
      </c>
      <c r="K106" s="39">
        <v>46230</v>
      </c>
      <c r="L106" s="5">
        <f ca="1">IF(NOT(ISBLANK($K106)),$K106-$H106,TODAY()-$H106)</f>
        <v>28</v>
      </c>
      <c r="M106" s="43">
        <f ca="1">L106-I106</f>
        <v>8</v>
      </c>
      <c r="N106" s="6" t="str" cm="1">
        <f t="array" ref="N106">_xlfn.IFS(
AND(NOT(ISBLANK(H106)),ISBLANK(K106)),"SUR",
AND(NOT(ISBLANK(H106)),NOT(ISBLANK(K106)),$P106="YES"),"RTR",
AND(NOT(ISBLANK(H106)),NOT(ISBLANK(K106)),$P106="NO"),"NTS",
TRUE,"TO Check"
)</f>
        <v>RTR</v>
      </c>
      <c r="O106" s="2" t="s">
        <v>160</v>
      </c>
      <c r="P106" s="5" t="s">
        <v>44</v>
      </c>
    </row>
    <row r="107" spans="1:16" ht="15">
      <c r="A107" s="2">
        <v>11</v>
      </c>
      <c r="B107" s="16" t="s">
        <v>226</v>
      </c>
      <c r="D107" t="s">
        <v>227</v>
      </c>
      <c r="E107" s="5" t="s">
        <v>228</v>
      </c>
      <c r="F107" s="2">
        <v>0</v>
      </c>
      <c r="G107" s="5" t="s">
        <v>222</v>
      </c>
      <c r="H107" s="39">
        <v>46219</v>
      </c>
      <c r="I107" s="6">
        <v>20</v>
      </c>
      <c r="J107" s="39">
        <f>$H107+$I107</f>
        <v>46239</v>
      </c>
      <c r="K107" s="39">
        <v>46261</v>
      </c>
      <c r="L107" s="5">
        <f ca="1">IF(NOT(ISBLANK($K107)),$K107-$H107,TODAY()-$H107)</f>
        <v>42</v>
      </c>
      <c r="M107" s="43">
        <f ca="1">L107-I107</f>
        <v>22</v>
      </c>
      <c r="N107" s="6" t="str" cm="1">
        <f t="array" ref="N107">_xlfn.IFS(
AND(NOT(ISBLANK(H107)),ISBLANK(K107)),"SUR",
AND(NOT(ISBLANK(H107)),NOT(ISBLANK(K107)),$P107="YES"),"RTR",
AND(NOT(ISBLANK(H107)),NOT(ISBLANK(K107)),$P107="NO"),"NTS",
TRUE,"TO Check"
)</f>
        <v>RTR</v>
      </c>
      <c r="O107" s="2" t="s">
        <v>160</v>
      </c>
      <c r="P107" s="5" t="s">
        <v>44</v>
      </c>
    </row>
    <row r="108" spans="1:16" ht="15">
      <c r="A108" s="2">
        <v>12</v>
      </c>
      <c r="B108" s="2" t="s">
        <v>229</v>
      </c>
      <c r="C108" s="16"/>
      <c r="D108" t="s">
        <v>230</v>
      </c>
      <c r="E108" s="5" t="s">
        <v>231</v>
      </c>
      <c r="F108" s="2">
        <v>0</v>
      </c>
      <c r="G108" s="5" t="s">
        <v>232</v>
      </c>
      <c r="H108" s="39">
        <v>46248</v>
      </c>
      <c r="I108" s="6">
        <v>20</v>
      </c>
      <c r="J108" s="39">
        <f>$H108+$I108</f>
        <v>46268</v>
      </c>
      <c r="K108" s="39">
        <v>46276</v>
      </c>
      <c r="L108" s="5">
        <f ca="1">IF(NOT(ISBLANK($K108)),$K108-$H108,TODAY()-$H108)</f>
        <v>28</v>
      </c>
      <c r="M108" s="43">
        <f ca="1">L108-I108</f>
        <v>8</v>
      </c>
      <c r="N108" s="6" t="str" cm="1">
        <f t="array" ref="N108">_xlfn.IFS(
AND(NOT(ISBLANK(H108)),ISBLANK(K108)),"SUR",
AND(NOT(ISBLANK(H108)),NOT(ISBLANK(K108)),$P108="YES"),"RTR",
AND(NOT(ISBLANK(H108)),NOT(ISBLANK(K108)),$P108="NO"),"NTS",
TRUE,"TO Check"
)</f>
        <v>RTR</v>
      </c>
      <c r="O108" s="2" t="s">
        <v>43</v>
      </c>
      <c r="P108" s="5" t="s">
        <v>44</v>
      </c>
    </row>
    <row r="109" spans="1:16" ht="15">
      <c r="A109" s="2">
        <v>13</v>
      </c>
      <c r="B109" s="2" t="s">
        <v>233</v>
      </c>
      <c r="C109" s="16"/>
      <c r="D109" t="s">
        <v>234</v>
      </c>
      <c r="E109" s="5" t="s">
        <v>235</v>
      </c>
      <c r="F109" s="2">
        <v>0</v>
      </c>
      <c r="G109" s="5" t="s">
        <v>236</v>
      </c>
      <c r="H109" s="39">
        <v>46128</v>
      </c>
      <c r="I109" s="6">
        <v>20</v>
      </c>
      <c r="J109" s="39">
        <f>$H109+$I109</f>
        <v>46148</v>
      </c>
      <c r="K109" s="39">
        <v>46195</v>
      </c>
      <c r="L109" s="5">
        <f ca="1">IF(NOT(ISBLANK($K109)),$K109-$H109,TODAY()-$H109)</f>
        <v>67</v>
      </c>
      <c r="M109" s="43">
        <f ca="1">L109-I109</f>
        <v>47</v>
      </c>
      <c r="N109" s="6" t="str" cm="1">
        <f t="array" ref="N109">_xlfn.IFS(
AND(NOT(ISBLANK(H109)),ISBLANK(K109)),"SUR",
AND(NOT(ISBLANK(H109)),NOT(ISBLANK(K109)),$P109="YES"),"RTR",
AND(NOT(ISBLANK(H109)),NOT(ISBLANK(K109)),$P109="NO"),"NTS",
TRUE,"TO Check"
)</f>
        <v>RTR</v>
      </c>
      <c r="O109" s="2" t="s">
        <v>160</v>
      </c>
      <c r="P109" s="5" t="s">
        <v>44</v>
      </c>
    </row>
    <row r="110" spans="1:16" ht="15">
      <c r="A110" s="2">
        <v>14</v>
      </c>
      <c r="B110" s="2" t="s">
        <v>237</v>
      </c>
      <c r="C110" s="16"/>
      <c r="D110" t="s">
        <v>238</v>
      </c>
      <c r="E110" s="5" t="s">
        <v>239</v>
      </c>
      <c r="F110" s="2">
        <v>0</v>
      </c>
      <c r="G110" s="5" t="s">
        <v>240</v>
      </c>
      <c r="H110" s="39">
        <v>46251</v>
      </c>
      <c r="I110" s="6">
        <v>20</v>
      </c>
      <c r="J110" s="39">
        <f>$H110+$I110</f>
        <v>46271</v>
      </c>
      <c r="K110" s="39">
        <v>46294</v>
      </c>
      <c r="L110" s="5">
        <f ca="1">IF(NOT(ISBLANK($K110)),$K110-$H110,TODAY()-$H110)</f>
        <v>43</v>
      </c>
      <c r="M110" s="43">
        <f ca="1">L110-I110</f>
        <v>23</v>
      </c>
      <c r="N110" s="6" t="str" cm="1">
        <f t="array" ref="N110">_xlfn.IFS(
AND(NOT(ISBLANK(H110)),ISBLANK(K110)),"SUR",
AND(NOT(ISBLANK(H110)),NOT(ISBLANK(K110)),$P110="YES"),"RTR",
AND(NOT(ISBLANK(H110)),NOT(ISBLANK(K110)),$P110="NO"),"NTS",
TRUE,"TO Check"
)</f>
        <v>RTR</v>
      </c>
      <c r="O110" s="2" t="s">
        <v>241</v>
      </c>
      <c r="P110" s="5" t="s">
        <v>44</v>
      </c>
    </row>
    <row r="111" spans="1:16" ht="15">
      <c r="A111" s="2">
        <v>15</v>
      </c>
      <c r="B111" s="2" t="s">
        <v>242</v>
      </c>
      <c r="C111" s="16"/>
      <c r="D111" t="s">
        <v>243</v>
      </c>
      <c r="E111" s="5" t="s">
        <v>244</v>
      </c>
      <c r="F111" s="2">
        <v>0</v>
      </c>
      <c r="G111" s="5" t="s">
        <v>232</v>
      </c>
      <c r="H111" s="39">
        <v>46266</v>
      </c>
      <c r="I111" s="6">
        <v>20</v>
      </c>
      <c r="J111" s="39">
        <f>$H111+$I111</f>
        <v>46286</v>
      </c>
      <c r="K111" s="39">
        <v>46294</v>
      </c>
      <c r="L111" s="5">
        <f ca="1">IF(NOT(ISBLANK($K111)),$K111-$H111,TODAY()-$H111)</f>
        <v>28</v>
      </c>
      <c r="M111" s="43">
        <f ca="1">L111-I111</f>
        <v>8</v>
      </c>
      <c r="N111" s="6" t="str" cm="1">
        <f t="array" ref="N111">_xlfn.IFS(
AND(NOT(ISBLANK(H111)),ISBLANK(K111)),"SUR",
AND(NOT(ISBLANK(H111)),NOT(ISBLANK(K111)),$P111="YES"),"RTR",
AND(NOT(ISBLANK(H111)),NOT(ISBLANK(K111)),$P111="NO"),"NTS",
TRUE,"TO Check"
)</f>
        <v>RTR</v>
      </c>
      <c r="O111" s="2" t="s">
        <v>160</v>
      </c>
      <c r="P111" s="5" t="s">
        <v>44</v>
      </c>
    </row>
    <row r="112" spans="1:16" ht="15">
      <c r="A112" s="2">
        <v>16</v>
      </c>
      <c r="B112" s="2" t="s">
        <v>245</v>
      </c>
      <c r="C112" s="16"/>
      <c r="D112" t="s">
        <v>246</v>
      </c>
      <c r="E112" s="5" t="s">
        <v>247</v>
      </c>
      <c r="F112" s="2">
        <v>0</v>
      </c>
      <c r="G112" s="5" t="s">
        <v>240</v>
      </c>
      <c r="H112" s="39">
        <v>46252</v>
      </c>
      <c r="I112" s="6">
        <v>20</v>
      </c>
      <c r="J112" s="39">
        <f>$H112+$I112</f>
        <v>46272</v>
      </c>
      <c r="K112" s="39">
        <v>46294</v>
      </c>
      <c r="L112" s="5">
        <f ca="1">IF(NOT(ISBLANK($K112)),$K112-$H112,TODAY()-$H112)</f>
        <v>42</v>
      </c>
      <c r="M112" s="43">
        <f ca="1">L112-I112</f>
        <v>22</v>
      </c>
      <c r="N112" s="6" t="str" cm="1">
        <f t="array" ref="N112">_xlfn.IFS(
AND(NOT(ISBLANK(H112)),ISBLANK(K112)),"SUR",
AND(NOT(ISBLANK(H112)),NOT(ISBLANK(K112)),$P112="YES"),"RTR",
AND(NOT(ISBLANK(H112)),NOT(ISBLANK(K112)),$P112="NO"),"NTS",
TRUE,"TO Check"
)</f>
        <v>RTR</v>
      </c>
      <c r="O112" s="2" t="s">
        <v>241</v>
      </c>
      <c r="P112" s="5" t="s">
        <v>44</v>
      </c>
    </row>
    <row r="113" spans="1:16" ht="15">
      <c r="A113" s="2">
        <v>17</v>
      </c>
      <c r="B113" s="2" t="s">
        <v>248</v>
      </c>
      <c r="C113" s="16"/>
      <c r="D113" t="s">
        <v>249</v>
      </c>
      <c r="E113" s="5" t="s">
        <v>250</v>
      </c>
      <c r="F113" s="2">
        <v>0</v>
      </c>
      <c r="G113" s="5" t="s">
        <v>240</v>
      </c>
      <c r="H113" s="39">
        <v>46252</v>
      </c>
      <c r="I113" s="6">
        <v>20</v>
      </c>
      <c r="J113" s="39">
        <f>$H113+$I113</f>
        <v>46272</v>
      </c>
      <c r="K113" s="39">
        <v>46295</v>
      </c>
      <c r="L113" s="5">
        <f ca="1">IF(NOT(ISBLANK($K113)),$K113-$H113,TODAY()-$H113)</f>
        <v>43</v>
      </c>
      <c r="M113" s="43">
        <f ca="1">L113-I113</f>
        <v>23</v>
      </c>
      <c r="N113" s="6" t="str" cm="1">
        <f t="array" ref="N113">_xlfn.IFS(
AND(NOT(ISBLANK(H113)),ISBLANK(K113)),"SUR",
AND(NOT(ISBLANK(H113)),NOT(ISBLANK(K113)),$P113="YES"),"RTR",
AND(NOT(ISBLANK(H113)),NOT(ISBLANK(K113)),$P113="NO"),"NTS",
TRUE,"TO Check"
)</f>
        <v>RTR</v>
      </c>
      <c r="O113" s="2" t="s">
        <v>241</v>
      </c>
      <c r="P113" s="5" t="s">
        <v>44</v>
      </c>
    </row>
    <row r="114" spans="1:16" ht="15">
      <c r="A114" s="2">
        <v>18</v>
      </c>
      <c r="B114" s="2" t="s">
        <v>251</v>
      </c>
      <c r="D114" t="s">
        <v>252</v>
      </c>
      <c r="E114" s="5" t="s">
        <v>253</v>
      </c>
      <c r="F114" s="2">
        <v>0</v>
      </c>
      <c r="G114" s="5" t="s">
        <v>240</v>
      </c>
      <c r="H114" s="39">
        <v>46253</v>
      </c>
      <c r="I114" s="6">
        <v>20</v>
      </c>
      <c r="J114" s="39">
        <f>$H114+$I114</f>
        <v>46273</v>
      </c>
      <c r="K114" s="39">
        <v>46294</v>
      </c>
      <c r="L114" s="5">
        <f ca="1">IF(NOT(ISBLANK($K114)),$K114-$H114,TODAY()-$H114)</f>
        <v>41</v>
      </c>
      <c r="M114" s="43">
        <f ca="1">L114-I114</f>
        <v>21</v>
      </c>
      <c r="N114" s="6" t="str" cm="1">
        <f t="array" ref="N114">_xlfn.IFS(
AND(NOT(ISBLANK(H114)),ISBLANK(K114)),"SUR",
AND(NOT(ISBLANK(H114)),NOT(ISBLANK(K114)),$P114="YES"),"RTR",
AND(NOT(ISBLANK(H114)),NOT(ISBLANK(K114)),$P114="NO"),"NTS",
TRUE,"TO Check"
)</f>
        <v>RTR</v>
      </c>
      <c r="O114" s="2" t="s">
        <v>241</v>
      </c>
      <c r="P114" s="5" t="s">
        <v>44</v>
      </c>
    </row>
    <row r="115" spans="1:16" ht="15">
      <c r="A115" s="2">
        <v>19</v>
      </c>
      <c r="B115" s="2" t="s">
        <v>254</v>
      </c>
      <c r="D115" t="s">
        <v>255</v>
      </c>
      <c r="E115" s="5" t="s">
        <v>256</v>
      </c>
      <c r="F115" s="2">
        <v>0</v>
      </c>
      <c r="G115" s="5" t="s">
        <v>240</v>
      </c>
      <c r="H115" s="39">
        <v>46258</v>
      </c>
      <c r="I115" s="6">
        <v>20</v>
      </c>
      <c r="J115" s="39">
        <f>$H115+$I115</f>
        <v>46278</v>
      </c>
      <c r="K115" s="39">
        <v>46295</v>
      </c>
      <c r="L115" s="5">
        <f ca="1">IF(NOT(ISBLANK($K115)),$K115-$H115,TODAY()-$H115)</f>
        <v>37</v>
      </c>
      <c r="M115" s="43">
        <f ca="1">L115-I115</f>
        <v>17</v>
      </c>
      <c r="N115" s="6" t="str" cm="1">
        <f t="array" ref="N115">_xlfn.IFS(
AND(NOT(ISBLANK(H115)),ISBLANK(K115)),"SUR",
AND(NOT(ISBLANK(H115)),NOT(ISBLANK(K115)),$P115="YES"),"RTR",
AND(NOT(ISBLANK(H115)),NOT(ISBLANK(K115)),$P115="NO"),"NTS",
TRUE,"TO Check"
)</f>
        <v>RTR</v>
      </c>
      <c r="O115" s="2" t="s">
        <v>241</v>
      </c>
      <c r="P115" s="5" t="s">
        <v>44</v>
      </c>
    </row>
    <row r="116" spans="1:16" ht="15">
      <c r="A116" s="2">
        <v>20</v>
      </c>
      <c r="B116" s="2" t="s">
        <v>257</v>
      </c>
      <c r="D116" t="s">
        <v>258</v>
      </c>
      <c r="E116" s="5" t="s">
        <v>259</v>
      </c>
      <c r="F116" s="2">
        <v>0</v>
      </c>
      <c r="G116" s="5" t="s">
        <v>240</v>
      </c>
      <c r="H116" s="39">
        <v>46258</v>
      </c>
      <c r="I116" s="6">
        <v>20</v>
      </c>
      <c r="J116" s="39">
        <f>$H116+$I116</f>
        <v>46278</v>
      </c>
      <c r="K116" s="39">
        <v>46294</v>
      </c>
      <c r="L116" s="5">
        <f ca="1">IF(NOT(ISBLANK($K116)),$K116-$H116,TODAY()-$H116)</f>
        <v>36</v>
      </c>
      <c r="M116" s="43">
        <f ca="1">L116-I116</f>
        <v>16</v>
      </c>
      <c r="N116" s="6" t="str" cm="1">
        <f t="array" ref="N116">_xlfn.IFS(
AND(NOT(ISBLANK(H116)),ISBLANK(K116)),"SUR",
AND(NOT(ISBLANK(H116)),NOT(ISBLANK(K116)),$P116="YES"),"RTR",
AND(NOT(ISBLANK(H116)),NOT(ISBLANK(K116)),$P116="NO"),"NTS",
TRUE,"TO Check"
)</f>
        <v>RTR</v>
      </c>
      <c r="O116" s="2" t="s">
        <v>241</v>
      </c>
      <c r="P116" s="5" t="s">
        <v>44</v>
      </c>
    </row>
    <row r="117" spans="1:16" ht="15">
      <c r="A117" s="2">
        <v>21</v>
      </c>
      <c r="B117" s="2" t="s">
        <v>260</v>
      </c>
      <c r="D117" t="s">
        <v>261</v>
      </c>
      <c r="E117" s="5" t="s">
        <v>262</v>
      </c>
      <c r="F117" s="2">
        <v>0</v>
      </c>
      <c r="G117" s="5" t="s">
        <v>240</v>
      </c>
      <c r="H117" s="39">
        <v>46258</v>
      </c>
      <c r="I117" s="6">
        <v>20</v>
      </c>
      <c r="J117" s="39">
        <f>$H117+$I117</f>
        <v>46278</v>
      </c>
      <c r="K117" s="39">
        <v>46295</v>
      </c>
      <c r="L117" s="5">
        <f ca="1">IF(NOT(ISBLANK($K117)),$K117-$H117,TODAY()-$H117)</f>
        <v>37</v>
      </c>
      <c r="M117" s="43">
        <f ca="1">L117-I117</f>
        <v>17</v>
      </c>
      <c r="N117" s="6" t="str" cm="1">
        <f t="array" ref="N117">_xlfn.IFS(
AND(NOT(ISBLANK(H117)),ISBLANK(K117)),"SUR",
AND(NOT(ISBLANK(H117)),NOT(ISBLANK(K117)),$P117="YES"),"RTR",
AND(NOT(ISBLANK(H117)),NOT(ISBLANK(K117)),$P117="NO"),"NTS",
TRUE,"TO Check"
)</f>
        <v>RTR</v>
      </c>
      <c r="O117" s="2" t="s">
        <v>241</v>
      </c>
      <c r="P117" s="5" t="s">
        <v>44</v>
      </c>
    </row>
    <row r="118" spans="1:16" ht="15">
      <c r="A118" s="2">
        <v>22</v>
      </c>
      <c r="B118" s="2" t="s">
        <v>263</v>
      </c>
      <c r="D118" t="s">
        <v>264</v>
      </c>
      <c r="E118" s="5" t="s">
        <v>265</v>
      </c>
      <c r="F118" s="2">
        <v>0</v>
      </c>
      <c r="G118" s="5" t="s">
        <v>240</v>
      </c>
      <c r="H118" s="39">
        <v>46296</v>
      </c>
      <c r="I118" s="6">
        <v>20</v>
      </c>
      <c r="J118" s="39">
        <f>$H118+$I118</f>
        <v>46316</v>
      </c>
      <c r="L118" s="5">
        <f ca="1">IF(NOT(ISBLANK($K118)),$K118-$H118,TODAY()-$H118)</f>
        <v>13</v>
      </c>
      <c r="M118" s="43">
        <f ca="1">L118-I118</f>
        <v>-7</v>
      </c>
      <c r="N118" s="6" t="str" cm="1">
        <f t="array" ref="N118">_xlfn.IFS(
AND(NOT(ISBLANK(H118)),ISBLANK(K118)),"SUR",
AND(NOT(ISBLANK(H118)),NOT(ISBLANK(K118)),$P118="YES"),"RTR",
AND(NOT(ISBLANK(H118)),NOT(ISBLANK(K118)),$P118="NO"),"NTS",
TRUE,"TO Check"
)</f>
        <v>SUR</v>
      </c>
    </row>
    <row r="119" spans="1:16" ht="15">
      <c r="A119" s="2">
        <v>23</v>
      </c>
      <c r="B119" s="2" t="s">
        <v>266</v>
      </c>
      <c r="D119" t="s">
        <v>267</v>
      </c>
      <c r="E119" s="5" t="s">
        <v>268</v>
      </c>
      <c r="F119" s="2">
        <v>0</v>
      </c>
      <c r="G119" s="5" t="s">
        <v>240</v>
      </c>
      <c r="H119" s="39">
        <v>46296</v>
      </c>
      <c r="I119" s="6">
        <v>20</v>
      </c>
      <c r="J119" s="39">
        <f>$H119+$I119</f>
        <v>46316</v>
      </c>
      <c r="L119" s="5">
        <f ca="1">IF(NOT(ISBLANK($K119)),$K119-$H119,TODAY()-$H119)</f>
        <v>13</v>
      </c>
      <c r="M119" s="43">
        <f ca="1">L119-I119</f>
        <v>-7</v>
      </c>
      <c r="N119" s="6" t="str" cm="1">
        <f t="array" ref="N119">_xlfn.IFS(
AND(NOT(ISBLANK(H119)),ISBLANK(K119)),"SUR",
AND(NOT(ISBLANK(H119)),NOT(ISBLANK(K119)),$P119="YES"),"RTR",
AND(NOT(ISBLANK(H119)),NOT(ISBLANK(K119)),$P119="NO"),"NTS",
TRUE,"TO Check"
)</f>
        <v>SUR</v>
      </c>
    </row>
    <row r="120" spans="1:16" ht="15">
      <c r="A120" s="2">
        <v>24</v>
      </c>
      <c r="B120" s="2" t="s">
        <v>269</v>
      </c>
      <c r="D120" t="s">
        <v>270</v>
      </c>
      <c r="E120" s="5" t="s">
        <v>271</v>
      </c>
      <c r="F120" s="2">
        <v>0</v>
      </c>
      <c r="G120" s="5" t="s">
        <v>240</v>
      </c>
      <c r="H120" s="39">
        <v>46300</v>
      </c>
      <c r="I120" s="6">
        <v>20</v>
      </c>
      <c r="J120" s="39">
        <f>$H120+$I120</f>
        <v>46320</v>
      </c>
      <c r="L120" s="5">
        <f ca="1">IF(NOT(ISBLANK($K120)),$K120-$H120,TODAY()-$H120)</f>
        <v>9</v>
      </c>
      <c r="M120" s="43">
        <f ca="1">L120-I120</f>
        <v>-11</v>
      </c>
      <c r="N120" s="6" t="str" cm="1">
        <f t="array" ref="N120">_xlfn.IFS(
AND(NOT(ISBLANK(H120)),ISBLANK(K120)),"SUR",
AND(NOT(ISBLANK(H120)),NOT(ISBLANK(K120)),$P120="YES"),"RTR",
AND(NOT(ISBLANK(H120)),NOT(ISBLANK(K120)),$P120="NO"),"NTS",
TRUE,"TO Check"
)</f>
        <v>SUR</v>
      </c>
    </row>
    <row r="121" spans="1:16" ht="15">
      <c r="A121" s="2">
        <v>25</v>
      </c>
      <c r="B121" s="2" t="s">
        <v>272</v>
      </c>
      <c r="D121" t="s">
        <v>273</v>
      </c>
      <c r="E121" s="5" t="s">
        <v>247</v>
      </c>
      <c r="F121" s="2">
        <v>0</v>
      </c>
      <c r="G121" s="5" t="s">
        <v>240</v>
      </c>
      <c r="H121" s="39">
        <v>46300</v>
      </c>
      <c r="I121" s="6">
        <v>20</v>
      </c>
      <c r="J121" s="39">
        <f>$H121+$I121</f>
        <v>46320</v>
      </c>
      <c r="L121" s="5">
        <f ca="1">IF(NOT(ISBLANK($K121)),$K121-$H121,TODAY()-$H121)</f>
        <v>9</v>
      </c>
      <c r="M121" s="43">
        <f ca="1">L121-I121</f>
        <v>-11</v>
      </c>
      <c r="N121" s="6" t="str" cm="1">
        <f t="array" ref="N121">_xlfn.IFS(
AND(NOT(ISBLANK(H121)),ISBLANK(K121)),"SUR",
AND(NOT(ISBLANK(H121)),NOT(ISBLANK(K121)),$P121="YES"),"RTR",
AND(NOT(ISBLANK(H121)),NOT(ISBLANK(K121)),$P121="NO"),"NTS",
TRUE,"TO Check"
)</f>
        <v>SUR</v>
      </c>
    </row>
    <row r="122" spans="1:16" ht="15">
      <c r="A122" s="2">
        <v>26</v>
      </c>
      <c r="B122" s="2" t="s">
        <v>274</v>
      </c>
      <c r="D122" t="s">
        <v>275</v>
      </c>
      <c r="E122" s="5" t="s">
        <v>276</v>
      </c>
      <c r="F122" s="2">
        <v>0</v>
      </c>
      <c r="G122" s="5" t="s">
        <v>232</v>
      </c>
      <c r="H122" s="39">
        <v>46287</v>
      </c>
      <c r="I122" s="6">
        <v>20</v>
      </c>
      <c r="J122" s="39">
        <f>$H122+$I122</f>
        <v>46307</v>
      </c>
      <c r="L122" s="5">
        <f ca="1">IF(NOT(ISBLANK($K122)),$K122-$H122,TODAY()-$H122)</f>
        <v>22</v>
      </c>
      <c r="M122" s="43">
        <f ca="1">L122-I122</f>
        <v>2</v>
      </c>
      <c r="N122" s="6" t="str" cm="1">
        <f t="array" ref="N122">_xlfn.IFS(
AND(NOT(ISBLANK(H122)),ISBLANK(K122)),"SUR",
AND(NOT(ISBLANK(H122)),NOT(ISBLANK(K122)),$P122="YES"),"RTR",
AND(NOT(ISBLANK(H122)),NOT(ISBLANK(K122)),$P122="NO"),"NTS",
TRUE,"TO Check"
)</f>
        <v>SUR</v>
      </c>
    </row>
    <row r="123" spans="1:16" ht="15">
      <c r="A123" s="2">
        <v>27</v>
      </c>
      <c r="B123" s="2" t="s">
        <v>277</v>
      </c>
      <c r="D123" t="s">
        <v>278</v>
      </c>
      <c r="E123" s="5" t="s">
        <v>279</v>
      </c>
      <c r="F123" s="2">
        <v>0</v>
      </c>
      <c r="G123" s="5" t="s">
        <v>232</v>
      </c>
      <c r="H123" s="39">
        <v>46287</v>
      </c>
      <c r="I123" s="6">
        <v>20</v>
      </c>
      <c r="J123" s="39">
        <f>$H123+$I123</f>
        <v>46307</v>
      </c>
      <c r="L123" s="5">
        <f ca="1">IF(NOT(ISBLANK($K123)),$K123-$H123,TODAY()-$H123)</f>
        <v>22</v>
      </c>
      <c r="M123" s="43">
        <f ca="1">L123-I123</f>
        <v>2</v>
      </c>
      <c r="N123" s="6" t="str" cm="1">
        <f t="array" ref="N123">_xlfn.IFS(
AND(NOT(ISBLANK(H123)),ISBLANK(K123)),"SUR",
AND(NOT(ISBLANK(H123)),NOT(ISBLANK(K123)),$P123="YES"),"RTR",
AND(NOT(ISBLANK(H123)),NOT(ISBLANK(K123)),$P123="NO"),"NTS",
TRUE,"TO Check"
)</f>
        <v>SUR</v>
      </c>
    </row>
    <row r="124" spans="1:16" ht="15">
      <c r="A124" s="2">
        <v>28</v>
      </c>
      <c r="B124" s="15" t="s">
        <v>280</v>
      </c>
      <c r="D124" t="s">
        <v>281</v>
      </c>
      <c r="E124" s="5" t="s">
        <v>282</v>
      </c>
      <c r="F124" s="2">
        <v>0</v>
      </c>
      <c r="G124" s="5" t="s">
        <v>232</v>
      </c>
      <c r="H124" s="39">
        <v>46287</v>
      </c>
      <c r="I124" s="6">
        <v>20</v>
      </c>
      <c r="J124" s="39">
        <f>$H124+$I124</f>
        <v>46307</v>
      </c>
      <c r="L124" s="5">
        <f ca="1">IF(NOT(ISBLANK($K124)),$K124-$H124,TODAY()-$H124)</f>
        <v>22</v>
      </c>
      <c r="M124" s="43">
        <f ca="1">L124-I124</f>
        <v>2</v>
      </c>
      <c r="N124" s="6" t="str" cm="1">
        <f t="array" ref="N124">_xlfn.IFS(
AND(NOT(ISBLANK(H124)),ISBLANK(K124)),"SUR",
AND(NOT(ISBLANK(H124)),NOT(ISBLANK(K124)),$P124="YES"),"RTR",
AND(NOT(ISBLANK(H124)),NOT(ISBLANK(K124)),$P124="NO"),"NTS",
TRUE,"TO Check"
)</f>
        <v>SUR</v>
      </c>
    </row>
    <row r="125" spans="1:16" ht="15">
      <c r="A125" s="2">
        <v>29</v>
      </c>
      <c r="B125" s="15" t="s">
        <v>283</v>
      </c>
      <c r="D125" t="s">
        <v>284</v>
      </c>
      <c r="E125" s="5" t="s">
        <v>285</v>
      </c>
      <c r="F125" s="2">
        <v>0</v>
      </c>
      <c r="G125" s="5" t="s">
        <v>232</v>
      </c>
      <c r="H125" s="39">
        <v>46287</v>
      </c>
      <c r="I125" s="6">
        <v>20</v>
      </c>
      <c r="J125" s="39">
        <f>$H125+$I125</f>
        <v>46307</v>
      </c>
      <c r="L125" s="5">
        <f ca="1">IF(NOT(ISBLANK($K125)),$K125-$H125,TODAY()-$H125)</f>
        <v>22</v>
      </c>
      <c r="M125" s="43">
        <f ca="1">L125-I125</f>
        <v>2</v>
      </c>
      <c r="N125" s="6" t="str" cm="1">
        <f t="array" ref="N125">_xlfn.IFS(
AND(NOT(ISBLANK(H125)),ISBLANK(K125)),"SUR",
AND(NOT(ISBLANK(H125)),NOT(ISBLANK(K125)),$P125="YES"),"RTR",
AND(NOT(ISBLANK(H125)),NOT(ISBLANK(K125)),$P125="NO"),"NTS",
TRUE,"TO Check"
)</f>
        <v>SUR</v>
      </c>
    </row>
    <row r="126" spans="1:16" ht="15">
      <c r="A126" s="2">
        <v>30</v>
      </c>
      <c r="B126" s="15" t="s">
        <v>286</v>
      </c>
      <c r="D126" t="s">
        <v>287</v>
      </c>
      <c r="E126" s="5" t="s">
        <v>288</v>
      </c>
      <c r="F126" s="2">
        <v>0</v>
      </c>
      <c r="G126" s="5" t="s">
        <v>240</v>
      </c>
      <c r="H126" s="39">
        <v>46298</v>
      </c>
      <c r="I126" s="6">
        <v>20</v>
      </c>
      <c r="J126" s="39">
        <f>$H126+$I126</f>
        <v>46318</v>
      </c>
      <c r="L126" s="5">
        <f ca="1">IF(NOT(ISBLANK($K126)),$K126-$H126,TODAY()-$H126)</f>
        <v>11</v>
      </c>
      <c r="M126" s="43">
        <f ca="1">L126-I126</f>
        <v>-9</v>
      </c>
      <c r="N126" s="6" t="str" cm="1">
        <f t="array" ref="N126">_xlfn.IFS(
AND(NOT(ISBLANK(H126)),ISBLANK(K126)),"SUR",
AND(NOT(ISBLANK(H126)),NOT(ISBLANK(K126)),$P126="YES"),"RTR",
AND(NOT(ISBLANK(H126)),NOT(ISBLANK(K126)),$P126="NO"),"NTS",
TRUE,"TO Check"
)</f>
        <v>SUR</v>
      </c>
    </row>
    <row r="127" spans="1:16" ht="15">
      <c r="A127" s="2">
        <v>31</v>
      </c>
      <c r="B127" s="15" t="s">
        <v>289</v>
      </c>
      <c r="D127" t="s">
        <v>290</v>
      </c>
      <c r="E127" s="5" t="s">
        <v>291</v>
      </c>
      <c r="F127" s="2">
        <v>0</v>
      </c>
      <c r="G127" s="5" t="s">
        <v>240</v>
      </c>
      <c r="H127" s="39">
        <v>46298</v>
      </c>
      <c r="I127" s="6">
        <v>20</v>
      </c>
      <c r="J127" s="39">
        <f>$H127+$I127</f>
        <v>46318</v>
      </c>
      <c r="L127" s="5">
        <f ca="1">IF(NOT(ISBLANK($K127)),$K127-$H127,TODAY()-$H127)</f>
        <v>11</v>
      </c>
      <c r="M127" s="43">
        <f ca="1">L127-I127</f>
        <v>-9</v>
      </c>
      <c r="N127" s="6" t="str" cm="1">
        <f t="array" ref="N127">_xlfn.IFS(
AND(NOT(ISBLANK(H127)),ISBLANK(K127)),"SUR",
AND(NOT(ISBLANK(H127)),NOT(ISBLANK(K127)),$P127="YES"),"RTR",
AND(NOT(ISBLANK(H127)),NOT(ISBLANK(K127)),$P127="NO"),"NTS",
TRUE,"TO Check"
)</f>
        <v>SUR</v>
      </c>
    </row>
    <row r="128" spans="1:16" ht="15">
      <c r="A128" s="2">
        <v>32</v>
      </c>
      <c r="B128" s="15" t="s">
        <v>292</v>
      </c>
      <c r="D128" t="s">
        <v>293</v>
      </c>
      <c r="E128" s="5" t="s">
        <v>294</v>
      </c>
      <c r="F128" s="2">
        <v>0</v>
      </c>
      <c r="G128" s="5" t="s">
        <v>240</v>
      </c>
      <c r="H128" s="39">
        <v>46298</v>
      </c>
      <c r="I128" s="6">
        <v>20</v>
      </c>
      <c r="J128" s="39">
        <f>$H128+$I128</f>
        <v>46318</v>
      </c>
      <c r="L128" s="5">
        <f ca="1">IF(NOT(ISBLANK($K128)),$K128-$H128,TODAY()-$H128)</f>
        <v>11</v>
      </c>
      <c r="M128" s="43">
        <f ca="1">L128-I128</f>
        <v>-9</v>
      </c>
      <c r="N128" s="6" t="str" cm="1">
        <f t="array" ref="N128">_xlfn.IFS(
AND(NOT(ISBLANK(H128)),ISBLANK(K128)),"SUR",
AND(NOT(ISBLANK(H128)),NOT(ISBLANK(K128)),$P128="YES"),"RTR",
AND(NOT(ISBLANK(H128)),NOT(ISBLANK(K128)),$P128="NO"),"NTS",
TRUE,"TO Check"
)</f>
        <v>SUR</v>
      </c>
    </row>
    <row r="129" spans="1:16" ht="15">
      <c r="A129" s="2">
        <v>33</v>
      </c>
      <c r="B129" s="15" t="s">
        <v>295</v>
      </c>
      <c r="D129" t="s">
        <v>296</v>
      </c>
      <c r="E129" s="5" t="s">
        <v>297</v>
      </c>
      <c r="F129" s="2">
        <v>0</v>
      </c>
      <c r="G129" s="5" t="s">
        <v>240</v>
      </c>
      <c r="H129" s="39">
        <v>46300</v>
      </c>
      <c r="I129" s="6">
        <v>20</v>
      </c>
      <c r="J129" s="39">
        <f>$H129+$I129</f>
        <v>46320</v>
      </c>
      <c r="L129" s="5">
        <f ca="1">IF(NOT(ISBLANK($K129)),$K129-$H129,TODAY()-$H129)</f>
        <v>9</v>
      </c>
      <c r="M129" s="43">
        <f ca="1">L129-I129</f>
        <v>-11</v>
      </c>
      <c r="N129" s="6" t="str" cm="1">
        <f t="array" ref="N129">_xlfn.IFS(
AND(NOT(ISBLANK(H129)),ISBLANK(K129)),"SUR",
AND(NOT(ISBLANK(H129)),NOT(ISBLANK(K129)),$P129="YES"),"RTR",
AND(NOT(ISBLANK(H129)),NOT(ISBLANK(K129)),$P129="NO"),"NTS",
TRUE,"TO Check"
)</f>
        <v>SUR</v>
      </c>
    </row>
    <row r="130" spans="1:16" ht="15">
      <c r="A130" s="2">
        <v>34</v>
      </c>
      <c r="B130" s="15" t="s">
        <v>298</v>
      </c>
      <c r="D130" t="s">
        <v>299</v>
      </c>
      <c r="E130" s="5" t="s">
        <v>300</v>
      </c>
      <c r="F130" s="2">
        <v>0</v>
      </c>
      <c r="G130" s="5" t="s">
        <v>232</v>
      </c>
      <c r="H130" s="39">
        <v>46259</v>
      </c>
      <c r="I130" s="6">
        <v>20</v>
      </c>
      <c r="J130" s="39">
        <f>$H130+$I130</f>
        <v>46279</v>
      </c>
      <c r="K130" s="39">
        <v>46286</v>
      </c>
      <c r="L130" s="5">
        <f ca="1">IF(NOT(ISBLANK($K130)),$K130-$H130,TODAY()-$H130)</f>
        <v>27</v>
      </c>
      <c r="M130" s="43">
        <f ca="1">L130-I130</f>
        <v>7</v>
      </c>
      <c r="N130" s="6" t="str" cm="1">
        <f t="array" ref="N130">_xlfn.IFS(
AND(NOT(ISBLANK(H130)),ISBLANK(K130)),"SUR",
AND(NOT(ISBLANK(H130)),NOT(ISBLANK(K130)),$P130="YES"),"RTR",
AND(NOT(ISBLANK(H130)),NOT(ISBLANK(K130)),$P130="NO"),"NTS",
TRUE,"TO Check"
)</f>
        <v>RTR</v>
      </c>
      <c r="O130" s="2" t="s">
        <v>43</v>
      </c>
      <c r="P130" s="5" t="s">
        <v>44</v>
      </c>
    </row>
    <row r="131" spans="1:16" ht="15">
      <c r="A131" s="2">
        <v>35</v>
      </c>
      <c r="B131" s="15" t="s">
        <v>298</v>
      </c>
      <c r="D131" t="s">
        <v>301</v>
      </c>
      <c r="E131" s="5" t="s">
        <v>302</v>
      </c>
      <c r="F131" s="2">
        <v>0</v>
      </c>
      <c r="G131" s="5" t="s">
        <v>232</v>
      </c>
      <c r="H131" s="39">
        <v>46259</v>
      </c>
      <c r="I131" s="6">
        <v>20</v>
      </c>
      <c r="J131" s="39">
        <f>$H131+$I131</f>
        <v>46279</v>
      </c>
      <c r="K131" s="39">
        <v>46286</v>
      </c>
      <c r="L131" s="5">
        <f ca="1">IF(NOT(ISBLANK($K131)),$K131-$H131,TODAY()-$H131)</f>
        <v>27</v>
      </c>
      <c r="M131" s="43">
        <f ca="1">L131-I131</f>
        <v>7</v>
      </c>
      <c r="N131" s="6" t="str" cm="1">
        <f t="array" ref="N131">_xlfn.IFS(
AND(NOT(ISBLANK(H131)),ISBLANK(K131)),"SUR",
AND(NOT(ISBLANK(H131)),NOT(ISBLANK(K131)),$P131="YES"),"RTR",
AND(NOT(ISBLANK(H131)),NOT(ISBLANK(K131)),$P131="NO"),"NTS",
TRUE,"TO Check"
)</f>
        <v>RTR</v>
      </c>
      <c r="O131" s="2" t="s">
        <v>43</v>
      </c>
      <c r="P131" s="5" t="s">
        <v>44</v>
      </c>
    </row>
    <row r="132" spans="1:16" ht="15">
      <c r="A132" s="2">
        <v>36</v>
      </c>
      <c r="B132" s="15" t="s">
        <v>303</v>
      </c>
      <c r="D132" t="s">
        <v>304</v>
      </c>
      <c r="E132" s="5" t="s">
        <v>305</v>
      </c>
      <c r="F132" s="2">
        <v>0</v>
      </c>
      <c r="G132" s="5" t="s">
        <v>306</v>
      </c>
      <c r="H132" s="39">
        <v>46155</v>
      </c>
      <c r="I132" s="6">
        <v>20</v>
      </c>
      <c r="J132" s="39">
        <f>$H132+$I132</f>
        <v>46175</v>
      </c>
      <c r="K132" s="39">
        <v>46176</v>
      </c>
      <c r="L132" s="5">
        <f ca="1">IF(NOT(ISBLANK($K132)),$K132-$H132,TODAY()-$H132)</f>
        <v>21</v>
      </c>
      <c r="M132" s="43">
        <f ca="1">L132-I132</f>
        <v>1</v>
      </c>
      <c r="N132" s="6" t="str" cm="1">
        <f t="array" ref="N132">_xlfn.IFS(
AND(NOT(ISBLANK(H132)),ISBLANK(K132)),"SUR",
AND(NOT(ISBLANK(H132)),NOT(ISBLANK(K132)),$P132="YES"),"RTR",
AND(NOT(ISBLANK(H132)),NOT(ISBLANK(K132)),$P132="NO"),"NTS",
TRUE,"TO Check"
)</f>
        <v>RTR</v>
      </c>
      <c r="O132" s="2" t="s">
        <v>160</v>
      </c>
      <c r="P132" s="5" t="s">
        <v>44</v>
      </c>
    </row>
    <row r="133" spans="1:16" ht="15">
      <c r="A133" s="2">
        <v>37</v>
      </c>
      <c r="B133" s="15" t="s">
        <v>303</v>
      </c>
      <c r="D133" t="s">
        <v>307</v>
      </c>
      <c r="E133" s="5" t="s">
        <v>308</v>
      </c>
      <c r="F133" s="2">
        <v>0</v>
      </c>
      <c r="G133" s="5" t="s">
        <v>306</v>
      </c>
      <c r="H133" s="39">
        <v>46155</v>
      </c>
      <c r="I133" s="6">
        <v>20</v>
      </c>
      <c r="J133" s="39">
        <f>$H133+$I133</f>
        <v>46175</v>
      </c>
      <c r="K133" s="39">
        <v>46176</v>
      </c>
      <c r="L133" s="5">
        <f ca="1">IF(NOT(ISBLANK($K133)),$K133-$H133,TODAY()-$H133)</f>
        <v>21</v>
      </c>
      <c r="M133" s="43">
        <f ca="1">L133-I133</f>
        <v>1</v>
      </c>
      <c r="N133" s="6" t="str" cm="1">
        <f t="array" ref="N133">_xlfn.IFS(
AND(NOT(ISBLANK(H133)),ISBLANK(K133)),"SUR",
AND(NOT(ISBLANK(H133)),NOT(ISBLANK(K133)),$P133="YES"),"RTR",
AND(NOT(ISBLANK(H133)),NOT(ISBLANK(K133)),$P133="NO"),"NTS",
TRUE,"TO Check"
)</f>
        <v>RTR</v>
      </c>
      <c r="O133" s="2" t="s">
        <v>160</v>
      </c>
      <c r="P133" s="5" t="s">
        <v>44</v>
      </c>
    </row>
    <row r="134" spans="1:16" ht="15">
      <c r="A134" s="2">
        <v>38</v>
      </c>
      <c r="B134" s="15" t="s">
        <v>309</v>
      </c>
      <c r="D134" t="s">
        <v>310</v>
      </c>
      <c r="E134" s="5" t="s">
        <v>311</v>
      </c>
      <c r="F134" s="2">
        <v>0</v>
      </c>
      <c r="G134" s="5" t="s">
        <v>240</v>
      </c>
      <c r="H134" s="39">
        <v>46246</v>
      </c>
      <c r="I134" s="6">
        <v>20</v>
      </c>
      <c r="J134" s="39">
        <f>$H134+$I134</f>
        <v>46266</v>
      </c>
      <c r="L134" s="5">
        <f ca="1">IF(NOT(ISBLANK($K134)),$K134-$H134,TODAY()-$H134)</f>
        <v>63</v>
      </c>
      <c r="M134" s="43">
        <f ca="1">L134-I134</f>
        <v>43</v>
      </c>
      <c r="N134" s="6" t="str" cm="1">
        <f t="array" ref="N134">_xlfn.IFS(
AND(NOT(ISBLANK(H134)),ISBLANK(K134)),"SUR",
AND(NOT(ISBLANK(H134)),NOT(ISBLANK(K134)),$P134="YES"),"RTR",
AND(NOT(ISBLANK(H134)),NOT(ISBLANK(K134)),$P134="NO"),"NTS",
TRUE,"TO Check"
)</f>
        <v>SUR</v>
      </c>
    </row>
    <row r="135" spans="1:16" ht="15">
      <c r="A135" s="2">
        <v>39</v>
      </c>
      <c r="B135" s="15" t="s">
        <v>309</v>
      </c>
      <c r="D135" t="s">
        <v>312</v>
      </c>
      <c r="E135" s="5" t="s">
        <v>313</v>
      </c>
      <c r="F135" s="2">
        <v>0</v>
      </c>
      <c r="G135" s="5" t="s">
        <v>240</v>
      </c>
      <c r="H135" s="39">
        <v>46246</v>
      </c>
      <c r="I135" s="6">
        <v>20</v>
      </c>
      <c r="J135" s="39">
        <f>$H135+$I135</f>
        <v>46266</v>
      </c>
      <c r="L135" s="5">
        <f ca="1">IF(NOT(ISBLANK($K135)),$K135-$H135,TODAY()-$H135)</f>
        <v>63</v>
      </c>
      <c r="M135" s="43">
        <f ca="1">L135-I135</f>
        <v>43</v>
      </c>
      <c r="N135" s="6" t="str" cm="1">
        <f t="array" ref="N135">_xlfn.IFS(
AND(NOT(ISBLANK(H135)),ISBLANK(K135)),"SUR",
AND(NOT(ISBLANK(H135)),NOT(ISBLANK(K135)),$P135="YES"),"RTR",
AND(NOT(ISBLANK(H135)),NOT(ISBLANK(K135)),$P135="NO"),"NTS",
TRUE,"TO Check"
)</f>
        <v>SUR</v>
      </c>
    </row>
    <row r="136" spans="1:16" ht="15">
      <c r="A136" s="2">
        <v>40</v>
      </c>
      <c r="B136" s="15" t="s">
        <v>309</v>
      </c>
      <c r="D136" t="s">
        <v>314</v>
      </c>
      <c r="E136" s="5" t="s">
        <v>315</v>
      </c>
      <c r="F136" s="2">
        <v>0</v>
      </c>
      <c r="G136" s="5" t="s">
        <v>240</v>
      </c>
      <c r="H136" s="39">
        <v>46246</v>
      </c>
      <c r="I136" s="6">
        <v>20</v>
      </c>
      <c r="J136" s="39">
        <f>$H136+$I136</f>
        <v>46266</v>
      </c>
      <c r="L136" s="5">
        <f ca="1">IF(NOT(ISBLANK($K136)),$K136-$H136,TODAY()-$H136)</f>
        <v>63</v>
      </c>
      <c r="M136" s="43">
        <f ca="1">L136-I136</f>
        <v>43</v>
      </c>
      <c r="N136" s="6" t="str" cm="1">
        <f t="array" ref="N136">_xlfn.IFS(
AND(NOT(ISBLANK(H136)),ISBLANK(K136)),"SUR",
AND(NOT(ISBLANK(H136)),NOT(ISBLANK(K136)),$P136="YES"),"RTR",
AND(NOT(ISBLANK(H136)),NOT(ISBLANK(K136)),$P136="NO"),"NTS",
TRUE,"TO Check"
)</f>
        <v>SUR</v>
      </c>
    </row>
    <row r="137" spans="1:16" ht="15">
      <c r="A137" s="2">
        <v>41</v>
      </c>
      <c r="B137" s="15" t="s">
        <v>309</v>
      </c>
      <c r="D137" t="s">
        <v>316</v>
      </c>
      <c r="E137" s="5" t="s">
        <v>317</v>
      </c>
      <c r="F137" s="2">
        <v>0</v>
      </c>
      <c r="G137" s="5" t="s">
        <v>240</v>
      </c>
      <c r="H137" s="39">
        <v>46246</v>
      </c>
      <c r="I137" s="6">
        <v>20</v>
      </c>
      <c r="J137" s="39">
        <f>$H137+$I137</f>
        <v>46266</v>
      </c>
      <c r="L137" s="5">
        <f ca="1">IF(NOT(ISBLANK($K137)),$K137-$H137,TODAY()-$H137)</f>
        <v>63</v>
      </c>
      <c r="M137" s="43">
        <f ca="1">L137-I137</f>
        <v>43</v>
      </c>
      <c r="N137" s="6" t="str" cm="1">
        <f t="array" ref="N137">_xlfn.IFS(
AND(NOT(ISBLANK(H137)),ISBLANK(K137)),"SUR",
AND(NOT(ISBLANK(H137)),NOT(ISBLANK(K137)),$P137="YES"),"RTR",
AND(NOT(ISBLANK(H137)),NOT(ISBLANK(K137)),$P137="NO"),"NTS",
TRUE,"TO Check"
)</f>
        <v>SUR</v>
      </c>
    </row>
    <row r="138" spans="1:16" ht="15">
      <c r="A138" s="2">
        <v>42</v>
      </c>
      <c r="B138" s="15" t="s">
        <v>309</v>
      </c>
      <c r="D138" t="s">
        <v>318</v>
      </c>
      <c r="E138" s="5" t="s">
        <v>319</v>
      </c>
      <c r="F138" s="2">
        <v>0</v>
      </c>
      <c r="G138" s="5" t="s">
        <v>240</v>
      </c>
      <c r="H138" s="39">
        <v>46246</v>
      </c>
      <c r="I138" s="6">
        <v>20</v>
      </c>
      <c r="J138" s="39">
        <f>$H138+$I138</f>
        <v>46266</v>
      </c>
      <c r="L138" s="5">
        <f ca="1">IF(NOT(ISBLANK($K138)),$K138-$H138,TODAY()-$H138)</f>
        <v>63</v>
      </c>
      <c r="M138" s="43">
        <f ca="1">L138-I138</f>
        <v>43</v>
      </c>
      <c r="N138" s="6" t="str" cm="1">
        <f t="array" ref="N138">_xlfn.IFS(
AND(NOT(ISBLANK(H138)),ISBLANK(K138)),"SUR",
AND(NOT(ISBLANK(H138)),NOT(ISBLANK(K138)),$P138="YES"),"RTR",
AND(NOT(ISBLANK(H138)),NOT(ISBLANK(K138)),$P138="NO"),"NTS",
TRUE,"TO Check"
)</f>
        <v>SUR</v>
      </c>
    </row>
    <row r="139" spans="1:16" ht="15">
      <c r="A139" s="2">
        <v>43</v>
      </c>
      <c r="B139" s="15" t="s">
        <v>309</v>
      </c>
      <c r="D139" t="s">
        <v>320</v>
      </c>
      <c r="E139" s="5" t="s">
        <v>321</v>
      </c>
      <c r="F139" s="2">
        <v>0</v>
      </c>
      <c r="G139" s="5" t="s">
        <v>240</v>
      </c>
      <c r="H139" s="39">
        <v>46246</v>
      </c>
      <c r="I139" s="6">
        <v>20</v>
      </c>
      <c r="J139" s="39">
        <f>$H139+$I139</f>
        <v>46266</v>
      </c>
      <c r="L139" s="5">
        <f ca="1">IF(NOT(ISBLANK($K139)),$K139-$H139,TODAY()-$H139)</f>
        <v>63</v>
      </c>
      <c r="M139" s="43">
        <f ca="1">L139-I139</f>
        <v>43</v>
      </c>
      <c r="N139" s="6" t="str" cm="1">
        <f t="array" ref="N139">_xlfn.IFS(
AND(NOT(ISBLANK(H139)),ISBLANK(K139)),"SUR",
AND(NOT(ISBLANK(H139)),NOT(ISBLANK(K139)),$P139="YES"),"RTR",
AND(NOT(ISBLANK(H139)),NOT(ISBLANK(K139)),$P139="NO"),"NTS",
TRUE,"TO Check"
)</f>
        <v>SUR</v>
      </c>
    </row>
    <row r="140" spans="1:16" ht="15">
      <c r="A140" s="2">
        <v>44</v>
      </c>
      <c r="B140" s="15" t="s">
        <v>309</v>
      </c>
      <c r="D140" t="s">
        <v>322</v>
      </c>
      <c r="E140" s="5" t="s">
        <v>323</v>
      </c>
      <c r="F140" s="2">
        <v>0</v>
      </c>
      <c r="G140" s="5" t="s">
        <v>240</v>
      </c>
      <c r="H140" s="39">
        <v>46246</v>
      </c>
      <c r="I140" s="6">
        <v>20</v>
      </c>
      <c r="J140" s="39">
        <f>$H140+$I140</f>
        <v>46266</v>
      </c>
      <c r="L140" s="5">
        <f ca="1">IF(NOT(ISBLANK($K140)),$K140-$H140,TODAY()-$H140)</f>
        <v>63</v>
      </c>
      <c r="M140" s="43">
        <f ca="1">L140-I140</f>
        <v>43</v>
      </c>
      <c r="N140" s="6" t="str" cm="1">
        <f t="array" ref="N140">_xlfn.IFS(
AND(NOT(ISBLANK(H140)),ISBLANK(K140)),"SUR",
AND(NOT(ISBLANK(H140)),NOT(ISBLANK(K140)),$P140="YES"),"RTR",
AND(NOT(ISBLANK(H140)),NOT(ISBLANK(K140)),$P140="NO"),"NTS",
TRUE,"TO Check"
)</f>
        <v>SUR</v>
      </c>
    </row>
    <row r="141" spans="1:16" ht="15">
      <c r="A141" s="2">
        <v>45</v>
      </c>
      <c r="B141" s="15" t="s">
        <v>309</v>
      </c>
      <c r="D141" t="s">
        <v>324</v>
      </c>
      <c r="E141" s="5" t="s">
        <v>325</v>
      </c>
      <c r="F141" s="2">
        <v>0</v>
      </c>
      <c r="G141" s="5" t="s">
        <v>240</v>
      </c>
      <c r="H141" s="39">
        <v>46246</v>
      </c>
      <c r="I141" s="6">
        <v>20</v>
      </c>
      <c r="J141" s="39">
        <f>$H141+$I141</f>
        <v>46266</v>
      </c>
      <c r="L141" s="5">
        <f ca="1">IF(NOT(ISBLANK($K141)),$K141-$H141,TODAY()-$H141)</f>
        <v>63</v>
      </c>
      <c r="M141" s="43">
        <f ca="1">L141-I141</f>
        <v>43</v>
      </c>
      <c r="N141" s="6" t="str" cm="1">
        <f t="array" ref="N141">_xlfn.IFS(
AND(NOT(ISBLANK(H141)),ISBLANK(K141)),"SUR",
AND(NOT(ISBLANK(H141)),NOT(ISBLANK(K141)),$P141="YES"),"RTR",
AND(NOT(ISBLANK(H141)),NOT(ISBLANK(K141)),$P141="NO"),"NTS",
TRUE,"TO Check"
)</f>
        <v>SUR</v>
      </c>
    </row>
    <row r="142" spans="1:16" ht="15">
      <c r="A142" s="2">
        <v>46</v>
      </c>
      <c r="B142" s="15" t="s">
        <v>309</v>
      </c>
      <c r="D142" t="s">
        <v>326</v>
      </c>
      <c r="E142" s="5" t="s">
        <v>327</v>
      </c>
      <c r="F142" s="2">
        <v>0</v>
      </c>
      <c r="G142" s="5" t="s">
        <v>240</v>
      </c>
      <c r="H142" s="39">
        <v>46246</v>
      </c>
      <c r="I142" s="6">
        <v>20</v>
      </c>
      <c r="J142" s="39">
        <f>$H142+$I142</f>
        <v>46266</v>
      </c>
      <c r="L142" s="5">
        <f ca="1">IF(NOT(ISBLANK($K142)),$K142-$H142,TODAY()-$H142)</f>
        <v>63</v>
      </c>
      <c r="M142" s="43">
        <f ca="1">L142-I142</f>
        <v>43</v>
      </c>
      <c r="N142" s="6" t="str" cm="1">
        <f t="array" ref="N142">_xlfn.IFS(
AND(NOT(ISBLANK(H142)),ISBLANK(K142)),"SUR",
AND(NOT(ISBLANK(H142)),NOT(ISBLANK(K142)),$P142="YES"),"RTR",
AND(NOT(ISBLANK(H142)),NOT(ISBLANK(K142)),$P142="NO"),"NTS",
TRUE,"TO Check"
)</f>
        <v>SUR</v>
      </c>
    </row>
    <row r="143" spans="1:16" ht="15">
      <c r="A143" s="2">
        <v>47</v>
      </c>
      <c r="B143" s="15" t="s">
        <v>309</v>
      </c>
      <c r="D143" t="s">
        <v>328</v>
      </c>
      <c r="E143" s="5" t="s">
        <v>329</v>
      </c>
      <c r="F143" s="2">
        <v>0</v>
      </c>
      <c r="G143" s="5" t="s">
        <v>240</v>
      </c>
      <c r="H143" s="39">
        <v>46246</v>
      </c>
      <c r="I143" s="6">
        <v>20</v>
      </c>
      <c r="J143" s="39">
        <f>$H143+$I143</f>
        <v>46266</v>
      </c>
      <c r="L143" s="5">
        <f ca="1">IF(NOT(ISBLANK($K143)),$K143-$H143,TODAY()-$H143)</f>
        <v>63</v>
      </c>
      <c r="M143" s="43">
        <f ca="1">L143-I143</f>
        <v>43</v>
      </c>
      <c r="N143" s="6" t="str" cm="1">
        <f t="array" ref="N143">_xlfn.IFS(
AND(NOT(ISBLANK(H143)),ISBLANK(K143)),"SUR",
AND(NOT(ISBLANK(H143)),NOT(ISBLANK(K143)),$P143="YES"),"RTR",
AND(NOT(ISBLANK(H143)),NOT(ISBLANK(K143)),$P143="NO"),"NTS",
TRUE,"TO Check"
)</f>
        <v>SUR</v>
      </c>
    </row>
    <row r="144" spans="1:16" ht="15">
      <c r="A144" s="2">
        <v>48</v>
      </c>
      <c r="B144" s="15" t="s">
        <v>309</v>
      </c>
      <c r="D144" t="s">
        <v>330</v>
      </c>
      <c r="E144" s="5" t="s">
        <v>331</v>
      </c>
      <c r="F144" s="2">
        <v>0</v>
      </c>
      <c r="G144" s="5" t="s">
        <v>240</v>
      </c>
      <c r="H144" s="39">
        <v>46246</v>
      </c>
      <c r="I144" s="6">
        <v>20</v>
      </c>
      <c r="J144" s="39">
        <f>$H144+$I144</f>
        <v>46266</v>
      </c>
      <c r="L144" s="5">
        <f ca="1">IF(NOT(ISBLANK($K144)),$K144-$H144,TODAY()-$H144)</f>
        <v>63</v>
      </c>
      <c r="M144" s="43">
        <f ca="1">L144-I144</f>
        <v>43</v>
      </c>
      <c r="N144" s="6" t="str" cm="1">
        <f t="array" ref="N144">_xlfn.IFS(
AND(NOT(ISBLANK(H144)),ISBLANK(K144)),"SUR",
AND(NOT(ISBLANK(H144)),NOT(ISBLANK(K144)),$P144="YES"),"RTR",
AND(NOT(ISBLANK(H144)),NOT(ISBLANK(K144)),$P144="NO"),"NTS",
TRUE,"TO Check"
)</f>
        <v>SUR</v>
      </c>
    </row>
    <row r="145" spans="1:16" ht="15">
      <c r="A145" s="2">
        <v>49</v>
      </c>
      <c r="B145" s="15" t="s">
        <v>309</v>
      </c>
      <c r="D145" t="s">
        <v>332</v>
      </c>
      <c r="E145" s="5" t="s">
        <v>333</v>
      </c>
      <c r="F145" s="2">
        <v>0</v>
      </c>
      <c r="G145" s="5" t="s">
        <v>240</v>
      </c>
      <c r="H145" s="39">
        <v>46246</v>
      </c>
      <c r="I145" s="6">
        <v>20</v>
      </c>
      <c r="J145" s="39">
        <f>$H145+$I145</f>
        <v>46266</v>
      </c>
      <c r="L145" s="5">
        <f ca="1">IF(NOT(ISBLANK($K145)),$K145-$H145,TODAY()-$H145)</f>
        <v>63</v>
      </c>
      <c r="M145" s="43">
        <f ca="1">L145-I145</f>
        <v>43</v>
      </c>
      <c r="N145" s="6" t="str" cm="1">
        <f t="array" ref="N145">_xlfn.IFS(
AND(NOT(ISBLANK(H145)),ISBLANK(K145)),"SUR",
AND(NOT(ISBLANK(H145)),NOT(ISBLANK(K145)),$P145="YES"),"RTR",
AND(NOT(ISBLANK(H145)),NOT(ISBLANK(K145)),$P145="NO"),"NTS",
TRUE,"TO Check"
)</f>
        <v>SUR</v>
      </c>
    </row>
    <row r="146" spans="1:16" ht="15">
      <c r="A146" s="2">
        <v>50</v>
      </c>
      <c r="B146" s="15" t="s">
        <v>309</v>
      </c>
      <c r="D146" t="s">
        <v>334</v>
      </c>
      <c r="E146" s="5" t="s">
        <v>335</v>
      </c>
      <c r="F146" s="2">
        <v>0</v>
      </c>
      <c r="G146" s="5" t="s">
        <v>240</v>
      </c>
      <c r="H146" s="39">
        <v>46246</v>
      </c>
      <c r="I146" s="6">
        <v>20</v>
      </c>
      <c r="J146" s="39">
        <f>$H146+$I146</f>
        <v>46266</v>
      </c>
      <c r="L146" s="5">
        <f ca="1">IF(NOT(ISBLANK($K146)),$K146-$H146,TODAY()-$H146)</f>
        <v>63</v>
      </c>
      <c r="M146" s="43">
        <f ca="1">L146-I146</f>
        <v>43</v>
      </c>
      <c r="N146" s="6" t="str" cm="1">
        <f t="array" ref="N146">_xlfn.IFS(
AND(NOT(ISBLANK(H146)),ISBLANK(K146)),"SUR",
AND(NOT(ISBLANK(H146)),NOT(ISBLANK(K146)),$P146="YES"),"RTR",
AND(NOT(ISBLANK(H146)),NOT(ISBLANK(K146)),$P146="NO"),"NTS",
TRUE,"TO Check"
)</f>
        <v>SUR</v>
      </c>
    </row>
    <row r="147" spans="1:16" ht="15">
      <c r="A147" s="2">
        <v>51</v>
      </c>
      <c r="B147" s="15" t="s">
        <v>309</v>
      </c>
      <c r="D147" t="s">
        <v>336</v>
      </c>
      <c r="E147" s="5" t="s">
        <v>337</v>
      </c>
      <c r="F147" s="2">
        <v>0</v>
      </c>
      <c r="G147" s="5" t="s">
        <v>240</v>
      </c>
      <c r="H147" s="39">
        <v>46246</v>
      </c>
      <c r="I147" s="6">
        <v>20</v>
      </c>
      <c r="J147" s="39">
        <f>$H147+$I147</f>
        <v>46266</v>
      </c>
      <c r="L147" s="5">
        <f ca="1">IF(NOT(ISBLANK($K147)),$K147-$H147,TODAY()-$H147)</f>
        <v>63</v>
      </c>
      <c r="M147" s="43">
        <f ca="1">L147-I147</f>
        <v>43</v>
      </c>
      <c r="N147" s="6" t="str" cm="1">
        <f t="array" ref="N147">_xlfn.IFS(
AND(NOT(ISBLANK(H147)),ISBLANK(K147)),"SUR",
AND(NOT(ISBLANK(H147)),NOT(ISBLANK(K147)),$P147="YES"),"RTR",
AND(NOT(ISBLANK(H147)),NOT(ISBLANK(K147)),$P147="NO"),"NTS",
TRUE,"TO Check"
)</f>
        <v>SUR</v>
      </c>
    </row>
    <row r="148" spans="1:16" ht="15">
      <c r="A148" s="2">
        <v>52</v>
      </c>
      <c r="B148" s="15" t="s">
        <v>309</v>
      </c>
      <c r="D148" t="s">
        <v>338</v>
      </c>
      <c r="E148" s="5" t="s">
        <v>339</v>
      </c>
      <c r="F148" s="2">
        <v>0</v>
      </c>
      <c r="G148" s="5" t="s">
        <v>240</v>
      </c>
      <c r="H148" s="39">
        <v>46246</v>
      </c>
      <c r="I148" s="6">
        <v>20</v>
      </c>
      <c r="J148" s="39">
        <f>$H148+$I148</f>
        <v>46266</v>
      </c>
      <c r="L148" s="5">
        <f ca="1">IF(NOT(ISBLANK($K148)),$K148-$H148,TODAY()-$H148)</f>
        <v>63</v>
      </c>
      <c r="M148" s="43">
        <f ca="1">L148-I148</f>
        <v>43</v>
      </c>
      <c r="N148" s="6" t="str" cm="1">
        <f t="array" ref="N148">_xlfn.IFS(
AND(NOT(ISBLANK(H148)),ISBLANK(K148)),"SUR",
AND(NOT(ISBLANK(H148)),NOT(ISBLANK(K148)),$P148="YES"),"RTR",
AND(NOT(ISBLANK(H148)),NOT(ISBLANK(K148)),$P148="NO"),"NTS",
TRUE,"TO Check"
)</f>
        <v>SUR</v>
      </c>
    </row>
    <row r="149" spans="1:16" ht="15">
      <c r="A149" s="2">
        <v>53</v>
      </c>
      <c r="B149" s="15" t="s">
        <v>340</v>
      </c>
      <c r="D149" t="s">
        <v>341</v>
      </c>
      <c r="E149" s="5" t="s">
        <v>342</v>
      </c>
      <c r="F149" s="2">
        <v>0</v>
      </c>
      <c r="G149" s="5" t="s">
        <v>197</v>
      </c>
      <c r="H149" s="39">
        <v>46265</v>
      </c>
      <c r="I149" s="6">
        <v>20</v>
      </c>
      <c r="J149" s="39">
        <f>$H149+$I149</f>
        <v>46285</v>
      </c>
      <c r="L149" s="5">
        <f ca="1">IF(NOT(ISBLANK($K149)),$K149-$H149,TODAY()-$H149)</f>
        <v>44</v>
      </c>
      <c r="M149" s="43">
        <f ca="1">L149-I149</f>
        <v>24</v>
      </c>
      <c r="N149" s="6" t="str" cm="1">
        <f t="array" ref="N149">_xlfn.IFS(
AND(NOT(ISBLANK(H149)),ISBLANK(K149)),"SUR",
AND(NOT(ISBLANK(H149)),NOT(ISBLANK(K149)),$P149="YES"),"RTR",
AND(NOT(ISBLANK(H149)),NOT(ISBLANK(K149)),$P149="NO"),"NTS",
TRUE,"TO Check"
)</f>
        <v>SUR</v>
      </c>
    </row>
    <row r="150" spans="1:16" ht="15">
      <c r="A150" s="2">
        <v>54</v>
      </c>
      <c r="B150" s="15" t="s">
        <v>343</v>
      </c>
      <c r="D150" t="s">
        <v>344</v>
      </c>
      <c r="E150" s="5" t="s">
        <v>345</v>
      </c>
      <c r="F150" s="2">
        <v>0</v>
      </c>
      <c r="G150" s="5" t="s">
        <v>193</v>
      </c>
      <c r="H150" s="39">
        <v>46155</v>
      </c>
      <c r="I150" s="6">
        <v>20</v>
      </c>
      <c r="J150" s="39">
        <f>$H150+$I150</f>
        <v>46175</v>
      </c>
      <c r="K150" s="39">
        <v>46176</v>
      </c>
      <c r="L150" s="5">
        <f ca="1">IF(NOT(ISBLANK($K150)),$K150-$H150,TODAY()-$H150)</f>
        <v>21</v>
      </c>
      <c r="M150" s="43">
        <f ca="1">L150-I150</f>
        <v>1</v>
      </c>
      <c r="N150" s="6" t="str" cm="1">
        <f t="array" ref="N150">_xlfn.IFS(
AND(NOT(ISBLANK(H150)),ISBLANK(K150)),"SUR",
AND(NOT(ISBLANK(H150)),NOT(ISBLANK(K150)),$P150="YES"),"RTR",
AND(NOT(ISBLANK(H150)),NOT(ISBLANK(K150)),$P150="NO"),"NTS",
TRUE,"TO Check"
)</f>
        <v>RTR</v>
      </c>
      <c r="O150" s="2" t="s">
        <v>43</v>
      </c>
      <c r="P150" s="5" t="s">
        <v>44</v>
      </c>
    </row>
    <row r="151" spans="1:16" ht="15">
      <c r="A151" s="2">
        <v>55</v>
      </c>
      <c r="B151" s="15" t="s">
        <v>346</v>
      </c>
      <c r="D151" t="s">
        <v>347</v>
      </c>
      <c r="E151" s="5" t="s">
        <v>348</v>
      </c>
      <c r="F151" s="2">
        <v>0</v>
      </c>
      <c r="G151" s="5" t="s">
        <v>193</v>
      </c>
      <c r="H151" s="39">
        <v>46160</v>
      </c>
      <c r="I151" s="6">
        <v>20</v>
      </c>
      <c r="J151" s="39">
        <f>$H151+$I151</f>
        <v>46180</v>
      </c>
      <c r="K151" s="39">
        <v>46176</v>
      </c>
      <c r="L151" s="5">
        <f ca="1">IF(NOT(ISBLANK($K151)),$K151-$H151,TODAY()-$H151)</f>
        <v>16</v>
      </c>
      <c r="M151" s="43">
        <f ca="1">L151-I151</f>
        <v>-4</v>
      </c>
      <c r="N151" s="6" t="str" cm="1">
        <f t="array" ref="N151">_xlfn.IFS(
AND(NOT(ISBLANK(H151)),ISBLANK(K151)),"SUR",
AND(NOT(ISBLANK(H151)),NOT(ISBLANK(K151)),$P151="YES"),"RTR",
AND(NOT(ISBLANK(H151)),NOT(ISBLANK(K151)),$P151="NO"),"NTS",
TRUE,"TO Check"
)</f>
        <v>RTR</v>
      </c>
      <c r="O151" s="2" t="s">
        <v>43</v>
      </c>
      <c r="P151" s="5" t="s">
        <v>44</v>
      </c>
    </row>
    <row r="152" spans="1:16" ht="15">
      <c r="A152" s="2">
        <v>56</v>
      </c>
      <c r="B152" s="15" t="s">
        <v>349</v>
      </c>
      <c r="D152" t="s">
        <v>350</v>
      </c>
      <c r="E152" s="5" t="s">
        <v>351</v>
      </c>
      <c r="F152" s="2">
        <v>0</v>
      </c>
      <c r="G152" s="5" t="s">
        <v>193</v>
      </c>
      <c r="H152" s="39">
        <v>46170</v>
      </c>
      <c r="I152" s="6">
        <v>20</v>
      </c>
      <c r="J152" s="39">
        <f>$H152+$I152</f>
        <v>46190</v>
      </c>
      <c r="K152" s="39">
        <v>46202</v>
      </c>
      <c r="L152" s="5">
        <f ca="1">IF(NOT(ISBLANK($K152)),$K152-$H152,TODAY()-$H152)</f>
        <v>32</v>
      </c>
      <c r="M152" s="43">
        <f ca="1">L152-I152</f>
        <v>12</v>
      </c>
      <c r="N152" s="6" t="str" cm="1">
        <f t="array" ref="N152">_xlfn.IFS(
AND(NOT(ISBLANK(H152)),ISBLANK(K152)),"SUR",
AND(NOT(ISBLANK(H152)),NOT(ISBLANK(K152)),$P152="YES"),"RTR",
AND(NOT(ISBLANK(H152)),NOT(ISBLANK(K152)),$P152="NO"),"NTS",
TRUE,"TO Check"
)</f>
        <v>RTR</v>
      </c>
      <c r="O152" s="2" t="s">
        <v>241</v>
      </c>
      <c r="P152" s="5" t="s">
        <v>44</v>
      </c>
    </row>
    <row r="153" spans="1:16" ht="15">
      <c r="A153" s="2">
        <v>57</v>
      </c>
      <c r="B153" s="15" t="s">
        <v>352</v>
      </c>
      <c r="D153" t="s">
        <v>353</v>
      </c>
      <c r="E153" s="5" t="s">
        <v>354</v>
      </c>
      <c r="F153" s="2">
        <v>0</v>
      </c>
      <c r="G153" s="5" t="s">
        <v>193</v>
      </c>
      <c r="H153" s="39">
        <v>46288</v>
      </c>
      <c r="I153" s="6">
        <v>20</v>
      </c>
      <c r="J153" s="39">
        <f>$H153+$I153</f>
        <v>46308</v>
      </c>
      <c r="L153" s="5">
        <f ca="1">IF(NOT(ISBLANK($K153)),$K153-$H153,TODAY()-$H153)</f>
        <v>21</v>
      </c>
      <c r="M153" s="43">
        <f ca="1">L153-I153</f>
        <v>1</v>
      </c>
      <c r="N153" s="6" t="str" cm="1">
        <f t="array" ref="N153">_xlfn.IFS(
AND(NOT(ISBLANK(H153)),ISBLANK(K153)),"SUR",
AND(NOT(ISBLANK(H153)),NOT(ISBLANK(K153)),$P153="YES"),"RTR",
AND(NOT(ISBLANK(H153)),NOT(ISBLANK(K153)),$P153="NO"),"NTS",
TRUE,"TO Check"
)</f>
        <v>SUR</v>
      </c>
    </row>
    <row r="154" spans="1:16" ht="15">
      <c r="A154" s="2">
        <v>58</v>
      </c>
      <c r="B154" s="15" t="s">
        <v>355</v>
      </c>
      <c r="D154" t="s">
        <v>356</v>
      </c>
      <c r="E154" s="5" t="s">
        <v>357</v>
      </c>
      <c r="F154" s="2">
        <v>0</v>
      </c>
      <c r="G154" s="5" t="s">
        <v>197</v>
      </c>
      <c r="H154" s="39">
        <v>46280</v>
      </c>
      <c r="I154" s="6">
        <v>20</v>
      </c>
      <c r="J154" s="39">
        <f>$H154+$I154</f>
        <v>46300</v>
      </c>
      <c r="L154" s="5">
        <f ca="1">IF(NOT(ISBLANK($K154)),$K154-$H154,TODAY()-$H154)</f>
        <v>29</v>
      </c>
      <c r="M154" s="43">
        <f ca="1">L154-I154</f>
        <v>9</v>
      </c>
      <c r="N154" s="6" t="str" cm="1">
        <f t="array" ref="N154">_xlfn.IFS(
AND(NOT(ISBLANK(H154)),ISBLANK(K154)),"SUR",
AND(NOT(ISBLANK(H154)),NOT(ISBLANK(K154)),$P154="YES"),"RTR",
AND(NOT(ISBLANK(H154)),NOT(ISBLANK(K154)),$P154="NO"),"NTS",
TRUE,"TO Check"
)</f>
        <v>SUR</v>
      </c>
    </row>
    <row r="155" spans="1:16" ht="15">
      <c r="A155" s="2">
        <v>59</v>
      </c>
      <c r="B155" s="15" t="s">
        <v>358</v>
      </c>
      <c r="D155" t="s">
        <v>359</v>
      </c>
      <c r="E155" s="5" t="s">
        <v>360</v>
      </c>
      <c r="F155" s="2">
        <v>0</v>
      </c>
      <c r="G155" s="5" t="s">
        <v>197</v>
      </c>
      <c r="H155" s="39">
        <v>46280</v>
      </c>
      <c r="I155" s="6">
        <v>20</v>
      </c>
      <c r="J155" s="39">
        <f>$H155+$I155</f>
        <v>46300</v>
      </c>
      <c r="L155" s="5">
        <f ca="1">IF(NOT(ISBLANK($K155)),$K155-$H155,TODAY()-$H155)</f>
        <v>29</v>
      </c>
      <c r="M155" s="43">
        <f ca="1">L155-I155</f>
        <v>9</v>
      </c>
      <c r="N155" s="6" t="str" cm="1">
        <f t="array" ref="N155">_xlfn.IFS(
AND(NOT(ISBLANK(H155)),ISBLANK(K155)),"SUR",
AND(NOT(ISBLANK(H155)),NOT(ISBLANK(K155)),$P155="YES"),"RTR",
AND(NOT(ISBLANK(H155)),NOT(ISBLANK(K155)),$P155="NO"),"NTS",
TRUE,"TO Check"
)</f>
        <v>SUR</v>
      </c>
    </row>
    <row r="156" spans="1:16" ht="15">
      <c r="A156" s="2">
        <v>60</v>
      </c>
      <c r="B156" s="15" t="s">
        <v>361</v>
      </c>
      <c r="D156" t="s">
        <v>362</v>
      </c>
      <c r="E156" s="5" t="s">
        <v>363</v>
      </c>
      <c r="F156" s="2">
        <v>0</v>
      </c>
      <c r="G156" s="5" t="s">
        <v>197</v>
      </c>
      <c r="H156" s="39">
        <v>46280</v>
      </c>
      <c r="I156" s="6">
        <v>20</v>
      </c>
      <c r="J156" s="39">
        <f>$H156+$I156</f>
        <v>46300</v>
      </c>
      <c r="L156" s="5">
        <f ca="1">IF(NOT(ISBLANK($K156)),$K156-$H156,TODAY()-$H156)</f>
        <v>29</v>
      </c>
      <c r="M156" s="43">
        <f ca="1">L156-I156</f>
        <v>9</v>
      </c>
      <c r="N156" s="6" t="str" cm="1">
        <f t="array" ref="N156">_xlfn.IFS(
AND(NOT(ISBLANK(H156)),ISBLANK(K156)),"SUR",
AND(NOT(ISBLANK(H156)),NOT(ISBLANK(K156)),$P156="YES"),"RTR",
AND(NOT(ISBLANK(H156)),NOT(ISBLANK(K156)),$P156="NO"),"NTS",
TRUE,"TO Check"
)</f>
        <v>SUR</v>
      </c>
    </row>
    <row r="157" spans="1:16" ht="15">
      <c r="A157" s="2">
        <v>61</v>
      </c>
      <c r="B157" s="15" t="s">
        <v>364</v>
      </c>
      <c r="D157" t="s">
        <v>365</v>
      </c>
      <c r="E157" s="5" t="s">
        <v>357</v>
      </c>
      <c r="F157" s="2">
        <v>0</v>
      </c>
      <c r="G157" s="5" t="s">
        <v>366</v>
      </c>
      <c r="H157" s="39">
        <v>46199</v>
      </c>
      <c r="I157" s="6">
        <v>20</v>
      </c>
      <c r="J157" s="39">
        <f>$H157+$I157</f>
        <v>46219</v>
      </c>
      <c r="K157" s="39">
        <v>46230</v>
      </c>
      <c r="L157" s="5">
        <f ca="1">IF(NOT(ISBLANK($K157)),$K157-$H157,TODAY()-$H157)</f>
        <v>31</v>
      </c>
      <c r="M157" s="43">
        <f ca="1">L157-I157</f>
        <v>11</v>
      </c>
      <c r="N157" s="6" t="str" cm="1">
        <f t="array" ref="N157">_xlfn.IFS(
AND(NOT(ISBLANK(H157)),ISBLANK(K157)),"SUR",
AND(NOT(ISBLANK(H157)),NOT(ISBLANK(K157)),$P157="YES"),"RTR",
AND(NOT(ISBLANK(H157)),NOT(ISBLANK(K157)),$P157="NO"),"NTS",
TRUE,"TO Check"
)</f>
        <v>RTR</v>
      </c>
      <c r="O157" s="2" t="s">
        <v>43</v>
      </c>
      <c r="P157" s="5" t="s">
        <v>44</v>
      </c>
    </row>
    <row r="158" spans="1:16" ht="15">
      <c r="A158" s="2">
        <v>62</v>
      </c>
      <c r="B158" s="15" t="s">
        <v>367</v>
      </c>
      <c r="D158" t="s">
        <v>368</v>
      </c>
      <c r="E158" s="5" t="s">
        <v>360</v>
      </c>
      <c r="F158" s="2">
        <v>0</v>
      </c>
      <c r="G158" s="5" t="s">
        <v>232</v>
      </c>
      <c r="H158" s="39">
        <v>46240</v>
      </c>
      <c r="I158" s="6">
        <v>20</v>
      </c>
      <c r="J158" s="39">
        <f>$H158+$I158</f>
        <v>46260</v>
      </c>
      <c r="K158" s="39">
        <v>46263</v>
      </c>
      <c r="L158" s="5">
        <f ca="1">IF(NOT(ISBLANK($K158)),$K158-$H158,TODAY()-$H158)</f>
        <v>23</v>
      </c>
      <c r="M158" s="43">
        <f ca="1">L158-I158</f>
        <v>3</v>
      </c>
      <c r="N158" s="6" t="str" cm="1">
        <f t="array" ref="N158">_xlfn.IFS(
AND(NOT(ISBLANK(H158)),ISBLANK(K158)),"SUR",
AND(NOT(ISBLANK(H158)),NOT(ISBLANK(K158)),$P158="YES"),"RTR",
AND(NOT(ISBLANK(H158)),NOT(ISBLANK(K158)),$P158="NO"),"NTS",
TRUE,"TO Check"
)</f>
        <v>RTR</v>
      </c>
      <c r="O158" s="2" t="s">
        <v>160</v>
      </c>
      <c r="P158" s="5" t="s">
        <v>44</v>
      </c>
    </row>
    <row r="159" spans="1:16" ht="15">
      <c r="A159" s="2">
        <v>63</v>
      </c>
      <c r="B159" s="15" t="s">
        <v>369</v>
      </c>
      <c r="D159" t="s">
        <v>370</v>
      </c>
      <c r="E159" s="5" t="s">
        <v>371</v>
      </c>
      <c r="F159" s="2">
        <v>0</v>
      </c>
      <c r="G159" s="5" t="s">
        <v>366</v>
      </c>
      <c r="H159" s="39">
        <v>46199</v>
      </c>
      <c r="I159" s="6">
        <v>20</v>
      </c>
      <c r="J159" s="39">
        <f>$H159+$I159</f>
        <v>46219</v>
      </c>
      <c r="K159" s="39">
        <v>46230</v>
      </c>
      <c r="L159" s="5">
        <f ca="1">IF(NOT(ISBLANK($K159)),$K159-$H159,TODAY()-$H159)</f>
        <v>31</v>
      </c>
      <c r="M159" s="43">
        <f ca="1">L159-I159</f>
        <v>11</v>
      </c>
      <c r="N159" s="6" t="str" cm="1">
        <f t="array" ref="N159">_xlfn.IFS(
AND(NOT(ISBLANK(H159)),ISBLANK(K159)),"SUR",
AND(NOT(ISBLANK(H159)),NOT(ISBLANK(K159)),$P159="YES"),"RTR",
AND(NOT(ISBLANK(H159)),NOT(ISBLANK(K159)),$P159="NO"),"NTS",
TRUE,"TO Check"
)</f>
        <v>RTR</v>
      </c>
      <c r="O159" s="2" t="s">
        <v>160</v>
      </c>
      <c r="P159" s="5" t="s">
        <v>44</v>
      </c>
    </row>
    <row r="160" spans="1:16" ht="15">
      <c r="A160" s="2">
        <v>64</v>
      </c>
      <c r="B160" s="15" t="str">
        <f>TEXT(LEFT(C160,FIND("-",C160,1)-1),"00000")</f>
        <v>00064</v>
      </c>
      <c r="C160" s="2" t="s">
        <v>372</v>
      </c>
      <c r="D160" t="s">
        <v>199</v>
      </c>
      <c r="E160" s="5" t="s">
        <v>200</v>
      </c>
      <c r="F160" s="2">
        <v>1</v>
      </c>
      <c r="G160" s="5" t="s">
        <v>197</v>
      </c>
      <c r="H160" s="39">
        <v>46225</v>
      </c>
      <c r="I160" s="6">
        <v>14</v>
      </c>
      <c r="J160" s="39">
        <f>$H160+$I160</f>
        <v>46239</v>
      </c>
      <c r="K160" s="39">
        <v>46262</v>
      </c>
      <c r="L160" s="5">
        <f ca="1">IF(NOT(ISBLANK($K160)),$K160-$H160,TODAY()-$H160)</f>
        <v>37</v>
      </c>
      <c r="M160" s="43">
        <f ca="1">L160-I160</f>
        <v>23</v>
      </c>
      <c r="N160" s="6" t="str" cm="1">
        <f t="array" ref="N160">_xlfn.IFS(
AND(NOT(ISBLANK(H160)),ISBLANK(K160)),"SUR",
AND(NOT(ISBLANK(H160)),NOT(ISBLANK(K160)),$P160="YES"),"RTR",
AND(NOT(ISBLANK(H160)),NOT(ISBLANK(K160)),$P160="NO"),"NTS",
TRUE,"TO Check"
)</f>
        <v>RTR</v>
      </c>
      <c r="O160" s="2" t="s">
        <v>43</v>
      </c>
      <c r="P160" s="5" t="s">
        <v>44</v>
      </c>
    </row>
    <row r="161" spans="1:16" ht="15">
      <c r="A161" s="2">
        <v>65</v>
      </c>
      <c r="B161" s="15" t="str">
        <f>TEXT(LEFT(C161,FIND("-",C161,1)-1),"00000")</f>
        <v>00093</v>
      </c>
      <c r="C161" s="2" t="s">
        <v>373</v>
      </c>
      <c r="D161" t="s">
        <v>212</v>
      </c>
      <c r="E161" s="5" t="s">
        <v>213</v>
      </c>
      <c r="F161" s="2">
        <v>1</v>
      </c>
      <c r="G161" s="5" t="s">
        <v>366</v>
      </c>
      <c r="H161" s="39">
        <v>46286</v>
      </c>
      <c r="I161" s="6">
        <v>14</v>
      </c>
      <c r="J161" s="39">
        <f>$H161+$I161</f>
        <v>46300</v>
      </c>
      <c r="K161" s="39">
        <v>46293</v>
      </c>
      <c r="L161" s="5">
        <f ca="1">IF(NOT(ISBLANK($K161)),$K161-$H161,TODAY()-$H161)</f>
        <v>7</v>
      </c>
      <c r="M161" s="43">
        <f ca="1">L161-I161</f>
        <v>-7</v>
      </c>
      <c r="N161" s="6" t="str" cm="1">
        <f t="array" ref="N161">_xlfn.IFS(
AND(NOT(ISBLANK(H161)),ISBLANK(K161)),"SUR",
AND(NOT(ISBLANK(H161)),NOT(ISBLANK(K161)),$P161="YES"),"RTR",
AND(NOT(ISBLANK(H161)),NOT(ISBLANK(K161)),$P161="NO"),"NTS",
TRUE,"TO Check"
)</f>
        <v>RTR</v>
      </c>
      <c r="O161" s="2" t="s">
        <v>160</v>
      </c>
      <c r="P161" s="5" t="s">
        <v>44</v>
      </c>
    </row>
    <row r="162" spans="1:16" ht="15">
      <c r="A162" s="2">
        <v>66</v>
      </c>
      <c r="B162" s="15" t="str">
        <f>TEXT(LEFT(C162,FIND("-",C162,1)-1),"00000")</f>
        <v>00023</v>
      </c>
      <c r="C162" s="2" t="s">
        <v>374</v>
      </c>
      <c r="D162" t="s">
        <v>216</v>
      </c>
      <c r="E162" s="5" t="s">
        <v>217</v>
      </c>
      <c r="F162" s="2">
        <v>1</v>
      </c>
      <c r="G162" s="5" t="s">
        <v>218</v>
      </c>
      <c r="H162" s="39">
        <v>46213</v>
      </c>
      <c r="I162" s="6">
        <v>14</v>
      </c>
      <c r="J162" s="39">
        <f>$H162+$I162</f>
        <v>46227</v>
      </c>
      <c r="K162" s="39">
        <v>46230</v>
      </c>
      <c r="L162" s="5">
        <f ca="1">IF(NOT(ISBLANK($K162)),$K162-$H162,TODAY()-$H162)</f>
        <v>17</v>
      </c>
      <c r="M162" s="43">
        <f ca="1">L162-I162</f>
        <v>3</v>
      </c>
      <c r="N162" s="6" t="str" cm="1">
        <f t="array" ref="N162">_xlfn.IFS(
AND(NOT(ISBLANK(H162)),ISBLANK(K162)),"SUR",
AND(NOT(ISBLANK(H162)),NOT(ISBLANK(K162)),$P162="YES"),"RTR",
AND(NOT(ISBLANK(H162)),NOT(ISBLANK(K162)),$P162="NO"),"NTS",
TRUE,"TO Check"
)</f>
        <v>RTR</v>
      </c>
      <c r="O162" s="2" t="s">
        <v>43</v>
      </c>
      <c r="P162" s="5" t="s">
        <v>44</v>
      </c>
    </row>
    <row r="163" spans="1:16" ht="15">
      <c r="A163" s="2">
        <v>67</v>
      </c>
      <c r="B163" s="15" t="str">
        <f>TEXT(LEFT(C163,FIND("-",C163,1)-1),"00000")</f>
        <v>00088</v>
      </c>
      <c r="C163" s="2" t="s">
        <v>375</v>
      </c>
      <c r="D163" t="s">
        <v>224</v>
      </c>
      <c r="E163" s="5" t="s">
        <v>225</v>
      </c>
      <c r="F163" s="2">
        <v>1</v>
      </c>
      <c r="G163" s="5" t="s">
        <v>197</v>
      </c>
      <c r="H163" s="39">
        <v>46247</v>
      </c>
      <c r="I163" s="6">
        <v>14</v>
      </c>
      <c r="J163" s="39">
        <f>$H163+$I163</f>
        <v>46261</v>
      </c>
      <c r="K163" s="39">
        <v>46276</v>
      </c>
      <c r="L163" s="5">
        <f ca="1">IF(NOT(ISBLANK($K163)),$K163-$H163,TODAY()-$H163)</f>
        <v>29</v>
      </c>
      <c r="M163" s="43">
        <f ca="1">L163-I163</f>
        <v>15</v>
      </c>
      <c r="N163" s="6" t="str" cm="1">
        <f t="array" ref="N163">_xlfn.IFS(
AND(NOT(ISBLANK(H163)),ISBLANK(K163)),"SUR",
AND(NOT(ISBLANK(H163)),NOT(ISBLANK(K163)),$P163="YES"),"RTR",
AND(NOT(ISBLANK(H163)),NOT(ISBLANK(K163)),$P163="NO"),"NTS",
TRUE,"TO Check"
)</f>
        <v>RTR</v>
      </c>
      <c r="O163" s="2" t="s">
        <v>43</v>
      </c>
      <c r="P163" s="5" t="s">
        <v>44</v>
      </c>
    </row>
    <row r="164" spans="1:16" ht="15">
      <c r="A164" s="2">
        <v>68</v>
      </c>
      <c r="B164" s="15" t="str">
        <f>TEXT(LEFT(C164,FIND("-",C164,1)-1),"00000")</f>
        <v>00103</v>
      </c>
      <c r="C164" s="2" t="s">
        <v>376</v>
      </c>
      <c r="D164" t="s">
        <v>227</v>
      </c>
      <c r="E164" s="5" t="s">
        <v>228</v>
      </c>
      <c r="F164" s="2">
        <v>1</v>
      </c>
      <c r="G164" s="5" t="s">
        <v>232</v>
      </c>
      <c r="H164" s="39">
        <v>46286</v>
      </c>
      <c r="I164" s="6">
        <v>14</v>
      </c>
      <c r="J164" s="39">
        <f>$H164+$I164</f>
        <v>46300</v>
      </c>
      <c r="K164" s="39">
        <v>46301</v>
      </c>
      <c r="L164" s="5">
        <f ca="1">IF(NOT(ISBLANK($K164)),$K164-$H164,TODAY()-$H164)</f>
        <v>15</v>
      </c>
      <c r="M164" s="43">
        <f ca="1">L164-I164</f>
        <v>1</v>
      </c>
      <c r="N164" s="6" t="str" cm="1">
        <f t="array" ref="N164">_xlfn.IFS(
AND(NOT(ISBLANK(H164)),ISBLANK(K164)),"SUR",
AND(NOT(ISBLANK(H164)),NOT(ISBLANK(K164)),$P164="YES"),"RTR",
AND(NOT(ISBLANK(H164)),NOT(ISBLANK(K164)),$P164="NO"),"NTS",
TRUE,"TO Check"
)</f>
        <v>RTR</v>
      </c>
      <c r="O164" s="2" t="s">
        <v>43</v>
      </c>
      <c r="P164" s="5" t="s">
        <v>44</v>
      </c>
    </row>
    <row r="165" spans="1:16" ht="15">
      <c r="A165" s="2">
        <v>69</v>
      </c>
      <c r="B165" s="15" t="str">
        <f>TEXT(LEFT(C165,FIND("-",C165,1)-1),"00000")</f>
        <v>00120</v>
      </c>
      <c r="C165" s="2" t="s">
        <v>377</v>
      </c>
      <c r="D165" t="s">
        <v>238</v>
      </c>
      <c r="E165" s="5" t="s">
        <v>378</v>
      </c>
      <c r="F165" s="2">
        <v>1</v>
      </c>
      <c r="G165" s="5" t="s">
        <v>240</v>
      </c>
      <c r="H165" s="39">
        <v>46296</v>
      </c>
      <c r="I165" s="6">
        <v>14</v>
      </c>
      <c r="J165" s="39">
        <f>$H165+$I165</f>
        <v>46310</v>
      </c>
      <c r="L165" s="5">
        <f ca="1">IF(NOT(ISBLANK($K165)),$K165-$H165,TODAY()-$H165)</f>
        <v>13</v>
      </c>
      <c r="M165" s="43">
        <f ca="1">L165-I165</f>
        <v>-1</v>
      </c>
      <c r="N165" s="6" t="str" cm="1">
        <f t="array" ref="N165">_xlfn.IFS(
AND(NOT(ISBLANK(H165)),ISBLANK(K165)),"SUR",
AND(NOT(ISBLANK(H165)),NOT(ISBLANK(K165)),$P165="YES"),"RTR",
AND(NOT(ISBLANK(H165)),NOT(ISBLANK(K165)),$P165="NO"),"NTS",
TRUE,"TO Check"
)</f>
        <v>SUR</v>
      </c>
    </row>
    <row r="166" spans="1:16" ht="15">
      <c r="A166" s="2">
        <v>70</v>
      </c>
      <c r="B166" s="15" t="str">
        <f>TEXT(LEFT(C166,FIND("-",C166,1)-1),"00000")</f>
        <v>00138</v>
      </c>
      <c r="C166" s="2" t="s">
        <v>379</v>
      </c>
      <c r="D166" t="s">
        <v>243</v>
      </c>
      <c r="E166" s="5" t="s">
        <v>244</v>
      </c>
      <c r="F166" s="2">
        <v>1</v>
      </c>
      <c r="G166" s="5" t="s">
        <v>232</v>
      </c>
      <c r="H166" s="39">
        <v>46296</v>
      </c>
      <c r="I166" s="6">
        <v>14</v>
      </c>
      <c r="J166" s="39">
        <f>$H166+$I166</f>
        <v>46310</v>
      </c>
      <c r="L166" s="5">
        <f ca="1">IF(NOT(ISBLANK($K166)),$K166-$H166,TODAY()-$H166)</f>
        <v>13</v>
      </c>
      <c r="M166" s="43">
        <f ca="1">L166-I166</f>
        <v>-1</v>
      </c>
      <c r="N166" s="6" t="str" cm="1">
        <f t="array" ref="N166">_xlfn.IFS(
AND(NOT(ISBLANK(H166)),ISBLANK(K166)),"SUR",
AND(NOT(ISBLANK(H166)),NOT(ISBLANK(K166)),$P166="YES"),"RTR",
AND(NOT(ISBLANK(H166)),NOT(ISBLANK(K166)),$P166="NO"),"NTS",
TRUE,"TO Check"
)</f>
        <v>SUR</v>
      </c>
    </row>
    <row r="167" spans="1:16" ht="15">
      <c r="A167" s="2">
        <v>71</v>
      </c>
      <c r="B167" s="15" t="str">
        <f>TEXT(LEFT(C167,FIND("-",C167,1)-1),"00000")</f>
        <v>00052</v>
      </c>
      <c r="C167" s="2" t="s">
        <v>380</v>
      </c>
      <c r="D167" t="s">
        <v>304</v>
      </c>
      <c r="E167" s="5" t="s">
        <v>305</v>
      </c>
      <c r="F167" s="2">
        <v>1</v>
      </c>
      <c r="G167" s="5" t="s">
        <v>306</v>
      </c>
      <c r="H167" s="39">
        <v>46247</v>
      </c>
      <c r="I167" s="6">
        <v>14</v>
      </c>
      <c r="J167" s="39">
        <f>$H167+$I167</f>
        <v>46261</v>
      </c>
      <c r="K167" s="39">
        <v>46262</v>
      </c>
      <c r="L167" s="5">
        <f ca="1">IF(NOT(ISBLANK($K167)),$K167-$H167,TODAY()-$H167)</f>
        <v>15</v>
      </c>
      <c r="M167" s="43">
        <f ca="1">L167-I167</f>
        <v>1</v>
      </c>
      <c r="N167" s="6" t="str" cm="1">
        <f t="array" ref="N167">_xlfn.IFS(
AND(NOT(ISBLANK(H167)),ISBLANK(K167)),"SUR",
AND(NOT(ISBLANK(H167)),NOT(ISBLANK(K167)),$P167="YES"),"RTR",
AND(NOT(ISBLANK(H167)),NOT(ISBLANK(K167)),$P167="NO"),"NTS",
TRUE,"TO Check"
)</f>
        <v>NTS</v>
      </c>
      <c r="O167" s="2" t="s">
        <v>39</v>
      </c>
      <c r="P167" s="5" t="s">
        <v>40</v>
      </c>
    </row>
    <row r="168" spans="1:16" ht="15">
      <c r="A168" s="2">
        <v>72</v>
      </c>
      <c r="B168" s="15" t="str">
        <f>TEXT(LEFT(C168,FIND("-",C168,1)-1),"00000")</f>
        <v>00052</v>
      </c>
      <c r="C168" s="2" t="s">
        <v>380</v>
      </c>
      <c r="D168" t="s">
        <v>307</v>
      </c>
      <c r="E168" s="5" t="s">
        <v>308</v>
      </c>
      <c r="F168" s="2">
        <v>1</v>
      </c>
      <c r="G168" s="5" t="s">
        <v>306</v>
      </c>
      <c r="H168" s="39">
        <v>46247</v>
      </c>
      <c r="I168" s="6">
        <v>14</v>
      </c>
      <c r="J168" s="39">
        <f>$H168+$I168</f>
        <v>46261</v>
      </c>
      <c r="K168" s="39">
        <v>46262</v>
      </c>
      <c r="L168" s="5">
        <f ca="1">IF(NOT(ISBLANK($K168)),$K168-$H168,TODAY()-$H168)</f>
        <v>15</v>
      </c>
      <c r="M168" s="43">
        <f ca="1">L168-I168</f>
        <v>1</v>
      </c>
      <c r="N168" s="6" t="str" cm="1">
        <f t="array" ref="N168">_xlfn.IFS(
AND(NOT(ISBLANK(H168)),ISBLANK(K168)),"SUR",
AND(NOT(ISBLANK(H168)),NOT(ISBLANK(K168)),$P168="YES"),"RTR",
AND(NOT(ISBLANK(H168)),NOT(ISBLANK(K168)),$P168="NO"),"NTS",
TRUE,"TO Check"
)</f>
        <v>NTS</v>
      </c>
      <c r="O168" s="2" t="s">
        <v>39</v>
      </c>
      <c r="P168" s="5" t="s">
        <v>40</v>
      </c>
    </row>
    <row r="169" spans="1:16" ht="15">
      <c r="A169" s="2">
        <v>73</v>
      </c>
      <c r="B169" s="15" t="str">
        <f>TEXT(LEFT(C169,FIND("-",C169,1)-1),"00000")</f>
        <v>00023</v>
      </c>
      <c r="C169" s="2" t="s">
        <v>381</v>
      </c>
      <c r="D169" t="s">
        <v>216</v>
      </c>
      <c r="E169" s="5" t="s">
        <v>217</v>
      </c>
      <c r="F169" s="2">
        <v>2</v>
      </c>
      <c r="G169" s="5" t="s">
        <v>232</v>
      </c>
      <c r="H169" s="39">
        <v>46296</v>
      </c>
      <c r="I169" s="6">
        <v>14</v>
      </c>
      <c r="J169" s="39">
        <f>$H169+$I169</f>
        <v>46310</v>
      </c>
      <c r="L169" s="5">
        <f ca="1">IF(NOT(ISBLANK($K169)),$K169-$H169,TODAY()-$H169)</f>
        <v>13</v>
      </c>
      <c r="M169" s="43">
        <f ca="1">L169-I169</f>
        <v>-1</v>
      </c>
      <c r="N169" s="6" t="str" cm="1">
        <f t="array" ref="N169">_xlfn.IFS(
AND(NOT(ISBLANK(H169)),ISBLANK(K169)),"SUR",
AND(NOT(ISBLANK(H169)),NOT(ISBLANK(K169)),$P169="YES"),"RTR",
AND(NOT(ISBLANK(H169)),NOT(ISBLANK(K169)),$P169="NO"),"NTS",
TRUE,"TO Check"
)</f>
        <v>SUR</v>
      </c>
    </row>
    <row r="170" spans="1:16" ht="15">
      <c r="M170" s="43"/>
      <c r="N170" s="6"/>
    </row>
    <row r="171" spans="1:16" ht="15">
      <c r="M171" s="43"/>
      <c r="N171" s="6"/>
    </row>
    <row r="172" spans="1:16" s="48" customFormat="1" ht="21">
      <c r="B172" s="47"/>
      <c r="D172" s="56" t="s">
        <v>382</v>
      </c>
      <c r="E172" s="49"/>
      <c r="F172" s="46"/>
      <c r="G172" s="49"/>
      <c r="H172" s="50"/>
      <c r="I172" s="51"/>
      <c r="J172" s="50"/>
      <c r="K172" s="50"/>
      <c r="L172" s="49"/>
      <c r="M172" s="52"/>
      <c r="N172" s="51"/>
      <c r="O172" s="46"/>
      <c r="P172" s="49"/>
    </row>
    <row r="173" spans="1:16" ht="15">
      <c r="A173" s="2">
        <v>1</v>
      </c>
      <c r="B173" s="57" t="s">
        <v>383</v>
      </c>
      <c r="D173" t="s">
        <v>384</v>
      </c>
      <c r="E173" s="5" t="s">
        <v>385</v>
      </c>
      <c r="F173" s="2">
        <v>0</v>
      </c>
      <c r="G173" s="5" t="s">
        <v>197</v>
      </c>
      <c r="H173" s="39">
        <v>46259</v>
      </c>
      <c r="I173" s="6">
        <v>20</v>
      </c>
      <c r="J173" s="39">
        <f>$H173+$I173</f>
        <v>46279</v>
      </c>
      <c r="K173" s="39">
        <v>46263</v>
      </c>
      <c r="L173" s="5">
        <f ca="1">IF(NOT(ISBLANK($K173)),$K173-$H173,TODAY()-$H173)</f>
        <v>4</v>
      </c>
      <c r="M173" s="43">
        <f ca="1">L173-I173</f>
        <v>-16</v>
      </c>
      <c r="N173" s="6" t="str" cm="1">
        <f t="array" ref="N173">_xlfn.IFS(
AND(NOT(ISBLANK(H173)),ISBLANK(K173)),"SUR",
AND(NOT(ISBLANK(H173)),NOT(ISBLANK(K173)),$P173="YES"),"RTR",
AND(NOT(ISBLANK(H173)),NOT(ISBLANK(K173)),$P173="NO"),"NTS",
TRUE,"TO Check"
)</f>
        <v>NTS</v>
      </c>
      <c r="O173" s="2" t="s">
        <v>39</v>
      </c>
      <c r="P173" s="5" t="s">
        <v>40</v>
      </c>
    </row>
    <row r="174" spans="1:16" ht="15">
      <c r="A174" s="2">
        <v>2</v>
      </c>
      <c r="B174" s="57" t="s">
        <v>386</v>
      </c>
      <c r="D174" t="s">
        <v>387</v>
      </c>
      <c r="E174" s="5" t="s">
        <v>388</v>
      </c>
      <c r="F174" s="2">
        <v>0</v>
      </c>
      <c r="G174" s="5" t="s">
        <v>389</v>
      </c>
      <c r="H174" s="39">
        <v>46213</v>
      </c>
      <c r="I174" s="6">
        <v>20</v>
      </c>
      <c r="J174" s="39">
        <f>$H174+$I174</f>
        <v>46233</v>
      </c>
      <c r="K174" s="39">
        <v>46233</v>
      </c>
      <c r="L174" s="5">
        <f ca="1">IF(NOT(ISBLANK($K174)),$K174-$H174,TODAY()-$H174)</f>
        <v>20</v>
      </c>
      <c r="M174" s="43">
        <f ca="1">L174-I174</f>
        <v>0</v>
      </c>
      <c r="N174" s="6" t="str" cm="1">
        <f t="array" ref="N174">_xlfn.IFS(
AND(NOT(ISBLANK(H174)),ISBLANK(K174)),"SUR",
AND(NOT(ISBLANK(H174)),NOT(ISBLANK(K174)),$P174="YES"),"RTR",
AND(NOT(ISBLANK(H174)),NOT(ISBLANK(K174)),$P174="NO"),"NTS",
TRUE,"TO Check"
)</f>
        <v>RTR</v>
      </c>
      <c r="O174" s="2" t="s">
        <v>114</v>
      </c>
      <c r="P174" s="5" t="s">
        <v>44</v>
      </c>
    </row>
    <row r="175" spans="1:16" ht="15">
      <c r="A175" s="2">
        <v>3</v>
      </c>
      <c r="B175" s="57" t="s">
        <v>390</v>
      </c>
      <c r="D175" t="s">
        <v>391</v>
      </c>
      <c r="E175" s="5" t="s">
        <v>392</v>
      </c>
      <c r="F175" s="2">
        <v>0</v>
      </c>
      <c r="G175" s="5" t="s">
        <v>393</v>
      </c>
      <c r="H175" s="39">
        <v>46234</v>
      </c>
      <c r="I175" s="6">
        <v>20</v>
      </c>
      <c r="J175" s="39">
        <f>$H175+$I175</f>
        <v>46254</v>
      </c>
      <c r="K175" s="39">
        <v>46262</v>
      </c>
      <c r="L175" s="5">
        <f ca="1">IF(NOT(ISBLANK($K175)),$K175-$H175,TODAY()-$H175)</f>
        <v>28</v>
      </c>
      <c r="M175" s="43">
        <f ca="1">L175-I175</f>
        <v>8</v>
      </c>
      <c r="N175" s="6" t="str" cm="1">
        <f t="array" ref="N175">_xlfn.IFS(
AND(NOT(ISBLANK(H175)),ISBLANK(K175)),"SUR",
AND(NOT(ISBLANK(H175)),NOT(ISBLANK(K175)),$P175="YES"),"RTR",
AND(NOT(ISBLANK(H175)),NOT(ISBLANK(K175)),$P175="NO"),"NTS",
TRUE,"TO Check"
)</f>
        <v>RTR</v>
      </c>
      <c r="O175" s="2" t="s">
        <v>114</v>
      </c>
      <c r="P175" s="5" t="s">
        <v>44</v>
      </c>
    </row>
    <row r="176" spans="1:16" ht="15">
      <c r="A176" s="2">
        <v>4</v>
      </c>
      <c r="B176" s="57" t="s">
        <v>394</v>
      </c>
      <c r="D176" t="s">
        <v>395</v>
      </c>
      <c r="E176" s="5" t="s">
        <v>396</v>
      </c>
      <c r="F176" s="2">
        <v>0</v>
      </c>
      <c r="G176" s="5" t="s">
        <v>393</v>
      </c>
      <c r="H176" s="39">
        <v>46234</v>
      </c>
      <c r="I176" s="6">
        <v>20</v>
      </c>
      <c r="J176" s="39">
        <f>$H176+$I176</f>
        <v>46254</v>
      </c>
      <c r="K176" s="39">
        <v>46262</v>
      </c>
      <c r="L176" s="5">
        <f ca="1">IF(NOT(ISBLANK($K176)),$K176-$H176,TODAY()-$H176)</f>
        <v>28</v>
      </c>
      <c r="M176" s="43">
        <f ca="1">L176-I176</f>
        <v>8</v>
      </c>
      <c r="N176" s="6" t="str" cm="1">
        <f t="array" ref="N176">_xlfn.IFS(
AND(NOT(ISBLANK(H176)),ISBLANK(K176)),"SUR",
AND(NOT(ISBLANK(H176)),NOT(ISBLANK(K176)),$P176="YES"),"RTR",
AND(NOT(ISBLANK(H176)),NOT(ISBLANK(K176)),$P176="NO"),"NTS",
TRUE,"TO Check"
)</f>
        <v>RTR</v>
      </c>
      <c r="O176" s="2" t="s">
        <v>114</v>
      </c>
      <c r="P176" s="5" t="s">
        <v>44</v>
      </c>
    </row>
    <row r="177" spans="1:16" ht="15">
      <c r="A177" s="2">
        <v>5</v>
      </c>
      <c r="B177" s="57" t="s">
        <v>397</v>
      </c>
      <c r="D177" t="s">
        <v>398</v>
      </c>
      <c r="E177" s="5" t="s">
        <v>399</v>
      </c>
      <c r="F177" s="2">
        <v>0</v>
      </c>
      <c r="G177" s="5" t="s">
        <v>393</v>
      </c>
      <c r="H177" s="39">
        <v>46240</v>
      </c>
      <c r="I177" s="6">
        <v>20</v>
      </c>
      <c r="J177" s="39">
        <f>$H177+$I177</f>
        <v>46260</v>
      </c>
      <c r="K177" s="39">
        <v>46262</v>
      </c>
      <c r="L177" s="5">
        <f ca="1">IF(NOT(ISBLANK($K177)),$K177-$H177,TODAY()-$H177)</f>
        <v>22</v>
      </c>
      <c r="M177" s="43">
        <f ca="1">L177-I177</f>
        <v>2</v>
      </c>
      <c r="N177" s="6" t="str" cm="1">
        <f t="array" ref="N177">_xlfn.IFS(
AND(NOT(ISBLANK(H177)),ISBLANK(K177)),"SUR",
AND(NOT(ISBLANK(H177)),NOT(ISBLANK(K177)),$P177="YES"),"RTR",
AND(NOT(ISBLANK(H177)),NOT(ISBLANK(K177)),$P177="NO"),"NTS",
TRUE,"TO Check"
)</f>
        <v>RTR</v>
      </c>
      <c r="O177" s="2" t="s">
        <v>114</v>
      </c>
      <c r="P177" s="5" t="s">
        <v>44</v>
      </c>
    </row>
    <row r="178" spans="1:16" ht="15">
      <c r="A178" s="2">
        <v>6</v>
      </c>
      <c r="B178" s="57" t="s">
        <v>400</v>
      </c>
      <c r="D178" t="s">
        <v>401</v>
      </c>
      <c r="E178" s="5" t="s">
        <v>402</v>
      </c>
      <c r="F178" s="2">
        <v>0</v>
      </c>
      <c r="G178" s="5" t="s">
        <v>393</v>
      </c>
      <c r="H178" s="39">
        <v>46296</v>
      </c>
      <c r="I178" s="6">
        <v>20</v>
      </c>
      <c r="J178" s="39">
        <f>$H178+$I178</f>
        <v>46316</v>
      </c>
      <c r="L178" s="5">
        <f ca="1">IF(NOT(ISBLANK($K178)),$K178-$H178,TODAY()-$H178)</f>
        <v>13</v>
      </c>
      <c r="M178" s="43">
        <f ca="1">L178-I178</f>
        <v>-7</v>
      </c>
      <c r="N178" s="6" t="str" cm="1">
        <f t="array" ref="N178">_xlfn.IFS(
AND(NOT(ISBLANK(H178)),ISBLANK(K178)),"SUR",
AND(NOT(ISBLANK(H178)),NOT(ISBLANK(K178)),$P178="YES"),"RTR",
AND(NOT(ISBLANK(H178)),NOT(ISBLANK(K178)),$P178="NO"),"NTS",
TRUE,"TO Check"
)</f>
        <v>SUR</v>
      </c>
    </row>
    <row r="179" spans="1:16" ht="15">
      <c r="A179" s="2">
        <v>7</v>
      </c>
      <c r="B179" s="15" t="str">
        <f>TEXT(LEFT(C179,FIND("-",C179,1)-1),"00000")</f>
        <v>00096</v>
      </c>
      <c r="C179" s="57" t="s">
        <v>403</v>
      </c>
      <c r="D179" t="s">
        <v>387</v>
      </c>
      <c r="E179" s="5" t="s">
        <v>388</v>
      </c>
      <c r="F179" s="2">
        <v>1</v>
      </c>
      <c r="G179" s="5" t="s">
        <v>389</v>
      </c>
      <c r="H179" s="39">
        <v>46280</v>
      </c>
      <c r="I179" s="6">
        <v>14</v>
      </c>
      <c r="J179" s="39">
        <f>$H179+$I179</f>
        <v>46294</v>
      </c>
      <c r="K179" s="39">
        <v>46288</v>
      </c>
      <c r="L179" s="5">
        <f ca="1">IF(NOT(ISBLANK($K179)),$K179-$H179,TODAY()-$H179)</f>
        <v>8</v>
      </c>
      <c r="M179" s="43">
        <f ca="1">L179-I179</f>
        <v>-6</v>
      </c>
      <c r="N179" s="6" t="str" cm="1">
        <f t="array" ref="N179">_xlfn.IFS(
AND(NOT(ISBLANK(H179)),ISBLANK(K179)),"SUR",
AND(NOT(ISBLANK(H179)),NOT(ISBLANK(K179)),$P179="YES"),"RTR",
AND(NOT(ISBLANK(H179)),NOT(ISBLANK(K179)),$P179="NO"),"NTS",
TRUE,"TO Check"
)</f>
        <v>RTR</v>
      </c>
      <c r="O179" s="2" t="s">
        <v>114</v>
      </c>
      <c r="P179" s="5" t="s">
        <v>44</v>
      </c>
    </row>
    <row r="180" spans="1:16">
      <c r="M180" s="43"/>
      <c r="N180" s="6"/>
    </row>
    <row r="181" spans="1:16">
      <c r="M181" s="43"/>
      <c r="N181" s="6"/>
    </row>
    <row r="182" spans="1:16">
      <c r="M182" s="43"/>
      <c r="N182" s="6"/>
    </row>
    <row r="183" spans="1:16">
      <c r="M183" s="43"/>
      <c r="N183" s="6"/>
    </row>
    <row r="184" spans="1:16">
      <c r="M184" s="43"/>
      <c r="N184" s="6"/>
    </row>
    <row r="185" spans="1:16">
      <c r="M185" s="43"/>
      <c r="N185" s="6"/>
    </row>
    <row r="186" spans="1:16">
      <c r="M186" s="43"/>
      <c r="N186" s="6"/>
    </row>
    <row r="187" spans="1:16">
      <c r="M187" s="43"/>
      <c r="N187" s="6"/>
    </row>
    <row r="188" spans="1:16">
      <c r="M188" s="43"/>
      <c r="N188" s="6"/>
    </row>
    <row r="189" spans="1:16">
      <c r="M189" s="43"/>
      <c r="N189" s="6"/>
    </row>
    <row r="190" spans="1:16">
      <c r="M190" s="43"/>
      <c r="N190" s="6"/>
    </row>
    <row r="191" spans="1:16">
      <c r="M191" s="43"/>
      <c r="N191" s="6"/>
    </row>
    <row r="192" spans="1:16">
      <c r="M192" s="43"/>
      <c r="N192" s="6"/>
    </row>
    <row r="193" spans="13:14">
      <c r="M193" s="43"/>
      <c r="N193" s="6"/>
    </row>
    <row r="194" spans="13:14">
      <c r="M194" s="43"/>
      <c r="N194" s="6"/>
    </row>
    <row r="195" spans="13:14">
      <c r="M195" s="43"/>
      <c r="N195" s="6"/>
    </row>
    <row r="196" spans="13:14">
      <c r="M196" s="43"/>
      <c r="N196" s="6"/>
    </row>
    <row r="197" spans="13:14">
      <c r="M197" s="43"/>
      <c r="N197" s="6"/>
    </row>
    <row r="198" spans="13:14">
      <c r="M198" s="43"/>
      <c r="N198" s="6"/>
    </row>
    <row r="199" spans="13:14">
      <c r="M199" s="43"/>
      <c r="N199" s="6"/>
    </row>
    <row r="200" spans="13:14">
      <c r="M200" s="43"/>
      <c r="N200" s="6"/>
    </row>
    <row r="201" spans="13:14">
      <c r="M201" s="43"/>
      <c r="N201" s="6"/>
    </row>
    <row r="202" spans="13:14">
      <c r="M202" s="43"/>
      <c r="N202" s="6"/>
    </row>
    <row r="203" spans="13:14">
      <c r="M203" s="43"/>
      <c r="N203" s="6"/>
    </row>
    <row r="204" spans="13:14">
      <c r="M204" s="43"/>
      <c r="N204" s="6"/>
    </row>
    <row r="205" spans="13:14">
      <c r="M205" s="43"/>
      <c r="N205" s="6"/>
    </row>
    <row r="206" spans="13:14">
      <c r="M206" s="43"/>
      <c r="N206" s="6"/>
    </row>
    <row r="207" spans="13:14">
      <c r="M207" s="43"/>
      <c r="N207" s="6"/>
    </row>
    <row r="208" spans="13:14">
      <c r="M208" s="43"/>
      <c r="N208" s="6"/>
    </row>
    <row r="209" spans="13:14">
      <c r="M209" s="43"/>
      <c r="N209" s="6"/>
    </row>
    <row r="210" spans="13:14">
      <c r="M210" s="43"/>
      <c r="N210" s="6"/>
    </row>
    <row r="211" spans="13:14">
      <c r="M211" s="43"/>
      <c r="N211" s="6"/>
    </row>
    <row r="212" spans="13:14">
      <c r="M212" s="43"/>
      <c r="N212" s="6"/>
    </row>
    <row r="213" spans="13:14">
      <c r="M213" s="43"/>
      <c r="N213" s="6"/>
    </row>
    <row r="214" spans="13:14">
      <c r="M214" s="43"/>
      <c r="N214" s="6"/>
    </row>
    <row r="215" spans="13:14">
      <c r="M215" s="43"/>
      <c r="N215" s="6"/>
    </row>
    <row r="216" spans="13:14">
      <c r="M216" s="43"/>
      <c r="N216" s="6"/>
    </row>
    <row r="217" spans="13:14">
      <c r="M217" s="43"/>
      <c r="N217" s="6"/>
    </row>
    <row r="218" spans="13:14">
      <c r="M218" s="43"/>
      <c r="N218" s="6"/>
    </row>
    <row r="219" spans="13:14">
      <c r="M219" s="43"/>
      <c r="N219" s="6"/>
    </row>
    <row r="220" spans="13:14">
      <c r="M220" s="43"/>
      <c r="N220" s="6"/>
    </row>
    <row r="221" spans="13:14">
      <c r="M221" s="43"/>
      <c r="N221" s="6"/>
    </row>
    <row r="222" spans="13:14">
      <c r="M222" s="43"/>
      <c r="N222" s="6"/>
    </row>
    <row r="223" spans="13:14">
      <c r="M223" s="43"/>
      <c r="N223" s="6"/>
    </row>
    <row r="224" spans="13:14">
      <c r="M224" s="43"/>
      <c r="N224" s="6"/>
    </row>
    <row r="225" spans="13:14">
      <c r="M225" s="43"/>
      <c r="N225" s="6"/>
    </row>
    <row r="226" spans="13:14">
      <c r="M226" s="43"/>
      <c r="N226" s="6"/>
    </row>
    <row r="227" spans="13:14">
      <c r="M227" s="43"/>
      <c r="N227" s="6"/>
    </row>
    <row r="228" spans="13:14">
      <c r="M228" s="43"/>
      <c r="N228" s="6"/>
    </row>
    <row r="229" spans="13:14">
      <c r="M229" s="43"/>
      <c r="N229" s="6"/>
    </row>
    <row r="230" spans="13:14">
      <c r="M230" s="43"/>
      <c r="N230" s="6"/>
    </row>
    <row r="231" spans="13:14">
      <c r="M231" s="43"/>
      <c r="N231" s="6"/>
    </row>
    <row r="232" spans="13:14">
      <c r="M232" s="43"/>
      <c r="N232" s="6"/>
    </row>
    <row r="233" spans="13:14">
      <c r="M233" s="43"/>
      <c r="N233" s="6"/>
    </row>
    <row r="234" spans="13:14">
      <c r="M234" s="43"/>
      <c r="N234" s="6"/>
    </row>
    <row r="235" spans="13:14">
      <c r="M235" s="43"/>
      <c r="N235" s="6"/>
    </row>
    <row r="236" spans="13:14">
      <c r="M236" s="43"/>
      <c r="N236" s="6"/>
    </row>
    <row r="237" spans="13:14">
      <c r="M237" s="43"/>
      <c r="N237" s="6"/>
    </row>
    <row r="238" spans="13:14">
      <c r="M238" s="43"/>
      <c r="N238" s="6"/>
    </row>
    <row r="239" spans="13:14">
      <c r="M239" s="43"/>
      <c r="N239" s="6"/>
    </row>
    <row r="240" spans="13:14">
      <c r="M240" s="43"/>
      <c r="N240" s="6"/>
    </row>
  </sheetData>
  <autoFilter ref="A1:T240" xr:uid="{00000000-0001-0000-0000-000000000000}"/>
  <phoneticPr fontId="4" type="noConversion"/>
  <conditionalFormatting sqref="A1:XFD1 A2 C2:XFD2 C83:XFD83 B84:XFD84 A85:I85 K85:K90 J85:J145 L85:XFD145 A86:C90 E86:F90 H86:I90 D86:D93 G86:G93 C91:C93 E91:E93 B91:B94 A91:A95 F92:F93 H92:I93 K92:K145 F94:I122 B95:E123 A97:A169 F123 G123:I125 B124:F125 B126:I145 B146:XFD159 C160:XFD161 B160:B169 C162:F162 H162:XFD162 C163:XFD169 A170:XFD171 B172:XFD172 A173:XFD1048576 C94:E94 A3:XFD82">
    <cfRule type="expression" dxfId="0" priority="1">
      <formula>_xlfn.ISFORMULA(A1)</formula>
    </cfRule>
  </conditionalFormatting>
  <dataValidations count="1">
    <dataValidation type="list" allowBlank="1" showInputMessage="1" showErrorMessage="1" sqref="P92:P1048576 P1:P90" xr:uid="{CDD04B0A-BBB3-434F-9840-231D0D6918B8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17B8659-8FED-441E-8A24-629F29C2338D}">
          <x14:formula1>
            <xm:f>Code!$B$9:$B$11</xm:f>
          </x14:formula1>
          <xm:sqref>I92:I1048576 I2:I90</xm:sqref>
        </x14:dataValidation>
        <x14:dataValidation type="list" allowBlank="1" showInputMessage="1" showErrorMessage="1" xr:uid="{6BBFEC21-0DA3-43DE-BC8E-16D3EDB59E95}">
          <x14:formula1>
            <xm:f>Code!$H:$H</xm:f>
          </x14:formula1>
          <xm:sqref>O92:O1048576 O2:O90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topLeftCell="D1" workbookViewId="0">
      <selection activeCell="F4" sqref="F4"/>
    </sheetView>
  </sheetViews>
  <sheetFormatPr defaultRowHeight="14.25"/>
  <cols>
    <col min="1" max="1" width="23.5703125" bestFit="1" customWidth="1"/>
    <col min="2" max="2" width="22" bestFit="1" customWidth="1"/>
    <col min="3" max="3" width="24.85546875" bestFit="1" customWidth="1"/>
    <col min="4" max="4" width="11" bestFit="1" customWidth="1"/>
    <col min="5" max="5" width="21.28515625" bestFit="1" customWidth="1"/>
    <col min="6" max="6" width="32.28515625" bestFit="1" customWidth="1"/>
    <col min="7" max="7" width="12" bestFit="1" customWidth="1"/>
    <col min="8" max="8" width="13.28515625" bestFit="1" customWidth="1"/>
    <col min="9" max="9" width="26.28515625" bestFit="1" customWidth="1"/>
    <col min="10" max="10" width="12" bestFit="1" customWidth="1"/>
    <col min="11" max="11" width="10.85546875" customWidth="1"/>
    <col min="12" max="12" width="6.85546875" customWidth="1"/>
    <col min="13" max="13" width="93.85546875" style="11" customWidth="1"/>
    <col min="14" max="14" width="9.85546875" customWidth="1"/>
  </cols>
  <sheetData>
    <row r="1" spans="1:14">
      <c r="A1" s="13" t="s">
        <v>404</v>
      </c>
      <c r="B1" s="13" t="s">
        <v>405</v>
      </c>
      <c r="C1" s="13" t="s">
        <v>406</v>
      </c>
      <c r="E1" s="1" t="s">
        <v>407</v>
      </c>
      <c r="F1" s="1" t="s">
        <v>30</v>
      </c>
      <c r="H1" s="1" t="s">
        <v>408</v>
      </c>
      <c r="I1" s="1" t="s">
        <v>31</v>
      </c>
      <c r="K1" s="1" t="s">
        <v>409</v>
      </c>
      <c r="L1" s="1" t="s">
        <v>410</v>
      </c>
      <c r="M1" s="10" t="s">
        <v>411</v>
      </c>
      <c r="N1" s="1" t="s">
        <v>412</v>
      </c>
    </row>
    <row r="2" spans="1:14">
      <c r="A2" s="7" t="s">
        <v>413</v>
      </c>
      <c r="B2" s="7" t="s">
        <v>414</v>
      </c>
      <c r="C2" s="7" t="s">
        <v>415</v>
      </c>
      <c r="E2" s="7" t="s">
        <v>416</v>
      </c>
      <c r="F2" s="7" t="s">
        <v>417</v>
      </c>
      <c r="H2" s="7" t="s">
        <v>114</v>
      </c>
      <c r="I2" s="7" t="s">
        <v>418</v>
      </c>
      <c r="K2" s="7" t="s">
        <v>419</v>
      </c>
      <c r="L2" s="7" t="s">
        <v>420</v>
      </c>
      <c r="M2" s="12" t="s">
        <v>421</v>
      </c>
      <c r="N2" s="7" t="s">
        <v>422</v>
      </c>
    </row>
    <row r="3" spans="1:14">
      <c r="A3" s="7" t="s">
        <v>423</v>
      </c>
      <c r="B3" s="7" t="s">
        <v>424</v>
      </c>
      <c r="C3" s="7" t="s">
        <v>415</v>
      </c>
      <c r="E3" s="7" t="s">
        <v>425</v>
      </c>
      <c r="F3" s="7" t="s">
        <v>426</v>
      </c>
      <c r="H3" s="7" t="s">
        <v>160</v>
      </c>
      <c r="I3" s="7" t="s">
        <v>427</v>
      </c>
      <c r="K3" s="7" t="s">
        <v>428</v>
      </c>
      <c r="L3" s="7" t="s">
        <v>420</v>
      </c>
      <c r="M3" s="12" t="s">
        <v>429</v>
      </c>
      <c r="N3" s="7" t="s">
        <v>430</v>
      </c>
    </row>
    <row r="4" spans="1:14">
      <c r="A4" s="7" t="s">
        <v>431</v>
      </c>
      <c r="B4" s="7" t="s">
        <v>432</v>
      </c>
      <c r="C4" s="7" t="s">
        <v>415</v>
      </c>
      <c r="E4" s="7" t="s">
        <v>433</v>
      </c>
      <c r="F4" s="7" t="s">
        <v>434</v>
      </c>
      <c r="H4" s="7" t="s">
        <v>39</v>
      </c>
      <c r="I4" s="7" t="s">
        <v>435</v>
      </c>
      <c r="K4" s="7" t="s">
        <v>436</v>
      </c>
      <c r="L4" s="7" t="s">
        <v>420</v>
      </c>
      <c r="M4" s="12" t="s">
        <v>437</v>
      </c>
      <c r="N4" s="7" t="s">
        <v>430</v>
      </c>
    </row>
    <row r="5" spans="1:14">
      <c r="A5" s="7" t="s">
        <v>438</v>
      </c>
      <c r="B5" s="7" t="s">
        <v>439</v>
      </c>
      <c r="C5" s="7" t="s">
        <v>415</v>
      </c>
      <c r="E5" s="7"/>
      <c r="F5" s="7"/>
      <c r="H5" s="7" t="s">
        <v>43</v>
      </c>
      <c r="I5" s="7" t="s">
        <v>440</v>
      </c>
      <c r="K5" s="7" t="s">
        <v>441</v>
      </c>
      <c r="L5" s="7" t="s">
        <v>420</v>
      </c>
      <c r="M5" s="12" t="s">
        <v>442</v>
      </c>
      <c r="N5" s="7" t="s">
        <v>422</v>
      </c>
    </row>
    <row r="6" spans="1:14">
      <c r="A6" s="7" t="s">
        <v>443</v>
      </c>
      <c r="B6" s="7" t="s">
        <v>444</v>
      </c>
      <c r="C6" s="7" t="s">
        <v>445</v>
      </c>
      <c r="H6" s="37" t="s">
        <v>241</v>
      </c>
      <c r="I6" s="37" t="s">
        <v>446</v>
      </c>
      <c r="K6" s="7" t="s">
        <v>447</v>
      </c>
      <c r="L6" s="7" t="s">
        <v>420</v>
      </c>
      <c r="M6" s="12" t="s">
        <v>448</v>
      </c>
      <c r="N6" s="7" t="s">
        <v>422</v>
      </c>
    </row>
    <row r="7" spans="1:14">
      <c r="A7" s="7" t="s">
        <v>449</v>
      </c>
      <c r="B7" s="8">
        <v>1</v>
      </c>
      <c r="C7" s="7" t="s">
        <v>450</v>
      </c>
      <c r="H7" s="7"/>
      <c r="I7" s="7"/>
      <c r="K7" s="7" t="s">
        <v>451</v>
      </c>
      <c r="L7" s="7" t="s">
        <v>420</v>
      </c>
      <c r="M7" s="12" t="s">
        <v>452</v>
      </c>
      <c r="N7" s="7" t="s">
        <v>422</v>
      </c>
    </row>
    <row r="8" spans="1:14">
      <c r="A8" s="7" t="s">
        <v>453</v>
      </c>
      <c r="B8" s="8">
        <v>20000</v>
      </c>
      <c r="C8" s="7" t="s">
        <v>450</v>
      </c>
      <c r="K8" s="7" t="s">
        <v>454</v>
      </c>
      <c r="L8" s="7" t="s">
        <v>420</v>
      </c>
      <c r="M8" s="12" t="s">
        <v>455</v>
      </c>
      <c r="N8" s="7" t="s">
        <v>422</v>
      </c>
    </row>
    <row r="9" spans="1:14">
      <c r="A9" s="7" t="s">
        <v>456</v>
      </c>
      <c r="B9" s="9">
        <v>20</v>
      </c>
      <c r="C9" s="7" t="s">
        <v>450</v>
      </c>
      <c r="K9" s="7" t="s">
        <v>457</v>
      </c>
      <c r="L9" s="7" t="s">
        <v>420</v>
      </c>
      <c r="M9" s="12" t="s">
        <v>458</v>
      </c>
      <c r="N9" s="7" t="s">
        <v>430</v>
      </c>
    </row>
    <row r="10" spans="1:14">
      <c r="A10" s="7" t="s">
        <v>459</v>
      </c>
      <c r="B10" s="9">
        <v>14</v>
      </c>
      <c r="C10" s="7" t="s">
        <v>450</v>
      </c>
      <c r="K10" s="7" t="s">
        <v>460</v>
      </c>
      <c r="L10" s="7" t="s">
        <v>420</v>
      </c>
      <c r="M10" s="12" t="s">
        <v>461</v>
      </c>
      <c r="N10" s="7" t="s">
        <v>422</v>
      </c>
    </row>
    <row r="11" spans="1:14">
      <c r="A11" s="7" t="s">
        <v>462</v>
      </c>
      <c r="B11" s="9">
        <v>14</v>
      </c>
      <c r="C11" s="7" t="s">
        <v>450</v>
      </c>
      <c r="K11" s="7" t="s">
        <v>463</v>
      </c>
      <c r="L11" s="7" t="s">
        <v>420</v>
      </c>
      <c r="M11" s="12" t="s">
        <v>464</v>
      </c>
      <c r="N11" s="7" t="s">
        <v>465</v>
      </c>
    </row>
    <row r="12" spans="1:14">
      <c r="A12" s="7" t="s">
        <v>17</v>
      </c>
      <c r="B12" s="7" t="s">
        <v>466</v>
      </c>
      <c r="C12" s="7" t="s">
        <v>450</v>
      </c>
      <c r="K12" s="7" t="s">
        <v>467</v>
      </c>
      <c r="L12" s="7" t="s">
        <v>420</v>
      </c>
      <c r="M12" s="12" t="s">
        <v>468</v>
      </c>
      <c r="N12" s="7" t="s">
        <v>422</v>
      </c>
    </row>
    <row r="13" spans="1:14">
      <c r="A13" s="7" t="s">
        <v>18</v>
      </c>
      <c r="B13" s="7" t="s">
        <v>469</v>
      </c>
      <c r="C13" s="7" t="s">
        <v>415</v>
      </c>
      <c r="K13" s="7" t="s">
        <v>470</v>
      </c>
      <c r="L13" s="7" t="s">
        <v>420</v>
      </c>
      <c r="M13" s="12" t="s">
        <v>471</v>
      </c>
      <c r="N13" s="7" t="s">
        <v>422</v>
      </c>
    </row>
    <row r="14" spans="1:14" ht="28.5">
      <c r="A14" s="7" t="s">
        <v>19</v>
      </c>
      <c r="B14" s="7" t="s">
        <v>472</v>
      </c>
      <c r="C14" s="7" t="s">
        <v>415</v>
      </c>
      <c r="K14" s="7" t="s">
        <v>473</v>
      </c>
      <c r="L14" s="7" t="s">
        <v>420</v>
      </c>
      <c r="M14" s="12" t="s">
        <v>474</v>
      </c>
      <c r="N14" s="7" t="s">
        <v>422</v>
      </c>
    </row>
    <row r="15" spans="1:14" ht="42.75">
      <c r="A15" s="7" t="s">
        <v>20</v>
      </c>
      <c r="B15" s="7" t="s">
        <v>475</v>
      </c>
      <c r="C15" s="7" t="s">
        <v>415</v>
      </c>
      <c r="K15" s="7" t="s">
        <v>476</v>
      </c>
      <c r="L15" s="7" t="s">
        <v>477</v>
      </c>
      <c r="M15" s="12" t="s">
        <v>478</v>
      </c>
      <c r="N15" s="7" t="s">
        <v>430</v>
      </c>
    </row>
    <row r="16" spans="1:14">
      <c r="A16" s="7" t="s">
        <v>21</v>
      </c>
      <c r="B16" s="7" t="s">
        <v>479</v>
      </c>
      <c r="C16" s="7" t="s">
        <v>415</v>
      </c>
      <c r="K16" s="7" t="s">
        <v>480</v>
      </c>
      <c r="L16" s="7" t="s">
        <v>477</v>
      </c>
      <c r="M16" s="12" t="s">
        <v>481</v>
      </c>
      <c r="N16" s="7" t="s">
        <v>422</v>
      </c>
    </row>
    <row r="17" spans="1:14" ht="28.5">
      <c r="A17" s="7" t="s">
        <v>22</v>
      </c>
      <c r="B17" s="7" t="s">
        <v>482</v>
      </c>
      <c r="C17" s="7" t="s">
        <v>415</v>
      </c>
      <c r="K17" s="7" t="s">
        <v>483</v>
      </c>
      <c r="L17" s="7" t="s">
        <v>484</v>
      </c>
      <c r="M17" s="12" t="s">
        <v>485</v>
      </c>
      <c r="N17" s="7" t="s">
        <v>430</v>
      </c>
    </row>
    <row r="18" spans="1:14">
      <c r="A18" s="7" t="s">
        <v>23</v>
      </c>
      <c r="B18" s="7" t="s">
        <v>486</v>
      </c>
      <c r="C18" s="7" t="s">
        <v>415</v>
      </c>
      <c r="K18" s="7" t="s">
        <v>487</v>
      </c>
      <c r="L18" s="7" t="s">
        <v>484</v>
      </c>
      <c r="M18" s="12" t="s">
        <v>488</v>
      </c>
      <c r="N18" s="7" t="s">
        <v>422</v>
      </c>
    </row>
    <row r="19" spans="1:14">
      <c r="A19" s="7" t="s">
        <v>24</v>
      </c>
      <c r="B19" s="7" t="s">
        <v>489</v>
      </c>
      <c r="C19" s="7" t="s">
        <v>445</v>
      </c>
      <c r="K19" s="7" t="s">
        <v>490</v>
      </c>
      <c r="L19" s="7" t="s">
        <v>484</v>
      </c>
      <c r="M19" s="12" t="s">
        <v>491</v>
      </c>
      <c r="N19" s="7" t="s">
        <v>422</v>
      </c>
    </row>
    <row r="20" spans="1:14" ht="28.5">
      <c r="A20" s="7" t="s">
        <v>25</v>
      </c>
      <c r="B20" s="7" t="s">
        <v>492</v>
      </c>
      <c r="C20" s="7" t="s">
        <v>450</v>
      </c>
      <c r="K20" s="7" t="s">
        <v>493</v>
      </c>
      <c r="L20" s="7" t="s">
        <v>484</v>
      </c>
      <c r="M20" s="12" t="s">
        <v>494</v>
      </c>
      <c r="N20" s="7" t="s">
        <v>430</v>
      </c>
    </row>
    <row r="21" spans="1:14">
      <c r="A21" s="7" t="s">
        <v>26</v>
      </c>
      <c r="B21" s="7" t="s">
        <v>495</v>
      </c>
      <c r="C21" s="7" t="s">
        <v>445</v>
      </c>
      <c r="K21" s="7" t="s">
        <v>496</v>
      </c>
      <c r="L21" s="7" t="s">
        <v>484</v>
      </c>
      <c r="M21" s="12" t="s">
        <v>497</v>
      </c>
      <c r="N21" s="7" t="s">
        <v>422</v>
      </c>
    </row>
    <row r="22" spans="1:14">
      <c r="A22" s="7" t="s">
        <v>27</v>
      </c>
      <c r="B22" s="7" t="s">
        <v>498</v>
      </c>
      <c r="C22" s="7" t="s">
        <v>445</v>
      </c>
      <c r="K22" s="7" t="s">
        <v>499</v>
      </c>
      <c r="L22" s="7" t="s">
        <v>500</v>
      </c>
      <c r="M22" s="12" t="s">
        <v>501</v>
      </c>
      <c r="N22" s="7" t="s">
        <v>422</v>
      </c>
    </row>
    <row r="23" spans="1:14">
      <c r="A23" s="7" t="s">
        <v>28</v>
      </c>
      <c r="B23" s="7" t="s">
        <v>502</v>
      </c>
      <c r="C23" s="7" t="s">
        <v>450</v>
      </c>
      <c r="K23" s="7" t="s">
        <v>503</v>
      </c>
      <c r="L23" s="7" t="s">
        <v>500</v>
      </c>
      <c r="M23" s="12" t="s">
        <v>504</v>
      </c>
      <c r="N23" s="7" t="s">
        <v>422</v>
      </c>
    </row>
    <row r="24" spans="1:14">
      <c r="A24" s="7" t="s">
        <v>505</v>
      </c>
      <c r="B24" s="7" t="s">
        <v>506</v>
      </c>
      <c r="C24" s="7" t="s">
        <v>450</v>
      </c>
      <c r="K24" s="7" t="s">
        <v>507</v>
      </c>
      <c r="L24" s="7" t="s">
        <v>500</v>
      </c>
      <c r="M24" s="12" t="s">
        <v>508</v>
      </c>
      <c r="N24" s="7" t="s">
        <v>422</v>
      </c>
    </row>
    <row r="25" spans="1:14">
      <c r="A25" s="7" t="s">
        <v>31</v>
      </c>
      <c r="B25" s="7" t="s">
        <v>509</v>
      </c>
      <c r="C25" s="7" t="s">
        <v>415</v>
      </c>
      <c r="K25" s="7" t="s">
        <v>510</v>
      </c>
      <c r="L25" s="7" t="s">
        <v>511</v>
      </c>
      <c r="M25" s="12" t="s">
        <v>512</v>
      </c>
      <c r="N25" s="7" t="s">
        <v>422</v>
      </c>
    </row>
    <row r="26" spans="1:14" ht="28.5">
      <c r="A26" s="7" t="s">
        <v>32</v>
      </c>
      <c r="B26" s="7" t="s">
        <v>513</v>
      </c>
      <c r="C26" s="7" t="s">
        <v>514</v>
      </c>
      <c r="K26" s="7" t="s">
        <v>515</v>
      </c>
      <c r="L26" s="7" t="s">
        <v>516</v>
      </c>
      <c r="M26" s="12" t="s">
        <v>517</v>
      </c>
      <c r="N26" s="7" t="s">
        <v>422</v>
      </c>
    </row>
    <row r="27" spans="1:14">
      <c r="A27" s="7" t="s">
        <v>33</v>
      </c>
      <c r="B27" s="7" t="s">
        <v>518</v>
      </c>
      <c r="C27" s="7" t="s">
        <v>415</v>
      </c>
      <c r="K27" s="7" t="s">
        <v>519</v>
      </c>
      <c r="L27" s="7" t="s">
        <v>520</v>
      </c>
      <c r="M27" s="12" t="s">
        <v>521</v>
      </c>
      <c r="N27" s="7" t="s">
        <v>430</v>
      </c>
    </row>
    <row r="28" spans="1:14">
      <c r="A28" s="7"/>
      <c r="B28" s="7"/>
      <c r="C28" s="7"/>
      <c r="K28" s="7" t="s">
        <v>522</v>
      </c>
      <c r="L28" s="7" t="s">
        <v>520</v>
      </c>
      <c r="M28" s="12" t="s">
        <v>523</v>
      </c>
      <c r="N28" s="7" t="s">
        <v>422</v>
      </c>
    </row>
    <row r="29" spans="1:14">
      <c r="K29" s="7"/>
      <c r="L29" s="7"/>
      <c r="M29" s="12"/>
      <c r="N29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E075E1F5F4354EAA6D40AAFDD7C5B7" ma:contentTypeVersion="11" ma:contentTypeDescription="Create a new document." ma:contentTypeScope="" ma:versionID="413e7fbc6bfff51495b9935fab9c9eb7">
  <xsd:schema xmlns:xsd="http://www.w3.org/2001/XMLSchema" xmlns:xs="http://www.w3.org/2001/XMLSchema" xmlns:p="http://schemas.microsoft.com/office/2006/metadata/properties" xmlns:ns2="d9e77098-5d25-4da0-8ec0-b428d9dfa13b" xmlns:ns3="dabe0c67-3730-4fa0-82e4-66182d905f97" targetNamespace="http://schemas.microsoft.com/office/2006/metadata/properties" ma:root="true" ma:fieldsID="72eddbe93d13f361e6527edddba36bff" ns2:_="" ns3:_="">
    <xsd:import namespace="d9e77098-5d25-4da0-8ec0-b428d9dfa13b"/>
    <xsd:import namespace="dabe0c67-3730-4fa0-82e4-66182d905f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e77098-5d25-4da0-8ec0-b428d9dfa1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a420194-0c98-419b-8655-40353cf4b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e0c67-3730-4fa0-82e4-66182d905f9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e00196-d256-4905-95b7-e5466cd208c7}" ma:internalName="TaxCatchAll" ma:showField="CatchAllData" ma:web="dabe0c67-3730-4fa0-82e4-66182d905f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be0c67-3730-4fa0-82e4-66182d905f97" xsi:nil="true"/>
    <lcf76f155ced4ddcb4097134ff3c332f xmlns="d9e77098-5d25-4da0-8ec0-b428d9dfa13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007B31-40A9-49CA-A632-763EEED92CBC}"/>
</file>

<file path=customXml/itemProps2.xml><?xml version="1.0" encoding="utf-8"?>
<ds:datastoreItem xmlns:ds="http://schemas.openxmlformats.org/officeDocument/2006/customXml" ds:itemID="{771E19F9-E9BE-4A38-A4E5-C2DC89D12BB3}"/>
</file>

<file path=customXml/itemProps3.xml><?xml version="1.0" encoding="utf-8"?>
<ds:datastoreItem xmlns:ds="http://schemas.openxmlformats.org/officeDocument/2006/customXml" ds:itemID="{06A99400-7273-4660-B2DB-C8CE0A4C78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Mani Naresh</cp:lastModifiedBy>
  <cp:revision/>
  <dcterms:created xsi:type="dcterms:W3CDTF">2026-09-30T07:41:58Z</dcterms:created>
  <dcterms:modified xsi:type="dcterms:W3CDTF">2026-10-14T03:12:36Z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0x01010061E075E1F5F4354EAA6D40AAFDD7C5B7</vt:lpwstr>
  </property>
  <property fmtid="{D5CDD505-2E9C-101B-9397-08002B2CF9AE}" pid="3" name="MediaServiceImageTags">
    <vt:lpwstr/>
  </property>
</Properties>
</file>