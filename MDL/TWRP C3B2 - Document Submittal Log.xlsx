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esholdings.sharepoint.com/sites/c3b2/Shared Documents/06-DC/01-MDL/"/>
    </mc:Choice>
  </mc:AlternateContent>
  <xr:revisionPtr revIDLastSave="9" documentId="13_ncr:1_{A01A6F68-F3B8-4F2B-A33E-2C4C83F82018}" xr6:coauthVersionLast="47" xr6:coauthVersionMax="47" xr10:uidLastSave="{645EDBF3-AD66-4A68-AF3B-73C5576E2DD7}"/>
  <bookViews>
    <workbookView xWindow="28680" yWindow="-120" windowWidth="29040" windowHeight="15720" activeTab="1" xr2:uid="{00000000-000D-0000-FFFF-FFFF00000000}"/>
  </bookViews>
  <sheets>
    <sheet name="Notes" sheetId="4" r:id="rId1"/>
    <sheet name="SubmittalLog" sheetId="1" r:id="rId2"/>
    <sheet name="Code" sheetId="3" r:id="rId3"/>
  </sheets>
  <definedNames>
    <definedName name="_xlnm._FilterDatabase" localSheetId="1" hidden="1">SubmittalLog!$A$1:$T$233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M19" i="1" s="1"/>
  <c r="N2" i="1" a="1"/>
  <c r="N3" i="1" a="1"/>
  <c r="N4" i="1" a="1"/>
  <c r="N5" i="1" a="1"/>
  <c r="N6" i="1" a="1"/>
  <c r="N7" i="1" a="1"/>
  <c r="N8" i="1" a="1"/>
  <c r="N9" i="1" a="1"/>
  <c r="N10" i="1" a="1"/>
  <c r="N11" i="1" a="1"/>
  <c r="N12" i="1" a="1"/>
  <c r="N13" i="1" a="1"/>
  <c r="N14" i="1" a="1"/>
  <c r="N15" i="1" a="1"/>
  <c r="N16" i="1" a="1"/>
  <c r="N17" i="1" a="1"/>
  <c r="N18" i="1" a="1"/>
  <c r="N19" i="1" a="1"/>
  <c r="N20" i="1" a="1"/>
  <c r="N21" i="1" a="1"/>
  <c r="N22" i="1" a="1"/>
  <c r="N23" i="1" a="1"/>
  <c r="N24" i="1" a="1"/>
  <c r="N25" i="1" a="1"/>
  <c r="N26" i="1" a="1"/>
  <c r="N27" i="1" a="1"/>
  <c r="N28" i="1" a="1"/>
  <c r="N29" i="1" a="1"/>
  <c r="N30" i="1" a="1"/>
  <c r="N31" i="1" a="1"/>
  <c r="N32" i="1" a="1"/>
  <c r="N33" i="1" a="1"/>
  <c r="N34" i="1" a="1"/>
  <c r="N35" i="1" a="1"/>
  <c r="N36" i="1" a="1"/>
  <c r="N37" i="1" a="1"/>
  <c r="N38" i="1" a="1"/>
  <c r="N39" i="1" a="1"/>
  <c r="N40" i="1" a="1"/>
  <c r="N41" i="1" a="1"/>
  <c r="N42" i="1" a="1"/>
  <c r="N43" i="1" a="1"/>
  <c r="N44" i="1" a="1"/>
  <c r="N45" i="1" a="1"/>
  <c r="N46" i="1" a="1"/>
  <c r="N47" i="1" a="1"/>
  <c r="N48" i="1" a="1"/>
  <c r="N49" i="1" a="1"/>
  <c r="N50" i="1" a="1"/>
  <c r="N51" i="1" a="1"/>
  <c r="N52" i="1" a="1"/>
  <c r="N53" i="1" a="1"/>
  <c r="N54" i="1" a="1"/>
  <c r="N55" i="1" a="1"/>
  <c r="N56" i="1" a="1"/>
  <c r="N57" i="1" a="1"/>
  <c r="N58" i="1" a="1"/>
  <c r="N59" i="1" a="1"/>
  <c r="N60" i="1" a="1"/>
  <c r="N61" i="1" a="1"/>
  <c r="N62" i="1" a="1"/>
  <c r="N63" i="1" a="1"/>
  <c r="N64" i="1" a="1"/>
  <c r="N65" i="1" a="1"/>
  <c r="N66" i="1" a="1"/>
  <c r="N67" i="1" a="1"/>
  <c r="N68" i="1" a="1"/>
  <c r="N69" i="1" a="1"/>
  <c r="N70" i="1" a="1"/>
  <c r="N71" i="1" a="1"/>
  <c r="N72" i="1" a="1"/>
  <c r="N73" i="1" a="1"/>
  <c r="N74" i="1" a="1"/>
  <c r="N75" i="1" a="1"/>
  <c r="N76" i="1" a="1"/>
  <c r="N77" i="1" a="1"/>
  <c r="N78" i="1" a="1"/>
  <c r="N79" i="1" a="1"/>
  <c r="N80" i="1" a="1"/>
  <c r="N81" i="1" a="1"/>
  <c r="N82" i="1" a="1"/>
  <c r="N83" i="1" a="1"/>
  <c r="N84" i="1" a="1"/>
  <c r="N85" i="1" a="1"/>
  <c r="N86" i="1" a="1"/>
  <c r="N87" i="1" a="1"/>
  <c r="N88" i="1" a="1"/>
  <c r="N89" i="1" a="1"/>
  <c r="N90" i="1" a="1"/>
  <c r="N91" i="1" a="1"/>
  <c r="N92" i="1" a="1"/>
  <c r="N93" i="1" a="1"/>
  <c r="N94" i="1" a="1"/>
  <c r="N95" i="1" a="1"/>
  <c r="N96" i="1" a="1"/>
  <c r="N97" i="1" a="1"/>
  <c r="N98" i="1" a="1"/>
  <c r="N99" i="1" a="1"/>
  <c r="N100" i="1" a="1"/>
  <c r="N101" i="1" a="1"/>
  <c r="N102" i="1" a="1"/>
  <c r="N103" i="1" a="1"/>
  <c r="N104" i="1" a="1"/>
  <c r="N105" i="1" a="1"/>
  <c r="N106" i="1" a="1"/>
  <c r="N107" i="1" a="1"/>
  <c r="N108" i="1" a="1"/>
  <c r="N109" i="1" a="1"/>
  <c r="N110" i="1" a="1"/>
  <c r="N111" i="1" a="1"/>
  <c r="N112" i="1" a="1"/>
  <c r="N113" i="1" a="1"/>
  <c r="N114" i="1" a="1"/>
  <c r="N115" i="1" a="1"/>
  <c r="N116" i="1" a="1"/>
  <c r="N117" i="1" a="1"/>
  <c r="N118" i="1" a="1"/>
  <c r="N119" i="1" a="1"/>
  <c r="N120" i="1" a="1"/>
  <c r="N121" i="1" a="1"/>
  <c r="N122" i="1" a="1"/>
  <c r="N123" i="1" a="1"/>
  <c r="N124" i="1" a="1"/>
  <c r="N125" i="1" a="1"/>
  <c r="N126" i="1" a="1"/>
  <c r="N127" i="1" a="1"/>
  <c r="N128" i="1" a="1"/>
  <c r="N129" i="1" a="1"/>
  <c r="N130" i="1" a="1"/>
  <c r="N131" i="1" a="1"/>
  <c r="N132" i="1" a="1"/>
  <c r="N133" i="1" a="1"/>
  <c r="N134" i="1" a="1"/>
  <c r="N135" i="1" a="1"/>
  <c r="N136" i="1" a="1"/>
  <c r="N137" i="1" a="1"/>
  <c r="N138" i="1" a="1"/>
  <c r="N139" i="1" a="1"/>
  <c r="N140" i="1" a="1"/>
  <c r="N141" i="1" a="1"/>
  <c r="N142" i="1" a="1"/>
  <c r="N143" i="1" a="1"/>
  <c r="N144" i="1" a="1"/>
  <c r="N145" i="1" a="1"/>
  <c r="N146" i="1" a="1"/>
  <c r="N147" i="1" a="1"/>
  <c r="N148" i="1" a="1"/>
  <c r="N149" i="1" a="1"/>
  <c r="N150" i="1" a="1"/>
  <c r="N151" i="1" a="1"/>
  <c r="N152" i="1" a="1"/>
  <c r="N153" i="1" a="1"/>
  <c r="N154" i="1" a="1"/>
  <c r="N155" i="1" a="1"/>
  <c r="N156" i="1" a="1"/>
  <c r="N157" i="1" a="1"/>
  <c r="N158" i="1" a="1"/>
  <c r="N159" i="1" a="1"/>
  <c r="N160" i="1" a="1"/>
  <c r="N161" i="1" a="1"/>
  <c r="N162" i="1" a="1"/>
  <c r="N163" i="1" a="1"/>
  <c r="N164" i="1" a="1"/>
  <c r="N165" i="1" a="1"/>
  <c r="N166" i="1" a="1"/>
  <c r="N167" i="1" a="1"/>
  <c r="N168" i="1" a="1"/>
  <c r="N169" i="1" a="1"/>
  <c r="N170" i="1" a="1"/>
  <c r="N171" i="1" a="1"/>
  <c r="N172" i="1" a="1"/>
  <c r="N173" i="1" a="1"/>
  <c r="N174" i="1" a="1"/>
  <c r="N175" i="1" a="1"/>
  <c r="N176" i="1" a="1"/>
  <c r="N177" i="1" a="1"/>
  <c r="N178" i="1" a="1"/>
  <c r="N179" i="1" a="1"/>
  <c r="N180" i="1" a="1"/>
  <c r="N181" i="1" a="1"/>
  <c r="N182" i="1" a="1"/>
  <c r="N183" i="1" a="1"/>
  <c r="N184" i="1" a="1"/>
  <c r="N185" i="1" a="1"/>
  <c r="N186" i="1" a="1"/>
  <c r="N187" i="1" a="1"/>
  <c r="N188" i="1" a="1"/>
  <c r="N189" i="1" a="1"/>
  <c r="N190" i="1" a="1"/>
  <c r="N191" i="1" a="1"/>
  <c r="N192" i="1" a="1"/>
  <c r="N193" i="1" a="1"/>
  <c r="N194" i="1" a="1"/>
  <c r="N195" i="1" a="1"/>
  <c r="N196" i="1" a="1"/>
  <c r="N197" i="1" a="1"/>
  <c r="N198" i="1" a="1"/>
  <c r="N199" i="1" a="1"/>
  <c r="N200" i="1" a="1"/>
  <c r="N201" i="1" a="1"/>
  <c r="N202" i="1" a="1"/>
  <c r="N203" i="1" a="1"/>
  <c r="N204" i="1" a="1"/>
  <c r="N205" i="1" a="1"/>
  <c r="N206" i="1" a="1"/>
  <c r="N207" i="1" a="1"/>
  <c r="N208" i="1" a="1"/>
  <c r="N209" i="1" a="1"/>
  <c r="N210" i="1" a="1"/>
  <c r="N211" i="1" a="1"/>
  <c r="N212" i="1" a="1"/>
  <c r="N213" i="1" a="1"/>
  <c r="N214" i="1" a="1"/>
  <c r="N215" i="1" a="1"/>
  <c r="N216" i="1" a="1"/>
  <c r="N217" i="1" a="1"/>
  <c r="N218" i="1" a="1"/>
  <c r="N219" i="1" a="1"/>
  <c r="N220" i="1" a="1"/>
  <c r="N221" i="1" a="1"/>
  <c r="N222" i="1" a="1"/>
  <c r="N223" i="1" a="1"/>
  <c r="N224" i="1" a="1"/>
  <c r="N225" i="1" a="1"/>
  <c r="N226" i="1" a="1"/>
  <c r="N227" i="1" a="1"/>
  <c r="N228" i="1" a="1"/>
  <c r="N229" i="1" a="1"/>
  <c r="N230" i="1" a="1"/>
  <c r="N231" i="1" a="1"/>
  <c r="N232" i="1" a="1"/>
  <c r="N233" i="1" a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" i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00" i="1"/>
  <c r="M100" i="1" s="1"/>
  <c r="L101" i="1"/>
  <c r="M101" i="1" s="1"/>
  <c r="L102" i="1"/>
  <c r="M102" i="1" s="1"/>
  <c r="L103" i="1"/>
  <c r="M103" i="1" s="1"/>
  <c r="L104" i="1"/>
  <c r="M104" i="1" s="1"/>
  <c r="L105" i="1"/>
  <c r="M105" i="1" s="1"/>
  <c r="L106" i="1"/>
  <c r="M106" i="1" s="1"/>
  <c r="L107" i="1"/>
  <c r="M107" i="1" s="1"/>
  <c r="L108" i="1"/>
  <c r="M108" i="1" s="1"/>
  <c r="L109" i="1"/>
  <c r="M109" i="1" s="1"/>
  <c r="L110" i="1"/>
  <c r="M110" i="1" s="1"/>
  <c r="L111" i="1"/>
  <c r="M111" i="1" s="1"/>
  <c r="L112" i="1"/>
  <c r="M112" i="1" s="1"/>
  <c r="L113" i="1"/>
  <c r="M113" i="1" s="1"/>
  <c r="L114" i="1"/>
  <c r="M114" i="1" s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2" i="1"/>
  <c r="M122" i="1" s="1"/>
  <c r="L123" i="1"/>
  <c r="M123" i="1" s="1"/>
  <c r="L124" i="1"/>
  <c r="M124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3" i="1"/>
  <c r="M133" i="1" s="1"/>
  <c r="L134" i="1"/>
  <c r="M134" i="1" s="1"/>
  <c r="L135" i="1"/>
  <c r="M135" i="1" s="1"/>
  <c r="L136" i="1"/>
  <c r="M136" i="1" s="1"/>
  <c r="L137" i="1"/>
  <c r="M137" i="1" s="1"/>
  <c r="L138" i="1"/>
  <c r="M138" i="1" s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1" i="1"/>
  <c r="M151" i="1" s="1"/>
  <c r="L152" i="1"/>
  <c r="M152" i="1" s="1"/>
  <c r="L153" i="1"/>
  <c r="M153" i="1" s="1"/>
  <c r="L154" i="1"/>
  <c r="M154" i="1" s="1"/>
  <c r="L155" i="1"/>
  <c r="M155" i="1" s="1"/>
  <c r="L156" i="1"/>
  <c r="M156" i="1" s="1"/>
  <c r="L157" i="1"/>
  <c r="M157" i="1" s="1"/>
  <c r="L158" i="1"/>
  <c r="M158" i="1" s="1"/>
  <c r="L159" i="1"/>
  <c r="M159" i="1" s="1"/>
  <c r="L160" i="1"/>
  <c r="M160" i="1" s="1"/>
  <c r="L161" i="1"/>
  <c r="M161" i="1" s="1"/>
  <c r="L162" i="1"/>
  <c r="M162" i="1" s="1"/>
  <c r="L163" i="1"/>
  <c r="M163" i="1" s="1"/>
  <c r="L164" i="1"/>
  <c r="M164" i="1" s="1"/>
  <c r="L165" i="1"/>
  <c r="M165" i="1" s="1"/>
  <c r="L166" i="1"/>
  <c r="M166" i="1" s="1"/>
  <c r="L167" i="1"/>
  <c r="M167" i="1" s="1"/>
  <c r="L168" i="1"/>
  <c r="M168" i="1" s="1"/>
  <c r="L169" i="1"/>
  <c r="M169" i="1" s="1"/>
  <c r="L170" i="1"/>
  <c r="M170" i="1" s="1"/>
  <c r="L171" i="1"/>
  <c r="M171" i="1" s="1"/>
  <c r="L172" i="1"/>
  <c r="M172" i="1" s="1"/>
  <c r="L173" i="1"/>
  <c r="M173" i="1" s="1"/>
  <c r="L174" i="1"/>
  <c r="M174" i="1" s="1"/>
  <c r="L175" i="1"/>
  <c r="M175" i="1" s="1"/>
  <c r="L176" i="1"/>
  <c r="M176" i="1" s="1"/>
  <c r="L177" i="1"/>
  <c r="M177" i="1" s="1"/>
  <c r="L178" i="1"/>
  <c r="M178" i="1" s="1"/>
  <c r="L179" i="1"/>
  <c r="M179" i="1" s="1"/>
  <c r="L180" i="1"/>
  <c r="M180" i="1" s="1"/>
  <c r="L181" i="1"/>
  <c r="M181" i="1" s="1"/>
  <c r="L182" i="1"/>
  <c r="M182" i="1" s="1"/>
  <c r="L183" i="1"/>
  <c r="M183" i="1" s="1"/>
  <c r="L184" i="1"/>
  <c r="M184" i="1" s="1"/>
  <c r="L185" i="1"/>
  <c r="M185" i="1" s="1"/>
  <c r="L186" i="1"/>
  <c r="M186" i="1" s="1"/>
  <c r="L187" i="1"/>
  <c r="M187" i="1" s="1"/>
  <c r="L188" i="1"/>
  <c r="M188" i="1" s="1"/>
  <c r="L189" i="1"/>
  <c r="M189" i="1" s="1"/>
  <c r="L190" i="1"/>
  <c r="M190" i="1" s="1"/>
  <c r="L191" i="1"/>
  <c r="M191" i="1" s="1"/>
  <c r="L192" i="1"/>
  <c r="M192" i="1" s="1"/>
  <c r="L193" i="1"/>
  <c r="M193" i="1" s="1"/>
  <c r="L194" i="1"/>
  <c r="M194" i="1" s="1"/>
  <c r="L195" i="1"/>
  <c r="M195" i="1" s="1"/>
  <c r="L196" i="1"/>
  <c r="M196" i="1" s="1"/>
  <c r="L197" i="1"/>
  <c r="M197" i="1" s="1"/>
  <c r="L198" i="1"/>
  <c r="M198" i="1" s="1"/>
  <c r="L199" i="1"/>
  <c r="M199" i="1" s="1"/>
  <c r="L200" i="1"/>
  <c r="M200" i="1" s="1"/>
  <c r="L201" i="1"/>
  <c r="M201" i="1" s="1"/>
  <c r="L202" i="1"/>
  <c r="M202" i="1" s="1"/>
  <c r="L203" i="1"/>
  <c r="M203" i="1" s="1"/>
  <c r="L204" i="1"/>
  <c r="M204" i="1" s="1"/>
  <c r="L205" i="1"/>
  <c r="M205" i="1" s="1"/>
  <c r="L206" i="1"/>
  <c r="M206" i="1" s="1"/>
  <c r="L207" i="1"/>
  <c r="M207" i="1" s="1"/>
  <c r="L208" i="1"/>
  <c r="M208" i="1" s="1"/>
  <c r="L209" i="1"/>
  <c r="M209" i="1" s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M223" i="1" s="1"/>
  <c r="L224" i="1"/>
  <c r="M224" i="1" s="1"/>
  <c r="L225" i="1"/>
  <c r="M225" i="1" s="1"/>
  <c r="L226" i="1"/>
  <c r="M226" i="1" s="1"/>
  <c r="L227" i="1"/>
  <c r="L228" i="1"/>
  <c r="L229" i="1"/>
  <c r="M229" i="1" s="1"/>
  <c r="L230" i="1"/>
  <c r="M230" i="1" s="1"/>
  <c r="L231" i="1"/>
  <c r="M231" i="1" s="1"/>
  <c r="L232" i="1"/>
  <c r="M232" i="1" s="1"/>
  <c r="L233" i="1"/>
  <c r="M233" i="1" s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7" i="1"/>
  <c r="M228" i="1"/>
  <c r="L2" i="1" l="1"/>
  <c r="M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<sst xmlns="http://schemas.openxmlformats.org/spreadsheetml/2006/main" count="1168" uniqueCount="345">
  <si>
    <t>Instructions to use MDL: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</si>
  <si>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</si>
  <si>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</si>
  <si>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</si>
  <si>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</si>
  <si>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</si>
  <si>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</si>
  <si>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</si>
  <si>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</si>
  <si>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</si>
  <si>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</si>
  <si>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</si>
  <si>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Notes from S.O.:</t>
  </si>
  <si>
    <t>1</t>
  </si>
  <si>
    <t>2</t>
  </si>
  <si>
    <t>SNo.</t>
  </si>
  <si>
    <t>Prolog No.</t>
  </si>
  <si>
    <t>Prolog Rev</t>
  </si>
  <si>
    <t>Prolog Subject</t>
  </si>
  <si>
    <t>Document No.</t>
  </si>
  <si>
    <t>Revision</t>
  </si>
  <si>
    <t>Submitted By</t>
  </si>
  <si>
    <t>Submission Date</t>
  </si>
  <si>
    <t>Review Period</t>
  </si>
  <si>
    <t>Target Return Date</t>
  </si>
  <si>
    <t>Actual Return Date</t>
  </si>
  <si>
    <t>Review Turnaround Days</t>
  </si>
  <si>
    <t>Review Delay Days</t>
  </si>
  <si>
    <t>Submission Status</t>
  </si>
  <si>
    <t>Approval Status</t>
  </si>
  <si>
    <t>Resubmission Required</t>
  </si>
  <si>
    <t>Notes</t>
  </si>
  <si>
    <t>131236-WIL21-VI-D-0001</t>
  </si>
  <si>
    <t>0</t>
  </si>
  <si>
    <t>APP</t>
  </si>
  <si>
    <t>NO</t>
  </si>
  <si>
    <t>131236-WIL21-VI-M-0010</t>
  </si>
  <si>
    <t>AWC</t>
  </si>
  <si>
    <t>YES</t>
  </si>
  <si>
    <t>131236-WIL21-VI-M-2001</t>
  </si>
  <si>
    <t>131236-WIL21-VI-M-2002</t>
  </si>
  <si>
    <t>131236-WIL21-VI-M-2003</t>
  </si>
  <si>
    <t>131236-WIL21-VI-M-2004</t>
  </si>
  <si>
    <t>131236-WIL21-VI-M-2005</t>
  </si>
  <si>
    <t>131236-WIL21-VI-M-2007</t>
  </si>
  <si>
    <t>131236-WIL21-VI-M-2006</t>
  </si>
  <si>
    <t>131236-WIL21-VI-M-2008</t>
  </si>
  <si>
    <t>131236-WIL21-SH-M-0001</t>
  </si>
  <si>
    <t>131236-WIL21-DR-P-6000</t>
  </si>
  <si>
    <t>131236-WIL21-DR-P-6001</t>
  </si>
  <si>
    <t>131236-WIL21-VI-M-0001</t>
  </si>
  <si>
    <t>131236-WIL21-RT-P-0001</t>
  </si>
  <si>
    <t>131236-WIL21-RT-P-0002</t>
  </si>
  <si>
    <t>131236-WIL21-RT-P-0003</t>
  </si>
  <si>
    <t>131236-WIL21-RT-Z-0001</t>
  </si>
  <si>
    <t>131236-WIL21-PS-P-0001</t>
  </si>
  <si>
    <t>131236-WIL21-CH-P-0001</t>
  </si>
  <si>
    <t>131236-WIL21-CH-P-0002</t>
  </si>
  <si>
    <t>131236-WIL21-CH-P-0003</t>
  </si>
  <si>
    <t>131236-WIL21-SN-P-0001</t>
  </si>
  <si>
    <t>131236-WIL21-SP-P-0001</t>
  </si>
  <si>
    <t>131236-WIL21-DR-P-7010</t>
  </si>
  <si>
    <t>131236-WIL21-DR-P-7011</t>
  </si>
  <si>
    <t>131236-WIL21-SP-P-0002</t>
  </si>
  <si>
    <t>131236-WIL21-CL-P-0001</t>
  </si>
  <si>
    <t>131236-WIL21-CL-P-0002</t>
  </si>
  <si>
    <t>131236-WIL21-CL-P-0003</t>
  </si>
  <si>
    <t>131236-WIL21-CL-P-0004</t>
  </si>
  <si>
    <t>131236-WIL21-CL-P-0005</t>
  </si>
  <si>
    <t>131236-WIL21-CL-P-0006</t>
  </si>
  <si>
    <t>131236-WIL21-CL-P-0007</t>
  </si>
  <si>
    <t>131236-WIL21-CL-P-0008</t>
  </si>
  <si>
    <t>131236-WIL21-CL-P-0009</t>
  </si>
  <si>
    <t>131236-WIL21-CL-P-0010</t>
  </si>
  <si>
    <t>131236-WIL21-CL-P-0011</t>
  </si>
  <si>
    <t>131236-WIL21-CL-P-0012</t>
  </si>
  <si>
    <t>131236-WIL21-CL-P-5701</t>
  </si>
  <si>
    <t>131236-WIL21-CL-P-5703</t>
  </si>
  <si>
    <t>131236-WIL21-CL-P-5702</t>
  </si>
  <si>
    <t>131236-WIL21-CL-P-5301</t>
  </si>
  <si>
    <t>131236-WIL21-CL-P-5311</t>
  </si>
  <si>
    <t>131236-WIL21-CL-P-5351</t>
  </si>
  <si>
    <t>131236-WIL21-CL-P-5361</t>
  </si>
  <si>
    <t>131236-WIL21-CL-P-5371</t>
  </si>
  <si>
    <t>131236-WIL21-CL-P-5381</t>
  </si>
  <si>
    <t>131236-WIL21-CL-P-5391</t>
  </si>
  <si>
    <t>131236-WIL21-CL-P-5431</t>
  </si>
  <si>
    <t>131236-WIL21-CL-P-5481</t>
  </si>
  <si>
    <t>REJ</t>
  </si>
  <si>
    <t>131236-WIL21-CL-P-5501</t>
  </si>
  <si>
    <t>131236-WIL21-CL-P-5511</t>
  </si>
  <si>
    <t>131236-WIL21-CL-P-5521</t>
  </si>
  <si>
    <t>131236-WIL21-CL-P-5531</t>
  </si>
  <si>
    <t>131236-WIL21-CL-P-5541</t>
  </si>
  <si>
    <t>131236-WIL21-CL-P-5551</t>
  </si>
  <si>
    <t>131236-WIL21-CL-P-5751</t>
  </si>
  <si>
    <t>131236-WIL21-SP-P-0004</t>
  </si>
  <si>
    <t>131236-WIL21-RT-Z-0002</t>
  </si>
  <si>
    <t>131236-WIL21-BQ-P-0001</t>
  </si>
  <si>
    <t>131236-WIL21-DR-P-7001</t>
  </si>
  <si>
    <t>131236-WIL21-DR-P-7002</t>
  </si>
  <si>
    <t>131236-WIL21-DR-P-6002</t>
  </si>
  <si>
    <t>131236-WIL21-DR-P-6003</t>
  </si>
  <si>
    <t>131236-WIL21-DR-P-6004</t>
  </si>
  <si>
    <t>131236-WIL21-DR-P-6005</t>
  </si>
  <si>
    <t>131236-WIL21-DR-P-6006</t>
  </si>
  <si>
    <t>131236-WIL21-DR-P-6007</t>
  </si>
  <si>
    <t>131236-WIL21-DR-P-6008</t>
  </si>
  <si>
    <t>131236-WIL21-DR-P-6009</t>
  </si>
  <si>
    <t>131236-WIL21-DR-P-6010</t>
  </si>
  <si>
    <t>131236-WIL21-DR-P-6011</t>
  </si>
  <si>
    <t>131236-WIL21-DR-P-6012</t>
  </si>
  <si>
    <t>131236-WIL21-DR-P-6013</t>
  </si>
  <si>
    <t>131236-WIL21-DR-P-6014</t>
  </si>
  <si>
    <t>131236-WIL21-DR-P-6015</t>
  </si>
  <si>
    <t>131236-WIL21-DR-P-6016</t>
  </si>
  <si>
    <t>131236-WIL21-DR-P-6017</t>
  </si>
  <si>
    <t>131236-WIL21-DR-P-6018</t>
  </si>
  <si>
    <t>131236-WIL21-DR-P-6019</t>
  </si>
  <si>
    <t>131236-WIL21-DR-P-6020</t>
  </si>
  <si>
    <t>131236-WIL21-DR-P-6300</t>
  </si>
  <si>
    <t>131236-WIL21-DR-P-6301</t>
  </si>
  <si>
    <t>131236-WIL21-DR-P-6500</t>
  </si>
  <si>
    <t>131236-WIL21-DR-P-6200</t>
  </si>
  <si>
    <t>131236-WIL21-DR-P-6600</t>
  </si>
  <si>
    <t>131236-WIL21-DR-P-6601</t>
  </si>
  <si>
    <t>131236-WIL21-DR-E-8001</t>
  </si>
  <si>
    <t>131236-WIL21-DR-M-1200</t>
  </si>
  <si>
    <t>131236-WIL21-DR-M-1201</t>
  </si>
  <si>
    <t>131236-WIL21-DR-M-1202</t>
  </si>
  <si>
    <t>131236-WIL21-DR-M-5021</t>
  </si>
  <si>
    <t>131236-WIL21-DR-M-5022</t>
  </si>
  <si>
    <t>131236-WIL21-DR-M-1203</t>
  </si>
  <si>
    <t>131236-WIL21-DR-M-1204</t>
  </si>
  <si>
    <t>131236-WIL21-DR-M-1205</t>
  </si>
  <si>
    <t>131236-WIL21-DR-M-1206</t>
  </si>
  <si>
    <t>131236-WIL21-DR-M-1207</t>
  </si>
  <si>
    <t>131236-WIL21-DR-M-1208</t>
  </si>
  <si>
    <t>131236-WIL21-DR-M-1209</t>
  </si>
  <si>
    <t>131236-WIL21-DR-M-1210</t>
  </si>
  <si>
    <t>131236-WIL21-DR-M-3203</t>
  </si>
  <si>
    <t>131236-WIL21-DR-M-3204</t>
  </si>
  <si>
    <t>131236-WIL21-DR-M-3205</t>
  </si>
  <si>
    <t>131236-WIL21-DR-M-3206</t>
  </si>
  <si>
    <t>131236-WIL21-DR-M-3207</t>
  </si>
  <si>
    <t>131236-WIL21-DR-M-3208</t>
  </si>
  <si>
    <t>131236-WIL21-DR-M-3209</t>
  </si>
  <si>
    <t>131236-WIL21-DR-M-3210</t>
  </si>
  <si>
    <t>131236-WIL21-DR-M-5701</t>
  </si>
  <si>
    <t>131236-WIL21-DR-M-5702</t>
  </si>
  <si>
    <t>131236-WIL21-DR-M-5703</t>
  </si>
  <si>
    <t>131236-WIL21-DR-M-5711</t>
  </si>
  <si>
    <t>131236-WIL21-DR-M-5751</t>
  </si>
  <si>
    <t>131236-WIL21-DR-M-5801</t>
  </si>
  <si>
    <t>131236-WIL21-DR-M-0015</t>
  </si>
  <si>
    <t>131236-WIL21-DR-M-0016</t>
  </si>
  <si>
    <t>131236-WIL21-DR-M-0017</t>
  </si>
  <si>
    <t>131236-WIL21-DR-M-0018</t>
  </si>
  <si>
    <t>131236-WIL21-DR-M-0025</t>
  </si>
  <si>
    <t>131236-WIL21-DR-M-0026</t>
  </si>
  <si>
    <t>131236-WIL21-DS-M-5711</t>
  </si>
  <si>
    <t>131236-WIL21-DS-M-5701</t>
  </si>
  <si>
    <t>131236-WIL21-DS-M-5702</t>
  </si>
  <si>
    <t>131236-WIL21-DS-M-5703</t>
  </si>
  <si>
    <t>131236-WIL21-DS-M-5721</t>
  </si>
  <si>
    <t>131236-WIL21-DS-M-5722</t>
  </si>
  <si>
    <t>131236-WIL21-DS-M-5723</t>
  </si>
  <si>
    <t>131236-WIL21-DS-M-5724</t>
  </si>
  <si>
    <t>131236-WIL21-DS-M-5725</t>
  </si>
  <si>
    <t>131236-WIL21-DS-M-5732</t>
  </si>
  <si>
    <t>131236-WIL21-DS-M-5733</t>
  </si>
  <si>
    <t>131236-WIL21-DS-M-5734</t>
  </si>
  <si>
    <t>131236-WIL21-DS-M-5731</t>
  </si>
  <si>
    <t>131236-WIL21-DS-M-5735</t>
  </si>
  <si>
    <t>131236-WIL21-DS-M-5560</t>
  </si>
  <si>
    <t>131236-WIL21-DS-M-5751</t>
  </si>
  <si>
    <t>131236-WIL21-DS-M-5752</t>
  </si>
  <si>
    <t>131236-WIL21-DS-M-5801</t>
  </si>
  <si>
    <t>131236-WIL21-DS-M-5753</t>
  </si>
  <si>
    <t>131236-WIL21-DS-M-5761</t>
  </si>
  <si>
    <t>131236-WIL21-DS-M-0020</t>
  </si>
  <si>
    <t>131236-WIL21-VI-M-0002</t>
  </si>
  <si>
    <t>131236-WIL21-VI-M-0003</t>
  </si>
  <si>
    <t>131236-WIL21-VI-M-0004</t>
  </si>
  <si>
    <t>131236-WIL21-CL-P-0014</t>
  </si>
  <si>
    <t>VOID</t>
  </si>
  <si>
    <t>131236-WIL21-CL-P-0013</t>
  </si>
  <si>
    <t>131236-WIL21-CL-P-0016</t>
  </si>
  <si>
    <t>131236-WIL21-CL-P-0017</t>
  </si>
  <si>
    <t>131236-WIL21-CL-P-0018</t>
  </si>
  <si>
    <t>131236-WIL21-CL-P-0028</t>
  </si>
  <si>
    <t>131236-WIL21-RT-P-0004</t>
  </si>
  <si>
    <t>131236-WIL21-DR-P-6021</t>
  </si>
  <si>
    <t>131236-WIL21-DR-P-6022</t>
  </si>
  <si>
    <t>131236-WIL21-DR-P-6023</t>
  </si>
  <si>
    <t>131236-WIL21-DR-P-6024</t>
  </si>
  <si>
    <t>131236-WIL21-DR-P-6025</t>
  </si>
  <si>
    <t>131236-WIL21-DR-P-6026</t>
  </si>
  <si>
    <t>131236-WIL21-DR-P-6027</t>
  </si>
  <si>
    <t>131236-WIL21-DR-P-6028</t>
  </si>
  <si>
    <t>131236-WIL21-DR-P-6029</t>
  </si>
  <si>
    <t>131236-WIL21-DR-P-6030</t>
  </si>
  <si>
    <t>131236-WIL21-DR-P-6031</t>
  </si>
  <si>
    <t>131236-WIL21-DR-P-6032</t>
  </si>
  <si>
    <t>131236-WIL21-DR-P-6033</t>
  </si>
  <si>
    <t>131236-WIL21-DR-P-6034</t>
  </si>
  <si>
    <t>131236-WIL21-DR-P-6035</t>
  </si>
  <si>
    <t>131236-WIL21-DR-P-6036</t>
  </si>
  <si>
    <t>131236-WIL21-DR-P-6101</t>
  </si>
  <si>
    <t>131236-WIL21-DR-P-6121</t>
  </si>
  <si>
    <t>131236-WIL21-DR-P-6050</t>
  </si>
  <si>
    <t>131236-WIL21-DR-P-6400</t>
  </si>
  <si>
    <t>131236-WIL21-DR-P-6063</t>
  </si>
  <si>
    <t>131236-WIL21-DR-P-6070</t>
  </si>
  <si>
    <t>131236-WIL21-DR-P-6051</t>
  </si>
  <si>
    <t>131236-WIL21-PS-P-0002</t>
  </si>
  <si>
    <t>131236-WIL21-SP-I-0005</t>
  </si>
  <si>
    <t>131236-WIL21-RT-Z-0003</t>
  </si>
  <si>
    <t>131236-WIL21-BQ-P-0003</t>
  </si>
  <si>
    <t>131236-WIL21-BQ-P-0002</t>
  </si>
  <si>
    <t>131236-WIL21-DS-M-0001</t>
  </si>
  <si>
    <t>131236-WIL21-DS-M-0047</t>
  </si>
  <si>
    <t>131236-WIL21-DS-M-0040</t>
  </si>
  <si>
    <t>Project Metadata Title</t>
  </si>
  <si>
    <t>Project Metadata Values</t>
  </si>
  <si>
    <t>Project Metadata Data Type</t>
  </si>
  <si>
    <t>Submission Status Code</t>
  </si>
  <si>
    <t>Approval Code</t>
  </si>
  <si>
    <t>Error Code</t>
  </si>
  <si>
    <t>Group</t>
  </si>
  <si>
    <t>Rule</t>
  </si>
  <si>
    <t>Severity</t>
  </si>
  <si>
    <t>Project Title</t>
  </si>
  <si>
    <t>TWRP C3B2</t>
  </si>
  <si>
    <t>Text</t>
  </si>
  <si>
    <t>SUR</t>
  </si>
  <si>
    <t>Submitted Under SO Review</t>
  </si>
  <si>
    <t>Rejected</t>
  </si>
  <si>
    <t>V-01</t>
  </si>
  <si>
    <t>A</t>
  </si>
  <si>
    <t>Document No. (M) blank on an otherwise populated row</t>
  </si>
  <si>
    <t>Warning</t>
  </si>
  <si>
    <t>Project Code</t>
  </si>
  <si>
    <t>C3B2</t>
  </si>
  <si>
    <t>RTR</t>
  </si>
  <si>
    <t>SO Reviewed Pending Resubmission</t>
  </si>
  <si>
    <t>NAP</t>
  </si>
  <si>
    <t>Not Approved</t>
  </si>
  <si>
    <t>V-02</t>
  </si>
  <si>
    <t>Stage (B) not in Code!E list</t>
  </si>
  <si>
    <t>Error</t>
  </si>
  <si>
    <t>Client</t>
  </si>
  <si>
    <t>PUB</t>
  </si>
  <si>
    <t>NTS</t>
  </si>
  <si>
    <t>Resubmission Not Required</t>
  </si>
  <si>
    <t>Approved without Comments</t>
  </si>
  <si>
    <t>V-03</t>
  </si>
  <si>
    <t>UESH Discipline (C) not in Code!H list</t>
  </si>
  <si>
    <t>Consultant</t>
  </si>
  <si>
    <t>Jacobs</t>
  </si>
  <si>
    <t>Approved with Comments</t>
  </si>
  <si>
    <t>V-04</t>
  </si>
  <si>
    <t>Discipline Code (J) not in Code!T list (client discipline code)</t>
  </si>
  <si>
    <t>Project Start Date</t>
  </si>
  <si>
    <t>2026-03-15</t>
  </si>
  <si>
    <t>Date</t>
  </si>
  <si>
    <t>V-05</t>
  </si>
  <si>
    <t>Doc Type (I) not in Code!Q list</t>
  </si>
  <si>
    <t>Header Row</t>
  </si>
  <si>
    <t>Int</t>
  </si>
  <si>
    <t>V-06</t>
  </si>
  <si>
    <t>Authority (Q) not in Code!Z list</t>
  </si>
  <si>
    <t>List End Row</t>
  </si>
  <si>
    <t>V-07</t>
  </si>
  <si>
    <t>Prolog Submission Status (W) not in Code!AC list</t>
  </si>
  <si>
    <t>First Client Review</t>
  </si>
  <si>
    <t>V-08</t>
  </si>
  <si>
    <t>Latest Approval Status (Y) not in the Approval Code block (Code!AF, read at runtime) and not blank</t>
  </si>
  <si>
    <t>Subsequent Client Review</t>
  </si>
  <si>
    <t>V-10</t>
  </si>
  <si>
    <t>As-Built (P) = YES but Actual 1st Issue Date (U) blank</t>
  </si>
  <si>
    <t>Resubmission Duration</t>
  </si>
  <si>
    <t>V-12</t>
  </si>
  <si>
    <t>Stage = Deleted/Void/Superseded but still counted as active (should be excluded)</t>
  </si>
  <si>
    <t>Info</t>
  </si>
  <si>
    <t>Column-A</t>
  </si>
  <si>
    <t>V-13</t>
  </si>
  <si>
    <t>Empty lookup code column while description column has values (mirrors PPP V-22)</t>
  </si>
  <si>
    <t>Column-B</t>
  </si>
  <si>
    <t>V-14</t>
  </si>
  <si>
    <t>Project Code (G) not in Code!K list (WBS Contract Code)</t>
  </si>
  <si>
    <t>Column-C</t>
  </si>
  <si>
    <t>V-15</t>
  </si>
  <si>
    <t>Document No. (M) contains a placeholder/xxxx (on-hold number) — the row record is still valid; Warning only (applies to active rows, §3.7; does not fail V-17 since composition uses the actual K value)</t>
  </si>
  <si>
    <t>Column-D</t>
  </si>
  <si>
    <t>V-17</t>
  </si>
  <si>
    <t>B</t>
  </si>
  <si>
    <t>Document No. (M) must equal ProjectCode-Prefix-DocType-DisciplineCode-Number = G-H-I-J-K joined by - (universal project rule; the Discipline segment is the client Discipline Code = col J, validated against Code!T — not UESH Discipline col C)</t>
  </si>
  <si>
    <t>Column-E</t>
  </si>
  <si>
    <t>V-19</t>
  </si>
  <si>
    <t>Prolog Submission Status (W) non-blank ⇔ Prolog Number (V) non-blank (two-way)</t>
  </si>
  <si>
    <t>Column-F</t>
  </si>
  <si>
    <t>V-18</t>
  </si>
  <si>
    <t>C</t>
  </si>
  <si>
    <t>Actual 1st Issue Date (U = 1st submission date) non-blank ⇒ Prolog Number (V) and Prolog Submission Status (W) must be non-blank (submitted ⇒ transmittal session exists)</t>
  </si>
  <si>
    <t>Column-G</t>
  </si>
  <si>
    <t>V-11</t>
  </si>
  <si>
    <t>Approval Status = APP but Latest Approval Date (X) blank</t>
  </si>
  <si>
    <t>Column-H</t>
  </si>
  <si>
    <t>V-16</t>
  </si>
  <si>
    <t>Prolog Submission Status (W) = RTR but Latest Approval Status (Y) blank/VOID (approval expected)</t>
  </si>
  <si>
    <t>Column-I</t>
  </si>
  <si>
    <t>V-20</t>
  </si>
  <si>
    <t>Approval Status (Y) has a conclusion (APP/AWC/REJ/NAP) ⇒ Actual (U) non-blank and Latest Approval Date (X) non-blank</t>
  </si>
  <si>
    <t>Column-J</t>
  </si>
  <si>
    <t>V-21</t>
  </si>
  <si>
    <t>Latest Approval Date (X) non-blank ⇒ Y non-blank and X ≥ U</t>
  </si>
  <si>
    <t>Column-K</t>
  </si>
  <si>
    <t>V-09</t>
  </si>
  <si>
    <t>D</t>
  </si>
  <si>
    <t>Date order: Planned (S) ≤ Forecast (T) ≤ Actual (U)</t>
  </si>
  <si>
    <t>Column-L</t>
  </si>
  <si>
    <t>V-22</t>
  </si>
  <si>
    <t>Actual (U) non-blank ⇒ Planned (S) &amp; Forecast (T) non-blank</t>
  </si>
  <si>
    <t>Delay Days</t>
  </si>
  <si>
    <t>Column-M</t>
  </si>
  <si>
    <t>V-23</t>
  </si>
  <si>
    <t>Any date (S/T/U/X) later than current system date ⇒ data lag / future date</t>
  </si>
  <si>
    <t>Column-N</t>
  </si>
  <si>
    <t>V-24</t>
  </si>
  <si>
    <t>E</t>
  </si>
  <si>
    <t>BQ Number (E) non-blank ⇒ must exist in BQ sheet BQ No. column (blank E is allowed)</t>
  </si>
  <si>
    <t>Column-O</t>
  </si>
  <si>
    <t>Boolen</t>
  </si>
  <si>
    <t>V-25</t>
  </si>
  <si>
    <t>F</t>
  </si>
  <si>
    <t>Valid record (M non-blank) missing any required field: Document Title(N)/UESH Discipline(C)/Stage(B)/Doc Type(I)/Discipline Code(J)/Project Code(G)/Project Prefix(H)/Number(K)</t>
  </si>
  <si>
    <t>Column-P</t>
  </si>
  <si>
    <t>V-26</t>
  </si>
  <si>
    <t>G</t>
  </si>
  <si>
    <t>Document No. (M) duplicated within the consolidated table</t>
  </si>
  <si>
    <t>V-27</t>
  </si>
  <si>
    <t>As-Built (P) / Vendor Data (R) must be YES/NO/blank; other values</t>
  </si>
  <si>
    <t>This submittal log shall only be maintained by Document Control.</t>
  </si>
  <si>
    <t>Links between MDL and submittal log are fixed. Changing file location will need updates to formulas.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</si>
</sst>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809]d\ mmm\ yyyy;@"/>
    <numFmt numFmtId="165" formatCode="000000;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2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>
      <selection activeCell="B4" sqref="B4"/>
    </sheetView>
  </sheetViews>
  <sheetFormatPr defaultRowHeight="14.5" x14ac:dyDescent="0.35"/>
  <cols>
    <col min="2" max="2" width="96.90625" customWidth="1"/>
  </cols>
  <sheetData>
    <row r="1" spans="1:2" x14ac:dyDescent="0.35">
      <c r="A1" t="s">
        <v>0</v>
      </c>
    </row>
    <row r="2" spans="1:2" x14ac:dyDescent="0.35">
      <c r="A2" t="s">
        <v>1</v>
      </c>
      <c r="B2" t="s">
        <v>343</v>
      </c>
    </row>
    <row r="3" spans="1:2" x14ac:dyDescent="0.35">
      <c r="A3" t="s">
        <v>2</v>
      </c>
      <c r="B3" t="s">
        <v>344</v>
      </c>
    </row>
    <row r="4" spans="1:2" x14ac:dyDescent="0.35">
      <c r="A4" t="s">
        <v>3</v>
      </c>
    </row>
    <row r="5" spans="1:2" x14ac:dyDescent="0.35">
      <c r="A5" t="s">
        <v>4</v>
      </c>
    </row>
    <row r="6" spans="1:2" x14ac:dyDescent="0.35">
      <c r="A6" t="s">
        <v>5</v>
      </c>
    </row>
    <row r="7" spans="1:2" x14ac:dyDescent="0.35">
      <c r="A7" t="s">
        <v>6</v>
      </c>
    </row>
    <row r="8" spans="1:2" x14ac:dyDescent="0.35">
      <c r="A8" t="s">
        <v>7</v>
      </c>
    </row>
    <row r="9" spans="1:2" x14ac:dyDescent="0.35">
      <c r="A9" t="s">
        <v>8</v>
      </c>
    </row>
    <row r="10" spans="1:2" x14ac:dyDescent="0.35">
      <c r="A10" t="s">
        <v>9</v>
      </c>
    </row>
    <row r="11" spans="1:2" x14ac:dyDescent="0.35">
      <c r="A11" t="s">
        <v>10</v>
      </c>
    </row>
    <row r="12" spans="1:2" x14ac:dyDescent="0.35">
      <c r="A12" t="s">
        <v>11</v>
      </c>
    </row>
    <row r="18" spans="1:1" x14ac:dyDescent="0.35">
      <c r="A18" t="s">
        <v>12</v>
      </c>
    </row>
    <row r="19" spans="1:1" x14ac:dyDescent="0.35">
      <c r="A19" t="s">
        <v>13</v>
      </c>
    </row>
    <row r="20" spans="1:1" x14ac:dyDescent="0.35">
      <c r="A20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3"/>
  <sheetViews>
    <sheetView tabSelected="1" zoomScale="85" zoomScaleNormal="85" workbookViewId="0">
      <pane xSplit="7" ySplit="1" topLeftCell="H196" activePane="bottomRight" state="frozen"/>
      <selection pane="topRight" activeCell="H1" sqref="H1"/>
      <selection pane="bottomLeft" activeCell="A2" sqref="A2"/>
      <selection pane="bottomRight" activeCell="E233" sqref="E233"/>
    </sheetView>
  </sheetViews>
  <sheetFormatPr defaultRowHeight="14.5" x14ac:dyDescent="0.35"/>
  <cols>
    <col min="1" max="1" width="9.453125" style="2" bestFit="1" customWidth="1"/>
    <col min="2" max="2" width="14.26953125" style="22" bestFit="1" customWidth="1"/>
    <col min="3" max="3" width="14.453125" bestFit="1" customWidth="1"/>
    <col min="4" max="4" width="20.453125" customWidth="1"/>
    <col min="5" max="5" width="22.81640625" bestFit="1" customWidth="1"/>
    <col min="6" max="6" width="12.54296875" style="2" bestFit="1" customWidth="1"/>
    <col min="7" max="7" width="16.7265625" bestFit="1" customWidth="1"/>
    <col min="8" max="8" width="19.54296875" style="3" bestFit="1" customWidth="1"/>
    <col min="9" max="9" width="17.81640625" style="12" bestFit="1" customWidth="1"/>
    <col min="10" max="11" width="21.54296875" style="3" bestFit="1" customWidth="1"/>
    <col min="12" max="12" width="26.7265625" bestFit="1" customWidth="1"/>
    <col min="13" max="13" width="21.54296875" bestFit="1" customWidth="1"/>
    <col min="14" max="14" width="20.90625" customWidth="1"/>
    <col min="15" max="15" width="18.81640625" style="2" bestFit="1" customWidth="1"/>
    <col min="16" max="16" width="25.7265625" style="9" bestFit="1" customWidth="1"/>
    <col min="17" max="17" width="61.1796875" customWidth="1"/>
  </cols>
  <sheetData>
    <row r="1" spans="1:17" s="8" customFormat="1" ht="16" customHeight="1" x14ac:dyDescent="0.35">
      <c r="A1" s="7" t="s">
        <v>15</v>
      </c>
      <c r="B1" s="21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5" t="s">
        <v>22</v>
      </c>
      <c r="I1" s="10" t="s">
        <v>23</v>
      </c>
      <c r="J1" s="5" t="s">
        <v>24</v>
      </c>
      <c r="K1" s="5" t="s">
        <v>25</v>
      </c>
      <c r="L1" s="6" t="s">
        <v>26</v>
      </c>
      <c r="M1" s="6" t="s">
        <v>27</v>
      </c>
      <c r="N1" s="4" t="s">
        <v>28</v>
      </c>
      <c r="O1" s="4" t="s">
        <v>29</v>
      </c>
      <c r="P1" s="4" t="s">
        <v>30</v>
      </c>
      <c r="Q1" s="20" t="s">
        <v>31</v>
      </c>
    </row>
    <row r="2" spans="1:17" x14ac:dyDescent="0.35">
      <c r="A2" s="2">
        <v>1</v>
      </c>
      <c r="B2" s="22">
        <v>90</v>
      </c>
      <c r="E2" t="s">
        <v>32</v>
      </c>
      <c r="F2" s="2" t="s">
        <v>33</v>
      </c>
      <c r="H2" s="3">
        <v>45176</v>
      </c>
      <c r="I2" s="12">
        <v>20</v>
      </c>
      <c r="J2" s="3">
        <f>$H2+$I2</f>
        <v>45196</v>
      </c>
      <c r="L2">
        <f ca="1">IF(NOT(ISBLANK($K2)),$K2-$H2,TODAY()-$H2)</f>
        <v>1120</v>
      </c>
      <c r="M2" s="11">
        <f ca="1">IF(($L2-$I2)&gt;0,$L2-$I2,0)</f>
        <v>1100</v>
      </c>
      <c r="N2" s="12" t="str" cm="1">
        <f t="array" ref="N2">_xlfn.IFS(
AND(NOT(ISBLANK(H2)),ISBLANK(K2)),"SUR",
AND(NOT(ISBLANK(H2)),NOT(ISBLANK(K2)),$P2="YES"),"RTR",
AND(NOT(ISBLANK(H2)),NOT(ISBLANK(K2)),$P2="NO"),"NTS",
TRUE,"TO Check"
)</f>
        <v>SUR</v>
      </c>
      <c r="O2" s="2" t="s">
        <v>34</v>
      </c>
      <c r="P2" s="9" t="s">
        <v>35</v>
      </c>
    </row>
    <row r="3" spans="1:17" x14ac:dyDescent="0.35">
      <c r="A3" s="2">
        <v>2</v>
      </c>
      <c r="B3" s="22">
        <v>777</v>
      </c>
      <c r="E3" t="s">
        <v>36</v>
      </c>
      <c r="F3" s="2" t="s">
        <v>33</v>
      </c>
      <c r="H3" s="3">
        <v>45590</v>
      </c>
      <c r="I3" s="12">
        <v>20</v>
      </c>
      <c r="J3" s="3">
        <f t="shared" ref="J3:J66" si="0">$H3+$I3</f>
        <v>45610</v>
      </c>
      <c r="K3" s="3">
        <v>45680</v>
      </c>
      <c r="L3">
        <f t="shared" ref="L3:L66" ca="1" si="1">IF(NOT(ISBLANK($K3)),$K3-$H3,TODAY()-$H3)</f>
        <v>90</v>
      </c>
      <c r="M3" s="11">
        <f ca="1">L3-I3</f>
        <v>70</v>
      </c>
      <c r="N3" s="12" t="str" cm="1">
        <f t="array" ref="N3">_xlfn.IFS(
AND(NOT(ISBLANK(H3)),ISBLANK(K3)),"SUR",
AND(NOT(ISBLANK(H3)),NOT(ISBLANK(K3)),$P3="YES"),"RTR",
AND(NOT(ISBLANK(H3)),NOT(ISBLANK(K3)),$P3="NO"),"NTS",
TRUE,"TO Check"
)</f>
        <v>RTR</v>
      </c>
      <c r="O3" s="2" t="s">
        <v>37</v>
      </c>
      <c r="P3" s="9" t="s">
        <v>38</v>
      </c>
    </row>
    <row r="4" spans="1:17" x14ac:dyDescent="0.35">
      <c r="A4" s="2">
        <v>3</v>
      </c>
      <c r="B4" s="22">
        <v>799</v>
      </c>
      <c r="E4" t="s">
        <v>39</v>
      </c>
      <c r="F4" s="2" t="s">
        <v>33</v>
      </c>
      <c r="H4" s="3">
        <v>45601</v>
      </c>
      <c r="I4" s="12">
        <v>20</v>
      </c>
      <c r="J4" s="3">
        <f t="shared" si="0"/>
        <v>45621</v>
      </c>
      <c r="K4" s="3">
        <v>45691</v>
      </c>
      <c r="L4">
        <f t="shared" ca="1" si="1"/>
        <v>90</v>
      </c>
      <c r="M4" s="11">
        <f t="shared" ref="M4:M67" ca="1" si="2">L4-I4</f>
        <v>70</v>
      </c>
      <c r="N4" s="12" t="str" cm="1">
        <f t="array" ref="N4">_xlfn.IFS(
AND(NOT(ISBLANK(H4)),ISBLANK(K4)),"SUR",
AND(NOT(ISBLANK(H4)),NOT(ISBLANK(K4)),$P4="YES"),"RTR",
AND(NOT(ISBLANK(H4)),NOT(ISBLANK(K4)),$P4="NO"),"NTS",
TRUE,"TO Check"
)</f>
        <v>RTR</v>
      </c>
      <c r="O4" s="2" t="s">
        <v>34</v>
      </c>
      <c r="P4" s="9" t="s">
        <v>38</v>
      </c>
    </row>
    <row r="5" spans="1:17" x14ac:dyDescent="0.35">
      <c r="A5" s="2">
        <v>4</v>
      </c>
      <c r="B5" s="22">
        <v>989</v>
      </c>
      <c r="E5" t="s">
        <v>40</v>
      </c>
      <c r="F5" s="2" t="s">
        <v>33</v>
      </c>
      <c r="H5" s="3">
        <v>45677</v>
      </c>
      <c r="I5" s="12">
        <v>20</v>
      </c>
      <c r="J5" s="3">
        <f t="shared" si="0"/>
        <v>45697</v>
      </c>
      <c r="K5" s="3">
        <v>45767</v>
      </c>
      <c r="L5">
        <f t="shared" ca="1" si="1"/>
        <v>90</v>
      </c>
      <c r="M5" s="11">
        <f t="shared" ca="1" si="2"/>
        <v>70</v>
      </c>
      <c r="N5" s="12" t="str" cm="1">
        <f t="array" ref="N5">_xlfn.IFS(
AND(NOT(ISBLANK(H5)),ISBLANK(K5)),"SUR",
AND(NOT(ISBLANK(H5)),NOT(ISBLANK(K5)),$P5="YES"),"RTR",
AND(NOT(ISBLANK(H5)),NOT(ISBLANK(K5)),$P5="NO"),"NTS",
TRUE,"TO Check"
)</f>
        <v>RTR</v>
      </c>
      <c r="O5" s="2" t="s">
        <v>34</v>
      </c>
      <c r="P5" s="9" t="s">
        <v>38</v>
      </c>
    </row>
    <row r="6" spans="1:17" x14ac:dyDescent="0.35">
      <c r="A6" s="2">
        <v>5</v>
      </c>
      <c r="B6" s="22">
        <v>1125</v>
      </c>
      <c r="E6" t="s">
        <v>41</v>
      </c>
      <c r="F6" s="2" t="s">
        <v>33</v>
      </c>
      <c r="H6" s="3">
        <v>45730</v>
      </c>
      <c r="I6" s="12">
        <v>20</v>
      </c>
      <c r="J6" s="3">
        <f t="shared" si="0"/>
        <v>45750</v>
      </c>
      <c r="K6" s="3">
        <v>45820</v>
      </c>
      <c r="L6">
        <f t="shared" ca="1" si="1"/>
        <v>90</v>
      </c>
      <c r="M6" s="11">
        <f t="shared" ca="1" si="2"/>
        <v>70</v>
      </c>
      <c r="N6" s="12" t="str" cm="1">
        <f t="array" ref="N6">_xlfn.IFS(
AND(NOT(ISBLANK(H6)),ISBLANK(K6)),"SUR",
AND(NOT(ISBLANK(H6)),NOT(ISBLANK(K6)),$P6="YES"),"RTR",
AND(NOT(ISBLANK(H6)),NOT(ISBLANK(K6)),$P6="NO"),"NTS",
TRUE,"TO Check"
)</f>
        <v>RTR</v>
      </c>
      <c r="O6" s="2" t="s">
        <v>37</v>
      </c>
      <c r="P6" s="9" t="s">
        <v>38</v>
      </c>
    </row>
    <row r="7" spans="1:17" x14ac:dyDescent="0.35">
      <c r="A7" s="2">
        <v>6</v>
      </c>
      <c r="B7" s="22">
        <v>921</v>
      </c>
      <c r="E7" t="s">
        <v>42</v>
      </c>
      <c r="F7" s="2" t="s">
        <v>33</v>
      </c>
      <c r="H7" s="3">
        <v>45645</v>
      </c>
      <c r="I7" s="12">
        <v>20</v>
      </c>
      <c r="J7" s="3">
        <f t="shared" si="0"/>
        <v>45665</v>
      </c>
      <c r="K7" s="3">
        <v>45735</v>
      </c>
      <c r="L7">
        <f t="shared" ca="1" si="1"/>
        <v>90</v>
      </c>
      <c r="M7" s="11">
        <f t="shared" ca="1" si="2"/>
        <v>70</v>
      </c>
      <c r="N7" s="12" t="str" cm="1">
        <f t="array" ref="N7">_xlfn.IFS(
AND(NOT(ISBLANK(H7)),ISBLANK(K7)),"SUR",
AND(NOT(ISBLANK(H7)),NOT(ISBLANK(K7)),$P7="YES"),"RTR",
AND(NOT(ISBLANK(H7)),NOT(ISBLANK(K7)),$P7="NO"),"NTS",
TRUE,"TO Check"
)</f>
        <v>RTR</v>
      </c>
      <c r="O7" s="2" t="s">
        <v>34</v>
      </c>
      <c r="P7" s="9" t="s">
        <v>38</v>
      </c>
    </row>
    <row r="8" spans="1:17" x14ac:dyDescent="0.35">
      <c r="A8" s="2">
        <v>7</v>
      </c>
      <c r="B8" s="22">
        <v>988</v>
      </c>
      <c r="E8" t="s">
        <v>43</v>
      </c>
      <c r="F8" s="2" t="s">
        <v>33</v>
      </c>
      <c r="H8" s="3">
        <v>45677</v>
      </c>
      <c r="I8" s="12">
        <v>20</v>
      </c>
      <c r="J8" s="3">
        <f t="shared" si="0"/>
        <v>45697</v>
      </c>
      <c r="K8" s="3">
        <v>45767</v>
      </c>
      <c r="L8">
        <f t="shared" ca="1" si="1"/>
        <v>90</v>
      </c>
      <c r="M8" s="11">
        <f t="shared" ca="1" si="2"/>
        <v>70</v>
      </c>
      <c r="N8" s="12" t="str" cm="1">
        <f t="array" ref="N8">_xlfn.IFS(
AND(NOT(ISBLANK(H8)),ISBLANK(K8)),"SUR",
AND(NOT(ISBLANK(H8)),NOT(ISBLANK(K8)),$P8="YES"),"RTR",
AND(NOT(ISBLANK(H8)),NOT(ISBLANK(K8)),$P8="NO"),"NTS",
TRUE,"TO Check"
)</f>
        <v>RTR</v>
      </c>
      <c r="O8" s="2" t="s">
        <v>37</v>
      </c>
      <c r="P8" s="9" t="s">
        <v>38</v>
      </c>
    </row>
    <row r="9" spans="1:17" x14ac:dyDescent="0.35">
      <c r="A9" s="2">
        <v>8</v>
      </c>
      <c r="B9" s="22">
        <v>1118</v>
      </c>
      <c r="E9" t="s">
        <v>44</v>
      </c>
      <c r="F9" s="2" t="s">
        <v>33</v>
      </c>
      <c r="H9" s="3">
        <v>45728</v>
      </c>
      <c r="I9" s="12">
        <v>20</v>
      </c>
      <c r="J9" s="3">
        <f t="shared" si="0"/>
        <v>45748</v>
      </c>
      <c r="K9" s="3">
        <v>45818</v>
      </c>
      <c r="L9">
        <f t="shared" ca="1" si="1"/>
        <v>90</v>
      </c>
      <c r="M9" s="11">
        <f t="shared" ca="1" si="2"/>
        <v>70</v>
      </c>
      <c r="N9" s="12" t="str" cm="1">
        <f t="array" ref="N9">_xlfn.IFS(
AND(NOT(ISBLANK(H9)),ISBLANK(K9)),"SUR",
AND(NOT(ISBLANK(H9)),NOT(ISBLANK(K9)),$P9="YES"),"RTR",
AND(NOT(ISBLANK(H9)),NOT(ISBLANK(K9)),$P9="NO"),"NTS",
TRUE,"TO Check"
)</f>
        <v>RTR</v>
      </c>
      <c r="O9" s="2" t="s">
        <v>37</v>
      </c>
      <c r="P9" s="9" t="s">
        <v>38</v>
      </c>
    </row>
    <row r="10" spans="1:17" x14ac:dyDescent="0.35">
      <c r="A10" s="2">
        <v>9</v>
      </c>
      <c r="B10" s="22">
        <v>1139</v>
      </c>
      <c r="E10" t="s">
        <v>45</v>
      </c>
      <c r="F10" s="2" t="s">
        <v>33</v>
      </c>
      <c r="H10" s="3">
        <v>45736</v>
      </c>
      <c r="I10" s="12">
        <v>20</v>
      </c>
      <c r="J10" s="3">
        <f t="shared" si="0"/>
        <v>45756</v>
      </c>
      <c r="K10" s="3">
        <v>45826</v>
      </c>
      <c r="L10">
        <f t="shared" ca="1" si="1"/>
        <v>90</v>
      </c>
      <c r="M10" s="11">
        <f t="shared" ca="1" si="2"/>
        <v>70</v>
      </c>
      <c r="N10" s="12" t="str" cm="1">
        <f t="array" ref="N10">_xlfn.IFS(
AND(NOT(ISBLANK(H10)),ISBLANK(K10)),"SUR",
AND(NOT(ISBLANK(H10)),NOT(ISBLANK(K10)),$P10="YES"),"RTR",
AND(NOT(ISBLANK(H10)),NOT(ISBLANK(K10)),$P10="NO"),"NTS",
TRUE,"TO Check"
)</f>
        <v>RTR</v>
      </c>
      <c r="O10" s="2" t="s">
        <v>34</v>
      </c>
      <c r="P10" s="9" t="s">
        <v>38</v>
      </c>
    </row>
    <row r="11" spans="1:17" x14ac:dyDescent="0.35">
      <c r="A11" s="2">
        <v>10</v>
      </c>
      <c r="B11" s="22">
        <v>1314</v>
      </c>
      <c r="E11" t="s">
        <v>46</v>
      </c>
      <c r="F11" s="2" t="s">
        <v>33</v>
      </c>
      <c r="H11" s="3">
        <v>45797</v>
      </c>
      <c r="I11" s="12">
        <v>20</v>
      </c>
      <c r="J11" s="3">
        <f t="shared" si="0"/>
        <v>45817</v>
      </c>
      <c r="K11" s="3">
        <v>45887</v>
      </c>
      <c r="L11">
        <f t="shared" ca="1" si="1"/>
        <v>90</v>
      </c>
      <c r="M11" s="11">
        <f t="shared" ca="1" si="2"/>
        <v>70</v>
      </c>
      <c r="N11" s="12" t="str" cm="1">
        <f t="array" ref="N11">_xlfn.IFS(
AND(NOT(ISBLANK(H11)),ISBLANK(K11)),"SUR",
AND(NOT(ISBLANK(H11)),NOT(ISBLANK(K11)),$P11="YES"),"RTR",
AND(NOT(ISBLANK(H11)),NOT(ISBLANK(K11)),$P11="NO"),"NTS",
TRUE,"TO Check"
)</f>
        <v>RTR</v>
      </c>
      <c r="O11" s="2" t="s">
        <v>37</v>
      </c>
      <c r="P11" s="9" t="s">
        <v>38</v>
      </c>
    </row>
    <row r="12" spans="1:17" x14ac:dyDescent="0.35">
      <c r="A12" s="2">
        <v>11</v>
      </c>
      <c r="B12" s="22">
        <v>445</v>
      </c>
      <c r="E12" t="s">
        <v>47</v>
      </c>
      <c r="F12" s="2" t="s">
        <v>33</v>
      </c>
      <c r="H12" s="3">
        <v>45399</v>
      </c>
      <c r="I12" s="12">
        <v>20</v>
      </c>
      <c r="J12" s="3">
        <f t="shared" si="0"/>
        <v>45419</v>
      </c>
      <c r="K12" s="3">
        <v>45489</v>
      </c>
      <c r="L12">
        <f t="shared" ca="1" si="1"/>
        <v>90</v>
      </c>
      <c r="M12" s="11">
        <f t="shared" ca="1" si="2"/>
        <v>70</v>
      </c>
      <c r="N12" s="12" t="str" cm="1">
        <f t="array" ref="N12">_xlfn.IFS(
AND(NOT(ISBLANK(H12)),ISBLANK(K12)),"SUR",
AND(NOT(ISBLANK(H12)),NOT(ISBLANK(K12)),$P12="YES"),"RTR",
AND(NOT(ISBLANK(H12)),NOT(ISBLANK(K12)),$P12="NO"),"NTS",
TRUE,"TO Check"
)</f>
        <v>RTR</v>
      </c>
      <c r="O12" s="2" t="s">
        <v>37</v>
      </c>
      <c r="P12" s="9" t="s">
        <v>38</v>
      </c>
    </row>
    <row r="13" spans="1:17" x14ac:dyDescent="0.35">
      <c r="A13" s="2">
        <v>12</v>
      </c>
      <c r="B13" s="22">
        <v>93</v>
      </c>
      <c r="E13" t="s">
        <v>48</v>
      </c>
      <c r="F13" s="2" t="s">
        <v>33</v>
      </c>
      <c r="H13" s="3">
        <v>45177</v>
      </c>
      <c r="I13" s="12">
        <v>20</v>
      </c>
      <c r="J13" s="3">
        <f t="shared" si="0"/>
        <v>45197</v>
      </c>
      <c r="K13" s="3">
        <v>45267</v>
      </c>
      <c r="L13">
        <f t="shared" ca="1" si="1"/>
        <v>90</v>
      </c>
      <c r="M13" s="11">
        <f t="shared" ca="1" si="2"/>
        <v>70</v>
      </c>
      <c r="N13" s="12" t="str" cm="1">
        <f t="array" ref="N13">_xlfn.IFS(
AND(NOT(ISBLANK(H13)),ISBLANK(K13)),"SUR",
AND(NOT(ISBLANK(H13)),NOT(ISBLANK(K13)),$P13="YES"),"RTR",
AND(NOT(ISBLANK(H13)),NOT(ISBLANK(K13)),$P13="NO"),"NTS",
TRUE,"TO Check"
)</f>
        <v>RTR</v>
      </c>
      <c r="O13" s="2" t="s">
        <v>37</v>
      </c>
      <c r="P13" s="9" t="s">
        <v>38</v>
      </c>
    </row>
    <row r="14" spans="1:17" x14ac:dyDescent="0.35">
      <c r="A14" s="2">
        <v>13</v>
      </c>
      <c r="B14" s="22">
        <v>93</v>
      </c>
      <c r="E14" t="s">
        <v>49</v>
      </c>
      <c r="F14" s="2" t="s">
        <v>33</v>
      </c>
      <c r="H14" s="3">
        <v>45177</v>
      </c>
      <c r="I14" s="12">
        <v>20</v>
      </c>
      <c r="J14" s="3">
        <f t="shared" si="0"/>
        <v>45197</v>
      </c>
      <c r="K14" s="3">
        <v>45267</v>
      </c>
      <c r="L14">
        <f t="shared" ca="1" si="1"/>
        <v>90</v>
      </c>
      <c r="M14" s="11">
        <f t="shared" ca="1" si="2"/>
        <v>70</v>
      </c>
      <c r="N14" s="12" t="str" cm="1">
        <f t="array" ref="N14">_xlfn.IFS(
AND(NOT(ISBLANK(H14)),ISBLANK(K14)),"SUR",
AND(NOT(ISBLANK(H14)),NOT(ISBLANK(K14)),$P14="YES"),"RTR",
AND(NOT(ISBLANK(H14)),NOT(ISBLANK(K14)),$P14="NO"),"NTS",
TRUE,"TO Check"
)</f>
        <v>RTR</v>
      </c>
      <c r="O14" s="2" t="s">
        <v>37</v>
      </c>
      <c r="P14" s="9" t="s">
        <v>38</v>
      </c>
    </row>
    <row r="15" spans="1:17" x14ac:dyDescent="0.35">
      <c r="A15" s="2">
        <v>14</v>
      </c>
      <c r="B15" s="22">
        <v>88</v>
      </c>
      <c r="E15" t="s">
        <v>50</v>
      </c>
      <c r="F15" s="2" t="s">
        <v>33</v>
      </c>
      <c r="H15" s="3">
        <v>45174</v>
      </c>
      <c r="I15" s="12">
        <v>20</v>
      </c>
      <c r="J15" s="3">
        <f t="shared" si="0"/>
        <v>45194</v>
      </c>
      <c r="K15" s="3">
        <v>45264</v>
      </c>
      <c r="L15">
        <f t="shared" ca="1" si="1"/>
        <v>90</v>
      </c>
      <c r="M15" s="11">
        <f t="shared" ca="1" si="2"/>
        <v>70</v>
      </c>
      <c r="N15" s="12" t="str" cm="1">
        <f t="array" ref="N15">_xlfn.IFS(
AND(NOT(ISBLANK(H15)),ISBLANK(K15)),"SUR",
AND(NOT(ISBLANK(H15)),NOT(ISBLANK(K15)),$P15="YES"),"RTR",
AND(NOT(ISBLANK(H15)),NOT(ISBLANK(K15)),$P15="NO"),"NTS",
TRUE,"TO Check"
)</f>
        <v>RTR</v>
      </c>
      <c r="O15" s="2" t="s">
        <v>37</v>
      </c>
      <c r="P15" s="9" t="s">
        <v>38</v>
      </c>
    </row>
    <row r="16" spans="1:17" x14ac:dyDescent="0.35">
      <c r="A16" s="2">
        <v>15</v>
      </c>
      <c r="B16" s="22">
        <v>407</v>
      </c>
      <c r="E16" t="s">
        <v>51</v>
      </c>
      <c r="F16" s="2" t="s">
        <v>33</v>
      </c>
      <c r="H16" s="3">
        <v>45379</v>
      </c>
      <c r="I16" s="12">
        <v>20</v>
      </c>
      <c r="J16" s="3">
        <f t="shared" si="0"/>
        <v>45399</v>
      </c>
      <c r="K16" s="3">
        <v>45469</v>
      </c>
      <c r="L16">
        <f t="shared" ca="1" si="1"/>
        <v>90</v>
      </c>
      <c r="M16" s="11">
        <f t="shared" ca="1" si="2"/>
        <v>70</v>
      </c>
      <c r="N16" s="12" t="str" cm="1">
        <f t="array" ref="N16">_xlfn.IFS(
AND(NOT(ISBLANK(H16)),ISBLANK(K16)),"SUR",
AND(NOT(ISBLANK(H16)),NOT(ISBLANK(K16)),$P16="YES"),"RTR",
AND(NOT(ISBLANK(H16)),NOT(ISBLANK(K16)),$P16="NO"),"NTS",
TRUE,"TO Check"
)</f>
        <v>RTR</v>
      </c>
      <c r="O16" s="2" t="s">
        <v>37</v>
      </c>
      <c r="P16" s="9" t="s">
        <v>38</v>
      </c>
    </row>
    <row r="17" spans="1:16" x14ac:dyDescent="0.35">
      <c r="A17" s="2">
        <v>16</v>
      </c>
      <c r="B17" s="22">
        <v>723</v>
      </c>
      <c r="E17" t="s">
        <v>52</v>
      </c>
      <c r="F17" s="2" t="s">
        <v>33</v>
      </c>
      <c r="H17" s="3">
        <v>45547</v>
      </c>
      <c r="I17" s="12">
        <v>20</v>
      </c>
      <c r="J17" s="3">
        <f t="shared" si="0"/>
        <v>45567</v>
      </c>
      <c r="K17" s="3">
        <v>45637</v>
      </c>
      <c r="L17">
        <f t="shared" ca="1" si="1"/>
        <v>90</v>
      </c>
      <c r="M17" s="11">
        <f t="shared" ca="1" si="2"/>
        <v>70</v>
      </c>
      <c r="N17" s="12" t="str" cm="1">
        <f t="array" ref="N17">_xlfn.IFS(
AND(NOT(ISBLANK(H17)),ISBLANK(K17)),"SUR",
AND(NOT(ISBLANK(H17)),NOT(ISBLANK(K17)),$P17="YES"),"RTR",
AND(NOT(ISBLANK(H17)),NOT(ISBLANK(K17)),$P17="NO"),"NTS",
TRUE,"TO Check"
)</f>
        <v>RTR</v>
      </c>
      <c r="O17" s="2" t="s">
        <v>37</v>
      </c>
      <c r="P17" s="9" t="s">
        <v>38</v>
      </c>
    </row>
    <row r="18" spans="1:16" x14ac:dyDescent="0.35">
      <c r="A18" s="2">
        <v>17</v>
      </c>
      <c r="B18" s="22">
        <v>752</v>
      </c>
      <c r="E18" t="s">
        <v>53</v>
      </c>
      <c r="F18" s="2" t="s">
        <v>33</v>
      </c>
      <c r="H18" s="3">
        <v>45574</v>
      </c>
      <c r="I18" s="12">
        <v>20</v>
      </c>
      <c r="J18" s="3">
        <f t="shared" si="0"/>
        <v>45594</v>
      </c>
      <c r="K18" s="3">
        <v>45664</v>
      </c>
      <c r="L18">
        <f t="shared" ca="1" si="1"/>
        <v>90</v>
      </c>
      <c r="M18" s="11">
        <f t="shared" ca="1" si="2"/>
        <v>70</v>
      </c>
      <c r="N18" s="12" t="str" cm="1">
        <f t="array" ref="N18">_xlfn.IFS(
AND(NOT(ISBLANK(H18)),ISBLANK(K18)),"SUR",
AND(NOT(ISBLANK(H18)),NOT(ISBLANK(K18)),$P18="YES"),"RTR",
AND(NOT(ISBLANK(H18)),NOT(ISBLANK(K18)),$P18="NO"),"NTS",
TRUE,"TO Check"
)</f>
        <v>RTR</v>
      </c>
      <c r="O18" s="2" t="s">
        <v>37</v>
      </c>
      <c r="P18" s="9" t="s">
        <v>38</v>
      </c>
    </row>
    <row r="19" spans="1:16" x14ac:dyDescent="0.35">
      <c r="A19" s="2">
        <v>18</v>
      </c>
      <c r="B19" s="22">
        <v>673</v>
      </c>
      <c r="E19" t="s">
        <v>54</v>
      </c>
      <c r="F19" s="2" t="s">
        <v>33</v>
      </c>
      <c r="H19" s="3">
        <v>45527</v>
      </c>
      <c r="I19" s="12">
        <v>20</v>
      </c>
      <c r="J19" s="3">
        <f t="shared" si="0"/>
        <v>45547</v>
      </c>
      <c r="K19" s="3">
        <v>45617</v>
      </c>
      <c r="L19">
        <f ca="1">IF(NOT(ISBLANK($K19)),$K19-$H19,TODAY()-$H19)</f>
        <v>90</v>
      </c>
      <c r="M19" s="11">
        <f t="shared" ca="1" si="2"/>
        <v>70</v>
      </c>
      <c r="N19" s="12" t="str" cm="1">
        <f t="array" ref="N19">_xlfn.IFS(
AND(NOT(ISBLANK(H19)),ISBLANK(K19)),"SUR",
AND(NOT(ISBLANK(H19)),NOT(ISBLANK(K19)),$P19="YES"),"RTR",
AND(NOT(ISBLANK(H19)),NOT(ISBLANK(K19)),$P19="NO"),"NTS",
TRUE,"TO Check"
)</f>
        <v>RTR</v>
      </c>
      <c r="O19" s="2" t="s">
        <v>37</v>
      </c>
      <c r="P19" s="9" t="s">
        <v>38</v>
      </c>
    </row>
    <row r="20" spans="1:16" x14ac:dyDescent="0.35">
      <c r="A20" s="2">
        <v>19</v>
      </c>
      <c r="B20" s="22">
        <v>1778</v>
      </c>
      <c r="E20" t="s">
        <v>55</v>
      </c>
      <c r="F20" s="2" t="s">
        <v>33</v>
      </c>
      <c r="H20" s="3">
        <v>45953</v>
      </c>
      <c r="I20" s="12">
        <v>20</v>
      </c>
      <c r="J20" s="3">
        <f t="shared" si="0"/>
        <v>45973</v>
      </c>
      <c r="K20" s="3">
        <v>46043</v>
      </c>
      <c r="L20">
        <f t="shared" ca="1" si="1"/>
        <v>90</v>
      </c>
      <c r="M20" s="11">
        <f t="shared" ca="1" si="2"/>
        <v>70</v>
      </c>
      <c r="N20" s="12" t="str" cm="1">
        <f t="array" ref="N20">_xlfn.IFS(
AND(NOT(ISBLANK(H20)),ISBLANK(K20)),"SUR",
AND(NOT(ISBLANK(H20)),NOT(ISBLANK(K20)),$P20="YES"),"RTR",
AND(NOT(ISBLANK(H20)),NOT(ISBLANK(K20)),$P20="NO"),"NTS",
TRUE,"TO Check"
)</f>
        <v>RTR</v>
      </c>
      <c r="O20" s="2" t="s">
        <v>34</v>
      </c>
      <c r="P20" s="9" t="s">
        <v>38</v>
      </c>
    </row>
    <row r="21" spans="1:16" x14ac:dyDescent="0.35">
      <c r="A21" s="2">
        <v>20</v>
      </c>
      <c r="B21" s="22">
        <v>385</v>
      </c>
      <c r="E21" t="s">
        <v>56</v>
      </c>
      <c r="F21" s="2" t="s">
        <v>33</v>
      </c>
      <c r="H21" s="3">
        <v>45371</v>
      </c>
      <c r="I21" s="12">
        <v>20</v>
      </c>
      <c r="J21" s="3">
        <f t="shared" si="0"/>
        <v>45391</v>
      </c>
      <c r="K21" s="3">
        <v>45461</v>
      </c>
      <c r="L21">
        <f t="shared" ca="1" si="1"/>
        <v>90</v>
      </c>
      <c r="M21" s="11">
        <f t="shared" ca="1" si="2"/>
        <v>70</v>
      </c>
      <c r="N21" s="12" t="str" cm="1">
        <f t="array" ref="N21">_xlfn.IFS(
AND(NOT(ISBLANK(H21)),ISBLANK(K21)),"SUR",
AND(NOT(ISBLANK(H21)),NOT(ISBLANK(K21)),$P21="YES"),"RTR",
AND(NOT(ISBLANK(H21)),NOT(ISBLANK(K21)),$P21="NO"),"NTS",
TRUE,"TO Check"
)</f>
        <v>RTR</v>
      </c>
      <c r="O21" s="2" t="s">
        <v>37</v>
      </c>
      <c r="P21" s="9" t="s">
        <v>38</v>
      </c>
    </row>
    <row r="22" spans="1:16" x14ac:dyDescent="0.35">
      <c r="A22" s="2">
        <v>21</v>
      </c>
      <c r="B22" s="22">
        <v>322</v>
      </c>
      <c r="E22" t="s">
        <v>57</v>
      </c>
      <c r="F22" s="2" t="s">
        <v>33</v>
      </c>
      <c r="H22" s="3">
        <v>45345</v>
      </c>
      <c r="I22" s="12">
        <v>20</v>
      </c>
      <c r="J22" s="3">
        <f t="shared" si="0"/>
        <v>45365</v>
      </c>
      <c r="K22" s="3">
        <v>45435</v>
      </c>
      <c r="L22">
        <f t="shared" ca="1" si="1"/>
        <v>90</v>
      </c>
      <c r="M22" s="11">
        <f t="shared" ca="1" si="2"/>
        <v>70</v>
      </c>
      <c r="N22" s="12" t="str" cm="1">
        <f t="array" ref="N22">_xlfn.IFS(
AND(NOT(ISBLANK(H22)),ISBLANK(K22)),"SUR",
AND(NOT(ISBLANK(H22)),NOT(ISBLANK(K22)),$P22="YES"),"RTR",
AND(NOT(ISBLANK(H22)),NOT(ISBLANK(K22)),$P22="NO"),"NTS",
TRUE,"TO Check"
)</f>
        <v>RTR</v>
      </c>
      <c r="O22" s="2" t="s">
        <v>37</v>
      </c>
      <c r="P22" s="9" t="s">
        <v>38</v>
      </c>
    </row>
    <row r="23" spans="1:16" x14ac:dyDescent="0.35">
      <c r="A23" s="2">
        <v>22</v>
      </c>
      <c r="B23" s="22">
        <v>2089</v>
      </c>
      <c r="E23" t="s">
        <v>58</v>
      </c>
      <c r="F23" s="2" t="s">
        <v>33</v>
      </c>
      <c r="H23" s="3">
        <v>46153</v>
      </c>
      <c r="I23" s="12">
        <v>20</v>
      </c>
      <c r="J23" s="3">
        <f t="shared" si="0"/>
        <v>46173</v>
      </c>
      <c r="K23" s="3">
        <v>46243</v>
      </c>
      <c r="L23">
        <f t="shared" ca="1" si="1"/>
        <v>90</v>
      </c>
      <c r="M23" s="11">
        <f t="shared" ca="1" si="2"/>
        <v>70</v>
      </c>
      <c r="N23" s="12" t="str" cm="1">
        <f t="array" ref="N23">_xlfn.IFS(
AND(NOT(ISBLANK(H23)),ISBLANK(K23)),"SUR",
AND(NOT(ISBLANK(H23)),NOT(ISBLANK(K23)),$P23="YES"),"RTR",
AND(NOT(ISBLANK(H23)),NOT(ISBLANK(K23)),$P23="NO"),"NTS",
TRUE,"TO Check"
)</f>
        <v>RTR</v>
      </c>
      <c r="O23" s="2" t="s">
        <v>37</v>
      </c>
      <c r="P23" s="9" t="s">
        <v>38</v>
      </c>
    </row>
    <row r="24" spans="1:16" x14ac:dyDescent="0.35">
      <c r="A24" s="2">
        <v>23</v>
      </c>
      <c r="B24" s="22">
        <v>2089</v>
      </c>
      <c r="E24" t="s">
        <v>59</v>
      </c>
      <c r="F24" s="2" t="s">
        <v>33</v>
      </c>
      <c r="H24" s="3">
        <v>46153</v>
      </c>
      <c r="I24" s="12">
        <v>20</v>
      </c>
      <c r="J24" s="3">
        <f t="shared" si="0"/>
        <v>46173</v>
      </c>
      <c r="K24" s="3">
        <v>46243</v>
      </c>
      <c r="L24">
        <f t="shared" ca="1" si="1"/>
        <v>90</v>
      </c>
      <c r="M24" s="11">
        <f t="shared" ca="1" si="2"/>
        <v>70</v>
      </c>
      <c r="N24" s="12" t="str" cm="1">
        <f t="array" ref="N24">_xlfn.IFS(
AND(NOT(ISBLANK(H24)),ISBLANK(K24)),"SUR",
AND(NOT(ISBLANK(H24)),NOT(ISBLANK(K24)),$P24="YES"),"RTR",
AND(NOT(ISBLANK(H24)),NOT(ISBLANK(K24)),$P24="NO"),"NTS",
TRUE,"TO Check"
)</f>
        <v>RTR</v>
      </c>
      <c r="O24" s="2" t="s">
        <v>37</v>
      </c>
      <c r="P24" s="9" t="s">
        <v>38</v>
      </c>
    </row>
    <row r="25" spans="1:16" x14ac:dyDescent="0.35">
      <c r="A25" s="2">
        <v>24</v>
      </c>
      <c r="B25" s="22">
        <v>403</v>
      </c>
      <c r="E25" t="s">
        <v>60</v>
      </c>
      <c r="F25" s="2" t="s">
        <v>33</v>
      </c>
      <c r="H25" s="3">
        <v>45378</v>
      </c>
      <c r="I25" s="12">
        <v>20</v>
      </c>
      <c r="J25" s="3">
        <f t="shared" si="0"/>
        <v>45398</v>
      </c>
      <c r="K25" s="3">
        <v>45468</v>
      </c>
      <c r="L25">
        <f t="shared" ca="1" si="1"/>
        <v>90</v>
      </c>
      <c r="M25" s="11">
        <f t="shared" ca="1" si="2"/>
        <v>70</v>
      </c>
      <c r="N25" s="12" t="str" cm="1">
        <f t="array" ref="N25">_xlfn.IFS(
AND(NOT(ISBLANK(H25)),ISBLANK(K25)),"SUR",
AND(NOT(ISBLANK(H25)),NOT(ISBLANK(K25)),$P25="YES"),"RTR",
AND(NOT(ISBLANK(H25)),NOT(ISBLANK(K25)),$P25="NO"),"NTS",
TRUE,"TO Check"
)</f>
        <v>RTR</v>
      </c>
      <c r="O25" s="2" t="s">
        <v>37</v>
      </c>
      <c r="P25" s="9" t="s">
        <v>38</v>
      </c>
    </row>
    <row r="26" spans="1:16" x14ac:dyDescent="0.35">
      <c r="A26" s="2">
        <v>25</v>
      </c>
      <c r="B26" s="22">
        <v>416</v>
      </c>
      <c r="E26" t="s">
        <v>61</v>
      </c>
      <c r="F26" s="2" t="s">
        <v>33</v>
      </c>
      <c r="H26" s="3">
        <v>45385</v>
      </c>
      <c r="I26" s="12">
        <v>20</v>
      </c>
      <c r="J26" s="3">
        <f t="shared" si="0"/>
        <v>45405</v>
      </c>
      <c r="K26" s="3">
        <v>45475</v>
      </c>
      <c r="L26">
        <f t="shared" ca="1" si="1"/>
        <v>90</v>
      </c>
      <c r="M26" s="11">
        <f t="shared" ca="1" si="2"/>
        <v>70</v>
      </c>
      <c r="N26" s="12" t="str" cm="1">
        <f t="array" ref="N26">_xlfn.IFS(
AND(NOT(ISBLANK(H26)),ISBLANK(K26)),"SUR",
AND(NOT(ISBLANK(H26)),NOT(ISBLANK(K26)),$P26="YES"),"RTR",
AND(NOT(ISBLANK(H26)),NOT(ISBLANK(K26)),$P26="NO"),"NTS",
TRUE,"TO Check"
)</f>
        <v>RTR</v>
      </c>
      <c r="O26" s="2" t="s">
        <v>34</v>
      </c>
      <c r="P26" s="9" t="s">
        <v>38</v>
      </c>
    </row>
    <row r="27" spans="1:16" x14ac:dyDescent="0.35">
      <c r="A27" s="2">
        <v>26</v>
      </c>
      <c r="B27" s="22">
        <v>173</v>
      </c>
      <c r="E27" t="s">
        <v>62</v>
      </c>
      <c r="F27" s="2" t="s">
        <v>33</v>
      </c>
      <c r="H27" s="3">
        <v>45238</v>
      </c>
      <c r="I27" s="12">
        <v>20</v>
      </c>
      <c r="J27" s="3">
        <f t="shared" si="0"/>
        <v>45258</v>
      </c>
      <c r="K27" s="3">
        <v>45328</v>
      </c>
      <c r="L27">
        <f t="shared" ca="1" si="1"/>
        <v>90</v>
      </c>
      <c r="M27" s="11">
        <f t="shared" ca="1" si="2"/>
        <v>70</v>
      </c>
      <c r="N27" s="12" t="str" cm="1">
        <f t="array" ref="N27">_xlfn.IFS(
AND(NOT(ISBLANK(H27)),ISBLANK(K27)),"SUR",
AND(NOT(ISBLANK(H27)),NOT(ISBLANK(K27)),$P27="YES"),"RTR",
AND(NOT(ISBLANK(H27)),NOT(ISBLANK(K27)),$P27="NO"),"NTS",
TRUE,"TO Check"
)</f>
        <v>RTR</v>
      </c>
      <c r="O27" s="2" t="s">
        <v>34</v>
      </c>
      <c r="P27" s="9" t="s">
        <v>38</v>
      </c>
    </row>
    <row r="28" spans="1:16" x14ac:dyDescent="0.35">
      <c r="A28" s="2">
        <v>27</v>
      </c>
      <c r="B28" s="22">
        <v>1032</v>
      </c>
      <c r="E28" t="s">
        <v>63</v>
      </c>
      <c r="F28" s="2" t="s">
        <v>33</v>
      </c>
      <c r="H28" s="3">
        <v>45695</v>
      </c>
      <c r="I28" s="12">
        <v>20</v>
      </c>
      <c r="J28" s="3">
        <f t="shared" si="0"/>
        <v>45715</v>
      </c>
      <c r="K28" s="3">
        <v>45785</v>
      </c>
      <c r="L28">
        <f t="shared" ca="1" si="1"/>
        <v>90</v>
      </c>
      <c r="M28" s="11">
        <f t="shared" ca="1" si="2"/>
        <v>70</v>
      </c>
      <c r="N28" s="12" t="str" cm="1">
        <f t="array" ref="N28">_xlfn.IFS(
AND(NOT(ISBLANK(H28)),ISBLANK(K28)),"SUR",
AND(NOT(ISBLANK(H28)),NOT(ISBLANK(K28)),$P28="YES"),"RTR",
AND(NOT(ISBLANK(H28)),NOT(ISBLANK(K28)),$P28="NO"),"NTS",
TRUE,"TO Check"
)</f>
        <v>RTR</v>
      </c>
      <c r="O28" s="2" t="s">
        <v>37</v>
      </c>
      <c r="P28" s="9" t="s">
        <v>38</v>
      </c>
    </row>
    <row r="29" spans="1:16" x14ac:dyDescent="0.35">
      <c r="A29" s="2">
        <v>28</v>
      </c>
      <c r="B29" s="22">
        <v>173</v>
      </c>
      <c r="E29" t="s">
        <v>64</v>
      </c>
      <c r="F29" s="2" t="s">
        <v>33</v>
      </c>
      <c r="H29" s="3">
        <v>45238</v>
      </c>
      <c r="I29" s="12">
        <v>20</v>
      </c>
      <c r="J29" s="3">
        <f t="shared" si="0"/>
        <v>45258</v>
      </c>
      <c r="K29" s="3">
        <v>45328</v>
      </c>
      <c r="L29">
        <f t="shared" ca="1" si="1"/>
        <v>90</v>
      </c>
      <c r="M29" s="11">
        <f t="shared" ca="1" si="2"/>
        <v>70</v>
      </c>
      <c r="N29" s="12" t="str" cm="1">
        <f t="array" ref="N29">_xlfn.IFS(
AND(NOT(ISBLANK(H29)),ISBLANK(K29)),"SUR",
AND(NOT(ISBLANK(H29)),NOT(ISBLANK(K29)),$P29="YES"),"RTR",
AND(NOT(ISBLANK(H29)),NOT(ISBLANK(K29)),$P29="NO"),"NTS",
TRUE,"TO Check"
)</f>
        <v>RTR</v>
      </c>
      <c r="O29" s="2" t="s">
        <v>34</v>
      </c>
      <c r="P29" s="9" t="s">
        <v>38</v>
      </c>
    </row>
    <row r="30" spans="1:16" x14ac:dyDescent="0.35">
      <c r="A30" s="2">
        <v>29</v>
      </c>
      <c r="B30" s="22">
        <v>206</v>
      </c>
      <c r="E30" t="s">
        <v>65</v>
      </c>
      <c r="F30" s="2" t="s">
        <v>33</v>
      </c>
      <c r="H30" s="3">
        <v>45252</v>
      </c>
      <c r="I30" s="12">
        <v>20</v>
      </c>
      <c r="J30" s="3">
        <f t="shared" si="0"/>
        <v>45272</v>
      </c>
      <c r="K30" s="3">
        <v>45342</v>
      </c>
      <c r="L30">
        <f t="shared" ca="1" si="1"/>
        <v>90</v>
      </c>
      <c r="M30" s="11">
        <f t="shared" ca="1" si="2"/>
        <v>70</v>
      </c>
      <c r="N30" s="12" t="str" cm="1">
        <f t="array" ref="N30">_xlfn.IFS(
AND(NOT(ISBLANK(H30)),ISBLANK(K30)),"SUR",
AND(NOT(ISBLANK(H30)),NOT(ISBLANK(K30)),$P30="YES"),"RTR",
AND(NOT(ISBLANK(H30)),NOT(ISBLANK(K30)),$P30="NO"),"NTS",
TRUE,"TO Check"
)</f>
        <v>RTR</v>
      </c>
      <c r="O30" s="2" t="s">
        <v>34</v>
      </c>
      <c r="P30" s="9" t="s">
        <v>38</v>
      </c>
    </row>
    <row r="31" spans="1:16" x14ac:dyDescent="0.35">
      <c r="A31" s="2">
        <v>30</v>
      </c>
      <c r="B31" s="22">
        <v>384</v>
      </c>
      <c r="E31" t="s">
        <v>66</v>
      </c>
      <c r="F31" s="2" t="s">
        <v>33</v>
      </c>
      <c r="H31" s="3">
        <v>45371</v>
      </c>
      <c r="I31" s="12">
        <v>20</v>
      </c>
      <c r="J31" s="3">
        <f t="shared" si="0"/>
        <v>45391</v>
      </c>
      <c r="K31" s="3">
        <v>45461</v>
      </c>
      <c r="L31">
        <f t="shared" ca="1" si="1"/>
        <v>90</v>
      </c>
      <c r="M31" s="11">
        <f t="shared" ca="1" si="2"/>
        <v>70</v>
      </c>
      <c r="N31" s="12" t="str" cm="1">
        <f t="array" ref="N31">_xlfn.IFS(
AND(NOT(ISBLANK(H31)),ISBLANK(K31)),"SUR",
AND(NOT(ISBLANK(H31)),NOT(ISBLANK(K31)),$P31="YES"),"RTR",
AND(NOT(ISBLANK(H31)),NOT(ISBLANK(K31)),$P31="NO"),"NTS",
TRUE,"TO Check"
)</f>
        <v>RTR</v>
      </c>
      <c r="O31" s="2" t="s">
        <v>37</v>
      </c>
      <c r="P31" s="9" t="s">
        <v>38</v>
      </c>
    </row>
    <row r="32" spans="1:16" x14ac:dyDescent="0.35">
      <c r="A32" s="2">
        <v>31</v>
      </c>
      <c r="B32" s="22">
        <v>404</v>
      </c>
      <c r="E32" t="s">
        <v>67</v>
      </c>
      <c r="F32" s="2" t="s">
        <v>33</v>
      </c>
      <c r="H32" s="3">
        <v>45379</v>
      </c>
      <c r="I32" s="12">
        <v>20</v>
      </c>
      <c r="J32" s="3">
        <f t="shared" si="0"/>
        <v>45399</v>
      </c>
      <c r="K32" s="3">
        <v>45469</v>
      </c>
      <c r="L32">
        <f t="shared" ca="1" si="1"/>
        <v>90</v>
      </c>
      <c r="M32" s="11">
        <f t="shared" ca="1" si="2"/>
        <v>70</v>
      </c>
      <c r="N32" s="12" t="str" cm="1">
        <f t="array" ref="N32">_xlfn.IFS(
AND(NOT(ISBLANK(H32)),ISBLANK(K32)),"SUR",
AND(NOT(ISBLANK(H32)),NOT(ISBLANK(K32)),$P32="YES"),"RTR",
AND(NOT(ISBLANK(H32)),NOT(ISBLANK(K32)),$P32="NO"),"NTS",
TRUE,"TO Check"
)</f>
        <v>RTR</v>
      </c>
      <c r="O32" s="2" t="s">
        <v>34</v>
      </c>
      <c r="P32" s="9" t="s">
        <v>38</v>
      </c>
    </row>
    <row r="33" spans="1:16" x14ac:dyDescent="0.35">
      <c r="A33" s="2">
        <v>32</v>
      </c>
      <c r="B33" s="22">
        <v>416</v>
      </c>
      <c r="E33" t="s">
        <v>68</v>
      </c>
      <c r="F33" s="2" t="s">
        <v>33</v>
      </c>
      <c r="H33" s="3">
        <v>45385</v>
      </c>
      <c r="I33" s="12">
        <v>20</v>
      </c>
      <c r="J33" s="3">
        <f t="shared" si="0"/>
        <v>45405</v>
      </c>
      <c r="K33" s="3">
        <v>45475</v>
      </c>
      <c r="L33">
        <f t="shared" ca="1" si="1"/>
        <v>90</v>
      </c>
      <c r="M33" s="11">
        <f t="shared" ca="1" si="2"/>
        <v>70</v>
      </c>
      <c r="N33" s="12" t="str" cm="1">
        <f t="array" ref="N33">_xlfn.IFS(
AND(NOT(ISBLANK(H33)),ISBLANK(K33)),"SUR",
AND(NOT(ISBLANK(H33)),NOT(ISBLANK(K33)),$P33="YES"),"RTR",
AND(NOT(ISBLANK(H33)),NOT(ISBLANK(K33)),$P33="NO"),"NTS",
TRUE,"TO Check"
)</f>
        <v>RTR</v>
      </c>
      <c r="O33" s="2" t="s">
        <v>34</v>
      </c>
      <c r="P33" s="9" t="s">
        <v>38</v>
      </c>
    </row>
    <row r="34" spans="1:16" x14ac:dyDescent="0.35">
      <c r="A34" s="2">
        <v>33</v>
      </c>
      <c r="B34" s="22">
        <v>415</v>
      </c>
      <c r="E34" t="s">
        <v>69</v>
      </c>
      <c r="F34" s="2" t="s">
        <v>33</v>
      </c>
      <c r="H34" s="3">
        <v>45385</v>
      </c>
      <c r="I34" s="12">
        <v>20</v>
      </c>
      <c r="J34" s="3">
        <f t="shared" si="0"/>
        <v>45405</v>
      </c>
      <c r="K34" s="3">
        <v>45475</v>
      </c>
      <c r="L34">
        <f t="shared" ca="1" si="1"/>
        <v>90</v>
      </c>
      <c r="M34" s="11">
        <f t="shared" ca="1" si="2"/>
        <v>70</v>
      </c>
      <c r="N34" s="12" t="str" cm="1">
        <f t="array" ref="N34">_xlfn.IFS(
AND(NOT(ISBLANK(H34)),ISBLANK(K34)),"SUR",
AND(NOT(ISBLANK(H34)),NOT(ISBLANK(K34)),$P34="YES"),"RTR",
AND(NOT(ISBLANK(H34)),NOT(ISBLANK(K34)),$P34="NO"),"NTS",
TRUE,"TO Check"
)</f>
        <v>RTR</v>
      </c>
      <c r="O34" s="2" t="s">
        <v>37</v>
      </c>
      <c r="P34" s="9" t="s">
        <v>38</v>
      </c>
    </row>
    <row r="35" spans="1:16" x14ac:dyDescent="0.35">
      <c r="A35" s="2">
        <v>34</v>
      </c>
      <c r="B35" s="22">
        <v>553</v>
      </c>
      <c r="E35" t="s">
        <v>70</v>
      </c>
      <c r="F35" s="2" t="s">
        <v>33</v>
      </c>
      <c r="H35" s="3">
        <v>45482</v>
      </c>
      <c r="I35" s="12">
        <v>20</v>
      </c>
      <c r="J35" s="3">
        <f t="shared" si="0"/>
        <v>45502</v>
      </c>
      <c r="K35" s="3">
        <v>45572</v>
      </c>
      <c r="L35">
        <f t="shared" ca="1" si="1"/>
        <v>90</v>
      </c>
      <c r="M35" s="11">
        <f t="shared" ca="1" si="2"/>
        <v>70</v>
      </c>
      <c r="N35" s="12" t="str" cm="1">
        <f t="array" ref="N35">_xlfn.IFS(
AND(NOT(ISBLANK(H35)),ISBLANK(K35)),"SUR",
AND(NOT(ISBLANK(H35)),NOT(ISBLANK(K35)),$P35="YES"),"RTR",
AND(NOT(ISBLANK(H35)),NOT(ISBLANK(K35)),$P35="NO"),"NTS",
TRUE,"TO Check"
)</f>
        <v>RTR</v>
      </c>
      <c r="O35" s="2" t="s">
        <v>37</v>
      </c>
      <c r="P35" s="9" t="s">
        <v>38</v>
      </c>
    </row>
    <row r="36" spans="1:16" x14ac:dyDescent="0.35">
      <c r="A36" s="2">
        <v>35</v>
      </c>
      <c r="B36" s="22">
        <v>553</v>
      </c>
      <c r="E36" t="s">
        <v>71</v>
      </c>
      <c r="F36" s="2" t="s">
        <v>33</v>
      </c>
      <c r="H36" s="3">
        <v>45722</v>
      </c>
      <c r="I36" s="12">
        <v>20</v>
      </c>
      <c r="J36" s="3">
        <f t="shared" si="0"/>
        <v>45742</v>
      </c>
      <c r="K36" s="3">
        <v>45812</v>
      </c>
      <c r="L36">
        <f t="shared" ca="1" si="1"/>
        <v>90</v>
      </c>
      <c r="M36" s="11">
        <f t="shared" ca="1" si="2"/>
        <v>70</v>
      </c>
      <c r="N36" s="12" t="str" cm="1">
        <f t="array" ref="N36">_xlfn.IFS(
AND(NOT(ISBLANK(H36)),ISBLANK(K36)),"SUR",
AND(NOT(ISBLANK(H36)),NOT(ISBLANK(K36)),$P36="YES"),"RTR",
AND(NOT(ISBLANK(H36)),NOT(ISBLANK(K36)),$P36="NO"),"NTS",
TRUE,"TO Check"
)</f>
        <v>RTR</v>
      </c>
      <c r="O36" s="2" t="s">
        <v>37</v>
      </c>
      <c r="P36" s="9" t="s">
        <v>38</v>
      </c>
    </row>
    <row r="37" spans="1:16" x14ac:dyDescent="0.35">
      <c r="A37" s="2">
        <v>36</v>
      </c>
      <c r="B37" s="22">
        <v>1031</v>
      </c>
      <c r="E37" t="s">
        <v>72</v>
      </c>
      <c r="F37" s="2" t="s">
        <v>33</v>
      </c>
      <c r="H37" s="3">
        <v>45695</v>
      </c>
      <c r="I37" s="12">
        <v>20</v>
      </c>
      <c r="J37" s="3">
        <f t="shared" si="0"/>
        <v>45715</v>
      </c>
      <c r="K37" s="3">
        <v>45785</v>
      </c>
      <c r="L37">
        <f t="shared" ca="1" si="1"/>
        <v>90</v>
      </c>
      <c r="M37" s="11">
        <f t="shared" ca="1" si="2"/>
        <v>70</v>
      </c>
      <c r="N37" s="12" t="str" cm="1">
        <f t="array" ref="N37">_xlfn.IFS(
AND(NOT(ISBLANK(H37)),ISBLANK(K37)),"SUR",
AND(NOT(ISBLANK(H37)),NOT(ISBLANK(K37)),$P37="YES"),"RTR",
AND(NOT(ISBLANK(H37)),NOT(ISBLANK(K37)),$P37="NO"),"NTS",
TRUE,"TO Check"
)</f>
        <v>RTR</v>
      </c>
      <c r="O37" s="2" t="s">
        <v>34</v>
      </c>
      <c r="P37" s="9" t="s">
        <v>38</v>
      </c>
    </row>
    <row r="38" spans="1:16" x14ac:dyDescent="0.35">
      <c r="A38" s="2">
        <v>37</v>
      </c>
      <c r="B38" s="22">
        <v>507</v>
      </c>
      <c r="E38" t="s">
        <v>73</v>
      </c>
      <c r="F38" s="2" t="s">
        <v>33</v>
      </c>
      <c r="H38" s="3">
        <v>45446</v>
      </c>
      <c r="I38" s="12">
        <v>20</v>
      </c>
      <c r="J38" s="3">
        <f t="shared" si="0"/>
        <v>45466</v>
      </c>
      <c r="K38" s="3">
        <v>45536</v>
      </c>
      <c r="L38">
        <f t="shared" ca="1" si="1"/>
        <v>90</v>
      </c>
      <c r="M38" s="11">
        <f t="shared" ca="1" si="2"/>
        <v>70</v>
      </c>
      <c r="N38" s="12" t="str" cm="1">
        <f t="array" ref="N38">_xlfn.IFS(
AND(NOT(ISBLANK(H38)),ISBLANK(K38)),"SUR",
AND(NOT(ISBLANK(H38)),NOT(ISBLANK(K38)),$P38="YES"),"RTR",
AND(NOT(ISBLANK(H38)),NOT(ISBLANK(K38)),$P38="NO"),"NTS",
TRUE,"TO Check"
)</f>
        <v>RTR</v>
      </c>
      <c r="O38" s="2" t="s">
        <v>37</v>
      </c>
      <c r="P38" s="9" t="s">
        <v>38</v>
      </c>
    </row>
    <row r="39" spans="1:16" x14ac:dyDescent="0.35">
      <c r="A39" s="2">
        <v>38</v>
      </c>
      <c r="B39" s="22">
        <v>991</v>
      </c>
      <c r="E39" t="s">
        <v>74</v>
      </c>
      <c r="F39" s="2" t="s">
        <v>33</v>
      </c>
      <c r="H39" s="3">
        <v>45677</v>
      </c>
      <c r="I39" s="12">
        <v>20</v>
      </c>
      <c r="J39" s="3">
        <f t="shared" si="0"/>
        <v>45697</v>
      </c>
      <c r="K39" s="3">
        <v>45767</v>
      </c>
      <c r="L39">
        <f t="shared" ca="1" si="1"/>
        <v>90</v>
      </c>
      <c r="M39" s="11">
        <f t="shared" ca="1" si="2"/>
        <v>70</v>
      </c>
      <c r="N39" s="12" t="str" cm="1">
        <f t="array" ref="N39">_xlfn.IFS(
AND(NOT(ISBLANK(H39)),ISBLANK(K39)),"SUR",
AND(NOT(ISBLANK(H39)),NOT(ISBLANK(K39)),$P39="YES"),"RTR",
AND(NOT(ISBLANK(H39)),NOT(ISBLANK(K39)),$P39="NO"),"NTS",
TRUE,"TO Check"
)</f>
        <v>RTR</v>
      </c>
      <c r="O39" s="2" t="s">
        <v>34</v>
      </c>
      <c r="P39" s="9" t="s">
        <v>38</v>
      </c>
    </row>
    <row r="40" spans="1:16" x14ac:dyDescent="0.35">
      <c r="A40" s="2">
        <v>39</v>
      </c>
      <c r="B40" s="22">
        <v>1610</v>
      </c>
      <c r="E40" t="s">
        <v>75</v>
      </c>
      <c r="F40" s="2" t="s">
        <v>33</v>
      </c>
      <c r="H40" s="3">
        <v>45891</v>
      </c>
      <c r="I40" s="12">
        <v>20</v>
      </c>
      <c r="J40" s="3">
        <f t="shared" si="0"/>
        <v>45911</v>
      </c>
      <c r="K40" s="3">
        <v>45981</v>
      </c>
      <c r="L40">
        <f t="shared" ca="1" si="1"/>
        <v>90</v>
      </c>
      <c r="M40" s="11">
        <f t="shared" ca="1" si="2"/>
        <v>70</v>
      </c>
      <c r="N40" s="12" t="str" cm="1">
        <f t="array" ref="N40">_xlfn.IFS(
AND(NOT(ISBLANK(H40)),ISBLANK(K40)),"SUR",
AND(NOT(ISBLANK(H40)),NOT(ISBLANK(K40)),$P40="YES"),"RTR",
AND(NOT(ISBLANK(H40)),NOT(ISBLANK(K40)),$P40="NO"),"NTS",
TRUE,"TO Check"
)</f>
        <v>RTR</v>
      </c>
      <c r="O40" s="2" t="s">
        <v>37</v>
      </c>
      <c r="P40" s="9" t="s">
        <v>38</v>
      </c>
    </row>
    <row r="41" spans="1:16" x14ac:dyDescent="0.35">
      <c r="A41" s="2">
        <v>40</v>
      </c>
      <c r="B41" s="22">
        <v>1170</v>
      </c>
      <c r="E41" t="s">
        <v>76</v>
      </c>
      <c r="F41" s="2" t="s">
        <v>33</v>
      </c>
      <c r="H41" s="3">
        <v>45743</v>
      </c>
      <c r="I41" s="12">
        <v>20</v>
      </c>
      <c r="J41" s="3">
        <f t="shared" si="0"/>
        <v>45763</v>
      </c>
      <c r="K41" s="3">
        <v>45833</v>
      </c>
      <c r="L41">
        <f t="shared" ca="1" si="1"/>
        <v>90</v>
      </c>
      <c r="M41" s="11">
        <f t="shared" ca="1" si="2"/>
        <v>70</v>
      </c>
      <c r="N41" s="12" t="str" cm="1">
        <f t="array" ref="N41">_xlfn.IFS(
AND(NOT(ISBLANK(H41)),ISBLANK(K41)),"SUR",
AND(NOT(ISBLANK(H41)),NOT(ISBLANK(K41)),$P41="YES"),"RTR",
AND(NOT(ISBLANK(H41)),NOT(ISBLANK(K41)),$P41="NO"),"NTS",
TRUE,"TO Check"
)</f>
        <v>RTR</v>
      </c>
      <c r="O41" s="2" t="s">
        <v>37</v>
      </c>
      <c r="P41" s="9" t="s">
        <v>38</v>
      </c>
    </row>
    <row r="42" spans="1:16" x14ac:dyDescent="0.35">
      <c r="A42" s="2">
        <v>41</v>
      </c>
      <c r="B42" s="22">
        <v>1170</v>
      </c>
      <c r="E42" t="s">
        <v>77</v>
      </c>
      <c r="F42" s="2" t="s">
        <v>33</v>
      </c>
      <c r="H42" s="3">
        <v>45743</v>
      </c>
      <c r="I42" s="12">
        <v>20</v>
      </c>
      <c r="J42" s="3">
        <f t="shared" si="0"/>
        <v>45763</v>
      </c>
      <c r="K42" s="3">
        <v>45833</v>
      </c>
      <c r="L42">
        <f t="shared" ca="1" si="1"/>
        <v>90</v>
      </c>
      <c r="M42" s="11">
        <f t="shared" ca="1" si="2"/>
        <v>70</v>
      </c>
      <c r="N42" s="12" t="str" cm="1">
        <f t="array" ref="N42">_xlfn.IFS(
AND(NOT(ISBLANK(H42)),ISBLANK(K42)),"SUR",
AND(NOT(ISBLANK(H42)),NOT(ISBLANK(K42)),$P42="YES"),"RTR",
AND(NOT(ISBLANK(H42)),NOT(ISBLANK(K42)),$P42="NO"),"NTS",
TRUE,"TO Check"
)</f>
        <v>RTR</v>
      </c>
      <c r="O42" s="2" t="s">
        <v>37</v>
      </c>
      <c r="P42" s="9" t="s">
        <v>38</v>
      </c>
    </row>
    <row r="43" spans="1:16" x14ac:dyDescent="0.35">
      <c r="A43" s="2">
        <v>42</v>
      </c>
      <c r="B43" s="22">
        <v>1170</v>
      </c>
      <c r="E43" t="s">
        <v>78</v>
      </c>
      <c r="F43" s="2" t="s">
        <v>33</v>
      </c>
      <c r="H43" s="3">
        <v>45743</v>
      </c>
      <c r="I43" s="12">
        <v>20</v>
      </c>
      <c r="J43" s="3">
        <f t="shared" si="0"/>
        <v>45763</v>
      </c>
      <c r="K43" s="3">
        <v>45833</v>
      </c>
      <c r="L43">
        <f t="shared" ca="1" si="1"/>
        <v>90</v>
      </c>
      <c r="M43" s="11">
        <f t="shared" ca="1" si="2"/>
        <v>70</v>
      </c>
      <c r="N43" s="12" t="str" cm="1">
        <f t="array" ref="N43">_xlfn.IFS(
AND(NOT(ISBLANK(H43)),ISBLANK(K43)),"SUR",
AND(NOT(ISBLANK(H43)),NOT(ISBLANK(K43)),$P43="YES"),"RTR",
AND(NOT(ISBLANK(H43)),NOT(ISBLANK(K43)),$P43="NO"),"NTS",
TRUE,"TO Check"
)</f>
        <v>RTR</v>
      </c>
      <c r="O43" s="2" t="s">
        <v>37</v>
      </c>
      <c r="P43" s="9" t="s">
        <v>38</v>
      </c>
    </row>
    <row r="44" spans="1:16" x14ac:dyDescent="0.35">
      <c r="A44" s="2">
        <v>43</v>
      </c>
      <c r="B44" s="22">
        <v>729</v>
      </c>
      <c r="E44" t="s">
        <v>79</v>
      </c>
      <c r="F44" s="2" t="s">
        <v>33</v>
      </c>
      <c r="H44" s="3">
        <v>45553</v>
      </c>
      <c r="I44" s="12">
        <v>20</v>
      </c>
      <c r="J44" s="3">
        <f t="shared" si="0"/>
        <v>45573</v>
      </c>
      <c r="K44" s="3">
        <v>45643</v>
      </c>
      <c r="L44">
        <f t="shared" ca="1" si="1"/>
        <v>90</v>
      </c>
      <c r="M44" s="11">
        <f t="shared" ca="1" si="2"/>
        <v>70</v>
      </c>
      <c r="N44" s="12" t="str" cm="1">
        <f t="array" ref="N44">_xlfn.IFS(
AND(NOT(ISBLANK(H44)),ISBLANK(K44)),"SUR",
AND(NOT(ISBLANK(H44)),NOT(ISBLANK(K44)),$P44="YES"),"RTR",
AND(NOT(ISBLANK(H44)),NOT(ISBLANK(K44)),$P44="NO"),"NTS",
TRUE,"TO Check"
)</f>
        <v>RTR</v>
      </c>
      <c r="O44" s="2" t="s">
        <v>37</v>
      </c>
      <c r="P44" s="9" t="s">
        <v>38</v>
      </c>
    </row>
    <row r="45" spans="1:16" x14ac:dyDescent="0.35">
      <c r="A45" s="2">
        <v>44</v>
      </c>
      <c r="B45" s="22">
        <v>729</v>
      </c>
      <c r="E45" t="s">
        <v>80</v>
      </c>
      <c r="F45" s="2" t="s">
        <v>33</v>
      </c>
      <c r="H45" s="3">
        <v>45553</v>
      </c>
      <c r="I45" s="12">
        <v>20</v>
      </c>
      <c r="J45" s="3">
        <f t="shared" si="0"/>
        <v>45573</v>
      </c>
      <c r="K45" s="3">
        <v>45643</v>
      </c>
      <c r="L45">
        <f t="shared" ca="1" si="1"/>
        <v>90</v>
      </c>
      <c r="M45" s="11">
        <f t="shared" ca="1" si="2"/>
        <v>70</v>
      </c>
      <c r="N45" s="12" t="str" cm="1">
        <f t="array" ref="N45">_xlfn.IFS(
AND(NOT(ISBLANK(H45)),ISBLANK(K45)),"SUR",
AND(NOT(ISBLANK(H45)),NOT(ISBLANK(K45)),$P45="YES"),"RTR",
AND(NOT(ISBLANK(H45)),NOT(ISBLANK(K45)),$P45="NO"),"NTS",
TRUE,"TO Check"
)</f>
        <v>RTR</v>
      </c>
      <c r="O45" s="2" t="s">
        <v>37</v>
      </c>
      <c r="P45" s="9" t="s">
        <v>38</v>
      </c>
    </row>
    <row r="46" spans="1:16" x14ac:dyDescent="0.35">
      <c r="A46" s="2">
        <v>45</v>
      </c>
      <c r="B46" s="22">
        <v>725</v>
      </c>
      <c r="E46" t="s">
        <v>81</v>
      </c>
      <c r="F46" s="2" t="s">
        <v>33</v>
      </c>
      <c r="H46" s="3">
        <v>45551</v>
      </c>
      <c r="I46" s="12">
        <v>20</v>
      </c>
      <c r="J46" s="3">
        <f t="shared" si="0"/>
        <v>45571</v>
      </c>
      <c r="K46" s="3">
        <v>45641</v>
      </c>
      <c r="L46">
        <f t="shared" ca="1" si="1"/>
        <v>90</v>
      </c>
      <c r="M46" s="11">
        <f t="shared" ca="1" si="2"/>
        <v>70</v>
      </c>
      <c r="N46" s="12" t="str" cm="1">
        <f t="array" ref="N46">_xlfn.IFS(
AND(NOT(ISBLANK(H46)),ISBLANK(K46)),"SUR",
AND(NOT(ISBLANK(H46)),NOT(ISBLANK(K46)),$P46="YES"),"RTR",
AND(NOT(ISBLANK(H46)),NOT(ISBLANK(K46)),$P46="NO"),"NTS",
TRUE,"TO Check"
)</f>
        <v>RTR</v>
      </c>
      <c r="O46" s="2" t="s">
        <v>37</v>
      </c>
      <c r="P46" s="9" t="s">
        <v>38</v>
      </c>
    </row>
    <row r="47" spans="1:16" x14ac:dyDescent="0.35">
      <c r="A47" s="2">
        <v>46</v>
      </c>
      <c r="B47" s="22">
        <v>725</v>
      </c>
      <c r="E47" t="s">
        <v>82</v>
      </c>
      <c r="F47" s="2" t="s">
        <v>33</v>
      </c>
      <c r="H47" s="3">
        <v>45551</v>
      </c>
      <c r="I47" s="12">
        <v>20</v>
      </c>
      <c r="J47" s="3">
        <f t="shared" si="0"/>
        <v>45571</v>
      </c>
      <c r="K47" s="3">
        <v>45641</v>
      </c>
      <c r="L47">
        <f t="shared" ca="1" si="1"/>
        <v>90</v>
      </c>
      <c r="M47" s="11">
        <f t="shared" ca="1" si="2"/>
        <v>70</v>
      </c>
      <c r="N47" s="12" t="str" cm="1">
        <f t="array" ref="N47">_xlfn.IFS(
AND(NOT(ISBLANK(H47)),ISBLANK(K47)),"SUR",
AND(NOT(ISBLANK(H47)),NOT(ISBLANK(K47)),$P47="YES"),"RTR",
AND(NOT(ISBLANK(H47)),NOT(ISBLANK(K47)),$P47="NO"),"NTS",
TRUE,"TO Check"
)</f>
        <v>RTR</v>
      </c>
      <c r="O47" s="2" t="s">
        <v>37</v>
      </c>
      <c r="P47" s="9" t="s">
        <v>38</v>
      </c>
    </row>
    <row r="48" spans="1:16" x14ac:dyDescent="0.35">
      <c r="A48" s="2">
        <v>47</v>
      </c>
      <c r="B48" s="22">
        <v>725</v>
      </c>
      <c r="E48" t="s">
        <v>83</v>
      </c>
      <c r="F48" s="2" t="s">
        <v>33</v>
      </c>
      <c r="H48" s="3">
        <v>45551</v>
      </c>
      <c r="I48" s="12">
        <v>20</v>
      </c>
      <c r="J48" s="3">
        <f t="shared" si="0"/>
        <v>45571</v>
      </c>
      <c r="K48" s="3">
        <v>45641</v>
      </c>
      <c r="L48">
        <f t="shared" ca="1" si="1"/>
        <v>90</v>
      </c>
      <c r="M48" s="11">
        <f t="shared" ca="1" si="2"/>
        <v>70</v>
      </c>
      <c r="N48" s="12" t="str" cm="1">
        <f t="array" ref="N48">_xlfn.IFS(
AND(NOT(ISBLANK(H48)),ISBLANK(K48)),"SUR",
AND(NOT(ISBLANK(H48)),NOT(ISBLANK(K48)),$P48="YES"),"RTR",
AND(NOT(ISBLANK(H48)),NOT(ISBLANK(K48)),$P48="NO"),"NTS",
TRUE,"TO Check"
)</f>
        <v>RTR</v>
      </c>
      <c r="O48" s="2" t="s">
        <v>37</v>
      </c>
      <c r="P48" s="9" t="s">
        <v>38</v>
      </c>
    </row>
    <row r="49" spans="1:16" x14ac:dyDescent="0.35">
      <c r="A49" s="2">
        <v>48</v>
      </c>
      <c r="B49" s="22">
        <v>725</v>
      </c>
      <c r="E49" t="s">
        <v>84</v>
      </c>
      <c r="F49" s="2" t="s">
        <v>33</v>
      </c>
      <c r="H49" s="3">
        <v>45551</v>
      </c>
      <c r="I49" s="12">
        <v>20</v>
      </c>
      <c r="J49" s="3">
        <f t="shared" si="0"/>
        <v>45571</v>
      </c>
      <c r="K49" s="3">
        <v>45641</v>
      </c>
      <c r="L49">
        <f t="shared" ca="1" si="1"/>
        <v>90</v>
      </c>
      <c r="M49" s="11">
        <f t="shared" ca="1" si="2"/>
        <v>70</v>
      </c>
      <c r="N49" s="12" t="str" cm="1">
        <f t="array" ref="N49">_xlfn.IFS(
AND(NOT(ISBLANK(H49)),ISBLANK(K49)),"SUR",
AND(NOT(ISBLANK(H49)),NOT(ISBLANK(K49)),$P49="YES"),"RTR",
AND(NOT(ISBLANK(H49)),NOT(ISBLANK(K49)),$P49="NO"),"NTS",
TRUE,"TO Check"
)</f>
        <v>RTR</v>
      </c>
      <c r="O49" s="2" t="s">
        <v>37</v>
      </c>
      <c r="P49" s="9" t="s">
        <v>38</v>
      </c>
    </row>
    <row r="50" spans="1:16" x14ac:dyDescent="0.35">
      <c r="A50" s="2">
        <v>49</v>
      </c>
      <c r="B50" s="22">
        <v>880</v>
      </c>
      <c r="E50" t="s">
        <v>85</v>
      </c>
      <c r="F50" s="2" t="s">
        <v>33</v>
      </c>
      <c r="H50" s="3">
        <v>45636</v>
      </c>
      <c r="I50" s="12">
        <v>20</v>
      </c>
      <c r="J50" s="3">
        <f t="shared" si="0"/>
        <v>45656</v>
      </c>
      <c r="K50" s="3">
        <v>45726</v>
      </c>
      <c r="L50">
        <f t="shared" ca="1" si="1"/>
        <v>90</v>
      </c>
      <c r="M50" s="11">
        <f t="shared" ca="1" si="2"/>
        <v>70</v>
      </c>
      <c r="N50" s="12" t="str" cm="1">
        <f t="array" ref="N50">_xlfn.IFS(
AND(NOT(ISBLANK(H50)),ISBLANK(K50)),"SUR",
AND(NOT(ISBLANK(H50)),NOT(ISBLANK(K50)),$P50="YES"),"RTR",
AND(NOT(ISBLANK(H50)),NOT(ISBLANK(K50)),$P50="NO"),"NTS",
TRUE,"TO Check"
)</f>
        <v>RTR</v>
      </c>
      <c r="O50" s="2" t="s">
        <v>34</v>
      </c>
      <c r="P50" s="9" t="s">
        <v>38</v>
      </c>
    </row>
    <row r="51" spans="1:16" x14ac:dyDescent="0.35">
      <c r="A51" s="2">
        <v>50</v>
      </c>
      <c r="B51" s="22">
        <v>874</v>
      </c>
      <c r="E51" t="s">
        <v>86</v>
      </c>
      <c r="F51" s="2" t="s">
        <v>33</v>
      </c>
      <c r="H51" s="3">
        <v>45630</v>
      </c>
      <c r="I51" s="12">
        <v>20</v>
      </c>
      <c r="J51" s="3">
        <f t="shared" si="0"/>
        <v>45650</v>
      </c>
      <c r="K51" s="3">
        <v>45720</v>
      </c>
      <c r="L51">
        <f t="shared" ca="1" si="1"/>
        <v>90</v>
      </c>
      <c r="M51" s="11">
        <f t="shared" ca="1" si="2"/>
        <v>70</v>
      </c>
      <c r="N51" s="12" t="str" cm="1">
        <f t="array" ref="N51">_xlfn.IFS(
AND(NOT(ISBLANK(H51)),ISBLANK(K51)),"SUR",
AND(NOT(ISBLANK(H51)),NOT(ISBLANK(K51)),$P51="YES"),"RTR",
AND(NOT(ISBLANK(H51)),NOT(ISBLANK(K51)),$P51="NO"),"NTS",
TRUE,"TO Check"
)</f>
        <v>RTR</v>
      </c>
      <c r="O51" s="2" t="s">
        <v>37</v>
      </c>
      <c r="P51" s="9" t="s">
        <v>38</v>
      </c>
    </row>
    <row r="52" spans="1:16" x14ac:dyDescent="0.35">
      <c r="A52" s="2">
        <v>51</v>
      </c>
      <c r="B52" s="22">
        <v>847</v>
      </c>
      <c r="E52" t="s">
        <v>87</v>
      </c>
      <c r="F52" s="2" t="s">
        <v>33</v>
      </c>
      <c r="H52" s="3">
        <v>45624</v>
      </c>
      <c r="I52" s="12">
        <v>20</v>
      </c>
      <c r="J52" s="3">
        <f t="shared" si="0"/>
        <v>45644</v>
      </c>
      <c r="K52" s="3">
        <v>45714</v>
      </c>
      <c r="L52">
        <f t="shared" ca="1" si="1"/>
        <v>90</v>
      </c>
      <c r="M52" s="11">
        <f t="shared" ca="1" si="2"/>
        <v>70</v>
      </c>
      <c r="N52" s="12" t="str" cm="1">
        <f t="array" ref="N52">_xlfn.IFS(
AND(NOT(ISBLANK(H52)),ISBLANK(K52)),"SUR",
AND(NOT(ISBLANK(H52)),NOT(ISBLANK(K52)),$P52="YES"),"RTR",
AND(NOT(ISBLANK(H52)),NOT(ISBLANK(K52)),$P52="NO"),"NTS",
TRUE,"TO Check"
)</f>
        <v>RTR</v>
      </c>
      <c r="O52" s="2" t="s">
        <v>88</v>
      </c>
      <c r="P52" s="9" t="s">
        <v>38</v>
      </c>
    </row>
    <row r="53" spans="1:16" x14ac:dyDescent="0.35">
      <c r="A53" s="2">
        <v>52</v>
      </c>
      <c r="B53" s="22">
        <v>769</v>
      </c>
      <c r="E53" t="s">
        <v>89</v>
      </c>
      <c r="F53" s="2" t="s">
        <v>33</v>
      </c>
      <c r="H53" s="3">
        <v>45586</v>
      </c>
      <c r="I53" s="12">
        <v>20</v>
      </c>
      <c r="J53" s="3">
        <f t="shared" si="0"/>
        <v>45606</v>
      </c>
      <c r="K53" s="3">
        <v>45676</v>
      </c>
      <c r="L53">
        <f t="shared" ca="1" si="1"/>
        <v>90</v>
      </c>
      <c r="M53" s="11">
        <f t="shared" ca="1" si="2"/>
        <v>70</v>
      </c>
      <c r="N53" s="12" t="str" cm="1">
        <f t="array" ref="N53">_xlfn.IFS(
AND(NOT(ISBLANK(H53)),ISBLANK(K53)),"SUR",
AND(NOT(ISBLANK(H53)),NOT(ISBLANK(K53)),$P53="YES"),"RTR",
AND(NOT(ISBLANK(H53)),NOT(ISBLANK(K53)),$P53="NO"),"NTS",
TRUE,"TO Check"
)</f>
        <v>RTR</v>
      </c>
      <c r="O53" s="2" t="s">
        <v>37</v>
      </c>
      <c r="P53" s="9" t="s">
        <v>38</v>
      </c>
    </row>
    <row r="54" spans="1:16" x14ac:dyDescent="0.35">
      <c r="A54" s="2">
        <v>53</v>
      </c>
      <c r="B54" s="22">
        <v>769</v>
      </c>
      <c r="E54" t="s">
        <v>90</v>
      </c>
      <c r="F54" s="2" t="s">
        <v>33</v>
      </c>
      <c r="H54" s="3">
        <v>45586</v>
      </c>
      <c r="I54" s="12">
        <v>20</v>
      </c>
      <c r="J54" s="3">
        <f t="shared" si="0"/>
        <v>45606</v>
      </c>
      <c r="K54" s="3">
        <v>45676</v>
      </c>
      <c r="L54">
        <f t="shared" ca="1" si="1"/>
        <v>90</v>
      </c>
      <c r="M54" s="11">
        <f t="shared" ca="1" si="2"/>
        <v>70</v>
      </c>
      <c r="N54" s="12" t="str" cm="1">
        <f t="array" ref="N54">_xlfn.IFS(
AND(NOT(ISBLANK(H54)),ISBLANK(K54)),"SUR",
AND(NOT(ISBLANK(H54)),NOT(ISBLANK(K54)),$P54="YES"),"RTR",
AND(NOT(ISBLANK(H54)),NOT(ISBLANK(K54)),$P54="NO"),"NTS",
TRUE,"TO Check"
)</f>
        <v>RTR</v>
      </c>
      <c r="O54" s="2" t="s">
        <v>37</v>
      </c>
      <c r="P54" s="9" t="s">
        <v>38</v>
      </c>
    </row>
    <row r="55" spans="1:16" x14ac:dyDescent="0.35">
      <c r="A55" s="2">
        <v>54</v>
      </c>
      <c r="B55" s="22">
        <v>769</v>
      </c>
      <c r="E55" t="s">
        <v>91</v>
      </c>
      <c r="F55" s="2" t="s">
        <v>33</v>
      </c>
      <c r="H55" s="3">
        <v>45586</v>
      </c>
      <c r="I55" s="12">
        <v>20</v>
      </c>
      <c r="J55" s="3">
        <f t="shared" si="0"/>
        <v>45606</v>
      </c>
      <c r="K55" s="3">
        <v>45676</v>
      </c>
      <c r="L55">
        <f t="shared" ca="1" si="1"/>
        <v>90</v>
      </c>
      <c r="M55" s="11">
        <f t="shared" ca="1" si="2"/>
        <v>70</v>
      </c>
      <c r="N55" s="12" t="str" cm="1">
        <f t="array" ref="N55">_xlfn.IFS(
AND(NOT(ISBLANK(H55)),ISBLANK(K55)),"SUR",
AND(NOT(ISBLANK(H55)),NOT(ISBLANK(K55)),$P55="YES"),"RTR",
AND(NOT(ISBLANK(H55)),NOT(ISBLANK(K55)),$P55="NO"),"NTS",
TRUE,"TO Check"
)</f>
        <v>RTR</v>
      </c>
      <c r="O55" s="2" t="s">
        <v>37</v>
      </c>
      <c r="P55" s="9" t="s">
        <v>38</v>
      </c>
    </row>
    <row r="56" spans="1:16" x14ac:dyDescent="0.35">
      <c r="A56" s="2">
        <v>55</v>
      </c>
      <c r="B56" s="22">
        <v>769</v>
      </c>
      <c r="E56" t="s">
        <v>92</v>
      </c>
      <c r="F56" s="2" t="s">
        <v>33</v>
      </c>
      <c r="H56" s="3">
        <v>45586</v>
      </c>
      <c r="I56" s="12">
        <v>20</v>
      </c>
      <c r="J56" s="3">
        <f t="shared" si="0"/>
        <v>45606</v>
      </c>
      <c r="K56" s="3">
        <v>45676</v>
      </c>
      <c r="L56">
        <f t="shared" ca="1" si="1"/>
        <v>90</v>
      </c>
      <c r="M56" s="11">
        <f t="shared" ca="1" si="2"/>
        <v>70</v>
      </c>
      <c r="N56" s="12" t="str" cm="1">
        <f t="array" ref="N56">_xlfn.IFS(
AND(NOT(ISBLANK(H56)),ISBLANK(K56)),"SUR",
AND(NOT(ISBLANK(H56)),NOT(ISBLANK(K56)),$P56="YES"),"RTR",
AND(NOT(ISBLANK(H56)),NOT(ISBLANK(K56)),$P56="NO"),"NTS",
TRUE,"TO Check"
)</f>
        <v>RTR</v>
      </c>
      <c r="O56" s="2" t="s">
        <v>37</v>
      </c>
      <c r="P56" s="9" t="s">
        <v>38</v>
      </c>
    </row>
    <row r="57" spans="1:16" x14ac:dyDescent="0.35">
      <c r="A57" s="2">
        <v>56</v>
      </c>
      <c r="B57" s="22">
        <v>769</v>
      </c>
      <c r="E57" t="s">
        <v>93</v>
      </c>
      <c r="F57" s="2" t="s">
        <v>33</v>
      </c>
      <c r="H57" s="3">
        <v>45586</v>
      </c>
      <c r="I57" s="12">
        <v>20</v>
      </c>
      <c r="J57" s="3">
        <f t="shared" si="0"/>
        <v>45606</v>
      </c>
      <c r="K57" s="3">
        <v>45676</v>
      </c>
      <c r="L57">
        <f t="shared" ca="1" si="1"/>
        <v>90</v>
      </c>
      <c r="M57" s="11">
        <f t="shared" ca="1" si="2"/>
        <v>70</v>
      </c>
      <c r="N57" s="12" t="str" cm="1">
        <f t="array" ref="N57">_xlfn.IFS(
AND(NOT(ISBLANK(H57)),ISBLANK(K57)),"SUR",
AND(NOT(ISBLANK(H57)),NOT(ISBLANK(K57)),$P57="YES"),"RTR",
AND(NOT(ISBLANK(H57)),NOT(ISBLANK(K57)),$P57="NO"),"NTS",
TRUE,"TO Check"
)</f>
        <v>RTR</v>
      </c>
      <c r="O57" s="2" t="s">
        <v>37</v>
      </c>
      <c r="P57" s="9" t="s">
        <v>38</v>
      </c>
    </row>
    <row r="58" spans="1:16" x14ac:dyDescent="0.35">
      <c r="A58" s="2">
        <v>57</v>
      </c>
      <c r="B58" s="22">
        <v>769</v>
      </c>
      <c r="E58" t="s">
        <v>94</v>
      </c>
      <c r="F58" s="2" t="s">
        <v>33</v>
      </c>
      <c r="H58" s="3">
        <v>45586</v>
      </c>
      <c r="I58" s="12">
        <v>20</v>
      </c>
      <c r="J58" s="3">
        <f t="shared" si="0"/>
        <v>45606</v>
      </c>
      <c r="K58" s="3">
        <v>45676</v>
      </c>
      <c r="L58">
        <f t="shared" ca="1" si="1"/>
        <v>90</v>
      </c>
      <c r="M58" s="11">
        <f t="shared" ca="1" si="2"/>
        <v>70</v>
      </c>
      <c r="N58" s="12" t="str" cm="1">
        <f t="array" ref="N58">_xlfn.IFS(
AND(NOT(ISBLANK(H58)),ISBLANK(K58)),"SUR",
AND(NOT(ISBLANK(H58)),NOT(ISBLANK(K58)),$P58="YES"),"RTR",
AND(NOT(ISBLANK(H58)),NOT(ISBLANK(K58)),$P58="NO"),"NTS",
TRUE,"TO Check"
)</f>
        <v>RTR</v>
      </c>
      <c r="O58" s="2" t="s">
        <v>37</v>
      </c>
      <c r="P58" s="9" t="s">
        <v>38</v>
      </c>
    </row>
    <row r="59" spans="1:16" x14ac:dyDescent="0.35">
      <c r="A59" s="2">
        <v>58</v>
      </c>
      <c r="B59" s="22">
        <v>1079</v>
      </c>
      <c r="E59" t="s">
        <v>95</v>
      </c>
      <c r="F59" s="2" t="s">
        <v>33</v>
      </c>
      <c r="H59" s="3">
        <v>45716</v>
      </c>
      <c r="I59" s="12">
        <v>20</v>
      </c>
      <c r="J59" s="3">
        <f t="shared" si="0"/>
        <v>45736</v>
      </c>
      <c r="K59" s="3">
        <v>45806</v>
      </c>
      <c r="L59">
        <f t="shared" ca="1" si="1"/>
        <v>90</v>
      </c>
      <c r="M59" s="11">
        <f t="shared" ca="1" si="2"/>
        <v>70</v>
      </c>
      <c r="N59" s="12" t="str" cm="1">
        <f t="array" ref="N59">_xlfn.IFS(
AND(NOT(ISBLANK(H59)),ISBLANK(K59)),"SUR",
AND(NOT(ISBLANK(H59)),NOT(ISBLANK(K59)),$P59="YES"),"RTR",
AND(NOT(ISBLANK(H59)),NOT(ISBLANK(K59)),$P59="NO"),"NTS",
TRUE,"TO Check"
)</f>
        <v>RTR</v>
      </c>
      <c r="O59" s="2" t="s">
        <v>34</v>
      </c>
      <c r="P59" s="9" t="s">
        <v>38</v>
      </c>
    </row>
    <row r="60" spans="1:16" x14ac:dyDescent="0.35">
      <c r="A60" s="2">
        <v>59</v>
      </c>
      <c r="B60" s="22">
        <v>1925</v>
      </c>
      <c r="E60" t="s">
        <v>96</v>
      </c>
      <c r="F60" s="2" t="s">
        <v>33</v>
      </c>
      <c r="H60" s="3">
        <v>46013</v>
      </c>
      <c r="I60" s="12">
        <v>20</v>
      </c>
      <c r="J60" s="3">
        <f t="shared" si="0"/>
        <v>46033</v>
      </c>
      <c r="K60" s="3">
        <v>46103</v>
      </c>
      <c r="L60">
        <f t="shared" ca="1" si="1"/>
        <v>90</v>
      </c>
      <c r="M60" s="11">
        <f t="shared" ca="1" si="2"/>
        <v>70</v>
      </c>
      <c r="N60" s="12" t="str" cm="1">
        <f t="array" ref="N60">_xlfn.IFS(
AND(NOT(ISBLANK(H60)),ISBLANK(K60)),"SUR",
AND(NOT(ISBLANK(H60)),NOT(ISBLANK(K60)),$P60="YES"),"RTR",
AND(NOT(ISBLANK(H60)),NOT(ISBLANK(K60)),$P60="NO"),"NTS",
TRUE,"TO Check"
)</f>
        <v>RTR</v>
      </c>
      <c r="O60" s="2" t="s">
        <v>37</v>
      </c>
      <c r="P60" s="9" t="s">
        <v>38</v>
      </c>
    </row>
    <row r="61" spans="1:16" x14ac:dyDescent="0.35">
      <c r="A61" s="2">
        <v>60</v>
      </c>
      <c r="B61" s="22">
        <v>1676</v>
      </c>
      <c r="E61" t="s">
        <v>97</v>
      </c>
      <c r="F61" s="2" t="s">
        <v>33</v>
      </c>
      <c r="H61" s="3">
        <v>45911</v>
      </c>
      <c r="I61" s="12">
        <v>20</v>
      </c>
      <c r="J61" s="3">
        <f t="shared" si="0"/>
        <v>45931</v>
      </c>
      <c r="K61" s="3">
        <v>46001</v>
      </c>
      <c r="L61">
        <f t="shared" ca="1" si="1"/>
        <v>90</v>
      </c>
      <c r="M61" s="11">
        <f t="shared" ca="1" si="2"/>
        <v>70</v>
      </c>
      <c r="N61" s="12" t="str" cm="1">
        <f t="array" ref="N61">_xlfn.IFS(
AND(NOT(ISBLANK(H61)),ISBLANK(K61)),"SUR",
AND(NOT(ISBLANK(H61)),NOT(ISBLANK(K61)),$P61="YES"),"RTR",
AND(NOT(ISBLANK(H61)),NOT(ISBLANK(K61)),$P61="NO"),"NTS",
TRUE,"TO Check"
)</f>
        <v>RTR</v>
      </c>
      <c r="O61" s="2" t="s">
        <v>37</v>
      </c>
      <c r="P61" s="9" t="s">
        <v>38</v>
      </c>
    </row>
    <row r="62" spans="1:16" x14ac:dyDescent="0.35">
      <c r="A62" s="2">
        <v>61</v>
      </c>
      <c r="B62" s="22">
        <v>358</v>
      </c>
      <c r="E62" t="s">
        <v>98</v>
      </c>
      <c r="F62" s="2" t="s">
        <v>33</v>
      </c>
      <c r="H62" s="3">
        <v>45363</v>
      </c>
      <c r="I62" s="12">
        <v>20</v>
      </c>
      <c r="J62" s="3">
        <f t="shared" si="0"/>
        <v>45383</v>
      </c>
      <c r="K62" s="3">
        <v>45453</v>
      </c>
      <c r="L62">
        <f t="shared" ca="1" si="1"/>
        <v>90</v>
      </c>
      <c r="M62" s="11">
        <f t="shared" ca="1" si="2"/>
        <v>70</v>
      </c>
      <c r="N62" s="12" t="str" cm="1">
        <f t="array" ref="N62">_xlfn.IFS(
AND(NOT(ISBLANK(H62)),ISBLANK(K62)),"SUR",
AND(NOT(ISBLANK(H62)),NOT(ISBLANK(K62)),$P62="YES"),"RTR",
AND(NOT(ISBLANK(H62)),NOT(ISBLANK(K62)),$P62="NO"),"NTS",
TRUE,"TO Check"
)</f>
        <v>RTR</v>
      </c>
      <c r="O62" s="2" t="s">
        <v>34</v>
      </c>
      <c r="P62" s="9" t="s">
        <v>38</v>
      </c>
    </row>
    <row r="63" spans="1:16" x14ac:dyDescent="0.35">
      <c r="A63" s="2">
        <v>62</v>
      </c>
      <c r="B63" s="22">
        <v>360</v>
      </c>
      <c r="E63" t="s">
        <v>99</v>
      </c>
      <c r="F63" s="2" t="s">
        <v>33</v>
      </c>
      <c r="H63" s="3">
        <v>45365</v>
      </c>
      <c r="I63" s="12">
        <v>20</v>
      </c>
      <c r="J63" s="3">
        <f t="shared" si="0"/>
        <v>45385</v>
      </c>
      <c r="K63" s="3">
        <v>45455</v>
      </c>
      <c r="L63">
        <f t="shared" ca="1" si="1"/>
        <v>90</v>
      </c>
      <c r="M63" s="11">
        <f t="shared" ca="1" si="2"/>
        <v>70</v>
      </c>
      <c r="N63" s="12" t="str" cm="1">
        <f t="array" ref="N63">_xlfn.IFS(
AND(NOT(ISBLANK(H63)),ISBLANK(K63)),"SUR",
AND(NOT(ISBLANK(H63)),NOT(ISBLANK(K63)),$P63="YES"),"RTR",
AND(NOT(ISBLANK(H63)),NOT(ISBLANK(K63)),$P63="NO"),"NTS",
TRUE,"TO Check"
)</f>
        <v>RTR</v>
      </c>
      <c r="O63" s="2" t="s">
        <v>37</v>
      </c>
      <c r="P63" s="9" t="s">
        <v>38</v>
      </c>
    </row>
    <row r="64" spans="1:16" x14ac:dyDescent="0.35">
      <c r="A64" s="2">
        <v>63</v>
      </c>
      <c r="B64" s="22">
        <v>360</v>
      </c>
      <c r="E64" t="s">
        <v>100</v>
      </c>
      <c r="F64" s="2" t="s">
        <v>33</v>
      </c>
      <c r="H64" s="3">
        <v>45365</v>
      </c>
      <c r="I64" s="12">
        <v>20</v>
      </c>
      <c r="J64" s="3">
        <f t="shared" si="0"/>
        <v>45385</v>
      </c>
      <c r="K64" s="3">
        <v>45455</v>
      </c>
      <c r="L64">
        <f t="shared" ca="1" si="1"/>
        <v>90</v>
      </c>
      <c r="M64" s="11">
        <f t="shared" ca="1" si="2"/>
        <v>70</v>
      </c>
      <c r="N64" s="12" t="str" cm="1">
        <f t="array" ref="N64">_xlfn.IFS(
AND(NOT(ISBLANK(H64)),ISBLANK(K64)),"SUR",
AND(NOT(ISBLANK(H64)),NOT(ISBLANK(K64)),$P64="YES"),"RTR",
AND(NOT(ISBLANK(H64)),NOT(ISBLANK(K64)),$P64="NO"),"NTS",
TRUE,"TO Check"
)</f>
        <v>RTR</v>
      </c>
      <c r="O64" s="2" t="s">
        <v>37</v>
      </c>
      <c r="P64" s="9" t="s">
        <v>38</v>
      </c>
    </row>
    <row r="65" spans="1:16" x14ac:dyDescent="0.35">
      <c r="A65" s="2">
        <v>64</v>
      </c>
      <c r="B65" s="22">
        <v>398</v>
      </c>
      <c r="E65" t="s">
        <v>48</v>
      </c>
      <c r="F65" s="2" t="s">
        <v>33</v>
      </c>
      <c r="H65" s="3">
        <v>45377</v>
      </c>
      <c r="I65" s="12">
        <v>20</v>
      </c>
      <c r="J65" s="3">
        <f t="shared" si="0"/>
        <v>45397</v>
      </c>
      <c r="K65" s="3">
        <v>45467</v>
      </c>
      <c r="L65">
        <f t="shared" ca="1" si="1"/>
        <v>90</v>
      </c>
      <c r="M65" s="11">
        <f t="shared" ca="1" si="2"/>
        <v>70</v>
      </c>
      <c r="N65" s="12" t="str" cm="1">
        <f t="array" ref="N65">_xlfn.IFS(
AND(NOT(ISBLANK(H65)),ISBLANK(K65)),"SUR",
AND(NOT(ISBLANK(H65)),NOT(ISBLANK(K65)),$P65="YES"),"RTR",
AND(NOT(ISBLANK(H65)),NOT(ISBLANK(K65)),$P65="NO"),"NTS",
TRUE,"TO Check"
)</f>
        <v>RTR</v>
      </c>
      <c r="O65" s="2" t="s">
        <v>37</v>
      </c>
      <c r="P65" s="9" t="s">
        <v>38</v>
      </c>
    </row>
    <row r="66" spans="1:16" x14ac:dyDescent="0.35">
      <c r="A66" s="2">
        <v>65</v>
      </c>
      <c r="B66" s="22">
        <v>398</v>
      </c>
      <c r="E66" t="s">
        <v>49</v>
      </c>
      <c r="F66" s="2" t="s">
        <v>33</v>
      </c>
      <c r="H66" s="3">
        <v>45377</v>
      </c>
      <c r="I66" s="12">
        <v>20</v>
      </c>
      <c r="J66" s="3">
        <f t="shared" si="0"/>
        <v>45397</v>
      </c>
      <c r="K66" s="3">
        <v>45467</v>
      </c>
      <c r="L66">
        <f t="shared" ca="1" si="1"/>
        <v>90</v>
      </c>
      <c r="M66" s="11">
        <f t="shared" ca="1" si="2"/>
        <v>70</v>
      </c>
      <c r="N66" s="12" t="str" cm="1">
        <f t="array" ref="N66">_xlfn.IFS(
AND(NOT(ISBLANK(H66)),ISBLANK(K66)),"SUR",
AND(NOT(ISBLANK(H66)),NOT(ISBLANK(K66)),$P66="YES"),"RTR",
AND(NOT(ISBLANK(H66)),NOT(ISBLANK(K66)),$P66="NO"),"NTS",
TRUE,"TO Check"
)</f>
        <v>RTR</v>
      </c>
      <c r="O66" s="2" t="s">
        <v>37</v>
      </c>
      <c r="P66" s="9" t="s">
        <v>38</v>
      </c>
    </row>
    <row r="67" spans="1:16" x14ac:dyDescent="0.35">
      <c r="A67" s="2">
        <v>66</v>
      </c>
      <c r="B67" s="22">
        <v>398</v>
      </c>
      <c r="E67" t="s">
        <v>101</v>
      </c>
      <c r="F67" s="2" t="s">
        <v>33</v>
      </c>
      <c r="H67" s="3">
        <v>45377</v>
      </c>
      <c r="I67" s="12">
        <v>20</v>
      </c>
      <c r="J67" s="3">
        <f t="shared" ref="J67:J130" si="3">$H67+$I67</f>
        <v>45397</v>
      </c>
      <c r="K67" s="3">
        <v>45467</v>
      </c>
      <c r="L67">
        <f t="shared" ref="L67:L130" ca="1" si="4">IF(NOT(ISBLANK($K67)),$K67-$H67,TODAY()-$H67)</f>
        <v>90</v>
      </c>
      <c r="M67" s="11">
        <f t="shared" ca="1" si="2"/>
        <v>70</v>
      </c>
      <c r="N67" s="12" t="str" cm="1">
        <f t="array" ref="N67">_xlfn.IFS(
AND(NOT(ISBLANK(H67)),ISBLANK(K67)),"SUR",
AND(NOT(ISBLANK(H67)),NOT(ISBLANK(K67)),$P67="YES"),"RTR",
AND(NOT(ISBLANK(H67)),NOT(ISBLANK(K67)),$P67="NO"),"NTS",
TRUE,"TO Check"
)</f>
        <v>RTR</v>
      </c>
      <c r="O67" s="2" t="s">
        <v>37</v>
      </c>
      <c r="P67" s="9" t="s">
        <v>38</v>
      </c>
    </row>
    <row r="68" spans="1:16" x14ac:dyDescent="0.35">
      <c r="A68" s="2">
        <v>67</v>
      </c>
      <c r="B68" s="22">
        <v>398</v>
      </c>
      <c r="E68" t="s">
        <v>102</v>
      </c>
      <c r="F68" s="2" t="s">
        <v>33</v>
      </c>
      <c r="H68" s="3">
        <v>45377</v>
      </c>
      <c r="I68" s="12">
        <v>20</v>
      </c>
      <c r="J68" s="3">
        <f t="shared" si="3"/>
        <v>45397</v>
      </c>
      <c r="K68" s="3">
        <v>45467</v>
      </c>
      <c r="L68">
        <f t="shared" ca="1" si="4"/>
        <v>90</v>
      </c>
      <c r="M68" s="11">
        <f t="shared" ref="M68:M131" ca="1" si="5">L68-I68</f>
        <v>70</v>
      </c>
      <c r="N68" s="12" t="str" cm="1">
        <f t="array" ref="N68">_xlfn.IFS(
AND(NOT(ISBLANK(H68)),ISBLANK(K68)),"SUR",
AND(NOT(ISBLANK(H68)),NOT(ISBLANK(K68)),$P68="YES"),"RTR",
AND(NOT(ISBLANK(H68)),NOT(ISBLANK(K68)),$P68="NO"),"NTS",
TRUE,"TO Check"
)</f>
        <v>RTR</v>
      </c>
      <c r="O68" s="2" t="s">
        <v>37</v>
      </c>
      <c r="P68" s="9" t="s">
        <v>38</v>
      </c>
    </row>
    <row r="69" spans="1:16" x14ac:dyDescent="0.35">
      <c r="A69" s="2">
        <v>68</v>
      </c>
      <c r="B69" s="22">
        <v>398</v>
      </c>
      <c r="E69" t="s">
        <v>103</v>
      </c>
      <c r="F69" s="2" t="s">
        <v>33</v>
      </c>
      <c r="H69" s="3">
        <v>45377</v>
      </c>
      <c r="I69" s="12">
        <v>20</v>
      </c>
      <c r="J69" s="3">
        <f t="shared" si="3"/>
        <v>45397</v>
      </c>
      <c r="K69" s="3">
        <v>45467</v>
      </c>
      <c r="L69">
        <f t="shared" ca="1" si="4"/>
        <v>90</v>
      </c>
      <c r="M69" s="11">
        <f t="shared" ca="1" si="5"/>
        <v>70</v>
      </c>
      <c r="N69" s="12" t="str" cm="1">
        <f t="array" ref="N69">_xlfn.IFS(
AND(NOT(ISBLANK(H69)),ISBLANK(K69)),"SUR",
AND(NOT(ISBLANK(H69)),NOT(ISBLANK(K69)),$P69="YES"),"RTR",
AND(NOT(ISBLANK(H69)),NOT(ISBLANK(K69)),$P69="NO"),"NTS",
TRUE,"TO Check"
)</f>
        <v>RTR</v>
      </c>
      <c r="O69" s="2" t="s">
        <v>37</v>
      </c>
      <c r="P69" s="9" t="s">
        <v>38</v>
      </c>
    </row>
    <row r="70" spans="1:16" x14ac:dyDescent="0.35">
      <c r="A70" s="2">
        <v>69</v>
      </c>
      <c r="B70" s="22">
        <v>398</v>
      </c>
      <c r="E70" t="s">
        <v>104</v>
      </c>
      <c r="F70" s="2" t="s">
        <v>33</v>
      </c>
      <c r="H70" s="3">
        <v>45377</v>
      </c>
      <c r="I70" s="12">
        <v>20</v>
      </c>
      <c r="J70" s="3">
        <f t="shared" si="3"/>
        <v>45397</v>
      </c>
      <c r="K70" s="3">
        <v>45467</v>
      </c>
      <c r="L70">
        <f t="shared" ca="1" si="4"/>
        <v>90</v>
      </c>
      <c r="M70" s="11">
        <f t="shared" ca="1" si="5"/>
        <v>70</v>
      </c>
      <c r="N70" s="12" t="str" cm="1">
        <f t="array" ref="N70">_xlfn.IFS(
AND(NOT(ISBLANK(H70)),ISBLANK(K70)),"SUR",
AND(NOT(ISBLANK(H70)),NOT(ISBLANK(K70)),$P70="YES"),"RTR",
AND(NOT(ISBLANK(H70)),NOT(ISBLANK(K70)),$P70="NO"),"NTS",
TRUE,"TO Check"
)</f>
        <v>RTR</v>
      </c>
      <c r="O70" s="2" t="s">
        <v>37</v>
      </c>
      <c r="P70" s="9" t="s">
        <v>38</v>
      </c>
    </row>
    <row r="71" spans="1:16" x14ac:dyDescent="0.35">
      <c r="A71" s="2">
        <v>70</v>
      </c>
      <c r="B71" s="22">
        <v>398</v>
      </c>
      <c r="E71" t="s">
        <v>105</v>
      </c>
      <c r="F71" s="2" t="s">
        <v>33</v>
      </c>
      <c r="H71" s="3">
        <v>45377</v>
      </c>
      <c r="I71" s="12">
        <v>20</v>
      </c>
      <c r="J71" s="3">
        <f t="shared" si="3"/>
        <v>45397</v>
      </c>
      <c r="K71" s="3">
        <v>45467</v>
      </c>
      <c r="L71">
        <f t="shared" ca="1" si="4"/>
        <v>90</v>
      </c>
      <c r="M71" s="11">
        <f t="shared" ca="1" si="5"/>
        <v>70</v>
      </c>
      <c r="N71" s="12" t="str" cm="1">
        <f t="array" ref="N71">_xlfn.IFS(
AND(NOT(ISBLANK(H71)),ISBLANK(K71)),"SUR",
AND(NOT(ISBLANK(H71)),NOT(ISBLANK(K71)),$P71="YES"),"RTR",
AND(NOT(ISBLANK(H71)),NOT(ISBLANK(K71)),$P71="NO"),"NTS",
TRUE,"TO Check"
)</f>
        <v>RTR</v>
      </c>
      <c r="O71" s="2" t="s">
        <v>37</v>
      </c>
      <c r="P71" s="9" t="s">
        <v>38</v>
      </c>
    </row>
    <row r="72" spans="1:16" x14ac:dyDescent="0.35">
      <c r="A72" s="2">
        <v>71</v>
      </c>
      <c r="B72" s="22">
        <v>398</v>
      </c>
      <c r="E72" t="s">
        <v>106</v>
      </c>
      <c r="F72" s="2" t="s">
        <v>33</v>
      </c>
      <c r="H72" s="3">
        <v>45377</v>
      </c>
      <c r="I72" s="12">
        <v>20</v>
      </c>
      <c r="J72" s="3">
        <f t="shared" si="3"/>
        <v>45397</v>
      </c>
      <c r="K72" s="3">
        <v>45467</v>
      </c>
      <c r="L72">
        <f t="shared" ca="1" si="4"/>
        <v>90</v>
      </c>
      <c r="M72" s="11">
        <f t="shared" ca="1" si="5"/>
        <v>70</v>
      </c>
      <c r="N72" s="12" t="str" cm="1">
        <f t="array" ref="N72">_xlfn.IFS(
AND(NOT(ISBLANK(H72)),ISBLANK(K72)),"SUR",
AND(NOT(ISBLANK(H72)),NOT(ISBLANK(K72)),$P72="YES"),"RTR",
AND(NOT(ISBLANK(H72)),NOT(ISBLANK(K72)),$P72="NO"),"NTS",
TRUE,"TO Check"
)</f>
        <v>RTR</v>
      </c>
      <c r="O72" s="2" t="s">
        <v>37</v>
      </c>
      <c r="P72" s="9" t="s">
        <v>38</v>
      </c>
    </row>
    <row r="73" spans="1:16" x14ac:dyDescent="0.35">
      <c r="A73" s="2">
        <v>72</v>
      </c>
      <c r="B73" s="22">
        <v>398</v>
      </c>
      <c r="E73" t="s">
        <v>107</v>
      </c>
      <c r="F73" s="2" t="s">
        <v>33</v>
      </c>
      <c r="H73" s="3">
        <v>45377</v>
      </c>
      <c r="I73" s="12">
        <v>20</v>
      </c>
      <c r="J73" s="3">
        <f t="shared" si="3"/>
        <v>45397</v>
      </c>
      <c r="K73" s="3">
        <v>45467</v>
      </c>
      <c r="L73">
        <f t="shared" ca="1" si="4"/>
        <v>90</v>
      </c>
      <c r="M73" s="11">
        <f t="shared" ca="1" si="5"/>
        <v>70</v>
      </c>
      <c r="N73" s="12" t="str" cm="1">
        <f t="array" ref="N73">_xlfn.IFS(
AND(NOT(ISBLANK(H73)),ISBLANK(K73)),"SUR",
AND(NOT(ISBLANK(H73)),NOT(ISBLANK(K73)),$P73="YES"),"RTR",
AND(NOT(ISBLANK(H73)),NOT(ISBLANK(K73)),$P73="NO"),"NTS",
TRUE,"TO Check"
)</f>
        <v>RTR</v>
      </c>
      <c r="O73" s="2" t="s">
        <v>37</v>
      </c>
      <c r="P73" s="9" t="s">
        <v>38</v>
      </c>
    </row>
    <row r="74" spans="1:16" x14ac:dyDescent="0.35">
      <c r="A74" s="2">
        <v>73</v>
      </c>
      <c r="B74" s="22">
        <v>398</v>
      </c>
      <c r="E74" t="s">
        <v>108</v>
      </c>
      <c r="F74" s="2" t="s">
        <v>33</v>
      </c>
      <c r="H74" s="3">
        <v>45377</v>
      </c>
      <c r="I74" s="12">
        <v>20</v>
      </c>
      <c r="J74" s="3">
        <f t="shared" si="3"/>
        <v>45397</v>
      </c>
      <c r="K74" s="3">
        <v>45467</v>
      </c>
      <c r="L74">
        <f t="shared" ca="1" si="4"/>
        <v>90</v>
      </c>
      <c r="M74" s="11">
        <f t="shared" ca="1" si="5"/>
        <v>70</v>
      </c>
      <c r="N74" s="12" t="str" cm="1">
        <f t="array" ref="N74">_xlfn.IFS(
AND(NOT(ISBLANK(H74)),ISBLANK(K74)),"SUR",
AND(NOT(ISBLANK(H74)),NOT(ISBLANK(K74)),$P74="YES"),"RTR",
AND(NOT(ISBLANK(H74)),NOT(ISBLANK(K74)),$P74="NO"),"NTS",
TRUE,"TO Check"
)</f>
        <v>RTR</v>
      </c>
      <c r="O74" s="2" t="s">
        <v>37</v>
      </c>
      <c r="P74" s="9" t="s">
        <v>38</v>
      </c>
    </row>
    <row r="75" spans="1:16" x14ac:dyDescent="0.35">
      <c r="A75" s="2">
        <v>74</v>
      </c>
      <c r="B75" s="22">
        <v>398</v>
      </c>
      <c r="E75" t="s">
        <v>109</v>
      </c>
      <c r="F75" s="2" t="s">
        <v>33</v>
      </c>
      <c r="H75" s="3">
        <v>45377</v>
      </c>
      <c r="I75" s="12">
        <v>20</v>
      </c>
      <c r="J75" s="3">
        <f t="shared" si="3"/>
        <v>45397</v>
      </c>
      <c r="K75" s="3">
        <v>45467</v>
      </c>
      <c r="L75">
        <f t="shared" ca="1" si="4"/>
        <v>90</v>
      </c>
      <c r="M75" s="11">
        <f t="shared" ca="1" si="5"/>
        <v>70</v>
      </c>
      <c r="N75" s="12" t="str" cm="1">
        <f t="array" ref="N75">_xlfn.IFS(
AND(NOT(ISBLANK(H75)),ISBLANK(K75)),"SUR",
AND(NOT(ISBLANK(H75)),NOT(ISBLANK(K75)),$P75="YES"),"RTR",
AND(NOT(ISBLANK(H75)),NOT(ISBLANK(K75)),$P75="NO"),"NTS",
TRUE,"TO Check"
)</f>
        <v>RTR</v>
      </c>
      <c r="O75" s="2" t="s">
        <v>37</v>
      </c>
      <c r="P75" s="9" t="s">
        <v>38</v>
      </c>
    </row>
    <row r="76" spans="1:16" x14ac:dyDescent="0.35">
      <c r="A76" s="2">
        <v>75</v>
      </c>
      <c r="B76" s="22">
        <v>398</v>
      </c>
      <c r="E76" t="s">
        <v>110</v>
      </c>
      <c r="F76" s="2" t="s">
        <v>33</v>
      </c>
      <c r="H76" s="3">
        <v>45377</v>
      </c>
      <c r="I76" s="12">
        <v>20</v>
      </c>
      <c r="J76" s="3">
        <f t="shared" si="3"/>
        <v>45397</v>
      </c>
      <c r="K76" s="3">
        <v>45467</v>
      </c>
      <c r="L76">
        <f t="shared" ca="1" si="4"/>
        <v>90</v>
      </c>
      <c r="M76" s="11">
        <f t="shared" ca="1" si="5"/>
        <v>70</v>
      </c>
      <c r="N76" s="12" t="str" cm="1">
        <f t="array" ref="N76">_xlfn.IFS(
AND(NOT(ISBLANK(H76)),ISBLANK(K76)),"SUR",
AND(NOT(ISBLANK(H76)),NOT(ISBLANK(K76)),$P76="YES"),"RTR",
AND(NOT(ISBLANK(H76)),NOT(ISBLANK(K76)),$P76="NO"),"NTS",
TRUE,"TO Check"
)</f>
        <v>RTR</v>
      </c>
      <c r="O76" s="2" t="s">
        <v>37</v>
      </c>
      <c r="P76" s="9" t="s">
        <v>38</v>
      </c>
    </row>
    <row r="77" spans="1:16" x14ac:dyDescent="0.35">
      <c r="A77" s="2">
        <v>76</v>
      </c>
      <c r="B77" s="22">
        <v>398</v>
      </c>
      <c r="E77" t="s">
        <v>111</v>
      </c>
      <c r="F77" s="2" t="s">
        <v>33</v>
      </c>
      <c r="H77" s="3">
        <v>45377</v>
      </c>
      <c r="I77" s="12">
        <v>20</v>
      </c>
      <c r="J77" s="3">
        <f t="shared" si="3"/>
        <v>45397</v>
      </c>
      <c r="K77" s="3">
        <v>45467</v>
      </c>
      <c r="L77">
        <f t="shared" ca="1" si="4"/>
        <v>90</v>
      </c>
      <c r="M77" s="11">
        <f t="shared" ca="1" si="5"/>
        <v>70</v>
      </c>
      <c r="N77" s="12" t="str" cm="1">
        <f t="array" ref="N77">_xlfn.IFS(
AND(NOT(ISBLANK(H77)),ISBLANK(K77)),"SUR",
AND(NOT(ISBLANK(H77)),NOT(ISBLANK(K77)),$P77="YES"),"RTR",
AND(NOT(ISBLANK(H77)),NOT(ISBLANK(K77)),$P77="NO"),"NTS",
TRUE,"TO Check"
)</f>
        <v>RTR</v>
      </c>
      <c r="O77" s="2" t="s">
        <v>37</v>
      </c>
      <c r="P77" s="9" t="s">
        <v>38</v>
      </c>
    </row>
    <row r="78" spans="1:16" x14ac:dyDescent="0.35">
      <c r="A78" s="2">
        <v>77</v>
      </c>
      <c r="B78" s="22">
        <v>398</v>
      </c>
      <c r="E78" t="s">
        <v>112</v>
      </c>
      <c r="F78" s="2" t="s">
        <v>33</v>
      </c>
      <c r="H78" s="3">
        <v>45377</v>
      </c>
      <c r="I78" s="12">
        <v>20</v>
      </c>
      <c r="J78" s="3">
        <f t="shared" si="3"/>
        <v>45397</v>
      </c>
      <c r="K78" s="3">
        <v>45467</v>
      </c>
      <c r="L78">
        <f t="shared" ca="1" si="4"/>
        <v>90</v>
      </c>
      <c r="M78" s="11">
        <f t="shared" ca="1" si="5"/>
        <v>70</v>
      </c>
      <c r="N78" s="12" t="str" cm="1">
        <f t="array" ref="N78">_xlfn.IFS(
AND(NOT(ISBLANK(H78)),ISBLANK(K78)),"SUR",
AND(NOT(ISBLANK(H78)),NOT(ISBLANK(K78)),$P78="YES"),"RTR",
AND(NOT(ISBLANK(H78)),NOT(ISBLANK(K78)),$P78="NO"),"NTS",
TRUE,"TO Check"
)</f>
        <v>RTR</v>
      </c>
      <c r="O78" s="2" t="s">
        <v>37</v>
      </c>
      <c r="P78" s="9" t="s">
        <v>38</v>
      </c>
    </row>
    <row r="79" spans="1:16" x14ac:dyDescent="0.35">
      <c r="A79" s="2">
        <v>78</v>
      </c>
      <c r="B79" s="22">
        <v>398</v>
      </c>
      <c r="E79" t="s">
        <v>113</v>
      </c>
      <c r="F79" s="2" t="s">
        <v>33</v>
      </c>
      <c r="H79" s="3">
        <v>45377</v>
      </c>
      <c r="I79" s="12">
        <v>20</v>
      </c>
      <c r="J79" s="3">
        <f t="shared" si="3"/>
        <v>45397</v>
      </c>
      <c r="K79" s="3">
        <v>45467</v>
      </c>
      <c r="L79">
        <f t="shared" ca="1" si="4"/>
        <v>90</v>
      </c>
      <c r="M79" s="11">
        <f t="shared" ca="1" si="5"/>
        <v>70</v>
      </c>
      <c r="N79" s="12" t="str" cm="1">
        <f t="array" ref="N79">_xlfn.IFS(
AND(NOT(ISBLANK(H79)),ISBLANK(K79)),"SUR",
AND(NOT(ISBLANK(H79)),NOT(ISBLANK(K79)),$P79="YES"),"RTR",
AND(NOT(ISBLANK(H79)),NOT(ISBLANK(K79)),$P79="NO"),"NTS",
TRUE,"TO Check"
)</f>
        <v>RTR</v>
      </c>
      <c r="O79" s="2" t="s">
        <v>37</v>
      </c>
      <c r="P79" s="9" t="s">
        <v>38</v>
      </c>
    </row>
    <row r="80" spans="1:16" x14ac:dyDescent="0.35">
      <c r="A80" s="2">
        <v>79</v>
      </c>
      <c r="B80" s="22">
        <v>399</v>
      </c>
      <c r="E80" t="s">
        <v>114</v>
      </c>
      <c r="F80" s="2" t="s">
        <v>33</v>
      </c>
      <c r="H80" s="3">
        <v>45377</v>
      </c>
      <c r="I80" s="12">
        <v>20</v>
      </c>
      <c r="J80" s="3">
        <f t="shared" si="3"/>
        <v>45397</v>
      </c>
      <c r="K80" s="3">
        <v>45467</v>
      </c>
      <c r="L80">
        <f t="shared" ca="1" si="4"/>
        <v>90</v>
      </c>
      <c r="M80" s="11">
        <f t="shared" ca="1" si="5"/>
        <v>70</v>
      </c>
      <c r="N80" s="12" t="str" cm="1">
        <f t="array" ref="N80">_xlfn.IFS(
AND(NOT(ISBLANK(H80)),ISBLANK(K80)),"SUR",
AND(NOT(ISBLANK(H80)),NOT(ISBLANK(K80)),$P80="YES"),"RTR",
AND(NOT(ISBLANK(H80)),NOT(ISBLANK(K80)),$P80="NO"),"NTS",
TRUE,"TO Check"
)</f>
        <v>RTR</v>
      </c>
      <c r="O80" s="2" t="s">
        <v>37</v>
      </c>
      <c r="P80" s="9" t="s">
        <v>38</v>
      </c>
    </row>
    <row r="81" spans="1:16" x14ac:dyDescent="0.35">
      <c r="A81" s="2">
        <v>80</v>
      </c>
      <c r="B81" s="22">
        <v>399</v>
      </c>
      <c r="E81" t="s">
        <v>115</v>
      </c>
      <c r="F81" s="2" t="s">
        <v>33</v>
      </c>
      <c r="H81" s="3">
        <v>45377</v>
      </c>
      <c r="I81" s="12">
        <v>20</v>
      </c>
      <c r="J81" s="3">
        <f t="shared" si="3"/>
        <v>45397</v>
      </c>
      <c r="K81" s="3">
        <v>45467</v>
      </c>
      <c r="L81">
        <f t="shared" ca="1" si="4"/>
        <v>90</v>
      </c>
      <c r="M81" s="11">
        <f t="shared" ca="1" si="5"/>
        <v>70</v>
      </c>
      <c r="N81" s="12" t="str" cm="1">
        <f t="array" ref="N81">_xlfn.IFS(
AND(NOT(ISBLANK(H81)),ISBLANK(K81)),"SUR",
AND(NOT(ISBLANK(H81)),NOT(ISBLANK(K81)),$P81="YES"),"RTR",
AND(NOT(ISBLANK(H81)),NOT(ISBLANK(K81)),$P81="NO"),"NTS",
TRUE,"TO Check"
)</f>
        <v>RTR</v>
      </c>
      <c r="O81" s="2" t="s">
        <v>37</v>
      </c>
      <c r="P81" s="9" t="s">
        <v>38</v>
      </c>
    </row>
    <row r="82" spans="1:16" x14ac:dyDescent="0.35">
      <c r="A82" s="2">
        <v>81</v>
      </c>
      <c r="B82" s="22">
        <v>399</v>
      </c>
      <c r="E82" t="s">
        <v>116</v>
      </c>
      <c r="F82" s="2" t="s">
        <v>33</v>
      </c>
      <c r="H82" s="3">
        <v>45377</v>
      </c>
      <c r="I82" s="12">
        <v>20</v>
      </c>
      <c r="J82" s="3">
        <f t="shared" si="3"/>
        <v>45397</v>
      </c>
      <c r="K82" s="3">
        <v>45467</v>
      </c>
      <c r="L82">
        <f t="shared" ca="1" si="4"/>
        <v>90</v>
      </c>
      <c r="M82" s="11">
        <f t="shared" ca="1" si="5"/>
        <v>70</v>
      </c>
      <c r="N82" s="12" t="str" cm="1">
        <f t="array" ref="N82">_xlfn.IFS(
AND(NOT(ISBLANK(H82)),ISBLANK(K82)),"SUR",
AND(NOT(ISBLANK(H82)),NOT(ISBLANK(K82)),$P82="YES"),"RTR",
AND(NOT(ISBLANK(H82)),NOT(ISBLANK(K82)),$P82="NO"),"NTS",
TRUE,"TO Check"
)</f>
        <v>RTR</v>
      </c>
      <c r="O82" s="2" t="s">
        <v>37</v>
      </c>
      <c r="P82" s="9" t="s">
        <v>38</v>
      </c>
    </row>
    <row r="83" spans="1:16" x14ac:dyDescent="0.35">
      <c r="A83" s="2">
        <v>82</v>
      </c>
      <c r="B83" s="22">
        <v>399</v>
      </c>
      <c r="E83" t="s">
        <v>117</v>
      </c>
      <c r="F83" s="2" t="s">
        <v>33</v>
      </c>
      <c r="H83" s="3">
        <v>45377</v>
      </c>
      <c r="I83" s="12">
        <v>20</v>
      </c>
      <c r="J83" s="3">
        <f t="shared" si="3"/>
        <v>45397</v>
      </c>
      <c r="K83" s="3">
        <v>45467</v>
      </c>
      <c r="L83">
        <f t="shared" ca="1" si="4"/>
        <v>90</v>
      </c>
      <c r="M83" s="11">
        <f t="shared" ca="1" si="5"/>
        <v>70</v>
      </c>
      <c r="N83" s="12" t="str" cm="1">
        <f t="array" ref="N83">_xlfn.IFS(
AND(NOT(ISBLANK(H83)),ISBLANK(K83)),"SUR",
AND(NOT(ISBLANK(H83)),NOT(ISBLANK(K83)),$P83="YES"),"RTR",
AND(NOT(ISBLANK(H83)),NOT(ISBLANK(K83)),$P83="NO"),"NTS",
TRUE,"TO Check"
)</f>
        <v>RTR</v>
      </c>
      <c r="O83" s="2" t="s">
        <v>37</v>
      </c>
      <c r="P83" s="9" t="s">
        <v>38</v>
      </c>
    </row>
    <row r="84" spans="1:16" x14ac:dyDescent="0.35">
      <c r="A84" s="2">
        <v>83</v>
      </c>
      <c r="B84" s="22">
        <v>399</v>
      </c>
      <c r="E84" t="s">
        <v>118</v>
      </c>
      <c r="F84" s="2" t="s">
        <v>33</v>
      </c>
      <c r="H84" s="3">
        <v>45377</v>
      </c>
      <c r="I84" s="12">
        <v>20</v>
      </c>
      <c r="J84" s="3">
        <f t="shared" si="3"/>
        <v>45397</v>
      </c>
      <c r="K84" s="3">
        <v>45467</v>
      </c>
      <c r="L84">
        <f t="shared" ca="1" si="4"/>
        <v>90</v>
      </c>
      <c r="M84" s="11">
        <f t="shared" ca="1" si="5"/>
        <v>70</v>
      </c>
      <c r="N84" s="12" t="str" cm="1">
        <f t="array" ref="N84">_xlfn.IFS(
AND(NOT(ISBLANK(H84)),ISBLANK(K84)),"SUR",
AND(NOT(ISBLANK(H84)),NOT(ISBLANK(K84)),$P84="YES"),"RTR",
AND(NOT(ISBLANK(H84)),NOT(ISBLANK(K84)),$P84="NO"),"NTS",
TRUE,"TO Check"
)</f>
        <v>RTR</v>
      </c>
      <c r="O84" s="2" t="s">
        <v>37</v>
      </c>
      <c r="P84" s="9" t="s">
        <v>38</v>
      </c>
    </row>
    <row r="85" spans="1:16" x14ac:dyDescent="0.35">
      <c r="A85" s="2">
        <v>84</v>
      </c>
      <c r="B85" s="22">
        <v>399</v>
      </c>
      <c r="E85" t="s">
        <v>119</v>
      </c>
      <c r="F85" s="2" t="s">
        <v>33</v>
      </c>
      <c r="H85" s="3">
        <v>45377</v>
      </c>
      <c r="I85" s="12">
        <v>20</v>
      </c>
      <c r="J85" s="3">
        <f t="shared" si="3"/>
        <v>45397</v>
      </c>
      <c r="K85" s="3">
        <v>45467</v>
      </c>
      <c r="L85">
        <f t="shared" ca="1" si="4"/>
        <v>90</v>
      </c>
      <c r="M85" s="11">
        <f t="shared" ca="1" si="5"/>
        <v>70</v>
      </c>
      <c r="N85" s="12" t="str" cm="1">
        <f t="array" ref="N85">_xlfn.IFS(
AND(NOT(ISBLANK(H85)),ISBLANK(K85)),"SUR",
AND(NOT(ISBLANK(H85)),NOT(ISBLANK(K85)),$P85="YES"),"RTR",
AND(NOT(ISBLANK(H85)),NOT(ISBLANK(K85)),$P85="NO"),"NTS",
TRUE,"TO Check"
)</f>
        <v>RTR</v>
      </c>
      <c r="O85" s="2" t="s">
        <v>37</v>
      </c>
      <c r="P85" s="9" t="s">
        <v>38</v>
      </c>
    </row>
    <row r="86" spans="1:16" x14ac:dyDescent="0.35">
      <c r="A86" s="2">
        <v>85</v>
      </c>
      <c r="B86" s="22">
        <v>187</v>
      </c>
      <c r="E86" t="s">
        <v>120</v>
      </c>
      <c r="F86" s="2" t="s">
        <v>33</v>
      </c>
      <c r="H86" s="3">
        <v>45245</v>
      </c>
      <c r="I86" s="12">
        <v>20</v>
      </c>
      <c r="J86" s="3">
        <f t="shared" si="3"/>
        <v>45265</v>
      </c>
      <c r="K86" s="3">
        <v>45335</v>
      </c>
      <c r="L86">
        <f t="shared" ca="1" si="4"/>
        <v>90</v>
      </c>
      <c r="M86" s="11">
        <f t="shared" ca="1" si="5"/>
        <v>70</v>
      </c>
      <c r="N86" s="12" t="str" cm="1">
        <f t="array" ref="N86">_xlfn.IFS(
AND(NOT(ISBLANK(H86)),ISBLANK(K86)),"SUR",
AND(NOT(ISBLANK(H86)),NOT(ISBLANK(K86)),$P86="YES"),"RTR",
AND(NOT(ISBLANK(H86)),NOT(ISBLANK(K86)),$P86="NO"),"NTS",
TRUE,"TO Check"
)</f>
        <v>RTR</v>
      </c>
      <c r="O86" s="2" t="s">
        <v>37</v>
      </c>
      <c r="P86" s="9" t="s">
        <v>38</v>
      </c>
    </row>
    <row r="87" spans="1:16" x14ac:dyDescent="0.35">
      <c r="A87" s="2">
        <v>86</v>
      </c>
      <c r="B87" s="22">
        <v>187</v>
      </c>
      <c r="E87" t="s">
        <v>121</v>
      </c>
      <c r="F87" s="2" t="s">
        <v>33</v>
      </c>
      <c r="H87" s="3">
        <v>45245</v>
      </c>
      <c r="I87" s="12">
        <v>20</v>
      </c>
      <c r="J87" s="3">
        <f t="shared" si="3"/>
        <v>45265</v>
      </c>
      <c r="K87" s="3">
        <v>45335</v>
      </c>
      <c r="L87">
        <f t="shared" ca="1" si="4"/>
        <v>90</v>
      </c>
      <c r="M87" s="11">
        <f t="shared" ca="1" si="5"/>
        <v>70</v>
      </c>
      <c r="N87" s="12" t="str" cm="1">
        <f t="array" ref="N87">_xlfn.IFS(
AND(NOT(ISBLANK(H87)),ISBLANK(K87)),"SUR",
AND(NOT(ISBLANK(H87)),NOT(ISBLANK(K87)),$P87="YES"),"RTR",
AND(NOT(ISBLANK(H87)),NOT(ISBLANK(K87)),$P87="NO"),"NTS",
TRUE,"TO Check"
)</f>
        <v>RTR</v>
      </c>
      <c r="O87" s="2" t="s">
        <v>37</v>
      </c>
      <c r="P87" s="9" t="s">
        <v>38</v>
      </c>
    </row>
    <row r="88" spans="1:16" x14ac:dyDescent="0.35">
      <c r="A88" s="2">
        <v>87</v>
      </c>
      <c r="B88" s="22">
        <v>187</v>
      </c>
      <c r="E88" t="s">
        <v>122</v>
      </c>
      <c r="F88" s="2" t="s">
        <v>33</v>
      </c>
      <c r="H88" s="3">
        <v>45245</v>
      </c>
      <c r="I88" s="12">
        <v>20</v>
      </c>
      <c r="J88" s="3">
        <f t="shared" si="3"/>
        <v>45265</v>
      </c>
      <c r="K88" s="3">
        <v>45335</v>
      </c>
      <c r="L88">
        <f t="shared" ca="1" si="4"/>
        <v>90</v>
      </c>
      <c r="M88" s="11">
        <f t="shared" ca="1" si="5"/>
        <v>70</v>
      </c>
      <c r="N88" s="12" t="str" cm="1">
        <f t="array" ref="N88">_xlfn.IFS(
AND(NOT(ISBLANK(H88)),ISBLANK(K88)),"SUR",
AND(NOT(ISBLANK(H88)),NOT(ISBLANK(K88)),$P88="YES"),"RTR",
AND(NOT(ISBLANK(H88)),NOT(ISBLANK(K88)),$P88="NO"),"NTS",
TRUE,"TO Check"
)</f>
        <v>RTR</v>
      </c>
      <c r="O88" s="2" t="s">
        <v>37</v>
      </c>
      <c r="P88" s="9" t="s">
        <v>38</v>
      </c>
    </row>
    <row r="89" spans="1:16" x14ac:dyDescent="0.35">
      <c r="A89" s="2">
        <v>88</v>
      </c>
      <c r="B89" s="22">
        <v>400</v>
      </c>
      <c r="E89" t="s">
        <v>123</v>
      </c>
      <c r="F89" s="2" t="s">
        <v>33</v>
      </c>
      <c r="H89" s="3">
        <v>45377</v>
      </c>
      <c r="I89" s="12">
        <v>20</v>
      </c>
      <c r="J89" s="3">
        <f t="shared" si="3"/>
        <v>45397</v>
      </c>
      <c r="K89" s="3">
        <v>45467</v>
      </c>
      <c r="L89">
        <f t="shared" ca="1" si="4"/>
        <v>90</v>
      </c>
      <c r="M89" s="11">
        <f t="shared" ca="1" si="5"/>
        <v>70</v>
      </c>
      <c r="N89" s="12" t="str" cm="1">
        <f t="array" ref="N89">_xlfn.IFS(
AND(NOT(ISBLANK(H89)),ISBLANK(K89)),"SUR",
AND(NOT(ISBLANK(H89)),NOT(ISBLANK(K89)),$P89="YES"),"RTR",
AND(NOT(ISBLANK(H89)),NOT(ISBLANK(K89)),$P89="NO"),"NTS",
TRUE,"TO Check"
)</f>
        <v>RTR</v>
      </c>
      <c r="O89" s="2" t="s">
        <v>37</v>
      </c>
      <c r="P89" s="9" t="s">
        <v>38</v>
      </c>
    </row>
    <row r="90" spans="1:16" x14ac:dyDescent="0.35">
      <c r="A90" s="2">
        <v>89</v>
      </c>
      <c r="B90" s="22">
        <v>400</v>
      </c>
      <c r="E90" t="s">
        <v>124</v>
      </c>
      <c r="F90" s="2" t="s">
        <v>33</v>
      </c>
      <c r="H90" s="3">
        <v>45377</v>
      </c>
      <c r="I90" s="12">
        <v>20</v>
      </c>
      <c r="J90" s="3">
        <f t="shared" si="3"/>
        <v>45397</v>
      </c>
      <c r="K90" s="3">
        <v>45467</v>
      </c>
      <c r="L90">
        <f t="shared" ca="1" si="4"/>
        <v>90</v>
      </c>
      <c r="M90" s="11">
        <f t="shared" ca="1" si="5"/>
        <v>70</v>
      </c>
      <c r="N90" s="12" t="str" cm="1">
        <f t="array" ref="N90">_xlfn.IFS(
AND(NOT(ISBLANK(H90)),ISBLANK(K90)),"SUR",
AND(NOT(ISBLANK(H90)),NOT(ISBLANK(K90)),$P90="YES"),"RTR",
AND(NOT(ISBLANK(H90)),NOT(ISBLANK(K90)),$P90="NO"),"NTS",
TRUE,"TO Check"
)</f>
        <v>RTR</v>
      </c>
      <c r="O90" s="2" t="s">
        <v>37</v>
      </c>
      <c r="P90" s="9" t="s">
        <v>38</v>
      </c>
    </row>
    <row r="91" spans="1:16" x14ac:dyDescent="0.35">
      <c r="A91" s="2">
        <v>90</v>
      </c>
      <c r="B91" s="22">
        <v>534</v>
      </c>
      <c r="E91" t="s">
        <v>125</v>
      </c>
      <c r="F91" s="2" t="s">
        <v>33</v>
      </c>
      <c r="H91" s="3">
        <v>45469</v>
      </c>
      <c r="I91" s="12">
        <v>20</v>
      </c>
      <c r="J91" s="3">
        <f t="shared" si="3"/>
        <v>45489</v>
      </c>
      <c r="K91" s="3">
        <v>45559</v>
      </c>
      <c r="L91">
        <f t="shared" ca="1" si="4"/>
        <v>90</v>
      </c>
      <c r="M91" s="11">
        <f t="shared" ca="1" si="5"/>
        <v>70</v>
      </c>
      <c r="N91" s="12" t="str" cm="1">
        <f t="array" ref="N91">_xlfn.IFS(
AND(NOT(ISBLANK(H91)),ISBLANK(K91)),"SUR",
AND(NOT(ISBLANK(H91)),NOT(ISBLANK(K91)),$P91="YES"),"RTR",
AND(NOT(ISBLANK(H91)),NOT(ISBLANK(K91)),$P91="NO"),"NTS",
TRUE,"TO Check"
)</f>
        <v>RTR</v>
      </c>
      <c r="O91" s="2" t="s">
        <v>88</v>
      </c>
      <c r="P91" s="9" t="s">
        <v>38</v>
      </c>
    </row>
    <row r="92" spans="1:16" x14ac:dyDescent="0.35">
      <c r="A92" s="2">
        <v>91</v>
      </c>
      <c r="B92" s="22">
        <v>772</v>
      </c>
      <c r="E92" t="s">
        <v>126</v>
      </c>
      <c r="F92" s="2" t="s">
        <v>33</v>
      </c>
      <c r="H92" s="3">
        <v>45588</v>
      </c>
      <c r="I92" s="12">
        <v>20</v>
      </c>
      <c r="J92" s="3">
        <f t="shared" si="3"/>
        <v>45608</v>
      </c>
      <c r="K92" s="3">
        <v>45678</v>
      </c>
      <c r="L92">
        <f t="shared" ca="1" si="4"/>
        <v>90</v>
      </c>
      <c r="M92" s="11">
        <f t="shared" ca="1" si="5"/>
        <v>70</v>
      </c>
      <c r="N92" s="12" t="str" cm="1">
        <f t="array" ref="N92">_xlfn.IFS(
AND(NOT(ISBLANK(H92)),ISBLANK(K92)),"SUR",
AND(NOT(ISBLANK(H92)),NOT(ISBLANK(K92)),$P92="YES"),"RTR",
AND(NOT(ISBLANK(H92)),NOT(ISBLANK(K92)),$P92="NO"),"NTS",
TRUE,"TO Check"
)</f>
        <v>RTR</v>
      </c>
      <c r="O92" s="2" t="s">
        <v>37</v>
      </c>
      <c r="P92" s="9" t="s">
        <v>38</v>
      </c>
    </row>
    <row r="93" spans="1:16" x14ac:dyDescent="0.35">
      <c r="A93" s="2">
        <v>92</v>
      </c>
      <c r="B93" s="22">
        <v>553</v>
      </c>
      <c r="E93" t="s">
        <v>127</v>
      </c>
      <c r="F93" s="2" t="s">
        <v>33</v>
      </c>
      <c r="H93" s="3">
        <v>45722</v>
      </c>
      <c r="I93" s="12">
        <v>20</v>
      </c>
      <c r="J93" s="3">
        <f t="shared" si="3"/>
        <v>45742</v>
      </c>
      <c r="K93" s="3">
        <v>45812</v>
      </c>
      <c r="L93">
        <f t="shared" ca="1" si="4"/>
        <v>90</v>
      </c>
      <c r="M93" s="11">
        <f t="shared" ca="1" si="5"/>
        <v>70</v>
      </c>
      <c r="N93" s="12" t="str" cm="1">
        <f t="array" ref="N93">_xlfn.IFS(
AND(NOT(ISBLANK(H93)),ISBLANK(K93)),"SUR",
AND(NOT(ISBLANK(H93)),NOT(ISBLANK(K93)),$P93="YES"),"RTR",
AND(NOT(ISBLANK(H93)),NOT(ISBLANK(K93)),$P93="NO"),"NTS",
TRUE,"TO Check"
)</f>
        <v>RTR</v>
      </c>
      <c r="O93" s="2" t="s">
        <v>37</v>
      </c>
      <c r="P93" s="9" t="s">
        <v>38</v>
      </c>
    </row>
    <row r="94" spans="1:16" x14ac:dyDescent="0.35">
      <c r="A94" s="2">
        <v>93</v>
      </c>
      <c r="B94" s="22">
        <v>553</v>
      </c>
      <c r="E94" t="s">
        <v>128</v>
      </c>
      <c r="F94" s="2" t="s">
        <v>33</v>
      </c>
      <c r="H94" s="3">
        <v>45722</v>
      </c>
      <c r="I94" s="12">
        <v>20</v>
      </c>
      <c r="J94" s="3">
        <f t="shared" si="3"/>
        <v>45742</v>
      </c>
      <c r="K94" s="3">
        <v>45812</v>
      </c>
      <c r="L94">
        <f t="shared" ca="1" si="4"/>
        <v>90</v>
      </c>
      <c r="M94" s="11">
        <f t="shared" ca="1" si="5"/>
        <v>70</v>
      </c>
      <c r="N94" s="12" t="str" cm="1">
        <f t="array" ref="N94">_xlfn.IFS(
AND(NOT(ISBLANK(H94)),ISBLANK(K94)),"SUR",
AND(NOT(ISBLANK(H94)),NOT(ISBLANK(K94)),$P94="YES"),"RTR",
AND(NOT(ISBLANK(H94)),NOT(ISBLANK(K94)),$P94="NO"),"NTS",
TRUE,"TO Check"
)</f>
        <v>RTR</v>
      </c>
      <c r="O94" s="2" t="s">
        <v>37</v>
      </c>
      <c r="P94" s="9" t="s">
        <v>38</v>
      </c>
    </row>
    <row r="95" spans="1:16" x14ac:dyDescent="0.35">
      <c r="A95" s="2">
        <v>94</v>
      </c>
      <c r="B95" s="22">
        <v>553</v>
      </c>
      <c r="E95" t="s">
        <v>129</v>
      </c>
      <c r="F95" s="2" t="s">
        <v>33</v>
      </c>
      <c r="H95" s="3">
        <v>45722</v>
      </c>
      <c r="I95" s="12">
        <v>20</v>
      </c>
      <c r="J95" s="3">
        <f t="shared" si="3"/>
        <v>45742</v>
      </c>
      <c r="K95" s="3">
        <v>45812</v>
      </c>
      <c r="L95">
        <f t="shared" ca="1" si="4"/>
        <v>90</v>
      </c>
      <c r="M95" s="11">
        <f t="shared" ca="1" si="5"/>
        <v>70</v>
      </c>
      <c r="N95" s="12" t="str" cm="1">
        <f t="array" ref="N95">_xlfn.IFS(
AND(NOT(ISBLANK(H95)),ISBLANK(K95)),"SUR",
AND(NOT(ISBLANK(H95)),NOT(ISBLANK(K95)),$P95="YES"),"RTR",
AND(NOT(ISBLANK(H95)),NOT(ISBLANK(K95)),$P95="NO"),"NTS",
TRUE,"TO Check"
)</f>
        <v>RTR</v>
      </c>
      <c r="O95" s="2" t="s">
        <v>37</v>
      </c>
      <c r="P95" s="9" t="s">
        <v>38</v>
      </c>
    </row>
    <row r="96" spans="1:16" x14ac:dyDescent="0.35">
      <c r="A96" s="2">
        <v>95</v>
      </c>
      <c r="B96" s="22">
        <v>553</v>
      </c>
      <c r="E96" t="s">
        <v>130</v>
      </c>
      <c r="F96" s="2" t="s">
        <v>33</v>
      </c>
      <c r="H96" s="3">
        <v>45482</v>
      </c>
      <c r="I96" s="12">
        <v>20</v>
      </c>
      <c r="J96" s="3">
        <f t="shared" si="3"/>
        <v>45502</v>
      </c>
      <c r="K96" s="3">
        <v>45572</v>
      </c>
      <c r="L96">
        <f t="shared" ca="1" si="4"/>
        <v>90</v>
      </c>
      <c r="M96" s="11">
        <f t="shared" ca="1" si="5"/>
        <v>70</v>
      </c>
      <c r="N96" s="12" t="str" cm="1">
        <f t="array" ref="N96">_xlfn.IFS(
AND(NOT(ISBLANK(H96)),ISBLANK(K96)),"SUR",
AND(NOT(ISBLANK(H96)),NOT(ISBLANK(K96)),$P96="YES"),"RTR",
AND(NOT(ISBLANK(H96)),NOT(ISBLANK(K96)),$P96="NO"),"NTS",
TRUE,"TO Check"
)</f>
        <v>RTR</v>
      </c>
      <c r="O96" s="2" t="s">
        <v>37</v>
      </c>
      <c r="P96" s="9" t="s">
        <v>38</v>
      </c>
    </row>
    <row r="97" spans="1:16" x14ac:dyDescent="0.35">
      <c r="A97" s="2">
        <v>96</v>
      </c>
      <c r="B97" s="22">
        <v>553</v>
      </c>
      <c r="E97" t="s">
        <v>131</v>
      </c>
      <c r="F97" s="2" t="s">
        <v>33</v>
      </c>
      <c r="H97" s="3">
        <v>45722</v>
      </c>
      <c r="I97" s="12">
        <v>20</v>
      </c>
      <c r="J97" s="3">
        <f t="shared" si="3"/>
        <v>45742</v>
      </c>
      <c r="K97" s="3">
        <v>45812</v>
      </c>
      <c r="L97">
        <f t="shared" ca="1" si="4"/>
        <v>90</v>
      </c>
      <c r="M97" s="11">
        <f t="shared" ca="1" si="5"/>
        <v>70</v>
      </c>
      <c r="N97" s="12" t="str" cm="1">
        <f t="array" ref="N97">_xlfn.IFS(
AND(NOT(ISBLANK(H97)),ISBLANK(K97)),"SUR",
AND(NOT(ISBLANK(H97)),NOT(ISBLANK(K97)),$P97="YES"),"RTR",
AND(NOT(ISBLANK(H97)),NOT(ISBLANK(K97)),$P97="NO"),"NTS",
TRUE,"TO Check"
)</f>
        <v>RTR</v>
      </c>
      <c r="O97" s="2" t="s">
        <v>37</v>
      </c>
      <c r="P97" s="9" t="s">
        <v>38</v>
      </c>
    </row>
    <row r="98" spans="1:16" x14ac:dyDescent="0.35">
      <c r="A98" s="2">
        <v>97</v>
      </c>
      <c r="B98" s="22">
        <v>553</v>
      </c>
      <c r="E98" t="s">
        <v>132</v>
      </c>
      <c r="F98" s="2" t="s">
        <v>33</v>
      </c>
      <c r="H98" s="3">
        <v>45722</v>
      </c>
      <c r="I98" s="12">
        <v>20</v>
      </c>
      <c r="J98" s="3">
        <f t="shared" si="3"/>
        <v>45742</v>
      </c>
      <c r="K98" s="3">
        <v>45812</v>
      </c>
      <c r="L98">
        <f t="shared" ca="1" si="4"/>
        <v>90</v>
      </c>
      <c r="M98" s="11">
        <f t="shared" ca="1" si="5"/>
        <v>70</v>
      </c>
      <c r="N98" s="12" t="str" cm="1">
        <f t="array" ref="N98">_xlfn.IFS(
AND(NOT(ISBLANK(H98)),ISBLANK(K98)),"SUR",
AND(NOT(ISBLANK(H98)),NOT(ISBLANK(K98)),$P98="YES"),"RTR",
AND(NOT(ISBLANK(H98)),NOT(ISBLANK(K98)),$P98="NO"),"NTS",
TRUE,"TO Check"
)</f>
        <v>RTR</v>
      </c>
      <c r="O98" s="2" t="s">
        <v>37</v>
      </c>
      <c r="P98" s="9" t="s">
        <v>38</v>
      </c>
    </row>
    <row r="99" spans="1:16" x14ac:dyDescent="0.35">
      <c r="A99" s="2">
        <v>98</v>
      </c>
      <c r="B99" s="22">
        <v>553</v>
      </c>
      <c r="E99" t="s">
        <v>133</v>
      </c>
      <c r="F99" s="2" t="s">
        <v>33</v>
      </c>
      <c r="H99" s="3">
        <v>45722</v>
      </c>
      <c r="I99" s="12">
        <v>20</v>
      </c>
      <c r="J99" s="3">
        <f t="shared" si="3"/>
        <v>45742</v>
      </c>
      <c r="K99" s="3">
        <v>45812</v>
      </c>
      <c r="L99">
        <f t="shared" ca="1" si="4"/>
        <v>90</v>
      </c>
      <c r="M99" s="11">
        <f t="shared" ca="1" si="5"/>
        <v>70</v>
      </c>
      <c r="N99" s="12" t="str" cm="1">
        <f t="array" ref="N99">_xlfn.IFS(
AND(NOT(ISBLANK(H99)),ISBLANK(K99)),"SUR",
AND(NOT(ISBLANK(H99)),NOT(ISBLANK(K99)),$P99="YES"),"RTR",
AND(NOT(ISBLANK(H99)),NOT(ISBLANK(K99)),$P99="NO"),"NTS",
TRUE,"TO Check"
)</f>
        <v>RTR</v>
      </c>
      <c r="O99" s="2" t="s">
        <v>37</v>
      </c>
      <c r="P99" s="9" t="s">
        <v>38</v>
      </c>
    </row>
    <row r="100" spans="1:16" x14ac:dyDescent="0.35">
      <c r="A100" s="2">
        <v>99</v>
      </c>
      <c r="B100" s="22">
        <v>553</v>
      </c>
      <c r="E100" t="s">
        <v>134</v>
      </c>
      <c r="F100" s="2" t="s">
        <v>33</v>
      </c>
      <c r="H100" s="3">
        <v>45722</v>
      </c>
      <c r="I100" s="12">
        <v>20</v>
      </c>
      <c r="J100" s="3">
        <f t="shared" si="3"/>
        <v>45742</v>
      </c>
      <c r="K100" s="3">
        <v>45812</v>
      </c>
      <c r="L100">
        <f t="shared" ca="1" si="4"/>
        <v>90</v>
      </c>
      <c r="M100" s="11">
        <f t="shared" ca="1" si="5"/>
        <v>70</v>
      </c>
      <c r="N100" s="12" t="str" cm="1">
        <f t="array" ref="N100">_xlfn.IFS(
AND(NOT(ISBLANK(H100)),ISBLANK(K100)),"SUR",
AND(NOT(ISBLANK(H100)),NOT(ISBLANK(K100)),$P100="YES"),"RTR",
AND(NOT(ISBLANK(H100)),NOT(ISBLANK(K100)),$P100="NO"),"NTS",
TRUE,"TO Check"
)</f>
        <v>RTR</v>
      </c>
      <c r="O100" s="2" t="s">
        <v>37</v>
      </c>
      <c r="P100" s="9" t="s">
        <v>38</v>
      </c>
    </row>
    <row r="101" spans="1:16" x14ac:dyDescent="0.35">
      <c r="A101" s="2">
        <v>100</v>
      </c>
      <c r="B101" s="22">
        <v>553</v>
      </c>
      <c r="E101" t="s">
        <v>135</v>
      </c>
      <c r="F101" s="2" t="s">
        <v>33</v>
      </c>
      <c r="H101" s="3">
        <v>45722</v>
      </c>
      <c r="I101" s="12">
        <v>20</v>
      </c>
      <c r="J101" s="3">
        <f t="shared" si="3"/>
        <v>45742</v>
      </c>
      <c r="K101" s="3">
        <v>45812</v>
      </c>
      <c r="L101">
        <f t="shared" ca="1" si="4"/>
        <v>90</v>
      </c>
      <c r="M101" s="11">
        <f t="shared" ca="1" si="5"/>
        <v>70</v>
      </c>
      <c r="N101" s="12" t="str" cm="1">
        <f t="array" ref="N101">_xlfn.IFS(
AND(NOT(ISBLANK(H101)),ISBLANK(K101)),"SUR",
AND(NOT(ISBLANK(H101)),NOT(ISBLANK(K101)),$P101="YES"),"RTR",
AND(NOT(ISBLANK(H101)),NOT(ISBLANK(K101)),$P101="NO"),"NTS",
TRUE,"TO Check"
)</f>
        <v>RTR</v>
      </c>
      <c r="O101" s="2" t="s">
        <v>37</v>
      </c>
      <c r="P101" s="9" t="s">
        <v>38</v>
      </c>
    </row>
    <row r="102" spans="1:16" x14ac:dyDescent="0.35">
      <c r="A102" s="2">
        <v>101</v>
      </c>
      <c r="B102" s="22">
        <v>553</v>
      </c>
      <c r="E102" t="s">
        <v>136</v>
      </c>
      <c r="F102" s="2" t="s">
        <v>33</v>
      </c>
      <c r="H102" s="3">
        <v>45722</v>
      </c>
      <c r="I102" s="12">
        <v>20</v>
      </c>
      <c r="J102" s="3">
        <f t="shared" si="3"/>
        <v>45742</v>
      </c>
      <c r="K102" s="3">
        <v>45812</v>
      </c>
      <c r="L102">
        <f t="shared" ca="1" si="4"/>
        <v>90</v>
      </c>
      <c r="M102" s="11">
        <f t="shared" ca="1" si="5"/>
        <v>70</v>
      </c>
      <c r="N102" s="12" t="str" cm="1">
        <f t="array" ref="N102">_xlfn.IFS(
AND(NOT(ISBLANK(H102)),ISBLANK(K102)),"SUR",
AND(NOT(ISBLANK(H102)),NOT(ISBLANK(K102)),$P102="YES"),"RTR",
AND(NOT(ISBLANK(H102)),NOT(ISBLANK(K102)),$P102="NO"),"NTS",
TRUE,"TO Check"
)</f>
        <v>RTR</v>
      </c>
      <c r="O102" s="2" t="s">
        <v>37</v>
      </c>
      <c r="P102" s="9" t="s">
        <v>38</v>
      </c>
    </row>
    <row r="103" spans="1:16" x14ac:dyDescent="0.35">
      <c r="A103" s="2">
        <v>102</v>
      </c>
      <c r="B103" s="22">
        <v>553</v>
      </c>
      <c r="E103" t="s">
        <v>137</v>
      </c>
      <c r="F103" s="2" t="s">
        <v>33</v>
      </c>
      <c r="H103" s="3">
        <v>45722</v>
      </c>
      <c r="I103" s="12">
        <v>20</v>
      </c>
      <c r="J103" s="3">
        <f t="shared" si="3"/>
        <v>45742</v>
      </c>
      <c r="K103" s="3">
        <v>45812</v>
      </c>
      <c r="L103">
        <f t="shared" ca="1" si="4"/>
        <v>90</v>
      </c>
      <c r="M103" s="11">
        <f t="shared" ca="1" si="5"/>
        <v>70</v>
      </c>
      <c r="N103" s="12" t="str" cm="1">
        <f t="array" ref="N103">_xlfn.IFS(
AND(NOT(ISBLANK(H103)),ISBLANK(K103)),"SUR",
AND(NOT(ISBLANK(H103)),NOT(ISBLANK(K103)),$P103="YES"),"RTR",
AND(NOT(ISBLANK(H103)),NOT(ISBLANK(K103)),$P103="NO"),"NTS",
TRUE,"TO Check"
)</f>
        <v>RTR</v>
      </c>
      <c r="O103" s="2" t="s">
        <v>37</v>
      </c>
      <c r="P103" s="9" t="s">
        <v>38</v>
      </c>
    </row>
    <row r="104" spans="1:16" x14ac:dyDescent="0.35">
      <c r="A104" s="2">
        <v>103</v>
      </c>
      <c r="B104" s="22">
        <v>553</v>
      </c>
      <c r="E104" t="s">
        <v>138</v>
      </c>
      <c r="F104" s="2" t="s">
        <v>33</v>
      </c>
      <c r="H104" s="3">
        <v>45722</v>
      </c>
      <c r="I104" s="12">
        <v>20</v>
      </c>
      <c r="J104" s="3">
        <f t="shared" si="3"/>
        <v>45742</v>
      </c>
      <c r="K104" s="3">
        <v>45812</v>
      </c>
      <c r="L104">
        <f t="shared" ca="1" si="4"/>
        <v>90</v>
      </c>
      <c r="M104" s="11">
        <f t="shared" ca="1" si="5"/>
        <v>70</v>
      </c>
      <c r="N104" s="12" t="str" cm="1">
        <f t="array" ref="N104">_xlfn.IFS(
AND(NOT(ISBLANK(H104)),ISBLANK(K104)),"SUR",
AND(NOT(ISBLANK(H104)),NOT(ISBLANK(K104)),$P104="YES"),"RTR",
AND(NOT(ISBLANK(H104)),NOT(ISBLANK(K104)),$P104="NO"),"NTS",
TRUE,"TO Check"
)</f>
        <v>RTR</v>
      </c>
      <c r="O104" s="2" t="s">
        <v>37</v>
      </c>
      <c r="P104" s="9" t="s">
        <v>38</v>
      </c>
    </row>
    <row r="105" spans="1:16" x14ac:dyDescent="0.35">
      <c r="A105" s="2">
        <v>104</v>
      </c>
      <c r="B105" s="22">
        <v>553</v>
      </c>
      <c r="E105" t="s">
        <v>139</v>
      </c>
      <c r="F105" s="2" t="s">
        <v>33</v>
      </c>
      <c r="H105" s="3">
        <v>45722</v>
      </c>
      <c r="I105" s="12">
        <v>20</v>
      </c>
      <c r="J105" s="3">
        <f t="shared" si="3"/>
        <v>45742</v>
      </c>
      <c r="K105" s="3">
        <v>45812</v>
      </c>
      <c r="L105">
        <f t="shared" ca="1" si="4"/>
        <v>90</v>
      </c>
      <c r="M105" s="11">
        <f t="shared" ca="1" si="5"/>
        <v>70</v>
      </c>
      <c r="N105" s="12" t="str" cm="1">
        <f t="array" ref="N105">_xlfn.IFS(
AND(NOT(ISBLANK(H105)),ISBLANK(K105)),"SUR",
AND(NOT(ISBLANK(H105)),NOT(ISBLANK(K105)),$P105="YES"),"RTR",
AND(NOT(ISBLANK(H105)),NOT(ISBLANK(K105)),$P105="NO"),"NTS",
TRUE,"TO Check"
)</f>
        <v>RTR</v>
      </c>
      <c r="O105" s="2" t="s">
        <v>37</v>
      </c>
      <c r="P105" s="9" t="s">
        <v>38</v>
      </c>
    </row>
    <row r="106" spans="1:16" x14ac:dyDescent="0.35">
      <c r="A106" s="2">
        <v>105</v>
      </c>
      <c r="B106" s="22">
        <v>553</v>
      </c>
      <c r="E106" t="s">
        <v>140</v>
      </c>
      <c r="F106" s="2" t="s">
        <v>33</v>
      </c>
      <c r="H106" s="3">
        <v>45722</v>
      </c>
      <c r="I106" s="12">
        <v>20</v>
      </c>
      <c r="J106" s="3">
        <f t="shared" si="3"/>
        <v>45742</v>
      </c>
      <c r="K106" s="3">
        <v>45812</v>
      </c>
      <c r="L106">
        <f t="shared" ca="1" si="4"/>
        <v>90</v>
      </c>
      <c r="M106" s="11">
        <f t="shared" ca="1" si="5"/>
        <v>70</v>
      </c>
      <c r="N106" s="12" t="str" cm="1">
        <f t="array" ref="N106">_xlfn.IFS(
AND(NOT(ISBLANK(H106)),ISBLANK(K106)),"SUR",
AND(NOT(ISBLANK(H106)),NOT(ISBLANK(K106)),$P106="YES"),"RTR",
AND(NOT(ISBLANK(H106)),NOT(ISBLANK(K106)),$P106="NO"),"NTS",
TRUE,"TO Check"
)</f>
        <v>RTR</v>
      </c>
      <c r="O106" s="2" t="s">
        <v>37</v>
      </c>
      <c r="P106" s="9" t="s">
        <v>38</v>
      </c>
    </row>
    <row r="107" spans="1:16" x14ac:dyDescent="0.35">
      <c r="A107" s="2">
        <v>106</v>
      </c>
      <c r="B107" s="22">
        <v>553</v>
      </c>
      <c r="E107" t="s">
        <v>141</v>
      </c>
      <c r="F107" s="2" t="s">
        <v>33</v>
      </c>
      <c r="H107" s="3">
        <v>45722</v>
      </c>
      <c r="I107" s="12">
        <v>20</v>
      </c>
      <c r="J107" s="3">
        <f t="shared" si="3"/>
        <v>45742</v>
      </c>
      <c r="K107" s="3">
        <v>45812</v>
      </c>
      <c r="L107">
        <f t="shared" ca="1" si="4"/>
        <v>90</v>
      </c>
      <c r="M107" s="11">
        <f t="shared" ca="1" si="5"/>
        <v>70</v>
      </c>
      <c r="N107" s="12" t="str" cm="1">
        <f t="array" ref="N107">_xlfn.IFS(
AND(NOT(ISBLANK(H107)),ISBLANK(K107)),"SUR",
AND(NOT(ISBLANK(H107)),NOT(ISBLANK(K107)),$P107="YES"),"RTR",
AND(NOT(ISBLANK(H107)),NOT(ISBLANK(K107)),$P107="NO"),"NTS",
TRUE,"TO Check"
)</f>
        <v>RTR</v>
      </c>
      <c r="O107" s="2" t="s">
        <v>37</v>
      </c>
      <c r="P107" s="9" t="s">
        <v>38</v>
      </c>
    </row>
    <row r="108" spans="1:16" x14ac:dyDescent="0.35">
      <c r="A108" s="2">
        <v>107</v>
      </c>
      <c r="B108" s="22">
        <v>553</v>
      </c>
      <c r="E108" t="s">
        <v>142</v>
      </c>
      <c r="F108" s="2" t="s">
        <v>33</v>
      </c>
      <c r="H108" s="3">
        <v>45722</v>
      </c>
      <c r="I108" s="12">
        <v>20</v>
      </c>
      <c r="J108" s="3">
        <f t="shared" si="3"/>
        <v>45742</v>
      </c>
      <c r="K108" s="3">
        <v>45812</v>
      </c>
      <c r="L108">
        <f t="shared" ca="1" si="4"/>
        <v>90</v>
      </c>
      <c r="M108" s="11">
        <f t="shared" ca="1" si="5"/>
        <v>70</v>
      </c>
      <c r="N108" s="12" t="str" cm="1">
        <f t="array" ref="N108">_xlfn.IFS(
AND(NOT(ISBLANK(H108)),ISBLANK(K108)),"SUR",
AND(NOT(ISBLANK(H108)),NOT(ISBLANK(K108)),$P108="YES"),"RTR",
AND(NOT(ISBLANK(H108)),NOT(ISBLANK(K108)),$P108="NO"),"NTS",
TRUE,"TO Check"
)</f>
        <v>RTR</v>
      </c>
      <c r="O108" s="2" t="s">
        <v>37</v>
      </c>
      <c r="P108" s="9" t="s">
        <v>38</v>
      </c>
    </row>
    <row r="109" spans="1:16" x14ac:dyDescent="0.35">
      <c r="A109" s="2">
        <v>108</v>
      </c>
      <c r="B109" s="22">
        <v>553</v>
      </c>
      <c r="E109" t="s">
        <v>143</v>
      </c>
      <c r="F109" s="2" t="s">
        <v>33</v>
      </c>
      <c r="H109" s="3">
        <v>45722</v>
      </c>
      <c r="I109" s="12">
        <v>20</v>
      </c>
      <c r="J109" s="3">
        <f t="shared" si="3"/>
        <v>45742</v>
      </c>
      <c r="K109" s="3">
        <v>45812</v>
      </c>
      <c r="L109">
        <f t="shared" ca="1" si="4"/>
        <v>90</v>
      </c>
      <c r="M109" s="11">
        <f t="shared" ca="1" si="5"/>
        <v>70</v>
      </c>
      <c r="N109" s="12" t="str" cm="1">
        <f t="array" ref="N109">_xlfn.IFS(
AND(NOT(ISBLANK(H109)),ISBLANK(K109)),"SUR",
AND(NOT(ISBLANK(H109)),NOT(ISBLANK(K109)),$P109="YES"),"RTR",
AND(NOT(ISBLANK(H109)),NOT(ISBLANK(K109)),$P109="NO"),"NTS",
TRUE,"TO Check"
)</f>
        <v>RTR</v>
      </c>
      <c r="O109" s="2" t="s">
        <v>37</v>
      </c>
      <c r="P109" s="9" t="s">
        <v>38</v>
      </c>
    </row>
    <row r="110" spans="1:16" x14ac:dyDescent="0.35">
      <c r="A110" s="2">
        <v>109</v>
      </c>
      <c r="B110" s="22">
        <v>553</v>
      </c>
      <c r="E110" t="s">
        <v>144</v>
      </c>
      <c r="F110" s="2" t="s">
        <v>33</v>
      </c>
      <c r="H110" s="3">
        <v>45722</v>
      </c>
      <c r="I110" s="12">
        <v>20</v>
      </c>
      <c r="J110" s="3">
        <f t="shared" si="3"/>
        <v>45742</v>
      </c>
      <c r="K110" s="3">
        <v>45812</v>
      </c>
      <c r="L110">
        <f t="shared" ca="1" si="4"/>
        <v>90</v>
      </c>
      <c r="M110" s="11">
        <f t="shared" ca="1" si="5"/>
        <v>70</v>
      </c>
      <c r="N110" s="12" t="str" cm="1">
        <f t="array" ref="N110">_xlfn.IFS(
AND(NOT(ISBLANK(H110)),ISBLANK(K110)),"SUR",
AND(NOT(ISBLANK(H110)),NOT(ISBLANK(K110)),$P110="YES"),"RTR",
AND(NOT(ISBLANK(H110)),NOT(ISBLANK(K110)),$P110="NO"),"NTS",
TRUE,"TO Check"
)</f>
        <v>RTR</v>
      </c>
      <c r="O110" s="2" t="s">
        <v>37</v>
      </c>
      <c r="P110" s="9" t="s">
        <v>38</v>
      </c>
    </row>
    <row r="111" spans="1:16" x14ac:dyDescent="0.35">
      <c r="A111" s="2">
        <v>110</v>
      </c>
      <c r="B111" s="22">
        <v>553</v>
      </c>
      <c r="E111" t="s">
        <v>145</v>
      </c>
      <c r="F111" s="2" t="s">
        <v>33</v>
      </c>
      <c r="H111" s="3">
        <v>45722</v>
      </c>
      <c r="I111" s="12">
        <v>20</v>
      </c>
      <c r="J111" s="3">
        <f t="shared" si="3"/>
        <v>45742</v>
      </c>
      <c r="K111" s="3">
        <v>45812</v>
      </c>
      <c r="L111">
        <f t="shared" ca="1" si="4"/>
        <v>90</v>
      </c>
      <c r="M111" s="11">
        <f t="shared" ca="1" si="5"/>
        <v>70</v>
      </c>
      <c r="N111" s="12" t="str" cm="1">
        <f t="array" ref="N111">_xlfn.IFS(
AND(NOT(ISBLANK(H111)),ISBLANK(K111)),"SUR",
AND(NOT(ISBLANK(H111)),NOT(ISBLANK(K111)),$P111="YES"),"RTR",
AND(NOT(ISBLANK(H111)),NOT(ISBLANK(K111)),$P111="NO"),"NTS",
TRUE,"TO Check"
)</f>
        <v>RTR</v>
      </c>
      <c r="O111" s="2" t="s">
        <v>37</v>
      </c>
      <c r="P111" s="9" t="s">
        <v>38</v>
      </c>
    </row>
    <row r="112" spans="1:16" x14ac:dyDescent="0.35">
      <c r="A112" s="2">
        <v>111</v>
      </c>
      <c r="B112" s="22">
        <v>553</v>
      </c>
      <c r="E112" t="s">
        <v>146</v>
      </c>
      <c r="F112" s="2" t="s">
        <v>33</v>
      </c>
      <c r="H112" s="3">
        <v>45722</v>
      </c>
      <c r="I112" s="12">
        <v>20</v>
      </c>
      <c r="J112" s="3">
        <f t="shared" si="3"/>
        <v>45742</v>
      </c>
      <c r="K112" s="3">
        <v>45812</v>
      </c>
      <c r="L112">
        <f t="shared" ca="1" si="4"/>
        <v>90</v>
      </c>
      <c r="M112" s="11">
        <f t="shared" ca="1" si="5"/>
        <v>70</v>
      </c>
      <c r="N112" s="12" t="str" cm="1">
        <f t="array" ref="N112">_xlfn.IFS(
AND(NOT(ISBLANK(H112)),ISBLANK(K112)),"SUR",
AND(NOT(ISBLANK(H112)),NOT(ISBLANK(K112)),$P112="YES"),"RTR",
AND(NOT(ISBLANK(H112)),NOT(ISBLANK(K112)),$P112="NO"),"NTS",
TRUE,"TO Check"
)</f>
        <v>RTR</v>
      </c>
      <c r="O112" s="2" t="s">
        <v>37</v>
      </c>
      <c r="P112" s="9" t="s">
        <v>38</v>
      </c>
    </row>
    <row r="113" spans="1:16" x14ac:dyDescent="0.35">
      <c r="A113" s="2">
        <v>112</v>
      </c>
      <c r="B113" s="22">
        <v>553</v>
      </c>
      <c r="E113" t="s">
        <v>147</v>
      </c>
      <c r="F113" s="2" t="s">
        <v>33</v>
      </c>
      <c r="H113" s="3">
        <v>45722</v>
      </c>
      <c r="I113" s="12">
        <v>20</v>
      </c>
      <c r="J113" s="3">
        <f t="shared" si="3"/>
        <v>45742</v>
      </c>
      <c r="K113" s="3">
        <v>45812</v>
      </c>
      <c r="L113">
        <f t="shared" ca="1" si="4"/>
        <v>90</v>
      </c>
      <c r="M113" s="11">
        <f t="shared" ca="1" si="5"/>
        <v>70</v>
      </c>
      <c r="N113" s="12" t="str" cm="1">
        <f t="array" ref="N113">_xlfn.IFS(
AND(NOT(ISBLANK(H113)),ISBLANK(K113)),"SUR",
AND(NOT(ISBLANK(H113)),NOT(ISBLANK(K113)),$P113="YES"),"RTR",
AND(NOT(ISBLANK(H113)),NOT(ISBLANK(K113)),$P113="NO"),"NTS",
TRUE,"TO Check"
)</f>
        <v>RTR</v>
      </c>
      <c r="O113" s="2" t="s">
        <v>37</v>
      </c>
      <c r="P113" s="9" t="s">
        <v>38</v>
      </c>
    </row>
    <row r="114" spans="1:16" x14ac:dyDescent="0.35">
      <c r="A114" s="2">
        <v>113</v>
      </c>
      <c r="B114" s="22">
        <v>1370</v>
      </c>
      <c r="E114" t="s">
        <v>148</v>
      </c>
      <c r="F114" s="2" t="s">
        <v>33</v>
      </c>
      <c r="H114" s="3">
        <v>45820</v>
      </c>
      <c r="I114" s="12">
        <v>20</v>
      </c>
      <c r="J114" s="3">
        <f t="shared" si="3"/>
        <v>45840</v>
      </c>
      <c r="K114" s="3">
        <v>45910</v>
      </c>
      <c r="L114">
        <f t="shared" ca="1" si="4"/>
        <v>90</v>
      </c>
      <c r="M114" s="11">
        <f t="shared" ca="1" si="5"/>
        <v>70</v>
      </c>
      <c r="N114" s="12" t="str" cm="1">
        <f t="array" ref="N114">_xlfn.IFS(
AND(NOT(ISBLANK(H114)),ISBLANK(K114)),"SUR",
AND(NOT(ISBLANK(H114)),NOT(ISBLANK(K114)),$P114="YES"),"RTR",
AND(NOT(ISBLANK(H114)),NOT(ISBLANK(K114)),$P114="NO"),"NTS",
TRUE,"TO Check"
)</f>
        <v>RTR</v>
      </c>
      <c r="O114" s="2" t="s">
        <v>37</v>
      </c>
      <c r="P114" s="9" t="s">
        <v>38</v>
      </c>
    </row>
    <row r="115" spans="1:16" x14ac:dyDescent="0.35">
      <c r="A115" s="2">
        <v>114</v>
      </c>
      <c r="B115" s="22">
        <v>1371</v>
      </c>
      <c r="E115" t="s">
        <v>149</v>
      </c>
      <c r="F115" s="2" t="s">
        <v>33</v>
      </c>
      <c r="H115" s="3">
        <v>45820</v>
      </c>
      <c r="I115" s="12">
        <v>20</v>
      </c>
      <c r="J115" s="3">
        <f t="shared" si="3"/>
        <v>45840</v>
      </c>
      <c r="K115" s="3">
        <v>45910</v>
      </c>
      <c r="L115">
        <f t="shared" ca="1" si="4"/>
        <v>90</v>
      </c>
      <c r="M115" s="11">
        <f t="shared" ca="1" si="5"/>
        <v>70</v>
      </c>
      <c r="N115" s="12" t="str" cm="1">
        <f t="array" ref="N115">_xlfn.IFS(
AND(NOT(ISBLANK(H115)),ISBLANK(K115)),"SUR",
AND(NOT(ISBLANK(H115)),NOT(ISBLANK(K115)),$P115="YES"),"RTR",
AND(NOT(ISBLANK(H115)),NOT(ISBLANK(K115)),$P115="NO"),"NTS",
TRUE,"TO Check"
)</f>
        <v>RTR</v>
      </c>
      <c r="O115" s="2" t="s">
        <v>37</v>
      </c>
      <c r="P115" s="9" t="s">
        <v>38</v>
      </c>
    </row>
    <row r="116" spans="1:16" x14ac:dyDescent="0.35">
      <c r="A116" s="2">
        <v>115</v>
      </c>
      <c r="B116" s="22">
        <v>1372</v>
      </c>
      <c r="E116" t="s">
        <v>150</v>
      </c>
      <c r="F116" s="2" t="s">
        <v>33</v>
      </c>
      <c r="H116" s="3">
        <v>45820</v>
      </c>
      <c r="I116" s="12">
        <v>20</v>
      </c>
      <c r="J116" s="3">
        <f t="shared" si="3"/>
        <v>45840</v>
      </c>
      <c r="K116" s="3">
        <v>45910</v>
      </c>
      <c r="L116">
        <f t="shared" ca="1" si="4"/>
        <v>90</v>
      </c>
      <c r="M116" s="11">
        <f t="shared" ca="1" si="5"/>
        <v>70</v>
      </c>
      <c r="N116" s="12" t="str" cm="1">
        <f t="array" ref="N116">_xlfn.IFS(
AND(NOT(ISBLANK(H116)),ISBLANK(K116)),"SUR",
AND(NOT(ISBLANK(H116)),NOT(ISBLANK(K116)),$P116="YES"),"RTR",
AND(NOT(ISBLANK(H116)),NOT(ISBLANK(K116)),$P116="NO"),"NTS",
TRUE,"TO Check"
)</f>
        <v>RTR</v>
      </c>
      <c r="O116" s="2" t="s">
        <v>37</v>
      </c>
      <c r="P116" s="9" t="s">
        <v>38</v>
      </c>
    </row>
    <row r="117" spans="1:16" x14ac:dyDescent="0.35">
      <c r="A117" s="2">
        <v>116</v>
      </c>
      <c r="B117" s="22">
        <v>1373</v>
      </c>
      <c r="E117" t="s">
        <v>151</v>
      </c>
      <c r="F117" s="2" t="s">
        <v>33</v>
      </c>
      <c r="H117" s="3">
        <v>45820</v>
      </c>
      <c r="I117" s="12">
        <v>20</v>
      </c>
      <c r="J117" s="3">
        <f t="shared" si="3"/>
        <v>45840</v>
      </c>
      <c r="K117" s="3">
        <v>45910</v>
      </c>
      <c r="L117">
        <f t="shared" ca="1" si="4"/>
        <v>90</v>
      </c>
      <c r="M117" s="11">
        <f t="shared" ca="1" si="5"/>
        <v>70</v>
      </c>
      <c r="N117" s="12" t="str" cm="1">
        <f t="array" ref="N117">_xlfn.IFS(
AND(NOT(ISBLANK(H117)),ISBLANK(K117)),"SUR",
AND(NOT(ISBLANK(H117)),NOT(ISBLANK(K117)),$P117="YES"),"RTR",
AND(NOT(ISBLANK(H117)),NOT(ISBLANK(K117)),$P117="NO"),"NTS",
TRUE,"TO Check"
)</f>
        <v>RTR</v>
      </c>
      <c r="O117" s="2" t="s">
        <v>37</v>
      </c>
      <c r="P117" s="9" t="s">
        <v>38</v>
      </c>
    </row>
    <row r="118" spans="1:16" x14ac:dyDescent="0.35">
      <c r="A118" s="2">
        <v>117</v>
      </c>
      <c r="B118" s="22">
        <v>1376</v>
      </c>
      <c r="E118" t="s">
        <v>152</v>
      </c>
      <c r="F118" s="2" t="s">
        <v>33</v>
      </c>
      <c r="H118" s="3">
        <v>45824</v>
      </c>
      <c r="I118" s="12">
        <v>20</v>
      </c>
      <c r="J118" s="3">
        <f t="shared" si="3"/>
        <v>45844</v>
      </c>
      <c r="K118" s="3">
        <v>45914</v>
      </c>
      <c r="L118">
        <f t="shared" ca="1" si="4"/>
        <v>90</v>
      </c>
      <c r="M118" s="11">
        <f t="shared" ca="1" si="5"/>
        <v>70</v>
      </c>
      <c r="N118" s="12" t="str" cm="1">
        <f t="array" ref="N118">_xlfn.IFS(
AND(NOT(ISBLANK(H118)),ISBLANK(K118)),"SUR",
AND(NOT(ISBLANK(H118)),NOT(ISBLANK(K118)),$P118="YES"),"RTR",
AND(NOT(ISBLANK(H118)),NOT(ISBLANK(K118)),$P118="NO"),"NTS",
TRUE,"TO Check"
)</f>
        <v>RTR</v>
      </c>
      <c r="O118" s="2" t="s">
        <v>37</v>
      </c>
      <c r="P118" s="9" t="s">
        <v>38</v>
      </c>
    </row>
    <row r="119" spans="1:16" x14ac:dyDescent="0.35">
      <c r="A119" s="2">
        <v>118</v>
      </c>
      <c r="B119" s="22">
        <v>1135</v>
      </c>
      <c r="E119" t="s">
        <v>153</v>
      </c>
      <c r="F119" s="2" t="s">
        <v>33</v>
      </c>
      <c r="H119" s="3">
        <v>45736</v>
      </c>
      <c r="I119" s="12">
        <v>20</v>
      </c>
      <c r="J119" s="3">
        <f t="shared" si="3"/>
        <v>45756</v>
      </c>
      <c r="K119" s="3">
        <v>45826</v>
      </c>
      <c r="L119">
        <f t="shared" ca="1" si="4"/>
        <v>90</v>
      </c>
      <c r="M119" s="11">
        <f t="shared" ca="1" si="5"/>
        <v>70</v>
      </c>
      <c r="N119" s="12" t="str" cm="1">
        <f t="array" ref="N119">_xlfn.IFS(
AND(NOT(ISBLANK(H119)),ISBLANK(K119)),"SUR",
AND(NOT(ISBLANK(H119)),NOT(ISBLANK(K119)),$P119="YES"),"RTR",
AND(NOT(ISBLANK(H119)),NOT(ISBLANK(K119)),$P119="NO"),"NTS",
TRUE,"TO Check"
)</f>
        <v>RTR</v>
      </c>
      <c r="O119" s="2" t="s">
        <v>37</v>
      </c>
      <c r="P119" s="9" t="s">
        <v>38</v>
      </c>
    </row>
    <row r="120" spans="1:16" x14ac:dyDescent="0.35">
      <c r="A120" s="2">
        <v>119</v>
      </c>
      <c r="B120" s="22">
        <v>408</v>
      </c>
      <c r="E120" t="s">
        <v>154</v>
      </c>
      <c r="F120" s="2" t="s">
        <v>33</v>
      </c>
      <c r="H120" s="3">
        <v>45379</v>
      </c>
      <c r="I120" s="12">
        <v>20</v>
      </c>
      <c r="J120" s="3">
        <f t="shared" si="3"/>
        <v>45399</v>
      </c>
      <c r="K120" s="3">
        <v>45469</v>
      </c>
      <c r="L120">
        <f t="shared" ca="1" si="4"/>
        <v>90</v>
      </c>
      <c r="M120" s="11">
        <f t="shared" ca="1" si="5"/>
        <v>70</v>
      </c>
      <c r="N120" s="12" t="str" cm="1">
        <f t="array" ref="N120">_xlfn.IFS(
AND(NOT(ISBLANK(H120)),ISBLANK(K120)),"SUR",
AND(NOT(ISBLANK(H120)),NOT(ISBLANK(K120)),$P120="YES"),"RTR",
AND(NOT(ISBLANK(H120)),NOT(ISBLANK(K120)),$P120="NO"),"NTS",
TRUE,"TO Check"
)</f>
        <v>RTR</v>
      </c>
      <c r="O120" s="2" t="s">
        <v>37</v>
      </c>
      <c r="P120" s="9" t="s">
        <v>38</v>
      </c>
    </row>
    <row r="121" spans="1:16" x14ac:dyDescent="0.35">
      <c r="A121" s="2">
        <v>120</v>
      </c>
      <c r="B121" s="22">
        <v>408</v>
      </c>
      <c r="E121" t="s">
        <v>155</v>
      </c>
      <c r="F121" s="2" t="s">
        <v>33</v>
      </c>
      <c r="H121" s="3">
        <v>45379</v>
      </c>
      <c r="I121" s="12">
        <v>20</v>
      </c>
      <c r="J121" s="3">
        <f t="shared" si="3"/>
        <v>45399</v>
      </c>
      <c r="K121" s="3">
        <v>45469</v>
      </c>
      <c r="L121">
        <f t="shared" ca="1" si="4"/>
        <v>90</v>
      </c>
      <c r="M121" s="11">
        <f t="shared" ca="1" si="5"/>
        <v>70</v>
      </c>
      <c r="N121" s="12" t="str" cm="1">
        <f t="array" ref="N121">_xlfn.IFS(
AND(NOT(ISBLANK(H121)),ISBLANK(K121)),"SUR",
AND(NOT(ISBLANK(H121)),NOT(ISBLANK(K121)),$P121="YES"),"RTR",
AND(NOT(ISBLANK(H121)),NOT(ISBLANK(K121)),$P121="NO"),"NTS",
TRUE,"TO Check"
)</f>
        <v>RTR</v>
      </c>
      <c r="O121" s="2" t="s">
        <v>37</v>
      </c>
      <c r="P121" s="9" t="s">
        <v>38</v>
      </c>
    </row>
    <row r="122" spans="1:16" x14ac:dyDescent="0.35">
      <c r="A122" s="2">
        <v>121</v>
      </c>
      <c r="B122" s="22">
        <v>409</v>
      </c>
      <c r="E122" t="s">
        <v>156</v>
      </c>
      <c r="F122" s="2" t="s">
        <v>33</v>
      </c>
      <c r="H122" s="3">
        <v>45379</v>
      </c>
      <c r="I122" s="12">
        <v>20</v>
      </c>
      <c r="J122" s="3">
        <f t="shared" si="3"/>
        <v>45399</v>
      </c>
      <c r="K122" s="3">
        <v>45469</v>
      </c>
      <c r="L122">
        <f t="shared" ca="1" si="4"/>
        <v>90</v>
      </c>
      <c r="M122" s="11">
        <f t="shared" ca="1" si="5"/>
        <v>70</v>
      </c>
      <c r="N122" s="12" t="str" cm="1">
        <f t="array" ref="N122">_xlfn.IFS(
AND(NOT(ISBLANK(H122)),ISBLANK(K122)),"SUR",
AND(NOT(ISBLANK(H122)),NOT(ISBLANK(K122)),$P122="YES"),"RTR",
AND(NOT(ISBLANK(H122)),NOT(ISBLANK(K122)),$P122="NO"),"NTS",
TRUE,"TO Check"
)</f>
        <v>RTR</v>
      </c>
      <c r="O122" s="2" t="s">
        <v>37</v>
      </c>
      <c r="P122" s="9" t="s">
        <v>38</v>
      </c>
    </row>
    <row r="123" spans="1:16" x14ac:dyDescent="0.35">
      <c r="A123" s="2">
        <v>122</v>
      </c>
      <c r="B123" s="22">
        <v>409</v>
      </c>
      <c r="E123" t="s">
        <v>157</v>
      </c>
      <c r="F123" s="2" t="s">
        <v>33</v>
      </c>
      <c r="H123" s="3">
        <v>45478</v>
      </c>
      <c r="I123" s="12">
        <v>20</v>
      </c>
      <c r="J123" s="3">
        <f t="shared" si="3"/>
        <v>45498</v>
      </c>
      <c r="K123" s="3">
        <v>45568</v>
      </c>
      <c r="L123">
        <f t="shared" ca="1" si="4"/>
        <v>90</v>
      </c>
      <c r="M123" s="11">
        <f t="shared" ca="1" si="5"/>
        <v>70</v>
      </c>
      <c r="N123" s="12" t="str" cm="1">
        <f t="array" ref="N123">_xlfn.IFS(
AND(NOT(ISBLANK(H123)),ISBLANK(K123)),"SUR",
AND(NOT(ISBLANK(H123)),NOT(ISBLANK(K123)),$P123="YES"),"RTR",
AND(NOT(ISBLANK(H123)),NOT(ISBLANK(K123)),$P123="NO"),"NTS",
TRUE,"TO Check"
)</f>
        <v>RTR</v>
      </c>
      <c r="O123" s="2" t="s">
        <v>37</v>
      </c>
      <c r="P123" s="9" t="s">
        <v>38</v>
      </c>
    </row>
    <row r="124" spans="1:16" x14ac:dyDescent="0.35">
      <c r="A124" s="2">
        <v>123</v>
      </c>
      <c r="B124" s="22">
        <v>553</v>
      </c>
      <c r="E124" t="s">
        <v>158</v>
      </c>
      <c r="F124" s="2" t="s">
        <v>33</v>
      </c>
      <c r="H124" s="3">
        <v>45598</v>
      </c>
      <c r="I124" s="12">
        <v>20</v>
      </c>
      <c r="J124" s="3">
        <f t="shared" si="3"/>
        <v>45618</v>
      </c>
      <c r="K124" s="3">
        <v>45688</v>
      </c>
      <c r="L124">
        <f t="shared" ca="1" si="4"/>
        <v>90</v>
      </c>
      <c r="M124" s="11">
        <f t="shared" ca="1" si="5"/>
        <v>70</v>
      </c>
      <c r="N124" s="12" t="str" cm="1">
        <f t="array" ref="N124">_xlfn.IFS(
AND(NOT(ISBLANK(H124)),ISBLANK(K124)),"SUR",
AND(NOT(ISBLANK(H124)),NOT(ISBLANK(K124)),$P124="YES"),"RTR",
AND(NOT(ISBLANK(H124)),NOT(ISBLANK(K124)),$P124="NO"),"NTS",
TRUE,"TO Check"
)</f>
        <v>RTR</v>
      </c>
      <c r="O124" s="2" t="s">
        <v>37</v>
      </c>
      <c r="P124" s="9" t="s">
        <v>38</v>
      </c>
    </row>
    <row r="125" spans="1:16" x14ac:dyDescent="0.35">
      <c r="A125" s="2">
        <v>124</v>
      </c>
      <c r="B125" s="22">
        <v>553</v>
      </c>
      <c r="E125" t="s">
        <v>159</v>
      </c>
      <c r="F125" s="2" t="s">
        <v>33</v>
      </c>
      <c r="H125" s="3">
        <v>45598</v>
      </c>
      <c r="I125" s="12">
        <v>20</v>
      </c>
      <c r="J125" s="3">
        <f t="shared" si="3"/>
        <v>45618</v>
      </c>
      <c r="K125" s="3">
        <v>45688</v>
      </c>
      <c r="L125">
        <f t="shared" ca="1" si="4"/>
        <v>90</v>
      </c>
      <c r="M125" s="11">
        <f t="shared" ca="1" si="5"/>
        <v>70</v>
      </c>
      <c r="N125" s="12" t="str" cm="1">
        <f t="array" ref="N125">_xlfn.IFS(
AND(NOT(ISBLANK(H125)),ISBLANK(K125)),"SUR",
AND(NOT(ISBLANK(H125)),NOT(ISBLANK(K125)),$P125="YES"),"RTR",
AND(NOT(ISBLANK(H125)),NOT(ISBLANK(K125)),$P125="NO"),"NTS",
TRUE,"TO Check"
)</f>
        <v>RTR</v>
      </c>
      <c r="O125" s="2" t="s">
        <v>37</v>
      </c>
      <c r="P125" s="9" t="s">
        <v>38</v>
      </c>
    </row>
    <row r="126" spans="1:16" x14ac:dyDescent="0.35">
      <c r="A126" s="2">
        <v>125</v>
      </c>
      <c r="B126" s="22">
        <v>1310</v>
      </c>
      <c r="E126" t="s">
        <v>160</v>
      </c>
      <c r="F126" s="2" t="s">
        <v>33</v>
      </c>
      <c r="H126" s="3">
        <v>45796</v>
      </c>
      <c r="I126" s="12">
        <v>20</v>
      </c>
      <c r="J126" s="3">
        <f t="shared" si="3"/>
        <v>45816</v>
      </c>
      <c r="K126" s="3">
        <v>45886</v>
      </c>
      <c r="L126">
        <f t="shared" ca="1" si="4"/>
        <v>90</v>
      </c>
      <c r="M126" s="11">
        <f t="shared" ca="1" si="5"/>
        <v>70</v>
      </c>
      <c r="N126" s="12" t="str" cm="1">
        <f t="array" ref="N126">_xlfn.IFS(
AND(NOT(ISBLANK(H126)),ISBLANK(K126)),"SUR",
AND(NOT(ISBLANK(H126)),NOT(ISBLANK(K126)),$P126="YES"),"RTR",
AND(NOT(ISBLANK(H126)),NOT(ISBLANK(K126)),$P126="NO"),"NTS",
TRUE,"TO Check"
)</f>
        <v>RTR</v>
      </c>
      <c r="O126" s="2" t="s">
        <v>37</v>
      </c>
      <c r="P126" s="9" t="s">
        <v>38</v>
      </c>
    </row>
    <row r="127" spans="1:16" x14ac:dyDescent="0.35">
      <c r="A127" s="2">
        <v>126</v>
      </c>
      <c r="B127" s="22">
        <v>1170</v>
      </c>
      <c r="E127" t="s">
        <v>161</v>
      </c>
      <c r="F127" s="2" t="s">
        <v>33</v>
      </c>
      <c r="H127" s="3">
        <v>45743</v>
      </c>
      <c r="I127" s="12">
        <v>20</v>
      </c>
      <c r="J127" s="3">
        <f t="shared" si="3"/>
        <v>45763</v>
      </c>
      <c r="K127" s="3">
        <v>45833</v>
      </c>
      <c r="L127">
        <f t="shared" ca="1" si="4"/>
        <v>90</v>
      </c>
      <c r="M127" s="11">
        <f t="shared" ca="1" si="5"/>
        <v>70</v>
      </c>
      <c r="N127" s="12" t="str" cm="1">
        <f t="array" ref="N127">_xlfn.IFS(
AND(NOT(ISBLANK(H127)),ISBLANK(K127)),"SUR",
AND(NOT(ISBLANK(H127)),NOT(ISBLANK(K127)),$P127="YES"),"RTR",
AND(NOT(ISBLANK(H127)),NOT(ISBLANK(K127)),$P127="NO"),"NTS",
TRUE,"TO Check"
)</f>
        <v>RTR</v>
      </c>
      <c r="O127" s="2" t="s">
        <v>37</v>
      </c>
      <c r="P127" s="9" t="s">
        <v>38</v>
      </c>
    </row>
    <row r="128" spans="1:16" x14ac:dyDescent="0.35">
      <c r="A128" s="2">
        <v>127</v>
      </c>
      <c r="B128" s="22">
        <v>1170</v>
      </c>
      <c r="E128" t="s">
        <v>162</v>
      </c>
      <c r="F128" s="2" t="s">
        <v>33</v>
      </c>
      <c r="H128" s="3">
        <v>45743</v>
      </c>
      <c r="I128" s="12">
        <v>20</v>
      </c>
      <c r="J128" s="3">
        <f t="shared" si="3"/>
        <v>45763</v>
      </c>
      <c r="K128" s="3">
        <v>45833</v>
      </c>
      <c r="L128">
        <f t="shared" ca="1" si="4"/>
        <v>90</v>
      </c>
      <c r="M128" s="11">
        <f t="shared" ca="1" si="5"/>
        <v>70</v>
      </c>
      <c r="N128" s="12" t="str" cm="1">
        <f t="array" ref="N128">_xlfn.IFS(
AND(NOT(ISBLANK(H128)),ISBLANK(K128)),"SUR",
AND(NOT(ISBLANK(H128)),NOT(ISBLANK(K128)),$P128="YES"),"RTR",
AND(NOT(ISBLANK(H128)),NOT(ISBLANK(K128)),$P128="NO"),"NTS",
TRUE,"TO Check"
)</f>
        <v>RTR</v>
      </c>
      <c r="O128" s="2" t="s">
        <v>37</v>
      </c>
      <c r="P128" s="9" t="s">
        <v>38</v>
      </c>
    </row>
    <row r="129" spans="1:16" x14ac:dyDescent="0.35">
      <c r="A129" s="2">
        <v>128</v>
      </c>
      <c r="B129" s="22">
        <v>1170</v>
      </c>
      <c r="E129" t="s">
        <v>163</v>
      </c>
      <c r="F129" s="2" t="s">
        <v>33</v>
      </c>
      <c r="H129" s="3">
        <v>45743</v>
      </c>
      <c r="I129" s="12">
        <v>20</v>
      </c>
      <c r="J129" s="3">
        <f t="shared" si="3"/>
        <v>45763</v>
      </c>
      <c r="K129" s="3">
        <v>45833</v>
      </c>
      <c r="L129">
        <f t="shared" ca="1" si="4"/>
        <v>90</v>
      </c>
      <c r="M129" s="11">
        <f t="shared" ca="1" si="5"/>
        <v>70</v>
      </c>
      <c r="N129" s="12" t="str" cm="1">
        <f t="array" ref="N129">_xlfn.IFS(
AND(NOT(ISBLANK(H129)),ISBLANK(K129)),"SUR",
AND(NOT(ISBLANK(H129)),NOT(ISBLANK(K129)),$P129="YES"),"RTR",
AND(NOT(ISBLANK(H129)),NOT(ISBLANK(K129)),$P129="NO"),"NTS",
TRUE,"TO Check"
)</f>
        <v>RTR</v>
      </c>
      <c r="O129" s="2" t="s">
        <v>37</v>
      </c>
      <c r="P129" s="9" t="s">
        <v>38</v>
      </c>
    </row>
    <row r="130" spans="1:16" x14ac:dyDescent="0.35">
      <c r="A130" s="2">
        <v>129</v>
      </c>
      <c r="B130" s="22">
        <v>1277</v>
      </c>
      <c r="E130" t="s">
        <v>164</v>
      </c>
      <c r="F130" s="2" t="s">
        <v>33</v>
      </c>
      <c r="H130" s="3">
        <v>45787</v>
      </c>
      <c r="I130" s="12">
        <v>20</v>
      </c>
      <c r="J130" s="3">
        <f t="shared" si="3"/>
        <v>45807</v>
      </c>
      <c r="K130" s="3">
        <v>45877</v>
      </c>
      <c r="L130">
        <f t="shared" ca="1" si="4"/>
        <v>90</v>
      </c>
      <c r="M130" s="11">
        <f t="shared" ca="1" si="5"/>
        <v>70</v>
      </c>
      <c r="N130" s="12" t="str" cm="1">
        <f t="array" ref="N130">_xlfn.IFS(
AND(NOT(ISBLANK(H130)),ISBLANK(K130)),"SUR",
AND(NOT(ISBLANK(H130)),NOT(ISBLANK(K130)),$P130="YES"),"RTR",
AND(NOT(ISBLANK(H130)),NOT(ISBLANK(K130)),$P130="NO"),"NTS",
TRUE,"TO Check"
)</f>
        <v>RTR</v>
      </c>
      <c r="O130" s="2" t="s">
        <v>37</v>
      </c>
      <c r="P130" s="9" t="s">
        <v>38</v>
      </c>
    </row>
    <row r="131" spans="1:16" x14ac:dyDescent="0.35">
      <c r="A131" s="2">
        <v>130</v>
      </c>
      <c r="B131" s="22">
        <v>1277</v>
      </c>
      <c r="E131" t="s">
        <v>165</v>
      </c>
      <c r="F131" s="2" t="s">
        <v>33</v>
      </c>
      <c r="H131" s="3">
        <v>45787</v>
      </c>
      <c r="I131" s="12">
        <v>20</v>
      </c>
      <c r="J131" s="3">
        <f t="shared" ref="J131:J194" si="6">$H131+$I131</f>
        <v>45807</v>
      </c>
      <c r="K131" s="3">
        <v>45877</v>
      </c>
      <c r="L131">
        <f t="shared" ref="L131:L194" ca="1" si="7">IF(NOT(ISBLANK($K131)),$K131-$H131,TODAY()-$H131)</f>
        <v>90</v>
      </c>
      <c r="M131" s="11">
        <f t="shared" ca="1" si="5"/>
        <v>70</v>
      </c>
      <c r="N131" s="12" t="str" cm="1">
        <f t="array" ref="N131">_xlfn.IFS(
AND(NOT(ISBLANK(H131)),ISBLANK(K131)),"SUR",
AND(NOT(ISBLANK(H131)),NOT(ISBLANK(K131)),$P131="YES"),"RTR",
AND(NOT(ISBLANK(H131)),NOT(ISBLANK(K131)),$P131="NO"),"NTS",
TRUE,"TO Check"
)</f>
        <v>RTR</v>
      </c>
      <c r="O131" s="2" t="s">
        <v>37</v>
      </c>
      <c r="P131" s="9" t="s">
        <v>38</v>
      </c>
    </row>
    <row r="132" spans="1:16" x14ac:dyDescent="0.35">
      <c r="A132" s="2">
        <v>131</v>
      </c>
      <c r="B132" s="22">
        <v>1277</v>
      </c>
      <c r="E132" t="s">
        <v>166</v>
      </c>
      <c r="F132" s="2" t="s">
        <v>33</v>
      </c>
      <c r="H132" s="3">
        <v>45787</v>
      </c>
      <c r="I132" s="12">
        <v>20</v>
      </c>
      <c r="J132" s="3">
        <f t="shared" si="6"/>
        <v>45807</v>
      </c>
      <c r="K132" s="3">
        <v>45877</v>
      </c>
      <c r="L132">
        <f t="shared" ca="1" si="7"/>
        <v>90</v>
      </c>
      <c r="M132" s="11">
        <f t="shared" ref="M132:M195" ca="1" si="8">L132-I132</f>
        <v>70</v>
      </c>
      <c r="N132" s="12" t="str" cm="1">
        <f t="array" ref="N132">_xlfn.IFS(
AND(NOT(ISBLANK(H132)),ISBLANK(K132)),"SUR",
AND(NOT(ISBLANK(H132)),NOT(ISBLANK(K132)),$P132="YES"),"RTR",
AND(NOT(ISBLANK(H132)),NOT(ISBLANK(K132)),$P132="NO"),"NTS",
TRUE,"TO Check"
)</f>
        <v>RTR</v>
      </c>
      <c r="O132" s="2" t="s">
        <v>37</v>
      </c>
      <c r="P132" s="9" t="s">
        <v>38</v>
      </c>
    </row>
    <row r="133" spans="1:16" x14ac:dyDescent="0.35">
      <c r="A133" s="2">
        <v>132</v>
      </c>
      <c r="B133" s="22">
        <v>1277</v>
      </c>
      <c r="E133" t="s">
        <v>167</v>
      </c>
      <c r="F133" s="2" t="s">
        <v>33</v>
      </c>
      <c r="H133" s="3">
        <v>45787</v>
      </c>
      <c r="I133" s="12">
        <v>20</v>
      </c>
      <c r="J133" s="3">
        <f t="shared" si="6"/>
        <v>45807</v>
      </c>
      <c r="K133" s="3">
        <v>45877</v>
      </c>
      <c r="L133">
        <f t="shared" ca="1" si="7"/>
        <v>90</v>
      </c>
      <c r="M133" s="11">
        <f t="shared" ca="1" si="8"/>
        <v>70</v>
      </c>
      <c r="N133" s="12" t="str" cm="1">
        <f t="array" ref="N133">_xlfn.IFS(
AND(NOT(ISBLANK(H133)),ISBLANK(K133)),"SUR",
AND(NOT(ISBLANK(H133)),NOT(ISBLANK(K133)),$P133="YES"),"RTR",
AND(NOT(ISBLANK(H133)),NOT(ISBLANK(K133)),$P133="NO"),"NTS",
TRUE,"TO Check"
)</f>
        <v>RTR</v>
      </c>
      <c r="O133" s="2" t="s">
        <v>37</v>
      </c>
      <c r="P133" s="9" t="s">
        <v>38</v>
      </c>
    </row>
    <row r="134" spans="1:16" x14ac:dyDescent="0.35">
      <c r="A134" s="2">
        <v>133</v>
      </c>
      <c r="B134" s="22">
        <v>1277</v>
      </c>
      <c r="E134" t="s">
        <v>168</v>
      </c>
      <c r="F134" s="2" t="s">
        <v>33</v>
      </c>
      <c r="H134" s="3">
        <v>45787</v>
      </c>
      <c r="I134" s="12">
        <v>20</v>
      </c>
      <c r="J134" s="3">
        <f t="shared" si="6"/>
        <v>45807</v>
      </c>
      <c r="K134" s="3">
        <v>45877</v>
      </c>
      <c r="L134">
        <f t="shared" ca="1" si="7"/>
        <v>90</v>
      </c>
      <c r="M134" s="11">
        <f t="shared" ca="1" si="8"/>
        <v>70</v>
      </c>
      <c r="N134" s="12" t="str" cm="1">
        <f t="array" ref="N134">_xlfn.IFS(
AND(NOT(ISBLANK(H134)),ISBLANK(K134)),"SUR",
AND(NOT(ISBLANK(H134)),NOT(ISBLANK(K134)),$P134="YES"),"RTR",
AND(NOT(ISBLANK(H134)),NOT(ISBLANK(K134)),$P134="NO"),"NTS",
TRUE,"TO Check"
)</f>
        <v>RTR</v>
      </c>
      <c r="O134" s="2" t="s">
        <v>37</v>
      </c>
      <c r="P134" s="9" t="s">
        <v>38</v>
      </c>
    </row>
    <row r="135" spans="1:16" x14ac:dyDescent="0.35">
      <c r="A135" s="2">
        <v>134</v>
      </c>
      <c r="B135" s="22">
        <v>1259</v>
      </c>
      <c r="E135" t="s">
        <v>169</v>
      </c>
      <c r="F135" s="2" t="s">
        <v>33</v>
      </c>
      <c r="H135" s="3">
        <v>45776</v>
      </c>
      <c r="I135" s="12">
        <v>20</v>
      </c>
      <c r="J135" s="3">
        <f t="shared" si="6"/>
        <v>45796</v>
      </c>
      <c r="K135" s="3">
        <v>45866</v>
      </c>
      <c r="L135">
        <f t="shared" ca="1" si="7"/>
        <v>90</v>
      </c>
      <c r="M135" s="11">
        <f t="shared" ca="1" si="8"/>
        <v>70</v>
      </c>
      <c r="N135" s="12" t="str" cm="1">
        <f t="array" ref="N135">_xlfn.IFS(
AND(NOT(ISBLANK(H135)),ISBLANK(K135)),"SUR",
AND(NOT(ISBLANK(H135)),NOT(ISBLANK(K135)),$P135="YES"),"RTR",
AND(NOT(ISBLANK(H135)),NOT(ISBLANK(K135)),$P135="NO"),"NTS",
TRUE,"TO Check"
)</f>
        <v>RTR</v>
      </c>
      <c r="O135" s="2" t="s">
        <v>37</v>
      </c>
      <c r="P135" s="9" t="s">
        <v>38</v>
      </c>
    </row>
    <row r="136" spans="1:16" x14ac:dyDescent="0.35">
      <c r="A136" s="2">
        <v>135</v>
      </c>
      <c r="B136" s="22">
        <v>1259</v>
      </c>
      <c r="E136" t="s">
        <v>170</v>
      </c>
      <c r="F136" s="2" t="s">
        <v>33</v>
      </c>
      <c r="H136" s="3">
        <v>45776</v>
      </c>
      <c r="I136" s="12">
        <v>20</v>
      </c>
      <c r="J136" s="3">
        <f t="shared" si="6"/>
        <v>45796</v>
      </c>
      <c r="K136" s="3">
        <v>45866</v>
      </c>
      <c r="L136">
        <f t="shared" ca="1" si="7"/>
        <v>90</v>
      </c>
      <c r="M136" s="11">
        <f t="shared" ca="1" si="8"/>
        <v>70</v>
      </c>
      <c r="N136" s="12" t="str" cm="1">
        <f t="array" ref="N136">_xlfn.IFS(
AND(NOT(ISBLANK(H136)),ISBLANK(K136)),"SUR",
AND(NOT(ISBLANK(H136)),NOT(ISBLANK(K136)),$P136="YES"),"RTR",
AND(NOT(ISBLANK(H136)),NOT(ISBLANK(K136)),$P136="NO"),"NTS",
TRUE,"TO Check"
)</f>
        <v>RTR</v>
      </c>
      <c r="O136" s="2" t="s">
        <v>37</v>
      </c>
      <c r="P136" s="9" t="s">
        <v>38</v>
      </c>
    </row>
    <row r="137" spans="1:16" x14ac:dyDescent="0.35">
      <c r="A137" s="2">
        <v>136</v>
      </c>
      <c r="B137" s="22">
        <v>1259</v>
      </c>
      <c r="E137" t="s">
        <v>171</v>
      </c>
      <c r="F137" s="2" t="s">
        <v>33</v>
      </c>
      <c r="H137" s="3">
        <v>45776</v>
      </c>
      <c r="I137" s="12">
        <v>20</v>
      </c>
      <c r="J137" s="3">
        <f t="shared" si="6"/>
        <v>45796</v>
      </c>
      <c r="K137" s="3">
        <v>45866</v>
      </c>
      <c r="L137">
        <f t="shared" ca="1" si="7"/>
        <v>90</v>
      </c>
      <c r="M137" s="11">
        <f t="shared" ca="1" si="8"/>
        <v>70</v>
      </c>
      <c r="N137" s="12" t="str" cm="1">
        <f t="array" ref="N137">_xlfn.IFS(
AND(NOT(ISBLANK(H137)),ISBLANK(K137)),"SUR",
AND(NOT(ISBLANK(H137)),NOT(ISBLANK(K137)),$P137="YES"),"RTR",
AND(NOT(ISBLANK(H137)),NOT(ISBLANK(K137)),$P137="NO"),"NTS",
TRUE,"TO Check"
)</f>
        <v>RTR</v>
      </c>
      <c r="O137" s="2" t="s">
        <v>37</v>
      </c>
      <c r="P137" s="9" t="s">
        <v>38</v>
      </c>
    </row>
    <row r="138" spans="1:16" x14ac:dyDescent="0.35">
      <c r="A138" s="2">
        <v>137</v>
      </c>
      <c r="B138" s="22">
        <v>1259</v>
      </c>
      <c r="E138" t="s">
        <v>172</v>
      </c>
      <c r="F138" s="2" t="s">
        <v>33</v>
      </c>
      <c r="H138" s="3">
        <v>45776</v>
      </c>
      <c r="I138" s="12">
        <v>20</v>
      </c>
      <c r="J138" s="3">
        <f t="shared" si="6"/>
        <v>45796</v>
      </c>
      <c r="K138" s="3">
        <v>45866</v>
      </c>
      <c r="L138">
        <f t="shared" ca="1" si="7"/>
        <v>90</v>
      </c>
      <c r="M138" s="11">
        <f t="shared" ca="1" si="8"/>
        <v>70</v>
      </c>
      <c r="N138" s="12" t="str" cm="1">
        <f t="array" ref="N138">_xlfn.IFS(
AND(NOT(ISBLANK(H138)),ISBLANK(K138)),"SUR",
AND(NOT(ISBLANK(H138)),NOT(ISBLANK(K138)),$P138="YES"),"RTR",
AND(NOT(ISBLANK(H138)),NOT(ISBLANK(K138)),$P138="NO"),"NTS",
TRUE,"TO Check"
)</f>
        <v>RTR</v>
      </c>
      <c r="O138" s="2" t="s">
        <v>37</v>
      </c>
      <c r="P138" s="9" t="s">
        <v>38</v>
      </c>
    </row>
    <row r="139" spans="1:16" x14ac:dyDescent="0.35">
      <c r="A139" s="2">
        <v>138</v>
      </c>
      <c r="B139" s="22">
        <v>1259</v>
      </c>
      <c r="E139" t="s">
        <v>173</v>
      </c>
      <c r="F139" s="2" t="s">
        <v>33</v>
      </c>
      <c r="H139" s="3">
        <v>45776</v>
      </c>
      <c r="I139" s="12">
        <v>20</v>
      </c>
      <c r="J139" s="3">
        <f t="shared" si="6"/>
        <v>45796</v>
      </c>
      <c r="K139" s="3">
        <v>45866</v>
      </c>
      <c r="L139">
        <f t="shared" ca="1" si="7"/>
        <v>90</v>
      </c>
      <c r="M139" s="11">
        <f t="shared" ca="1" si="8"/>
        <v>70</v>
      </c>
      <c r="N139" s="12" t="str" cm="1">
        <f t="array" ref="N139">_xlfn.IFS(
AND(NOT(ISBLANK(H139)),ISBLANK(K139)),"SUR",
AND(NOT(ISBLANK(H139)),NOT(ISBLANK(K139)),$P139="YES"),"RTR",
AND(NOT(ISBLANK(H139)),NOT(ISBLANK(K139)),$P139="NO"),"NTS",
TRUE,"TO Check"
)</f>
        <v>RTR</v>
      </c>
      <c r="O139" s="2" t="s">
        <v>37</v>
      </c>
      <c r="P139" s="9" t="s">
        <v>38</v>
      </c>
    </row>
    <row r="140" spans="1:16" x14ac:dyDescent="0.35">
      <c r="A140" s="2">
        <v>139</v>
      </c>
      <c r="B140" s="22">
        <v>1649</v>
      </c>
      <c r="E140" t="s">
        <v>174</v>
      </c>
      <c r="F140" s="2" t="s">
        <v>33</v>
      </c>
      <c r="H140" s="3">
        <v>45904</v>
      </c>
      <c r="I140" s="12">
        <v>20</v>
      </c>
      <c r="J140" s="3">
        <f t="shared" si="6"/>
        <v>45924</v>
      </c>
      <c r="K140" s="3">
        <v>45994</v>
      </c>
      <c r="L140">
        <f t="shared" ca="1" si="7"/>
        <v>90</v>
      </c>
      <c r="M140" s="11">
        <f t="shared" ca="1" si="8"/>
        <v>70</v>
      </c>
      <c r="N140" s="12" t="str" cm="1">
        <f t="array" ref="N140">_xlfn.IFS(
AND(NOT(ISBLANK(H140)),ISBLANK(K140)),"SUR",
AND(NOT(ISBLANK(H140)),NOT(ISBLANK(K140)),$P140="YES"),"RTR",
AND(NOT(ISBLANK(H140)),NOT(ISBLANK(K140)),$P140="NO"),"NTS",
TRUE,"TO Check"
)</f>
        <v>RTR</v>
      </c>
      <c r="O140" s="2" t="s">
        <v>88</v>
      </c>
      <c r="P140" s="9" t="s">
        <v>38</v>
      </c>
    </row>
    <row r="141" spans="1:16" x14ac:dyDescent="0.35">
      <c r="A141" s="2">
        <v>140</v>
      </c>
      <c r="B141" s="22">
        <v>1080</v>
      </c>
      <c r="E141" t="s">
        <v>175</v>
      </c>
      <c r="F141" s="2" t="s">
        <v>33</v>
      </c>
      <c r="H141" s="3">
        <v>45716</v>
      </c>
      <c r="I141" s="12">
        <v>20</v>
      </c>
      <c r="J141" s="3">
        <f t="shared" si="6"/>
        <v>45736</v>
      </c>
      <c r="K141" s="3">
        <v>45806</v>
      </c>
      <c r="L141">
        <f t="shared" ca="1" si="7"/>
        <v>90</v>
      </c>
      <c r="M141" s="11">
        <f t="shared" ca="1" si="8"/>
        <v>70</v>
      </c>
      <c r="N141" s="12" t="str" cm="1">
        <f t="array" ref="N141">_xlfn.IFS(
AND(NOT(ISBLANK(H141)),ISBLANK(K141)),"SUR",
AND(NOT(ISBLANK(H141)),NOT(ISBLANK(K141)),$P141="YES"),"RTR",
AND(NOT(ISBLANK(H141)),NOT(ISBLANK(K141)),$P141="NO"),"NTS",
TRUE,"TO Check"
)</f>
        <v>RTR</v>
      </c>
      <c r="O141" s="2" t="s">
        <v>34</v>
      </c>
      <c r="P141" s="9" t="s">
        <v>38</v>
      </c>
    </row>
    <row r="142" spans="1:16" x14ac:dyDescent="0.35">
      <c r="A142" s="2">
        <v>141</v>
      </c>
      <c r="B142" s="22">
        <v>1820</v>
      </c>
      <c r="E142" t="s">
        <v>176</v>
      </c>
      <c r="F142" s="2" t="s">
        <v>33</v>
      </c>
      <c r="H142" s="3">
        <v>45966</v>
      </c>
      <c r="I142" s="12">
        <v>20</v>
      </c>
      <c r="J142" s="3">
        <f t="shared" si="6"/>
        <v>45986</v>
      </c>
      <c r="K142" s="3">
        <v>46056</v>
      </c>
      <c r="L142">
        <f t="shared" ca="1" si="7"/>
        <v>90</v>
      </c>
      <c r="M142" s="11">
        <f t="shared" ca="1" si="8"/>
        <v>70</v>
      </c>
      <c r="N142" s="12" t="str" cm="1">
        <f t="array" ref="N142">_xlfn.IFS(
AND(NOT(ISBLANK(H142)),ISBLANK(K142)),"SUR",
AND(NOT(ISBLANK(H142)),NOT(ISBLANK(K142)),$P142="YES"),"RTR",
AND(NOT(ISBLANK(H142)),NOT(ISBLANK(K142)),$P142="NO"),"NTS",
TRUE,"TO Check"
)</f>
        <v>RTR</v>
      </c>
      <c r="O142" s="2" t="s">
        <v>37</v>
      </c>
      <c r="P142" s="9" t="s">
        <v>38</v>
      </c>
    </row>
    <row r="143" spans="1:16" x14ac:dyDescent="0.35">
      <c r="A143" s="2">
        <v>142</v>
      </c>
      <c r="B143" s="22">
        <v>1135</v>
      </c>
      <c r="E143" t="s">
        <v>177</v>
      </c>
      <c r="F143" s="2" t="s">
        <v>33</v>
      </c>
      <c r="H143" s="3">
        <v>45736</v>
      </c>
      <c r="I143" s="12">
        <v>20</v>
      </c>
      <c r="J143" s="3">
        <f t="shared" si="6"/>
        <v>45756</v>
      </c>
      <c r="K143" s="3">
        <v>45826</v>
      </c>
      <c r="L143">
        <f t="shared" ca="1" si="7"/>
        <v>90</v>
      </c>
      <c r="M143" s="11">
        <f t="shared" ca="1" si="8"/>
        <v>70</v>
      </c>
      <c r="N143" s="12" t="str" cm="1">
        <f t="array" ref="N143">_xlfn.IFS(
AND(NOT(ISBLANK(H143)),ISBLANK(K143)),"SUR",
AND(NOT(ISBLANK(H143)),NOT(ISBLANK(K143)),$P143="YES"),"RTR",
AND(NOT(ISBLANK(H143)),NOT(ISBLANK(K143)),$P143="NO"),"NTS",
TRUE,"TO Check"
)</f>
        <v>RTR</v>
      </c>
      <c r="O143" s="2" t="s">
        <v>37</v>
      </c>
      <c r="P143" s="9" t="s">
        <v>38</v>
      </c>
    </row>
    <row r="144" spans="1:16" x14ac:dyDescent="0.35">
      <c r="A144" s="2">
        <v>143</v>
      </c>
      <c r="B144" s="22">
        <v>1713</v>
      </c>
      <c r="E144" t="s">
        <v>178</v>
      </c>
      <c r="F144" s="2" t="s">
        <v>33</v>
      </c>
      <c r="H144" s="3">
        <v>45930</v>
      </c>
      <c r="I144" s="12">
        <v>20</v>
      </c>
      <c r="J144" s="3">
        <f t="shared" si="6"/>
        <v>45950</v>
      </c>
      <c r="K144" s="3">
        <v>46020</v>
      </c>
      <c r="L144">
        <f t="shared" ca="1" si="7"/>
        <v>90</v>
      </c>
      <c r="M144" s="11">
        <f t="shared" ca="1" si="8"/>
        <v>70</v>
      </c>
      <c r="N144" s="12" t="str" cm="1">
        <f t="array" ref="N144">_xlfn.IFS(
AND(NOT(ISBLANK(H144)),ISBLANK(K144)),"SUR",
AND(NOT(ISBLANK(H144)),NOT(ISBLANK(K144)),$P144="YES"),"RTR",
AND(NOT(ISBLANK(H144)),NOT(ISBLANK(K144)),$P144="NO"),"NTS",
TRUE,"TO Check"
)</f>
        <v>RTR</v>
      </c>
      <c r="O144" s="2" t="s">
        <v>37</v>
      </c>
      <c r="P144" s="9" t="s">
        <v>38</v>
      </c>
    </row>
    <row r="145" spans="1:16" x14ac:dyDescent="0.35">
      <c r="A145" s="2">
        <v>144</v>
      </c>
      <c r="B145" s="22">
        <v>1578</v>
      </c>
      <c r="E145" t="s">
        <v>179</v>
      </c>
      <c r="F145" s="2" t="s">
        <v>33</v>
      </c>
      <c r="H145" s="3">
        <v>45881</v>
      </c>
      <c r="I145" s="12">
        <v>20</v>
      </c>
      <c r="J145" s="3">
        <f t="shared" si="6"/>
        <v>45901</v>
      </c>
      <c r="K145" s="3">
        <v>45971</v>
      </c>
      <c r="L145">
        <f t="shared" ca="1" si="7"/>
        <v>90</v>
      </c>
      <c r="M145" s="11">
        <f t="shared" ca="1" si="8"/>
        <v>70</v>
      </c>
      <c r="N145" s="12" t="str" cm="1">
        <f t="array" ref="N145">_xlfn.IFS(
AND(NOT(ISBLANK(H145)),ISBLANK(K145)),"SUR",
AND(NOT(ISBLANK(H145)),NOT(ISBLANK(K145)),$P145="YES"),"RTR",
AND(NOT(ISBLANK(H145)),NOT(ISBLANK(K145)),$P145="NO"),"NTS",
TRUE,"TO Check"
)</f>
        <v>RTR</v>
      </c>
      <c r="O145" s="2" t="s">
        <v>37</v>
      </c>
      <c r="P145" s="9" t="s">
        <v>38</v>
      </c>
    </row>
    <row r="146" spans="1:16" x14ac:dyDescent="0.35">
      <c r="A146" s="2">
        <v>145</v>
      </c>
      <c r="B146" s="22">
        <v>553</v>
      </c>
      <c r="E146" t="s">
        <v>180</v>
      </c>
      <c r="F146" s="2" t="s">
        <v>33</v>
      </c>
      <c r="H146" s="3">
        <v>45891</v>
      </c>
      <c r="I146" s="12">
        <v>20</v>
      </c>
      <c r="J146" s="3">
        <f t="shared" si="6"/>
        <v>45911</v>
      </c>
      <c r="K146" s="3">
        <v>45981</v>
      </c>
      <c r="L146">
        <f t="shared" ca="1" si="7"/>
        <v>90</v>
      </c>
      <c r="M146" s="11">
        <f t="shared" ca="1" si="8"/>
        <v>70</v>
      </c>
      <c r="N146" s="12" t="str" cm="1">
        <f t="array" ref="N146">_xlfn.IFS(
AND(NOT(ISBLANK(H146)),ISBLANK(K146)),"SUR",
AND(NOT(ISBLANK(H146)),NOT(ISBLANK(K146)),$P146="YES"),"RTR",
AND(NOT(ISBLANK(H146)),NOT(ISBLANK(K146)),$P146="NO"),"NTS",
TRUE,"TO Check"
)</f>
        <v>RTR</v>
      </c>
      <c r="O146" s="2" t="s">
        <v>37</v>
      </c>
      <c r="P146" s="9" t="s">
        <v>38</v>
      </c>
    </row>
    <row r="147" spans="1:16" x14ac:dyDescent="0.35">
      <c r="A147" s="2">
        <v>146</v>
      </c>
      <c r="B147" s="22">
        <v>28</v>
      </c>
      <c r="E147" t="s">
        <v>50</v>
      </c>
      <c r="F147" s="2" t="s">
        <v>33</v>
      </c>
      <c r="H147" s="3">
        <v>45091</v>
      </c>
      <c r="I147" s="12">
        <v>20</v>
      </c>
      <c r="J147" s="3">
        <f t="shared" si="6"/>
        <v>45111</v>
      </c>
      <c r="K147" s="3">
        <v>45181</v>
      </c>
      <c r="L147">
        <f t="shared" ca="1" si="7"/>
        <v>90</v>
      </c>
      <c r="M147" s="11">
        <f t="shared" ca="1" si="8"/>
        <v>70</v>
      </c>
      <c r="N147" s="12" t="str" cm="1">
        <f t="array" ref="N147">_xlfn.IFS(
AND(NOT(ISBLANK(H147)),ISBLANK(K147)),"SUR",
AND(NOT(ISBLANK(H147)),NOT(ISBLANK(K147)),$P147="YES"),"RTR",
AND(NOT(ISBLANK(H147)),NOT(ISBLANK(K147)),$P147="NO"),"NTS",
TRUE,"TO Check"
)</f>
        <v>RTR</v>
      </c>
      <c r="O147" s="2" t="s">
        <v>37</v>
      </c>
      <c r="P147" s="9" t="s">
        <v>38</v>
      </c>
    </row>
    <row r="148" spans="1:16" x14ac:dyDescent="0.35">
      <c r="A148" s="2">
        <v>147</v>
      </c>
      <c r="B148" s="22">
        <v>499</v>
      </c>
      <c r="E148" t="s">
        <v>181</v>
      </c>
      <c r="F148" s="2" t="s">
        <v>33</v>
      </c>
      <c r="H148" s="3">
        <v>45442</v>
      </c>
      <c r="I148" s="12">
        <v>20</v>
      </c>
      <c r="J148" s="3">
        <f t="shared" si="6"/>
        <v>45462</v>
      </c>
      <c r="K148" s="3">
        <v>45532</v>
      </c>
      <c r="L148">
        <f t="shared" ca="1" si="7"/>
        <v>90</v>
      </c>
      <c r="M148" s="11">
        <f t="shared" ca="1" si="8"/>
        <v>70</v>
      </c>
      <c r="N148" s="12" t="str" cm="1">
        <f t="array" ref="N148">_xlfn.IFS(
AND(NOT(ISBLANK(H148)),ISBLANK(K148)),"SUR",
AND(NOT(ISBLANK(H148)),NOT(ISBLANK(K148)),$P148="YES"),"RTR",
AND(NOT(ISBLANK(H148)),NOT(ISBLANK(K148)),$P148="NO"),"NTS",
TRUE,"TO Check"
)</f>
        <v>RTR</v>
      </c>
      <c r="O148" s="2" t="s">
        <v>37</v>
      </c>
      <c r="P148" s="9" t="s">
        <v>38</v>
      </c>
    </row>
    <row r="149" spans="1:16" x14ac:dyDescent="0.35">
      <c r="A149" s="2">
        <v>148</v>
      </c>
      <c r="B149" s="22">
        <v>1081</v>
      </c>
      <c r="E149" t="s">
        <v>182</v>
      </c>
      <c r="F149" s="2" t="s">
        <v>33</v>
      </c>
      <c r="H149" s="3">
        <v>45719</v>
      </c>
      <c r="I149" s="12">
        <v>20</v>
      </c>
      <c r="J149" s="3">
        <f t="shared" si="6"/>
        <v>45739</v>
      </c>
      <c r="K149" s="3">
        <v>45809</v>
      </c>
      <c r="L149">
        <f t="shared" ca="1" si="7"/>
        <v>90</v>
      </c>
      <c r="M149" s="11">
        <f t="shared" ca="1" si="8"/>
        <v>70</v>
      </c>
      <c r="N149" s="12" t="str" cm="1">
        <f t="array" ref="N149">_xlfn.IFS(
AND(NOT(ISBLANK(H149)),ISBLANK(K149)),"SUR",
AND(NOT(ISBLANK(H149)),NOT(ISBLANK(K149)),$P149="YES"),"RTR",
AND(NOT(ISBLANK(H149)),NOT(ISBLANK(K149)),$P149="NO"),"NTS",
TRUE,"TO Check"
)</f>
        <v>RTR</v>
      </c>
      <c r="O149" s="2" t="s">
        <v>37</v>
      </c>
      <c r="P149" s="9" t="s">
        <v>38</v>
      </c>
    </row>
    <row r="150" spans="1:16" x14ac:dyDescent="0.35">
      <c r="A150" s="2">
        <v>149</v>
      </c>
      <c r="B150" s="22">
        <v>1274</v>
      </c>
      <c r="E150" t="s">
        <v>183</v>
      </c>
      <c r="F150" s="2" t="s">
        <v>33</v>
      </c>
      <c r="H150" s="3">
        <v>45787</v>
      </c>
      <c r="I150" s="12">
        <v>20</v>
      </c>
      <c r="J150" s="3">
        <f t="shared" si="6"/>
        <v>45807</v>
      </c>
      <c r="K150" s="3">
        <v>45877</v>
      </c>
      <c r="L150">
        <f t="shared" ca="1" si="7"/>
        <v>90</v>
      </c>
      <c r="M150" s="11">
        <f t="shared" ca="1" si="8"/>
        <v>70</v>
      </c>
      <c r="N150" s="12" t="str" cm="1">
        <f t="array" ref="N150">_xlfn.IFS(
AND(NOT(ISBLANK(H150)),ISBLANK(K150)),"SUR",
AND(NOT(ISBLANK(H150)),NOT(ISBLANK(K150)),$P150="YES"),"RTR",
AND(NOT(ISBLANK(H150)),NOT(ISBLANK(K150)),$P150="NO"),"NTS",
TRUE,"TO Check"
)</f>
        <v>RTR</v>
      </c>
      <c r="O150" s="2" t="s">
        <v>37</v>
      </c>
      <c r="P150" s="9" t="s">
        <v>38</v>
      </c>
    </row>
    <row r="151" spans="1:16" x14ac:dyDescent="0.35">
      <c r="A151" s="2">
        <v>150</v>
      </c>
      <c r="B151" s="22">
        <v>278</v>
      </c>
      <c r="E151" t="s">
        <v>51</v>
      </c>
      <c r="F151" s="2" t="s">
        <v>33</v>
      </c>
      <c r="H151" s="3">
        <v>45308</v>
      </c>
      <c r="I151" s="12">
        <v>20</v>
      </c>
      <c r="J151" s="3">
        <f t="shared" si="6"/>
        <v>45328</v>
      </c>
      <c r="K151" s="3">
        <v>45398</v>
      </c>
      <c r="L151">
        <f t="shared" ca="1" si="7"/>
        <v>90</v>
      </c>
      <c r="M151" s="11">
        <f t="shared" ca="1" si="8"/>
        <v>70</v>
      </c>
      <c r="N151" s="12" t="str" cm="1">
        <f t="array" ref="N151">_xlfn.IFS(
AND(NOT(ISBLANK(H151)),ISBLANK(K151)),"SUR",
AND(NOT(ISBLANK(H151)),NOT(ISBLANK(K151)),$P151="YES"),"RTR",
AND(NOT(ISBLANK(H151)),NOT(ISBLANK(K151)),$P151="NO"),"NTS",
TRUE,"TO Check"
)</f>
        <v>RTR</v>
      </c>
      <c r="O151" s="2" t="s">
        <v>37</v>
      </c>
      <c r="P151" s="9" t="s">
        <v>38</v>
      </c>
    </row>
    <row r="152" spans="1:16" x14ac:dyDescent="0.35">
      <c r="A152" s="2">
        <v>151</v>
      </c>
      <c r="B152" s="22">
        <v>405</v>
      </c>
      <c r="E152" t="s">
        <v>52</v>
      </c>
      <c r="F152" s="2" t="s">
        <v>33</v>
      </c>
      <c r="H152" s="3">
        <v>45379</v>
      </c>
      <c r="I152" s="12">
        <v>20</v>
      </c>
      <c r="J152" s="3">
        <f t="shared" si="6"/>
        <v>45399</v>
      </c>
      <c r="K152" s="3">
        <v>45469</v>
      </c>
      <c r="L152">
        <f t="shared" ca="1" si="7"/>
        <v>90</v>
      </c>
      <c r="M152" s="11">
        <f t="shared" ca="1" si="8"/>
        <v>70</v>
      </c>
      <c r="N152" s="12" t="str" cm="1">
        <f t="array" ref="N152">_xlfn.IFS(
AND(NOT(ISBLANK(H152)),ISBLANK(K152)),"SUR",
AND(NOT(ISBLANK(H152)),NOT(ISBLANK(K152)),$P152="YES"),"RTR",
AND(NOT(ISBLANK(H152)),NOT(ISBLANK(K152)),$P152="NO"),"NTS",
TRUE,"TO Check"
)</f>
        <v>RTR</v>
      </c>
      <c r="O152" s="2" t="s">
        <v>37</v>
      </c>
      <c r="P152" s="9" t="s">
        <v>38</v>
      </c>
    </row>
    <row r="153" spans="1:16" x14ac:dyDescent="0.35">
      <c r="A153" s="2">
        <v>152</v>
      </c>
      <c r="B153" s="22">
        <v>140</v>
      </c>
      <c r="E153" t="s">
        <v>55</v>
      </c>
      <c r="F153" s="2" t="s">
        <v>33</v>
      </c>
      <c r="H153" s="3">
        <v>45224</v>
      </c>
      <c r="I153" s="12">
        <v>20</v>
      </c>
      <c r="J153" s="3">
        <f t="shared" si="6"/>
        <v>45244</v>
      </c>
      <c r="K153" s="3">
        <v>45314</v>
      </c>
      <c r="L153">
        <f t="shared" ca="1" si="7"/>
        <v>90</v>
      </c>
      <c r="M153" s="11">
        <f t="shared" ca="1" si="8"/>
        <v>70</v>
      </c>
      <c r="N153" s="12" t="str" cm="1">
        <f t="array" ref="N153">_xlfn.IFS(
AND(NOT(ISBLANK(H153)),ISBLANK(K153)),"SUR",
AND(NOT(ISBLANK(H153)),NOT(ISBLANK(K153)),$P153="YES"),"RTR",
AND(NOT(ISBLANK(H153)),NOT(ISBLANK(K153)),$P153="NO"),"NTS",
TRUE,"TO Check"
)</f>
        <v>RTR</v>
      </c>
      <c r="O153" s="2" t="s">
        <v>34</v>
      </c>
      <c r="P153" s="9" t="s">
        <v>38</v>
      </c>
    </row>
    <row r="154" spans="1:16" x14ac:dyDescent="0.35">
      <c r="A154" s="2">
        <v>153</v>
      </c>
      <c r="B154" s="22">
        <v>678</v>
      </c>
      <c r="E154" t="s">
        <v>53</v>
      </c>
      <c r="F154" s="2" t="s">
        <v>33</v>
      </c>
      <c r="H154" s="3">
        <v>45530</v>
      </c>
      <c r="I154" s="12">
        <v>20</v>
      </c>
      <c r="J154" s="3">
        <f t="shared" si="6"/>
        <v>45550</v>
      </c>
      <c r="K154" s="3">
        <v>45620</v>
      </c>
      <c r="L154">
        <f t="shared" ca="1" si="7"/>
        <v>90</v>
      </c>
      <c r="M154" s="11">
        <f t="shared" ca="1" si="8"/>
        <v>70</v>
      </c>
      <c r="N154" s="12" t="str" cm="1">
        <f t="array" ref="N154">_xlfn.IFS(
AND(NOT(ISBLANK(H154)),ISBLANK(K154)),"SUR",
AND(NOT(ISBLANK(H154)),NOT(ISBLANK(K154)),$P154="YES"),"RTR",
AND(NOT(ISBLANK(H154)),NOT(ISBLANK(K154)),$P154="NO"),"NTS",
TRUE,"TO Check"
)</f>
        <v>RTR</v>
      </c>
      <c r="O154" s="2" t="s">
        <v>37</v>
      </c>
      <c r="P154" s="9" t="s">
        <v>38</v>
      </c>
    </row>
    <row r="155" spans="1:16" x14ac:dyDescent="0.35">
      <c r="A155" s="2">
        <v>154</v>
      </c>
      <c r="B155" s="22">
        <v>687</v>
      </c>
      <c r="E155" t="s">
        <v>54</v>
      </c>
      <c r="F155" s="2" t="s">
        <v>33</v>
      </c>
      <c r="H155" s="3">
        <v>45533</v>
      </c>
      <c r="I155" s="12">
        <v>20</v>
      </c>
      <c r="J155" s="3">
        <f t="shared" si="6"/>
        <v>45553</v>
      </c>
      <c r="K155" s="3">
        <v>45623</v>
      </c>
      <c r="L155">
        <f t="shared" ca="1" si="7"/>
        <v>90</v>
      </c>
      <c r="M155" s="11">
        <f t="shared" ca="1" si="8"/>
        <v>70</v>
      </c>
      <c r="N155" s="12" t="str" cm="1">
        <f t="array" ref="N155">_xlfn.IFS(
AND(NOT(ISBLANK(H155)),ISBLANK(K155)),"SUR",
AND(NOT(ISBLANK(H155)),NOT(ISBLANK(K155)),$P155="YES"),"RTR",
AND(NOT(ISBLANK(H155)),NOT(ISBLANK(K155)),$P155="NO"),"NTS",
TRUE,"TO Check"
)</f>
        <v>RTR</v>
      </c>
      <c r="O155" s="2" t="s">
        <v>37</v>
      </c>
      <c r="P155" s="9" t="s">
        <v>38</v>
      </c>
    </row>
    <row r="156" spans="1:16" x14ac:dyDescent="0.35">
      <c r="A156" s="2">
        <v>155</v>
      </c>
      <c r="B156" s="22">
        <v>142</v>
      </c>
      <c r="E156" t="s">
        <v>57</v>
      </c>
      <c r="F156" s="2" t="s">
        <v>33</v>
      </c>
      <c r="H156" s="3">
        <v>45224</v>
      </c>
      <c r="I156" s="12">
        <v>20</v>
      </c>
      <c r="J156" s="3">
        <f t="shared" si="6"/>
        <v>45244</v>
      </c>
      <c r="K156" s="3">
        <v>45314</v>
      </c>
      <c r="L156">
        <f t="shared" ca="1" si="7"/>
        <v>90</v>
      </c>
      <c r="M156" s="11">
        <f t="shared" ca="1" si="8"/>
        <v>70</v>
      </c>
      <c r="N156" s="12" t="str" cm="1">
        <f t="array" ref="N156">_xlfn.IFS(
AND(NOT(ISBLANK(H156)),ISBLANK(K156)),"SUR",
AND(NOT(ISBLANK(H156)),NOT(ISBLANK(K156)),$P156="YES"),"RTR",
AND(NOT(ISBLANK(H156)),NOT(ISBLANK(K156)),$P156="NO"),"NTS",
TRUE,"TO Check"
)</f>
        <v>RTR</v>
      </c>
      <c r="O156" s="2" t="s">
        <v>37</v>
      </c>
      <c r="P156" s="9" t="s">
        <v>38</v>
      </c>
    </row>
    <row r="157" spans="1:16" x14ac:dyDescent="0.35">
      <c r="A157" s="2">
        <v>156</v>
      </c>
      <c r="B157" s="22">
        <v>224</v>
      </c>
      <c r="E157" t="s">
        <v>60</v>
      </c>
      <c r="F157" s="2" t="s">
        <v>33</v>
      </c>
      <c r="H157" s="3">
        <v>45261</v>
      </c>
      <c r="I157" s="12">
        <v>20</v>
      </c>
      <c r="J157" s="3">
        <f t="shared" si="6"/>
        <v>45281</v>
      </c>
      <c r="K157" s="3">
        <v>45351</v>
      </c>
      <c r="L157">
        <f t="shared" ca="1" si="7"/>
        <v>90</v>
      </c>
      <c r="M157" s="11">
        <f t="shared" ca="1" si="8"/>
        <v>70</v>
      </c>
      <c r="N157" s="12" t="str" cm="1">
        <f t="array" ref="N157">_xlfn.IFS(
AND(NOT(ISBLANK(H157)),ISBLANK(K157)),"SUR",
AND(NOT(ISBLANK(H157)),NOT(ISBLANK(K157)),$P157="YES"),"RTR",
AND(NOT(ISBLANK(H157)),NOT(ISBLANK(K157)),$P157="NO"),"NTS",
TRUE,"TO Check"
)</f>
        <v>RTR</v>
      </c>
      <c r="O157" s="2" t="s">
        <v>37</v>
      </c>
      <c r="P157" s="9" t="s">
        <v>38</v>
      </c>
    </row>
    <row r="158" spans="1:16" x14ac:dyDescent="0.35">
      <c r="A158" s="2">
        <v>157</v>
      </c>
      <c r="B158" s="22">
        <v>141</v>
      </c>
      <c r="E158" t="s">
        <v>56</v>
      </c>
      <c r="F158" s="2" t="s">
        <v>33</v>
      </c>
      <c r="H158" s="3">
        <v>45224</v>
      </c>
      <c r="I158" s="12">
        <v>20</v>
      </c>
      <c r="J158" s="3">
        <f t="shared" si="6"/>
        <v>45244</v>
      </c>
      <c r="K158" s="3">
        <v>45314</v>
      </c>
      <c r="L158">
        <f t="shared" ca="1" si="7"/>
        <v>90</v>
      </c>
      <c r="M158" s="11">
        <f t="shared" ca="1" si="8"/>
        <v>70</v>
      </c>
      <c r="N158" s="12" t="str" cm="1">
        <f t="array" ref="N158">_xlfn.IFS(
AND(NOT(ISBLANK(H158)),ISBLANK(K158)),"SUR",
AND(NOT(ISBLANK(H158)),NOT(ISBLANK(K158)),$P158="YES"),"RTR",
AND(NOT(ISBLANK(H158)),NOT(ISBLANK(K158)),$P158="NO"),"NTS",
TRUE,"TO Check"
)</f>
        <v>RTR</v>
      </c>
      <c r="O158" s="2" t="s">
        <v>37</v>
      </c>
      <c r="P158" s="9" t="s">
        <v>38</v>
      </c>
    </row>
    <row r="159" spans="1:16" x14ac:dyDescent="0.35">
      <c r="A159" s="2">
        <v>158</v>
      </c>
      <c r="B159" s="22">
        <v>172</v>
      </c>
      <c r="E159" t="s">
        <v>64</v>
      </c>
      <c r="F159" s="2" t="s">
        <v>33</v>
      </c>
      <c r="H159" s="3">
        <v>45238</v>
      </c>
      <c r="I159" s="12">
        <v>20</v>
      </c>
      <c r="J159" s="3">
        <f t="shared" si="6"/>
        <v>45258</v>
      </c>
      <c r="K159" s="3">
        <v>45328</v>
      </c>
      <c r="L159">
        <f t="shared" ca="1" si="7"/>
        <v>90</v>
      </c>
      <c r="M159" s="11">
        <f t="shared" ca="1" si="8"/>
        <v>70</v>
      </c>
      <c r="N159" s="12" t="str" cm="1">
        <f t="array" ref="N159">_xlfn.IFS(
AND(NOT(ISBLANK(H159)),ISBLANK(K159)),"SUR",
AND(NOT(ISBLANK(H159)),NOT(ISBLANK(K159)),$P159="YES"),"RTR",
AND(NOT(ISBLANK(H159)),NOT(ISBLANK(K159)),$P159="NO"),"NTS",
TRUE,"TO Check"
)</f>
        <v>RTR</v>
      </c>
      <c r="O159" s="2" t="s">
        <v>37</v>
      </c>
      <c r="P159" s="9" t="s">
        <v>38</v>
      </c>
    </row>
    <row r="160" spans="1:16" x14ac:dyDescent="0.35">
      <c r="A160" s="2">
        <v>159</v>
      </c>
      <c r="B160" s="22">
        <v>664</v>
      </c>
      <c r="E160" t="s">
        <v>70</v>
      </c>
      <c r="F160" s="2" t="s">
        <v>33</v>
      </c>
      <c r="H160" s="3">
        <v>45524</v>
      </c>
      <c r="I160" s="12">
        <v>20</v>
      </c>
      <c r="J160" s="3">
        <f t="shared" si="6"/>
        <v>45544</v>
      </c>
      <c r="K160" s="3">
        <v>45614</v>
      </c>
      <c r="L160">
        <f t="shared" ca="1" si="7"/>
        <v>90</v>
      </c>
      <c r="M160" s="11">
        <f t="shared" ca="1" si="8"/>
        <v>70</v>
      </c>
      <c r="N160" s="12" t="str" cm="1">
        <f t="array" ref="N160">_xlfn.IFS(
AND(NOT(ISBLANK(H160)),ISBLANK(K160)),"SUR",
AND(NOT(ISBLANK(H160)),NOT(ISBLANK(K160)),$P160="YES"),"RTR",
AND(NOT(ISBLANK(H160)),NOT(ISBLANK(K160)),$P160="NO"),"NTS",
TRUE,"TO Check"
)</f>
        <v>RTR</v>
      </c>
      <c r="O160" s="2" t="s">
        <v>34</v>
      </c>
      <c r="P160" s="9" t="s">
        <v>38</v>
      </c>
    </row>
    <row r="161" spans="1:16" x14ac:dyDescent="0.35">
      <c r="A161" s="2">
        <v>160</v>
      </c>
      <c r="B161" s="22">
        <v>990</v>
      </c>
      <c r="E161" t="s">
        <v>184</v>
      </c>
      <c r="F161" s="2" t="s">
        <v>33</v>
      </c>
      <c r="H161" s="3">
        <v>45677</v>
      </c>
      <c r="I161" s="12">
        <v>20</v>
      </c>
      <c r="J161" s="3">
        <f t="shared" si="6"/>
        <v>45697</v>
      </c>
      <c r="K161" s="3">
        <v>45767</v>
      </c>
      <c r="L161">
        <f t="shared" ca="1" si="7"/>
        <v>90</v>
      </c>
      <c r="M161" s="11">
        <f t="shared" ca="1" si="8"/>
        <v>70</v>
      </c>
      <c r="N161" s="12" t="str" cm="1">
        <f t="array" ref="N161">_xlfn.IFS(
AND(NOT(ISBLANK(H161)),ISBLANK(K161)),"SUR",
AND(NOT(ISBLANK(H161)),NOT(ISBLANK(K161)),$P161="YES"),"RTR",
AND(NOT(ISBLANK(H161)),NOT(ISBLANK(K161)),$P161="NO"),"NTS",
TRUE,"TO Check"
)</f>
        <v>RTR</v>
      </c>
      <c r="O161" s="2" t="s">
        <v>34</v>
      </c>
      <c r="P161" s="9" t="s">
        <v>38</v>
      </c>
    </row>
    <row r="162" spans="1:16" x14ac:dyDescent="0.35">
      <c r="A162" s="2">
        <v>161</v>
      </c>
      <c r="B162" s="22">
        <v>207</v>
      </c>
      <c r="E162" t="s">
        <v>65</v>
      </c>
      <c r="F162" s="2" t="s">
        <v>33</v>
      </c>
      <c r="H162" s="3">
        <v>45252</v>
      </c>
      <c r="I162" s="12">
        <v>20</v>
      </c>
      <c r="J162" s="3">
        <f t="shared" si="6"/>
        <v>45272</v>
      </c>
      <c r="K162" s="3">
        <v>45342</v>
      </c>
      <c r="L162">
        <f t="shared" ca="1" si="7"/>
        <v>90</v>
      </c>
      <c r="M162" s="11">
        <f t="shared" ca="1" si="8"/>
        <v>70</v>
      </c>
      <c r="N162" s="12" t="str" cm="1">
        <f t="array" ref="N162">_xlfn.IFS(
AND(NOT(ISBLANK(H162)),ISBLANK(K162)),"SUR",
AND(NOT(ISBLANK(H162)),NOT(ISBLANK(K162)),$P162="YES"),"RTR",
AND(NOT(ISBLANK(H162)),NOT(ISBLANK(K162)),$P162="NO"),"NTS",
TRUE,"TO Check"
)</f>
        <v>RTR</v>
      </c>
      <c r="O162" s="2" t="s">
        <v>185</v>
      </c>
      <c r="P162" s="9" t="s">
        <v>38</v>
      </c>
    </row>
    <row r="163" spans="1:16" x14ac:dyDescent="0.35">
      <c r="A163" s="2">
        <v>162</v>
      </c>
      <c r="B163" s="22">
        <v>591</v>
      </c>
      <c r="E163" t="s">
        <v>66</v>
      </c>
      <c r="F163" s="2" t="s">
        <v>33</v>
      </c>
      <c r="H163" s="3">
        <v>45501</v>
      </c>
      <c r="I163" s="12">
        <v>20</v>
      </c>
      <c r="J163" s="3">
        <f t="shared" si="6"/>
        <v>45521</v>
      </c>
      <c r="K163" s="3">
        <v>45591</v>
      </c>
      <c r="L163">
        <f t="shared" ca="1" si="7"/>
        <v>90</v>
      </c>
      <c r="M163" s="11">
        <f t="shared" ca="1" si="8"/>
        <v>70</v>
      </c>
      <c r="N163" s="12" t="str" cm="1">
        <f t="array" ref="N163">_xlfn.IFS(
AND(NOT(ISBLANK(H163)),ISBLANK(K163)),"SUR",
AND(NOT(ISBLANK(H163)),NOT(ISBLANK(K163)),$P163="YES"),"RTR",
AND(NOT(ISBLANK(H163)),NOT(ISBLANK(K163)),$P163="NO"),"NTS",
TRUE,"TO Check"
)</f>
        <v>RTR</v>
      </c>
      <c r="O163" s="2" t="s">
        <v>34</v>
      </c>
      <c r="P163" s="9" t="s">
        <v>38</v>
      </c>
    </row>
    <row r="164" spans="1:16" x14ac:dyDescent="0.35">
      <c r="A164" s="2">
        <v>163</v>
      </c>
      <c r="B164" s="22">
        <v>649</v>
      </c>
      <c r="E164" t="s">
        <v>67</v>
      </c>
      <c r="F164" s="2" t="s">
        <v>33</v>
      </c>
      <c r="H164" s="3">
        <v>45519</v>
      </c>
      <c r="I164" s="12">
        <v>20</v>
      </c>
      <c r="J164" s="3">
        <f t="shared" si="6"/>
        <v>45539</v>
      </c>
      <c r="K164" s="3">
        <v>45609</v>
      </c>
      <c r="L164">
        <f t="shared" ca="1" si="7"/>
        <v>90</v>
      </c>
      <c r="M164" s="11">
        <f t="shared" ca="1" si="8"/>
        <v>70</v>
      </c>
      <c r="N164" s="12" t="str" cm="1">
        <f t="array" ref="N164">_xlfn.IFS(
AND(NOT(ISBLANK(H164)),ISBLANK(K164)),"SUR",
AND(NOT(ISBLANK(H164)),NOT(ISBLANK(K164)),$P164="YES"),"RTR",
AND(NOT(ISBLANK(H164)),NOT(ISBLANK(K164)),$P164="NO"),"NTS",
TRUE,"TO Check"
)</f>
        <v>RTR</v>
      </c>
      <c r="O164" s="2" t="s">
        <v>37</v>
      </c>
      <c r="P164" s="9" t="s">
        <v>38</v>
      </c>
    </row>
    <row r="165" spans="1:16" x14ac:dyDescent="0.35">
      <c r="A165" s="2">
        <v>164</v>
      </c>
      <c r="B165" s="22">
        <v>597</v>
      </c>
      <c r="E165" t="s">
        <v>69</v>
      </c>
      <c r="F165" s="2" t="s">
        <v>33</v>
      </c>
      <c r="H165" s="3">
        <v>45503</v>
      </c>
      <c r="I165" s="12">
        <v>20</v>
      </c>
      <c r="J165" s="3">
        <f t="shared" si="6"/>
        <v>45523</v>
      </c>
      <c r="K165" s="3">
        <v>45593</v>
      </c>
      <c r="L165">
        <f t="shared" ca="1" si="7"/>
        <v>90</v>
      </c>
      <c r="M165" s="11">
        <f t="shared" ca="1" si="8"/>
        <v>70</v>
      </c>
      <c r="N165" s="12" t="str" cm="1">
        <f t="array" ref="N165">_xlfn.IFS(
AND(NOT(ISBLANK(H165)),ISBLANK(K165)),"SUR",
AND(NOT(ISBLANK(H165)),NOT(ISBLANK(K165)),$P165="YES"),"RTR",
AND(NOT(ISBLANK(H165)),NOT(ISBLANK(K165)),$P165="NO"),"NTS",
TRUE,"TO Check"
)</f>
        <v>RTR</v>
      </c>
      <c r="O165" s="2" t="s">
        <v>37</v>
      </c>
      <c r="P165" s="9" t="s">
        <v>38</v>
      </c>
    </row>
    <row r="166" spans="1:16" x14ac:dyDescent="0.35">
      <c r="A166" s="2">
        <v>165</v>
      </c>
      <c r="B166" s="22">
        <v>650</v>
      </c>
      <c r="E166" t="s">
        <v>71</v>
      </c>
      <c r="F166" s="2" t="s">
        <v>33</v>
      </c>
      <c r="H166" s="3">
        <v>45519</v>
      </c>
      <c r="I166" s="12">
        <v>20</v>
      </c>
      <c r="J166" s="3">
        <f t="shared" si="6"/>
        <v>45539</v>
      </c>
      <c r="K166" s="3">
        <v>45609</v>
      </c>
      <c r="L166">
        <f t="shared" ca="1" si="7"/>
        <v>90</v>
      </c>
      <c r="M166" s="11">
        <f t="shared" ca="1" si="8"/>
        <v>70</v>
      </c>
      <c r="N166" s="12" t="str" cm="1">
        <f t="array" ref="N166">_xlfn.IFS(
AND(NOT(ISBLANK(H166)),ISBLANK(K166)),"SUR",
AND(NOT(ISBLANK(H166)),NOT(ISBLANK(K166)),$P166="YES"),"RTR",
AND(NOT(ISBLANK(H166)),NOT(ISBLANK(K166)),$P166="NO"),"NTS",
TRUE,"TO Check"
)</f>
        <v>RTR</v>
      </c>
      <c r="O166" s="2" t="s">
        <v>37</v>
      </c>
      <c r="P166" s="9" t="s">
        <v>38</v>
      </c>
    </row>
    <row r="167" spans="1:16" x14ac:dyDescent="0.35">
      <c r="A167" s="2">
        <v>166</v>
      </c>
      <c r="B167" s="22">
        <v>662</v>
      </c>
      <c r="E167" t="s">
        <v>72</v>
      </c>
      <c r="F167" s="2" t="s">
        <v>33</v>
      </c>
      <c r="H167" s="3">
        <v>45524</v>
      </c>
      <c r="I167" s="12">
        <v>20</v>
      </c>
      <c r="J167" s="3">
        <f t="shared" si="6"/>
        <v>45544</v>
      </c>
      <c r="K167" s="3">
        <v>45614</v>
      </c>
      <c r="L167">
        <f t="shared" ca="1" si="7"/>
        <v>90</v>
      </c>
      <c r="M167" s="11">
        <f t="shared" ca="1" si="8"/>
        <v>70</v>
      </c>
      <c r="N167" s="12" t="str" cm="1">
        <f t="array" ref="N167">_xlfn.IFS(
AND(NOT(ISBLANK(H167)),ISBLANK(K167)),"SUR",
AND(NOT(ISBLANK(H167)),NOT(ISBLANK(K167)),$P167="YES"),"RTR",
AND(NOT(ISBLANK(H167)),NOT(ISBLANK(K167)),$P167="NO"),"NTS",
TRUE,"TO Check"
)</f>
        <v>RTR</v>
      </c>
      <c r="O167" s="2" t="s">
        <v>37</v>
      </c>
      <c r="P167" s="9" t="s">
        <v>38</v>
      </c>
    </row>
    <row r="168" spans="1:16" x14ac:dyDescent="0.35">
      <c r="A168" s="2">
        <v>167</v>
      </c>
      <c r="B168" s="22">
        <v>663</v>
      </c>
      <c r="E168" t="s">
        <v>73</v>
      </c>
      <c r="F168" s="2" t="s">
        <v>33</v>
      </c>
      <c r="H168" s="3">
        <v>45524</v>
      </c>
      <c r="I168" s="12">
        <v>20</v>
      </c>
      <c r="J168" s="3">
        <f t="shared" si="6"/>
        <v>45544</v>
      </c>
      <c r="K168" s="3">
        <v>45614</v>
      </c>
      <c r="L168">
        <f t="shared" ca="1" si="7"/>
        <v>90</v>
      </c>
      <c r="M168" s="11">
        <f t="shared" ca="1" si="8"/>
        <v>70</v>
      </c>
      <c r="N168" s="12" t="str" cm="1">
        <f t="array" ref="N168">_xlfn.IFS(
AND(NOT(ISBLANK(H168)),ISBLANK(K168)),"SUR",
AND(NOT(ISBLANK(H168)),NOT(ISBLANK(K168)),$P168="YES"),"RTR",
AND(NOT(ISBLANK(H168)),NOT(ISBLANK(K168)),$P168="NO"),"NTS",
TRUE,"TO Check"
)</f>
        <v>RTR</v>
      </c>
      <c r="O168" s="2" t="s">
        <v>37</v>
      </c>
      <c r="P168" s="9" t="s">
        <v>38</v>
      </c>
    </row>
    <row r="169" spans="1:16" x14ac:dyDescent="0.35">
      <c r="A169" s="2">
        <v>168</v>
      </c>
      <c r="B169" s="22">
        <v>916</v>
      </c>
      <c r="E169" t="s">
        <v>186</v>
      </c>
      <c r="F169" s="2" t="s">
        <v>33</v>
      </c>
      <c r="H169" s="3">
        <v>45644</v>
      </c>
      <c r="I169" s="12">
        <v>20</v>
      </c>
      <c r="J169" s="3">
        <f t="shared" si="6"/>
        <v>45664</v>
      </c>
      <c r="K169" s="3">
        <v>45734</v>
      </c>
      <c r="L169">
        <f t="shared" ca="1" si="7"/>
        <v>90</v>
      </c>
      <c r="M169" s="11">
        <f t="shared" ca="1" si="8"/>
        <v>70</v>
      </c>
      <c r="N169" s="12" t="str" cm="1">
        <f t="array" ref="N169">_xlfn.IFS(
AND(NOT(ISBLANK(H169)),ISBLANK(K169)),"SUR",
AND(NOT(ISBLANK(H169)),NOT(ISBLANK(K169)),$P169="YES"),"RTR",
AND(NOT(ISBLANK(H169)),NOT(ISBLANK(K169)),$P169="NO"),"NTS",
TRUE,"TO Check"
)</f>
        <v>RTR</v>
      </c>
      <c r="O169" s="2" t="s">
        <v>37</v>
      </c>
      <c r="P169" s="9" t="s">
        <v>38</v>
      </c>
    </row>
    <row r="170" spans="1:16" x14ac:dyDescent="0.35">
      <c r="A170" s="2">
        <v>169</v>
      </c>
      <c r="B170" s="22">
        <v>1275</v>
      </c>
      <c r="E170" t="s">
        <v>187</v>
      </c>
      <c r="F170" s="2" t="s">
        <v>33</v>
      </c>
      <c r="H170" s="3">
        <v>45787</v>
      </c>
      <c r="I170" s="12">
        <v>20</v>
      </c>
      <c r="J170" s="3">
        <f t="shared" si="6"/>
        <v>45807</v>
      </c>
      <c r="K170" s="3">
        <v>45877</v>
      </c>
      <c r="L170">
        <f t="shared" ca="1" si="7"/>
        <v>90</v>
      </c>
      <c r="M170" s="11">
        <f t="shared" ca="1" si="8"/>
        <v>70</v>
      </c>
      <c r="N170" s="12" t="str" cm="1">
        <f t="array" ref="N170">_xlfn.IFS(
AND(NOT(ISBLANK(H170)),ISBLANK(K170)),"SUR",
AND(NOT(ISBLANK(H170)),NOT(ISBLANK(K170)),$P170="YES"),"RTR",
AND(NOT(ISBLANK(H170)),NOT(ISBLANK(K170)),$P170="NO"),"NTS",
TRUE,"TO Check"
)</f>
        <v>RTR</v>
      </c>
      <c r="O170" s="2" t="s">
        <v>34</v>
      </c>
      <c r="P170" s="9" t="s">
        <v>38</v>
      </c>
    </row>
    <row r="171" spans="1:16" x14ac:dyDescent="0.35">
      <c r="A171" s="2">
        <v>170</v>
      </c>
      <c r="B171" s="22">
        <v>1308</v>
      </c>
      <c r="E171" t="s">
        <v>188</v>
      </c>
      <c r="F171" s="2" t="s">
        <v>33</v>
      </c>
      <c r="H171" s="3">
        <v>45796</v>
      </c>
      <c r="I171" s="12">
        <v>20</v>
      </c>
      <c r="J171" s="3">
        <f t="shared" si="6"/>
        <v>45816</v>
      </c>
      <c r="K171" s="3">
        <v>45886</v>
      </c>
      <c r="L171">
        <f t="shared" ca="1" si="7"/>
        <v>90</v>
      </c>
      <c r="M171" s="11">
        <f t="shared" ca="1" si="8"/>
        <v>70</v>
      </c>
      <c r="N171" s="12" t="str" cm="1">
        <f t="array" ref="N171">_xlfn.IFS(
AND(NOT(ISBLANK(H171)),ISBLANK(K171)),"SUR",
AND(NOT(ISBLANK(H171)),NOT(ISBLANK(K171)),$P171="YES"),"RTR",
AND(NOT(ISBLANK(H171)),NOT(ISBLANK(K171)),$P171="NO"),"NTS",
TRUE,"TO Check"
)</f>
        <v>RTR</v>
      </c>
      <c r="O171" s="2" t="s">
        <v>37</v>
      </c>
      <c r="P171" s="9" t="s">
        <v>38</v>
      </c>
    </row>
    <row r="172" spans="1:16" x14ac:dyDescent="0.35">
      <c r="A172" s="2">
        <v>171</v>
      </c>
      <c r="B172" s="22">
        <v>1309</v>
      </c>
      <c r="E172" t="s">
        <v>189</v>
      </c>
      <c r="F172" s="2" t="s">
        <v>33</v>
      </c>
      <c r="H172" s="3">
        <v>45796</v>
      </c>
      <c r="I172" s="12">
        <v>20</v>
      </c>
      <c r="J172" s="3">
        <f t="shared" si="6"/>
        <v>45816</v>
      </c>
      <c r="K172" s="3">
        <v>45886</v>
      </c>
      <c r="L172">
        <f t="shared" ca="1" si="7"/>
        <v>90</v>
      </c>
      <c r="M172" s="11">
        <f t="shared" ca="1" si="8"/>
        <v>70</v>
      </c>
      <c r="N172" s="12" t="str" cm="1">
        <f t="array" ref="N172">_xlfn.IFS(
AND(NOT(ISBLANK(H172)),ISBLANK(K172)),"SUR",
AND(NOT(ISBLANK(H172)),NOT(ISBLANK(K172)),$P172="YES"),"RTR",
AND(NOT(ISBLANK(H172)),NOT(ISBLANK(K172)),$P172="NO"),"NTS",
TRUE,"TO Check"
)</f>
        <v>RTR</v>
      </c>
      <c r="O172" s="2" t="s">
        <v>37</v>
      </c>
      <c r="P172" s="9" t="s">
        <v>38</v>
      </c>
    </row>
    <row r="173" spans="1:16" x14ac:dyDescent="0.35">
      <c r="A173" s="2">
        <v>172</v>
      </c>
      <c r="B173" s="22">
        <v>1084</v>
      </c>
      <c r="E173" t="s">
        <v>190</v>
      </c>
      <c r="F173" s="2" t="s">
        <v>33</v>
      </c>
      <c r="H173" s="3">
        <v>45720</v>
      </c>
      <c r="I173" s="12">
        <v>20</v>
      </c>
      <c r="J173" s="3">
        <f t="shared" si="6"/>
        <v>45740</v>
      </c>
      <c r="K173" s="3">
        <v>45810</v>
      </c>
      <c r="L173">
        <f t="shared" ca="1" si="7"/>
        <v>90</v>
      </c>
      <c r="M173" s="11">
        <f t="shared" ca="1" si="8"/>
        <v>70</v>
      </c>
      <c r="N173" s="12" t="str" cm="1">
        <f t="array" ref="N173">_xlfn.IFS(
AND(NOT(ISBLANK(H173)),ISBLANK(K173)),"SUR",
AND(NOT(ISBLANK(H173)),NOT(ISBLANK(K173)),$P173="YES"),"RTR",
AND(NOT(ISBLANK(H173)),NOT(ISBLANK(K173)),$P173="NO"),"NTS",
TRUE,"TO Check"
)</f>
        <v>RTR</v>
      </c>
      <c r="O173" s="2" t="s">
        <v>37</v>
      </c>
      <c r="P173" s="9" t="s">
        <v>38</v>
      </c>
    </row>
    <row r="174" spans="1:16" x14ac:dyDescent="0.35">
      <c r="A174" s="2">
        <v>173</v>
      </c>
      <c r="B174" s="22">
        <v>1311</v>
      </c>
      <c r="E174" t="s">
        <v>191</v>
      </c>
      <c r="F174" s="2" t="s">
        <v>33</v>
      </c>
      <c r="H174" s="3">
        <v>45796</v>
      </c>
      <c r="I174" s="12">
        <v>20</v>
      </c>
      <c r="J174" s="3">
        <f t="shared" si="6"/>
        <v>45816</v>
      </c>
      <c r="K174" s="3">
        <v>45886</v>
      </c>
      <c r="L174">
        <f t="shared" ca="1" si="7"/>
        <v>90</v>
      </c>
      <c r="M174" s="11">
        <f t="shared" ca="1" si="8"/>
        <v>70</v>
      </c>
      <c r="N174" s="12" t="str" cm="1">
        <f t="array" ref="N174">_xlfn.IFS(
AND(NOT(ISBLANK(H174)),ISBLANK(K174)),"SUR",
AND(NOT(ISBLANK(H174)),NOT(ISBLANK(K174)),$P174="YES"),"RTR",
AND(NOT(ISBLANK(H174)),NOT(ISBLANK(K174)),$P174="NO"),"NTS",
TRUE,"TO Check"
)</f>
        <v>RTR</v>
      </c>
      <c r="O174" s="2" t="s">
        <v>37</v>
      </c>
      <c r="P174" s="9" t="s">
        <v>38</v>
      </c>
    </row>
    <row r="175" spans="1:16" x14ac:dyDescent="0.35">
      <c r="A175" s="2">
        <v>174</v>
      </c>
      <c r="B175" s="22">
        <v>143</v>
      </c>
      <c r="E175" t="s">
        <v>99</v>
      </c>
      <c r="F175" s="2" t="s">
        <v>33</v>
      </c>
      <c r="H175" s="3">
        <v>45225</v>
      </c>
      <c r="I175" s="12">
        <v>20</v>
      </c>
      <c r="J175" s="3">
        <f t="shared" si="6"/>
        <v>45245</v>
      </c>
      <c r="K175" s="3">
        <v>45315</v>
      </c>
      <c r="L175">
        <f t="shared" ca="1" si="7"/>
        <v>90</v>
      </c>
      <c r="M175" s="11">
        <f t="shared" ca="1" si="8"/>
        <v>70</v>
      </c>
      <c r="N175" s="12" t="str" cm="1">
        <f t="array" ref="N175">_xlfn.IFS(
AND(NOT(ISBLANK(H175)),ISBLANK(K175)),"SUR",
AND(NOT(ISBLANK(H175)),NOT(ISBLANK(K175)),$P175="YES"),"RTR",
AND(NOT(ISBLANK(H175)),NOT(ISBLANK(K175)),$P175="NO"),"NTS",
TRUE,"TO Check"
)</f>
        <v>RTR</v>
      </c>
      <c r="O175" s="2" t="s">
        <v>37</v>
      </c>
      <c r="P175" s="9" t="s">
        <v>38</v>
      </c>
    </row>
    <row r="176" spans="1:16" x14ac:dyDescent="0.35">
      <c r="A176" s="2">
        <v>175</v>
      </c>
      <c r="B176" s="22">
        <v>143</v>
      </c>
      <c r="E176" t="s">
        <v>100</v>
      </c>
      <c r="F176" s="2" t="s">
        <v>33</v>
      </c>
      <c r="H176" s="3">
        <v>45369</v>
      </c>
      <c r="I176" s="12">
        <v>20</v>
      </c>
      <c r="J176" s="3">
        <f t="shared" si="6"/>
        <v>45389</v>
      </c>
      <c r="K176" s="3">
        <v>45459</v>
      </c>
      <c r="L176">
        <f t="shared" ca="1" si="7"/>
        <v>90</v>
      </c>
      <c r="M176" s="11">
        <f t="shared" ca="1" si="8"/>
        <v>70</v>
      </c>
      <c r="N176" s="12" t="str" cm="1">
        <f t="array" ref="N176">_xlfn.IFS(
AND(NOT(ISBLANK(H176)),ISBLANK(K176)),"SUR",
AND(NOT(ISBLANK(H176)),NOT(ISBLANK(K176)),$P176="YES"),"RTR",
AND(NOT(ISBLANK(H176)),NOT(ISBLANK(K176)),$P176="NO"),"NTS",
TRUE,"TO Check"
)</f>
        <v>RTR</v>
      </c>
      <c r="O176" s="2" t="s">
        <v>37</v>
      </c>
      <c r="P176" s="9" t="s">
        <v>38</v>
      </c>
    </row>
    <row r="177" spans="1:16" x14ac:dyDescent="0.35">
      <c r="A177" s="2">
        <v>176</v>
      </c>
      <c r="B177" s="22">
        <v>230</v>
      </c>
      <c r="E177" t="s">
        <v>48</v>
      </c>
      <c r="F177" s="2" t="s">
        <v>33</v>
      </c>
      <c r="H177" s="3">
        <v>45266</v>
      </c>
      <c r="I177" s="12">
        <v>20</v>
      </c>
      <c r="J177" s="3">
        <f t="shared" si="6"/>
        <v>45286</v>
      </c>
      <c r="K177" s="3">
        <v>45356</v>
      </c>
      <c r="L177">
        <f t="shared" ca="1" si="7"/>
        <v>90</v>
      </c>
      <c r="M177" s="11">
        <f t="shared" ca="1" si="8"/>
        <v>70</v>
      </c>
      <c r="N177" s="12" t="str" cm="1">
        <f t="array" ref="N177">_xlfn.IFS(
AND(NOT(ISBLANK(H177)),ISBLANK(K177)),"SUR",
AND(NOT(ISBLANK(H177)),NOT(ISBLANK(K177)),$P177="YES"),"RTR",
AND(NOT(ISBLANK(H177)),NOT(ISBLANK(K177)),$P177="NO"),"NTS",
TRUE,"TO Check"
)</f>
        <v>RTR</v>
      </c>
      <c r="O177" s="2" t="s">
        <v>37</v>
      </c>
      <c r="P177" s="9" t="s">
        <v>38</v>
      </c>
    </row>
    <row r="178" spans="1:16" x14ac:dyDescent="0.35">
      <c r="A178" s="2">
        <v>177</v>
      </c>
      <c r="B178" s="22">
        <v>230</v>
      </c>
      <c r="E178" t="s">
        <v>49</v>
      </c>
      <c r="F178" s="2" t="s">
        <v>33</v>
      </c>
      <c r="H178" s="3">
        <v>45266</v>
      </c>
      <c r="I178" s="12">
        <v>20</v>
      </c>
      <c r="J178" s="3">
        <f t="shared" si="6"/>
        <v>45286</v>
      </c>
      <c r="K178" s="3">
        <v>45356</v>
      </c>
      <c r="L178">
        <f t="shared" ca="1" si="7"/>
        <v>90</v>
      </c>
      <c r="M178" s="11">
        <f t="shared" ca="1" si="8"/>
        <v>70</v>
      </c>
      <c r="N178" s="12" t="str" cm="1">
        <f t="array" ref="N178">_xlfn.IFS(
AND(NOT(ISBLANK(H178)),ISBLANK(K178)),"SUR",
AND(NOT(ISBLANK(H178)),NOT(ISBLANK(K178)),$P178="YES"),"RTR",
AND(NOT(ISBLANK(H178)),NOT(ISBLANK(K178)),$P178="NO"),"NTS",
TRUE,"TO Check"
)</f>
        <v>RTR</v>
      </c>
      <c r="O178" s="2" t="s">
        <v>37</v>
      </c>
      <c r="P178" s="9" t="s">
        <v>38</v>
      </c>
    </row>
    <row r="179" spans="1:16" x14ac:dyDescent="0.35">
      <c r="A179" s="2">
        <v>178</v>
      </c>
      <c r="B179" s="22">
        <v>230</v>
      </c>
      <c r="E179" t="s">
        <v>101</v>
      </c>
      <c r="F179" s="2" t="s">
        <v>33</v>
      </c>
      <c r="H179" s="3">
        <v>45266</v>
      </c>
      <c r="I179" s="12">
        <v>20</v>
      </c>
      <c r="J179" s="3">
        <f t="shared" si="6"/>
        <v>45286</v>
      </c>
      <c r="K179" s="3">
        <v>45356</v>
      </c>
      <c r="L179">
        <f t="shared" ca="1" si="7"/>
        <v>90</v>
      </c>
      <c r="M179" s="11">
        <f t="shared" ca="1" si="8"/>
        <v>70</v>
      </c>
      <c r="N179" s="12" t="str" cm="1">
        <f t="array" ref="N179">_xlfn.IFS(
AND(NOT(ISBLANK(H179)),ISBLANK(K179)),"SUR",
AND(NOT(ISBLANK(H179)),NOT(ISBLANK(K179)),$P179="YES"),"RTR",
AND(NOT(ISBLANK(H179)),NOT(ISBLANK(K179)),$P179="NO"),"NTS",
TRUE,"TO Check"
)</f>
        <v>RTR</v>
      </c>
      <c r="O179" s="2" t="s">
        <v>37</v>
      </c>
      <c r="P179" s="9" t="s">
        <v>38</v>
      </c>
    </row>
    <row r="180" spans="1:16" x14ac:dyDescent="0.35">
      <c r="A180" s="2">
        <v>179</v>
      </c>
      <c r="B180" s="22">
        <v>230</v>
      </c>
      <c r="E180" t="s">
        <v>102</v>
      </c>
      <c r="F180" s="2" t="s">
        <v>33</v>
      </c>
      <c r="H180" s="3">
        <v>45266</v>
      </c>
      <c r="I180" s="12">
        <v>20</v>
      </c>
      <c r="J180" s="3">
        <f t="shared" si="6"/>
        <v>45286</v>
      </c>
      <c r="K180" s="3">
        <v>45356</v>
      </c>
      <c r="L180">
        <f t="shared" ca="1" si="7"/>
        <v>90</v>
      </c>
      <c r="M180" s="11">
        <f t="shared" ca="1" si="8"/>
        <v>70</v>
      </c>
      <c r="N180" s="12" t="str" cm="1">
        <f t="array" ref="N180">_xlfn.IFS(
AND(NOT(ISBLANK(H180)),ISBLANK(K180)),"SUR",
AND(NOT(ISBLANK(H180)),NOT(ISBLANK(K180)),$P180="YES"),"RTR",
AND(NOT(ISBLANK(H180)),NOT(ISBLANK(K180)),$P180="NO"),"NTS",
TRUE,"TO Check"
)</f>
        <v>RTR</v>
      </c>
      <c r="O180" s="2" t="s">
        <v>37</v>
      </c>
      <c r="P180" s="9" t="s">
        <v>38</v>
      </c>
    </row>
    <row r="181" spans="1:16" x14ac:dyDescent="0.35">
      <c r="A181" s="2">
        <v>180</v>
      </c>
      <c r="B181" s="22">
        <v>230</v>
      </c>
      <c r="E181" t="s">
        <v>103</v>
      </c>
      <c r="F181" s="2" t="s">
        <v>33</v>
      </c>
      <c r="H181" s="3">
        <v>45266</v>
      </c>
      <c r="I181" s="12">
        <v>20</v>
      </c>
      <c r="J181" s="3">
        <f t="shared" si="6"/>
        <v>45286</v>
      </c>
      <c r="K181" s="3">
        <v>45356</v>
      </c>
      <c r="L181">
        <f t="shared" ca="1" si="7"/>
        <v>90</v>
      </c>
      <c r="M181" s="11">
        <f t="shared" ca="1" si="8"/>
        <v>70</v>
      </c>
      <c r="N181" s="12" t="str" cm="1">
        <f t="array" ref="N181">_xlfn.IFS(
AND(NOT(ISBLANK(H181)),ISBLANK(K181)),"SUR",
AND(NOT(ISBLANK(H181)),NOT(ISBLANK(K181)),$P181="YES"),"RTR",
AND(NOT(ISBLANK(H181)),NOT(ISBLANK(K181)),$P181="NO"),"NTS",
TRUE,"TO Check"
)</f>
        <v>RTR</v>
      </c>
      <c r="O181" s="2" t="s">
        <v>37</v>
      </c>
      <c r="P181" s="9" t="s">
        <v>38</v>
      </c>
    </row>
    <row r="182" spans="1:16" x14ac:dyDescent="0.35">
      <c r="A182" s="2">
        <v>181</v>
      </c>
      <c r="B182" s="22">
        <v>230</v>
      </c>
      <c r="E182" t="s">
        <v>104</v>
      </c>
      <c r="F182" s="2" t="s">
        <v>33</v>
      </c>
      <c r="H182" s="3">
        <v>45266</v>
      </c>
      <c r="I182" s="12">
        <v>20</v>
      </c>
      <c r="J182" s="3">
        <f t="shared" si="6"/>
        <v>45286</v>
      </c>
      <c r="K182" s="3">
        <v>45356</v>
      </c>
      <c r="L182">
        <f t="shared" ca="1" si="7"/>
        <v>90</v>
      </c>
      <c r="M182" s="11">
        <f t="shared" ca="1" si="8"/>
        <v>70</v>
      </c>
      <c r="N182" s="12" t="str" cm="1">
        <f t="array" ref="N182">_xlfn.IFS(
AND(NOT(ISBLANK(H182)),ISBLANK(K182)),"SUR",
AND(NOT(ISBLANK(H182)),NOT(ISBLANK(K182)),$P182="YES"),"RTR",
AND(NOT(ISBLANK(H182)),NOT(ISBLANK(K182)),$P182="NO"),"NTS",
TRUE,"TO Check"
)</f>
        <v>RTR</v>
      </c>
      <c r="O182" s="2" t="s">
        <v>37</v>
      </c>
      <c r="P182" s="9" t="s">
        <v>38</v>
      </c>
    </row>
    <row r="183" spans="1:16" x14ac:dyDescent="0.35">
      <c r="A183" s="2">
        <v>182</v>
      </c>
      <c r="B183" s="22">
        <v>230</v>
      </c>
      <c r="E183" t="s">
        <v>105</v>
      </c>
      <c r="F183" s="2" t="s">
        <v>33</v>
      </c>
      <c r="H183" s="3">
        <v>45266</v>
      </c>
      <c r="I183" s="12">
        <v>20</v>
      </c>
      <c r="J183" s="3">
        <f t="shared" si="6"/>
        <v>45286</v>
      </c>
      <c r="K183" s="3">
        <v>45356</v>
      </c>
      <c r="L183">
        <f t="shared" ca="1" si="7"/>
        <v>90</v>
      </c>
      <c r="M183" s="11">
        <f t="shared" ca="1" si="8"/>
        <v>70</v>
      </c>
      <c r="N183" s="12" t="str" cm="1">
        <f t="array" ref="N183">_xlfn.IFS(
AND(NOT(ISBLANK(H183)),ISBLANK(K183)),"SUR",
AND(NOT(ISBLANK(H183)),NOT(ISBLANK(K183)),$P183="YES"),"RTR",
AND(NOT(ISBLANK(H183)),NOT(ISBLANK(K183)),$P183="NO"),"NTS",
TRUE,"TO Check"
)</f>
        <v>RTR</v>
      </c>
      <c r="O183" s="2" t="s">
        <v>37</v>
      </c>
      <c r="P183" s="9" t="s">
        <v>38</v>
      </c>
    </row>
    <row r="184" spans="1:16" x14ac:dyDescent="0.35">
      <c r="A184" s="2">
        <v>183</v>
      </c>
      <c r="B184" s="22">
        <v>230</v>
      </c>
      <c r="E184" t="s">
        <v>106</v>
      </c>
      <c r="F184" s="2" t="s">
        <v>33</v>
      </c>
      <c r="H184" s="3">
        <v>45266</v>
      </c>
      <c r="I184" s="12">
        <v>20</v>
      </c>
      <c r="J184" s="3">
        <f t="shared" si="6"/>
        <v>45286</v>
      </c>
      <c r="K184" s="3">
        <v>45356</v>
      </c>
      <c r="L184">
        <f t="shared" ca="1" si="7"/>
        <v>90</v>
      </c>
      <c r="M184" s="11">
        <f t="shared" ca="1" si="8"/>
        <v>70</v>
      </c>
      <c r="N184" s="12" t="str" cm="1">
        <f t="array" ref="N184">_xlfn.IFS(
AND(NOT(ISBLANK(H184)),ISBLANK(K184)),"SUR",
AND(NOT(ISBLANK(H184)),NOT(ISBLANK(K184)),$P184="YES"),"RTR",
AND(NOT(ISBLANK(H184)),NOT(ISBLANK(K184)),$P184="NO"),"NTS",
TRUE,"TO Check"
)</f>
        <v>RTR</v>
      </c>
      <c r="O184" s="2" t="s">
        <v>37</v>
      </c>
      <c r="P184" s="9" t="s">
        <v>38</v>
      </c>
    </row>
    <row r="185" spans="1:16" x14ac:dyDescent="0.35">
      <c r="A185" s="2">
        <v>184</v>
      </c>
      <c r="B185" s="22">
        <v>230</v>
      </c>
      <c r="E185" t="s">
        <v>107</v>
      </c>
      <c r="F185" s="2" t="s">
        <v>33</v>
      </c>
      <c r="H185" s="3">
        <v>45266</v>
      </c>
      <c r="I185" s="12">
        <v>20</v>
      </c>
      <c r="J185" s="3">
        <f t="shared" si="6"/>
        <v>45286</v>
      </c>
      <c r="K185" s="3">
        <v>45356</v>
      </c>
      <c r="L185">
        <f t="shared" ca="1" si="7"/>
        <v>90</v>
      </c>
      <c r="M185" s="11">
        <f t="shared" ca="1" si="8"/>
        <v>70</v>
      </c>
      <c r="N185" s="12" t="str" cm="1">
        <f t="array" ref="N185">_xlfn.IFS(
AND(NOT(ISBLANK(H185)),ISBLANK(K185)),"SUR",
AND(NOT(ISBLANK(H185)),NOT(ISBLANK(K185)),$P185="YES"),"RTR",
AND(NOT(ISBLANK(H185)),NOT(ISBLANK(K185)),$P185="NO"),"NTS",
TRUE,"TO Check"
)</f>
        <v>RTR</v>
      </c>
      <c r="O185" s="2" t="s">
        <v>37</v>
      </c>
      <c r="P185" s="9" t="s">
        <v>38</v>
      </c>
    </row>
    <row r="186" spans="1:16" x14ac:dyDescent="0.35">
      <c r="A186" s="2">
        <v>185</v>
      </c>
      <c r="B186" s="22">
        <v>230</v>
      </c>
      <c r="E186" t="s">
        <v>108</v>
      </c>
      <c r="F186" s="2" t="s">
        <v>33</v>
      </c>
      <c r="H186" s="3">
        <v>45266</v>
      </c>
      <c r="I186" s="12">
        <v>20</v>
      </c>
      <c r="J186" s="3">
        <f t="shared" si="6"/>
        <v>45286</v>
      </c>
      <c r="K186" s="3">
        <v>45356</v>
      </c>
      <c r="L186">
        <f t="shared" ca="1" si="7"/>
        <v>90</v>
      </c>
      <c r="M186" s="11">
        <f t="shared" ca="1" si="8"/>
        <v>70</v>
      </c>
      <c r="N186" s="12" t="str" cm="1">
        <f t="array" ref="N186">_xlfn.IFS(
AND(NOT(ISBLANK(H186)),ISBLANK(K186)),"SUR",
AND(NOT(ISBLANK(H186)),NOT(ISBLANK(K186)),$P186="YES"),"RTR",
AND(NOT(ISBLANK(H186)),NOT(ISBLANK(K186)),$P186="NO"),"NTS",
TRUE,"TO Check"
)</f>
        <v>RTR</v>
      </c>
      <c r="O186" s="2" t="s">
        <v>37</v>
      </c>
      <c r="P186" s="9" t="s">
        <v>38</v>
      </c>
    </row>
    <row r="187" spans="1:16" x14ac:dyDescent="0.35">
      <c r="A187" s="2">
        <v>186</v>
      </c>
      <c r="B187" s="22">
        <v>230</v>
      </c>
      <c r="E187" t="s">
        <v>109</v>
      </c>
      <c r="F187" s="2" t="s">
        <v>33</v>
      </c>
      <c r="H187" s="3">
        <v>45266</v>
      </c>
      <c r="I187" s="12">
        <v>20</v>
      </c>
      <c r="J187" s="3">
        <f t="shared" si="6"/>
        <v>45286</v>
      </c>
      <c r="K187" s="3">
        <v>45356</v>
      </c>
      <c r="L187">
        <f t="shared" ca="1" si="7"/>
        <v>90</v>
      </c>
      <c r="M187" s="11">
        <f t="shared" ca="1" si="8"/>
        <v>70</v>
      </c>
      <c r="N187" s="12" t="str" cm="1">
        <f t="array" ref="N187">_xlfn.IFS(
AND(NOT(ISBLANK(H187)),ISBLANK(K187)),"SUR",
AND(NOT(ISBLANK(H187)),NOT(ISBLANK(K187)),$P187="YES"),"RTR",
AND(NOT(ISBLANK(H187)),NOT(ISBLANK(K187)),$P187="NO"),"NTS",
TRUE,"TO Check"
)</f>
        <v>RTR</v>
      </c>
      <c r="O187" s="2" t="s">
        <v>37</v>
      </c>
      <c r="P187" s="9" t="s">
        <v>38</v>
      </c>
    </row>
    <row r="188" spans="1:16" x14ac:dyDescent="0.35">
      <c r="A188" s="2">
        <v>187</v>
      </c>
      <c r="B188" s="22">
        <v>230</v>
      </c>
      <c r="E188" t="s">
        <v>110</v>
      </c>
      <c r="F188" s="2" t="s">
        <v>33</v>
      </c>
      <c r="H188" s="3">
        <v>45266</v>
      </c>
      <c r="I188" s="12">
        <v>20</v>
      </c>
      <c r="J188" s="3">
        <f t="shared" si="6"/>
        <v>45286</v>
      </c>
      <c r="K188" s="3">
        <v>45356</v>
      </c>
      <c r="L188">
        <f t="shared" ca="1" si="7"/>
        <v>90</v>
      </c>
      <c r="M188" s="11">
        <f t="shared" ca="1" si="8"/>
        <v>70</v>
      </c>
      <c r="N188" s="12" t="str" cm="1">
        <f t="array" ref="N188">_xlfn.IFS(
AND(NOT(ISBLANK(H188)),ISBLANK(K188)),"SUR",
AND(NOT(ISBLANK(H188)),NOT(ISBLANK(K188)),$P188="YES"),"RTR",
AND(NOT(ISBLANK(H188)),NOT(ISBLANK(K188)),$P188="NO"),"NTS",
TRUE,"TO Check"
)</f>
        <v>RTR</v>
      </c>
      <c r="O188" s="2" t="s">
        <v>37</v>
      </c>
      <c r="P188" s="9" t="s">
        <v>38</v>
      </c>
    </row>
    <row r="189" spans="1:16" x14ac:dyDescent="0.35">
      <c r="A189" s="2">
        <v>188</v>
      </c>
      <c r="B189" s="22">
        <v>230</v>
      </c>
      <c r="E189" t="s">
        <v>111</v>
      </c>
      <c r="F189" s="2" t="s">
        <v>33</v>
      </c>
      <c r="H189" s="3">
        <v>45266</v>
      </c>
      <c r="I189" s="12">
        <v>20</v>
      </c>
      <c r="J189" s="3">
        <f t="shared" si="6"/>
        <v>45286</v>
      </c>
      <c r="K189" s="3">
        <v>45356</v>
      </c>
      <c r="L189">
        <f t="shared" ca="1" si="7"/>
        <v>90</v>
      </c>
      <c r="M189" s="11">
        <f t="shared" ca="1" si="8"/>
        <v>70</v>
      </c>
      <c r="N189" s="12" t="str" cm="1">
        <f t="array" ref="N189">_xlfn.IFS(
AND(NOT(ISBLANK(H189)),ISBLANK(K189)),"SUR",
AND(NOT(ISBLANK(H189)),NOT(ISBLANK(K189)),$P189="YES"),"RTR",
AND(NOT(ISBLANK(H189)),NOT(ISBLANK(K189)),$P189="NO"),"NTS",
TRUE,"TO Check"
)</f>
        <v>RTR</v>
      </c>
      <c r="O189" s="2" t="s">
        <v>37</v>
      </c>
      <c r="P189" s="9" t="s">
        <v>38</v>
      </c>
    </row>
    <row r="190" spans="1:16" x14ac:dyDescent="0.35">
      <c r="A190" s="2">
        <v>189</v>
      </c>
      <c r="B190" s="22">
        <v>230</v>
      </c>
      <c r="E190" t="s">
        <v>112</v>
      </c>
      <c r="F190" s="2" t="s">
        <v>33</v>
      </c>
      <c r="H190" s="3">
        <v>45266</v>
      </c>
      <c r="I190" s="12">
        <v>20</v>
      </c>
      <c r="J190" s="3">
        <f t="shared" si="6"/>
        <v>45286</v>
      </c>
      <c r="K190" s="3">
        <v>45356</v>
      </c>
      <c r="L190">
        <f t="shared" ca="1" si="7"/>
        <v>90</v>
      </c>
      <c r="M190" s="11">
        <f t="shared" ca="1" si="8"/>
        <v>70</v>
      </c>
      <c r="N190" s="12" t="str" cm="1">
        <f t="array" ref="N190">_xlfn.IFS(
AND(NOT(ISBLANK(H190)),ISBLANK(K190)),"SUR",
AND(NOT(ISBLANK(H190)),NOT(ISBLANK(K190)),$P190="YES"),"RTR",
AND(NOT(ISBLANK(H190)),NOT(ISBLANK(K190)),$P190="NO"),"NTS",
TRUE,"TO Check"
)</f>
        <v>RTR</v>
      </c>
      <c r="O190" s="2" t="s">
        <v>37</v>
      </c>
      <c r="P190" s="9" t="s">
        <v>38</v>
      </c>
    </row>
    <row r="191" spans="1:16" x14ac:dyDescent="0.35">
      <c r="A191" s="2">
        <v>190</v>
      </c>
      <c r="B191" s="22">
        <v>230</v>
      </c>
      <c r="E191" t="s">
        <v>113</v>
      </c>
      <c r="F191" s="2" t="s">
        <v>33</v>
      </c>
      <c r="H191" s="3">
        <v>45266</v>
      </c>
      <c r="I191" s="12">
        <v>20</v>
      </c>
      <c r="J191" s="3">
        <f t="shared" si="6"/>
        <v>45286</v>
      </c>
      <c r="K191" s="3">
        <v>45356</v>
      </c>
      <c r="L191">
        <f t="shared" ca="1" si="7"/>
        <v>90</v>
      </c>
      <c r="M191" s="11">
        <f t="shared" ca="1" si="8"/>
        <v>70</v>
      </c>
      <c r="N191" s="12" t="str" cm="1">
        <f t="array" ref="N191">_xlfn.IFS(
AND(NOT(ISBLANK(H191)),ISBLANK(K191)),"SUR",
AND(NOT(ISBLANK(H191)),NOT(ISBLANK(K191)),$P191="YES"),"RTR",
AND(NOT(ISBLANK(H191)),NOT(ISBLANK(K191)),$P191="NO"),"NTS",
TRUE,"TO Check"
)</f>
        <v>RTR</v>
      </c>
      <c r="O191" s="2" t="s">
        <v>37</v>
      </c>
      <c r="P191" s="9" t="s">
        <v>38</v>
      </c>
    </row>
    <row r="192" spans="1:16" x14ac:dyDescent="0.35">
      <c r="A192" s="2">
        <v>191</v>
      </c>
      <c r="B192" s="22">
        <v>230</v>
      </c>
      <c r="E192" t="s">
        <v>114</v>
      </c>
      <c r="F192" s="2" t="s">
        <v>33</v>
      </c>
      <c r="H192" s="3">
        <v>45266</v>
      </c>
      <c r="I192" s="12">
        <v>20</v>
      </c>
      <c r="J192" s="3">
        <f t="shared" si="6"/>
        <v>45286</v>
      </c>
      <c r="K192" s="3">
        <v>45356</v>
      </c>
      <c r="L192">
        <f t="shared" ca="1" si="7"/>
        <v>90</v>
      </c>
      <c r="M192" s="11">
        <f t="shared" ca="1" si="8"/>
        <v>70</v>
      </c>
      <c r="N192" s="12" t="str" cm="1">
        <f t="array" ref="N192">_xlfn.IFS(
AND(NOT(ISBLANK(H192)),ISBLANK(K192)),"SUR",
AND(NOT(ISBLANK(H192)),NOT(ISBLANK(K192)),$P192="YES"),"RTR",
AND(NOT(ISBLANK(H192)),NOT(ISBLANK(K192)),$P192="NO"),"NTS",
TRUE,"TO Check"
)</f>
        <v>RTR</v>
      </c>
      <c r="O192" s="2" t="s">
        <v>37</v>
      </c>
      <c r="P192" s="9" t="s">
        <v>38</v>
      </c>
    </row>
    <row r="193" spans="1:16" x14ac:dyDescent="0.35">
      <c r="A193" s="2">
        <v>192</v>
      </c>
      <c r="B193" s="22">
        <v>230</v>
      </c>
      <c r="E193" t="s">
        <v>115</v>
      </c>
      <c r="F193" s="2" t="s">
        <v>33</v>
      </c>
      <c r="H193" s="3">
        <v>45266</v>
      </c>
      <c r="I193" s="12">
        <v>20</v>
      </c>
      <c r="J193" s="3">
        <f t="shared" si="6"/>
        <v>45286</v>
      </c>
      <c r="K193" s="3">
        <v>45356</v>
      </c>
      <c r="L193">
        <f t="shared" ca="1" si="7"/>
        <v>90</v>
      </c>
      <c r="M193" s="11">
        <f t="shared" ca="1" si="8"/>
        <v>70</v>
      </c>
      <c r="N193" s="12" t="str" cm="1">
        <f t="array" ref="N193">_xlfn.IFS(
AND(NOT(ISBLANK(H193)),ISBLANK(K193)),"SUR",
AND(NOT(ISBLANK(H193)),NOT(ISBLANK(K193)),$P193="YES"),"RTR",
AND(NOT(ISBLANK(H193)),NOT(ISBLANK(K193)),$P193="NO"),"NTS",
TRUE,"TO Check"
)</f>
        <v>RTR</v>
      </c>
      <c r="O193" s="2" t="s">
        <v>37</v>
      </c>
      <c r="P193" s="9" t="s">
        <v>38</v>
      </c>
    </row>
    <row r="194" spans="1:16" x14ac:dyDescent="0.35">
      <c r="A194" s="2">
        <v>193</v>
      </c>
      <c r="B194" s="22">
        <v>230</v>
      </c>
      <c r="E194" t="s">
        <v>116</v>
      </c>
      <c r="F194" s="2" t="s">
        <v>33</v>
      </c>
      <c r="H194" s="3">
        <v>45266</v>
      </c>
      <c r="I194" s="12">
        <v>20</v>
      </c>
      <c r="J194" s="3">
        <f t="shared" si="6"/>
        <v>45286</v>
      </c>
      <c r="K194" s="3">
        <v>45356</v>
      </c>
      <c r="L194">
        <f t="shared" ca="1" si="7"/>
        <v>90</v>
      </c>
      <c r="M194" s="11">
        <f t="shared" ca="1" si="8"/>
        <v>70</v>
      </c>
      <c r="N194" s="12" t="str" cm="1">
        <f t="array" ref="N194">_xlfn.IFS(
AND(NOT(ISBLANK(H194)),ISBLANK(K194)),"SUR",
AND(NOT(ISBLANK(H194)),NOT(ISBLANK(K194)),$P194="YES"),"RTR",
AND(NOT(ISBLANK(H194)),NOT(ISBLANK(K194)),$P194="NO"),"NTS",
TRUE,"TO Check"
)</f>
        <v>RTR</v>
      </c>
      <c r="O194" s="2" t="s">
        <v>37</v>
      </c>
      <c r="P194" s="9" t="s">
        <v>38</v>
      </c>
    </row>
    <row r="195" spans="1:16" x14ac:dyDescent="0.35">
      <c r="A195" s="2">
        <v>194</v>
      </c>
      <c r="B195" s="22">
        <v>230</v>
      </c>
      <c r="E195" t="s">
        <v>117</v>
      </c>
      <c r="F195" s="2" t="s">
        <v>33</v>
      </c>
      <c r="H195" s="3">
        <v>45266</v>
      </c>
      <c r="I195" s="12">
        <v>20</v>
      </c>
      <c r="J195" s="3">
        <f t="shared" ref="J195:J233" si="9">$H195+$I195</f>
        <v>45286</v>
      </c>
      <c r="K195" s="3">
        <v>45356</v>
      </c>
      <c r="L195">
        <f t="shared" ref="L195:L233" ca="1" si="10">IF(NOT(ISBLANK($K195)),$K195-$H195,TODAY()-$H195)</f>
        <v>90</v>
      </c>
      <c r="M195" s="11">
        <f t="shared" ca="1" si="8"/>
        <v>70</v>
      </c>
      <c r="N195" s="12" t="str" cm="1">
        <f t="array" ref="N195">_xlfn.IFS(
AND(NOT(ISBLANK(H195)),ISBLANK(K195)),"SUR",
AND(NOT(ISBLANK(H195)),NOT(ISBLANK(K195)),$P195="YES"),"RTR",
AND(NOT(ISBLANK(H195)),NOT(ISBLANK(K195)),$P195="NO"),"NTS",
TRUE,"TO Check"
)</f>
        <v>RTR</v>
      </c>
      <c r="O195" s="2" t="s">
        <v>37</v>
      </c>
      <c r="P195" s="9" t="s">
        <v>38</v>
      </c>
    </row>
    <row r="196" spans="1:16" x14ac:dyDescent="0.35">
      <c r="A196" s="2">
        <v>195</v>
      </c>
      <c r="B196" s="22">
        <v>230</v>
      </c>
      <c r="E196" t="s">
        <v>118</v>
      </c>
      <c r="F196" s="2" t="s">
        <v>33</v>
      </c>
      <c r="H196" s="3">
        <v>45301</v>
      </c>
      <c r="I196" s="12">
        <v>20</v>
      </c>
      <c r="J196" s="3">
        <f t="shared" si="9"/>
        <v>45321</v>
      </c>
      <c r="K196" s="3">
        <v>45391</v>
      </c>
      <c r="L196">
        <f t="shared" ca="1" si="10"/>
        <v>90</v>
      </c>
      <c r="M196" s="11">
        <f t="shared" ref="M196:M233" ca="1" si="11">L196-I196</f>
        <v>70</v>
      </c>
      <c r="N196" s="12" t="str" cm="1">
        <f t="array" ref="N196">_xlfn.IFS(
AND(NOT(ISBLANK(H196)),ISBLANK(K196)),"SUR",
AND(NOT(ISBLANK(H196)),NOT(ISBLANK(K196)),$P196="YES"),"RTR",
AND(NOT(ISBLANK(H196)),NOT(ISBLANK(K196)),$P196="NO"),"NTS",
TRUE,"TO Check"
)</f>
        <v>RTR</v>
      </c>
      <c r="O196" s="2" t="s">
        <v>37</v>
      </c>
      <c r="P196" s="9" t="s">
        <v>38</v>
      </c>
    </row>
    <row r="197" spans="1:16" x14ac:dyDescent="0.35">
      <c r="A197" s="2">
        <v>196</v>
      </c>
      <c r="B197" s="22">
        <v>230</v>
      </c>
      <c r="E197" t="s">
        <v>119</v>
      </c>
      <c r="F197" s="2" t="s">
        <v>33</v>
      </c>
      <c r="H197" s="3">
        <v>45301</v>
      </c>
      <c r="I197" s="12">
        <v>20</v>
      </c>
      <c r="J197" s="3">
        <f t="shared" si="9"/>
        <v>45321</v>
      </c>
      <c r="K197" s="3">
        <v>45391</v>
      </c>
      <c r="L197">
        <f t="shared" ca="1" si="10"/>
        <v>90</v>
      </c>
      <c r="M197" s="11">
        <f t="shared" ca="1" si="11"/>
        <v>70</v>
      </c>
      <c r="N197" s="12" t="str" cm="1">
        <f t="array" ref="N197">_xlfn.IFS(
AND(NOT(ISBLANK(H197)),ISBLANK(K197)),"SUR",
AND(NOT(ISBLANK(H197)),NOT(ISBLANK(K197)),$P197="YES"),"RTR",
AND(NOT(ISBLANK(H197)),NOT(ISBLANK(K197)),$P197="NO"),"NTS",
TRUE,"TO Check"
)</f>
        <v>RTR</v>
      </c>
      <c r="O197" s="2" t="s">
        <v>37</v>
      </c>
      <c r="P197" s="9" t="s">
        <v>38</v>
      </c>
    </row>
    <row r="198" spans="1:16" x14ac:dyDescent="0.35">
      <c r="A198" s="2">
        <v>197</v>
      </c>
      <c r="B198" s="22">
        <v>230</v>
      </c>
      <c r="E198" t="s">
        <v>192</v>
      </c>
      <c r="F198" s="2" t="s">
        <v>33</v>
      </c>
      <c r="H198" s="3">
        <v>45301</v>
      </c>
      <c r="I198" s="12">
        <v>20</v>
      </c>
      <c r="J198" s="3">
        <f t="shared" si="9"/>
        <v>45321</v>
      </c>
      <c r="K198" s="3">
        <v>45391</v>
      </c>
      <c r="L198">
        <f t="shared" ca="1" si="10"/>
        <v>90</v>
      </c>
      <c r="M198" s="11">
        <f t="shared" ca="1" si="11"/>
        <v>70</v>
      </c>
      <c r="N198" s="12" t="str" cm="1">
        <f t="array" ref="N198">_xlfn.IFS(
AND(NOT(ISBLANK(H198)),ISBLANK(K198)),"SUR",
AND(NOT(ISBLANK(H198)),NOT(ISBLANK(K198)),$P198="YES"),"RTR",
AND(NOT(ISBLANK(H198)),NOT(ISBLANK(K198)),$P198="NO"),"NTS",
TRUE,"TO Check"
)</f>
        <v>RTR</v>
      </c>
      <c r="O198" s="2" t="s">
        <v>37</v>
      </c>
      <c r="P198" s="9" t="s">
        <v>38</v>
      </c>
    </row>
    <row r="199" spans="1:16" x14ac:dyDescent="0.35">
      <c r="A199" s="2">
        <v>198</v>
      </c>
      <c r="B199" s="22">
        <v>230</v>
      </c>
      <c r="E199" t="s">
        <v>193</v>
      </c>
      <c r="F199" s="2" t="s">
        <v>33</v>
      </c>
      <c r="H199" s="3">
        <v>45301</v>
      </c>
      <c r="I199" s="12">
        <v>20</v>
      </c>
      <c r="J199" s="3">
        <f t="shared" si="9"/>
        <v>45321</v>
      </c>
      <c r="K199" s="3">
        <v>45391</v>
      </c>
      <c r="L199">
        <f t="shared" ca="1" si="10"/>
        <v>90</v>
      </c>
      <c r="M199" s="11">
        <f t="shared" ca="1" si="11"/>
        <v>70</v>
      </c>
      <c r="N199" s="12" t="str" cm="1">
        <f t="array" ref="N199">_xlfn.IFS(
AND(NOT(ISBLANK(H199)),ISBLANK(K199)),"SUR",
AND(NOT(ISBLANK(H199)),NOT(ISBLANK(K199)),$P199="YES"),"RTR",
AND(NOT(ISBLANK(H199)),NOT(ISBLANK(K199)),$P199="NO"),"NTS",
TRUE,"TO Check"
)</f>
        <v>RTR</v>
      </c>
      <c r="O199" s="2" t="s">
        <v>37</v>
      </c>
      <c r="P199" s="9" t="s">
        <v>38</v>
      </c>
    </row>
    <row r="200" spans="1:16" x14ac:dyDescent="0.35">
      <c r="A200" s="2">
        <v>199</v>
      </c>
      <c r="B200" s="22">
        <v>230</v>
      </c>
      <c r="E200" t="s">
        <v>194</v>
      </c>
      <c r="F200" s="2" t="s">
        <v>33</v>
      </c>
      <c r="H200" s="3">
        <v>45301</v>
      </c>
      <c r="I200" s="12">
        <v>20</v>
      </c>
      <c r="J200" s="3">
        <f t="shared" si="9"/>
        <v>45321</v>
      </c>
      <c r="K200" s="3">
        <v>45391</v>
      </c>
      <c r="L200">
        <f t="shared" ca="1" si="10"/>
        <v>90</v>
      </c>
      <c r="M200" s="11">
        <f t="shared" ca="1" si="11"/>
        <v>70</v>
      </c>
      <c r="N200" s="12" t="str" cm="1">
        <f t="array" ref="N200">_xlfn.IFS(
AND(NOT(ISBLANK(H200)),ISBLANK(K200)),"SUR",
AND(NOT(ISBLANK(H200)),NOT(ISBLANK(K200)),$P200="YES"),"RTR",
AND(NOT(ISBLANK(H200)),NOT(ISBLANK(K200)),$P200="NO"),"NTS",
TRUE,"TO Check"
)</f>
        <v>RTR</v>
      </c>
      <c r="O200" s="2" t="s">
        <v>37</v>
      </c>
      <c r="P200" s="9" t="s">
        <v>38</v>
      </c>
    </row>
    <row r="201" spans="1:16" x14ac:dyDescent="0.35">
      <c r="A201" s="2">
        <v>200</v>
      </c>
      <c r="B201" s="22">
        <v>230</v>
      </c>
      <c r="E201" t="s">
        <v>195</v>
      </c>
      <c r="F201" s="2" t="s">
        <v>33</v>
      </c>
      <c r="H201" s="3">
        <v>45301</v>
      </c>
      <c r="I201" s="12">
        <v>20</v>
      </c>
      <c r="J201" s="3">
        <f t="shared" si="9"/>
        <v>45321</v>
      </c>
      <c r="K201" s="3">
        <v>45391</v>
      </c>
      <c r="L201">
        <f t="shared" ca="1" si="10"/>
        <v>90</v>
      </c>
      <c r="M201" s="11">
        <f t="shared" ca="1" si="11"/>
        <v>70</v>
      </c>
      <c r="N201" s="12" t="str" cm="1">
        <f t="array" ref="N201">_xlfn.IFS(
AND(NOT(ISBLANK(H201)),ISBLANK(K201)),"SUR",
AND(NOT(ISBLANK(H201)),NOT(ISBLANK(K201)),$P201="YES"),"RTR",
AND(NOT(ISBLANK(H201)),NOT(ISBLANK(K201)),$P201="NO"),"NTS",
TRUE,"TO Check"
)</f>
        <v>RTR</v>
      </c>
      <c r="O201" s="2" t="s">
        <v>37</v>
      </c>
      <c r="P201" s="9" t="s">
        <v>38</v>
      </c>
    </row>
    <row r="202" spans="1:16" x14ac:dyDescent="0.35">
      <c r="A202" s="2">
        <v>201</v>
      </c>
      <c r="B202" s="22">
        <v>230</v>
      </c>
      <c r="E202" t="s">
        <v>196</v>
      </c>
      <c r="F202" s="2" t="s">
        <v>33</v>
      </c>
      <c r="H202" s="3">
        <v>45301</v>
      </c>
      <c r="I202" s="12">
        <v>20</v>
      </c>
      <c r="J202" s="3">
        <f t="shared" si="9"/>
        <v>45321</v>
      </c>
      <c r="K202" s="3">
        <v>45391</v>
      </c>
      <c r="L202">
        <f t="shared" ca="1" si="10"/>
        <v>90</v>
      </c>
      <c r="M202" s="11">
        <f t="shared" ca="1" si="11"/>
        <v>70</v>
      </c>
      <c r="N202" s="12" t="str" cm="1">
        <f t="array" ref="N202">_xlfn.IFS(
AND(NOT(ISBLANK(H202)),ISBLANK(K202)),"SUR",
AND(NOT(ISBLANK(H202)),NOT(ISBLANK(K202)),$P202="YES"),"RTR",
AND(NOT(ISBLANK(H202)),NOT(ISBLANK(K202)),$P202="NO"),"NTS",
TRUE,"TO Check"
)</f>
        <v>RTR</v>
      </c>
      <c r="O202" s="2" t="s">
        <v>37</v>
      </c>
      <c r="P202" s="9" t="s">
        <v>38</v>
      </c>
    </row>
    <row r="203" spans="1:16" x14ac:dyDescent="0.35">
      <c r="A203" s="2">
        <v>202</v>
      </c>
      <c r="B203" s="22">
        <v>230</v>
      </c>
      <c r="E203" t="s">
        <v>197</v>
      </c>
      <c r="F203" s="2" t="s">
        <v>33</v>
      </c>
      <c r="H203" s="3">
        <v>45301</v>
      </c>
      <c r="I203" s="12">
        <v>20</v>
      </c>
      <c r="J203" s="3">
        <f t="shared" si="9"/>
        <v>45321</v>
      </c>
      <c r="K203" s="3">
        <v>45391</v>
      </c>
      <c r="L203">
        <f t="shared" ca="1" si="10"/>
        <v>90</v>
      </c>
      <c r="M203" s="11">
        <f t="shared" ca="1" si="11"/>
        <v>70</v>
      </c>
      <c r="N203" s="12" t="str" cm="1">
        <f t="array" ref="N203">_xlfn.IFS(
AND(NOT(ISBLANK(H203)),ISBLANK(K203)),"SUR",
AND(NOT(ISBLANK(H203)),NOT(ISBLANK(K203)),$P203="YES"),"RTR",
AND(NOT(ISBLANK(H203)),NOT(ISBLANK(K203)),$P203="NO"),"NTS",
TRUE,"TO Check"
)</f>
        <v>RTR</v>
      </c>
      <c r="O203" s="2" t="s">
        <v>37</v>
      </c>
      <c r="P203" s="9" t="s">
        <v>38</v>
      </c>
    </row>
    <row r="204" spans="1:16" x14ac:dyDescent="0.35">
      <c r="A204" s="2">
        <v>203</v>
      </c>
      <c r="B204" s="22">
        <v>230</v>
      </c>
      <c r="E204" t="s">
        <v>198</v>
      </c>
      <c r="F204" s="2" t="s">
        <v>33</v>
      </c>
      <c r="H204" s="3">
        <v>45301</v>
      </c>
      <c r="I204" s="12">
        <v>20</v>
      </c>
      <c r="J204" s="3">
        <f t="shared" si="9"/>
        <v>45321</v>
      </c>
      <c r="K204" s="3">
        <v>45391</v>
      </c>
      <c r="L204">
        <f t="shared" ca="1" si="10"/>
        <v>90</v>
      </c>
      <c r="M204" s="11">
        <f t="shared" ca="1" si="11"/>
        <v>70</v>
      </c>
      <c r="N204" s="12" t="str" cm="1">
        <f t="array" ref="N204">_xlfn.IFS(
AND(NOT(ISBLANK(H204)),ISBLANK(K204)),"SUR",
AND(NOT(ISBLANK(H204)),NOT(ISBLANK(K204)),$P204="YES"),"RTR",
AND(NOT(ISBLANK(H204)),NOT(ISBLANK(K204)),$P204="NO"),"NTS",
TRUE,"TO Check"
)</f>
        <v>RTR</v>
      </c>
      <c r="O204" s="2" t="s">
        <v>37</v>
      </c>
      <c r="P204" s="9" t="s">
        <v>38</v>
      </c>
    </row>
    <row r="205" spans="1:16" x14ac:dyDescent="0.35">
      <c r="A205" s="2">
        <v>204</v>
      </c>
      <c r="B205" s="22">
        <v>230</v>
      </c>
      <c r="E205" t="s">
        <v>199</v>
      </c>
      <c r="F205" s="2" t="s">
        <v>33</v>
      </c>
      <c r="H205" s="3">
        <v>45301</v>
      </c>
      <c r="I205" s="12">
        <v>20</v>
      </c>
      <c r="J205" s="3">
        <f t="shared" si="9"/>
        <v>45321</v>
      </c>
      <c r="K205" s="3">
        <v>45391</v>
      </c>
      <c r="L205">
        <f t="shared" ca="1" si="10"/>
        <v>90</v>
      </c>
      <c r="M205" s="11">
        <f t="shared" ca="1" si="11"/>
        <v>70</v>
      </c>
      <c r="N205" s="12" t="str" cm="1">
        <f t="array" ref="N205">_xlfn.IFS(
AND(NOT(ISBLANK(H205)),ISBLANK(K205)),"SUR",
AND(NOT(ISBLANK(H205)),NOT(ISBLANK(K205)),$P205="YES"),"RTR",
AND(NOT(ISBLANK(H205)),NOT(ISBLANK(K205)),$P205="NO"),"NTS",
TRUE,"TO Check"
)</f>
        <v>RTR</v>
      </c>
      <c r="O205" s="2" t="s">
        <v>37</v>
      </c>
      <c r="P205" s="9" t="s">
        <v>38</v>
      </c>
    </row>
    <row r="206" spans="1:16" x14ac:dyDescent="0.35">
      <c r="A206" s="2">
        <v>205</v>
      </c>
      <c r="B206" s="22">
        <v>230</v>
      </c>
      <c r="E206" t="s">
        <v>200</v>
      </c>
      <c r="F206" s="2" t="s">
        <v>33</v>
      </c>
      <c r="H206" s="3">
        <v>45301</v>
      </c>
      <c r="I206" s="12">
        <v>20</v>
      </c>
      <c r="J206" s="3">
        <f t="shared" si="9"/>
        <v>45321</v>
      </c>
      <c r="K206" s="3">
        <v>45391</v>
      </c>
      <c r="L206">
        <f t="shared" ca="1" si="10"/>
        <v>90</v>
      </c>
      <c r="M206" s="11">
        <f t="shared" ca="1" si="11"/>
        <v>70</v>
      </c>
      <c r="N206" s="12" t="str" cm="1">
        <f t="array" ref="N206">_xlfn.IFS(
AND(NOT(ISBLANK(H206)),ISBLANK(K206)),"SUR",
AND(NOT(ISBLANK(H206)),NOT(ISBLANK(K206)),$P206="YES"),"RTR",
AND(NOT(ISBLANK(H206)),NOT(ISBLANK(K206)),$P206="NO"),"NTS",
TRUE,"TO Check"
)</f>
        <v>RTR</v>
      </c>
      <c r="O206" s="2" t="s">
        <v>37</v>
      </c>
      <c r="P206" s="9" t="s">
        <v>38</v>
      </c>
    </row>
    <row r="207" spans="1:16" x14ac:dyDescent="0.35">
      <c r="A207" s="2">
        <v>206</v>
      </c>
      <c r="B207" s="22">
        <v>230</v>
      </c>
      <c r="E207" t="s">
        <v>201</v>
      </c>
      <c r="F207" s="2" t="s">
        <v>33</v>
      </c>
      <c r="H207" s="3">
        <v>45301</v>
      </c>
      <c r="I207" s="12">
        <v>20</v>
      </c>
      <c r="J207" s="3">
        <f t="shared" si="9"/>
        <v>45321</v>
      </c>
      <c r="K207" s="3">
        <v>45391</v>
      </c>
      <c r="L207">
        <f t="shared" ca="1" si="10"/>
        <v>90</v>
      </c>
      <c r="M207" s="11">
        <f t="shared" ca="1" si="11"/>
        <v>70</v>
      </c>
      <c r="N207" s="12" t="str" cm="1">
        <f t="array" ref="N207">_xlfn.IFS(
AND(NOT(ISBLANK(H207)),ISBLANK(K207)),"SUR",
AND(NOT(ISBLANK(H207)),NOT(ISBLANK(K207)),$P207="YES"),"RTR",
AND(NOT(ISBLANK(H207)),NOT(ISBLANK(K207)),$P207="NO"),"NTS",
TRUE,"TO Check"
)</f>
        <v>RTR</v>
      </c>
      <c r="O207" s="2" t="s">
        <v>37</v>
      </c>
      <c r="P207" s="9" t="s">
        <v>38</v>
      </c>
    </row>
    <row r="208" spans="1:16" x14ac:dyDescent="0.35">
      <c r="A208" s="2">
        <v>207</v>
      </c>
      <c r="B208" s="22">
        <v>230</v>
      </c>
      <c r="E208" t="s">
        <v>202</v>
      </c>
      <c r="F208" s="2" t="s">
        <v>33</v>
      </c>
      <c r="H208" s="3">
        <v>45301</v>
      </c>
      <c r="I208" s="12">
        <v>20</v>
      </c>
      <c r="J208" s="3">
        <f t="shared" si="9"/>
        <v>45321</v>
      </c>
      <c r="K208" s="3">
        <v>45391</v>
      </c>
      <c r="L208">
        <f t="shared" ca="1" si="10"/>
        <v>90</v>
      </c>
      <c r="M208" s="11">
        <f t="shared" ca="1" si="11"/>
        <v>70</v>
      </c>
      <c r="N208" s="12" t="str" cm="1">
        <f t="array" ref="N208">_xlfn.IFS(
AND(NOT(ISBLANK(H208)),ISBLANK(K208)),"SUR",
AND(NOT(ISBLANK(H208)),NOT(ISBLANK(K208)),$P208="YES"),"RTR",
AND(NOT(ISBLANK(H208)),NOT(ISBLANK(K208)),$P208="NO"),"NTS",
TRUE,"TO Check"
)</f>
        <v>RTR</v>
      </c>
      <c r="O208" s="2" t="s">
        <v>37</v>
      </c>
      <c r="P208" s="9" t="s">
        <v>38</v>
      </c>
    </row>
    <row r="209" spans="1:16" x14ac:dyDescent="0.35">
      <c r="A209" s="2">
        <v>208</v>
      </c>
      <c r="B209" s="22">
        <v>230</v>
      </c>
      <c r="E209" t="s">
        <v>203</v>
      </c>
      <c r="F209" s="2" t="s">
        <v>33</v>
      </c>
      <c r="H209" s="3">
        <v>45301</v>
      </c>
      <c r="I209" s="12">
        <v>20</v>
      </c>
      <c r="J209" s="3">
        <f t="shared" si="9"/>
        <v>45321</v>
      </c>
      <c r="K209" s="3">
        <v>45391</v>
      </c>
      <c r="L209">
        <f t="shared" ca="1" si="10"/>
        <v>90</v>
      </c>
      <c r="M209" s="11">
        <f t="shared" ca="1" si="11"/>
        <v>70</v>
      </c>
      <c r="N209" s="12" t="str" cm="1">
        <f t="array" ref="N209">_xlfn.IFS(
AND(NOT(ISBLANK(H209)),ISBLANK(K209)),"SUR",
AND(NOT(ISBLANK(H209)),NOT(ISBLANK(K209)),$P209="YES"),"RTR",
AND(NOT(ISBLANK(H209)),NOT(ISBLANK(K209)),$P209="NO"),"NTS",
TRUE,"TO Check"
)</f>
        <v>RTR</v>
      </c>
      <c r="O209" s="2" t="s">
        <v>37</v>
      </c>
      <c r="P209" s="9" t="s">
        <v>38</v>
      </c>
    </row>
    <row r="210" spans="1:16" x14ac:dyDescent="0.35">
      <c r="A210" s="2">
        <v>209</v>
      </c>
      <c r="B210" s="22">
        <v>230</v>
      </c>
      <c r="E210" t="s">
        <v>204</v>
      </c>
      <c r="F210" s="2" t="s">
        <v>33</v>
      </c>
      <c r="H210" s="3">
        <v>45301</v>
      </c>
      <c r="I210" s="12">
        <v>20</v>
      </c>
      <c r="J210" s="3">
        <f t="shared" si="9"/>
        <v>45321</v>
      </c>
      <c r="K210" s="3">
        <v>45391</v>
      </c>
      <c r="L210">
        <f t="shared" ca="1" si="10"/>
        <v>90</v>
      </c>
      <c r="M210" s="11">
        <f t="shared" ca="1" si="11"/>
        <v>70</v>
      </c>
      <c r="N210" s="12" t="str" cm="1">
        <f t="array" ref="N210">_xlfn.IFS(
AND(NOT(ISBLANK(H210)),ISBLANK(K210)),"SUR",
AND(NOT(ISBLANK(H210)),NOT(ISBLANK(K210)),$P210="YES"),"RTR",
AND(NOT(ISBLANK(H210)),NOT(ISBLANK(K210)),$P210="NO"),"NTS",
TRUE,"TO Check"
)</f>
        <v>RTR</v>
      </c>
      <c r="O210" s="2" t="s">
        <v>37</v>
      </c>
      <c r="P210" s="9" t="s">
        <v>38</v>
      </c>
    </row>
    <row r="211" spans="1:16" x14ac:dyDescent="0.35">
      <c r="A211" s="2">
        <v>210</v>
      </c>
      <c r="B211" s="22">
        <v>230</v>
      </c>
      <c r="E211" t="s">
        <v>205</v>
      </c>
      <c r="F211" s="2" t="s">
        <v>33</v>
      </c>
      <c r="H211" s="3">
        <v>45301</v>
      </c>
      <c r="I211" s="12">
        <v>20</v>
      </c>
      <c r="J211" s="3">
        <f t="shared" si="9"/>
        <v>45321</v>
      </c>
      <c r="K211" s="3">
        <v>45391</v>
      </c>
      <c r="L211">
        <f t="shared" ca="1" si="10"/>
        <v>90</v>
      </c>
      <c r="M211" s="11">
        <f t="shared" ca="1" si="11"/>
        <v>70</v>
      </c>
      <c r="N211" s="12" t="str" cm="1">
        <f t="array" ref="N211">_xlfn.IFS(
AND(NOT(ISBLANK(H211)),ISBLANK(K211)),"SUR",
AND(NOT(ISBLANK(H211)),NOT(ISBLANK(K211)),$P211="YES"),"RTR",
AND(NOT(ISBLANK(H211)),NOT(ISBLANK(K211)),$P211="NO"),"NTS",
TRUE,"TO Check"
)</f>
        <v>RTR</v>
      </c>
      <c r="O211" s="2" t="s">
        <v>37</v>
      </c>
      <c r="P211" s="9" t="s">
        <v>38</v>
      </c>
    </row>
    <row r="212" spans="1:16" x14ac:dyDescent="0.35">
      <c r="A212" s="2">
        <v>211</v>
      </c>
      <c r="B212" s="22">
        <v>230</v>
      </c>
      <c r="E212" t="s">
        <v>206</v>
      </c>
      <c r="F212" s="2" t="s">
        <v>33</v>
      </c>
      <c r="H212" s="3">
        <v>45301</v>
      </c>
      <c r="I212" s="12">
        <v>20</v>
      </c>
      <c r="J212" s="3">
        <f t="shared" si="9"/>
        <v>45321</v>
      </c>
      <c r="K212" s="3">
        <v>45391</v>
      </c>
      <c r="L212">
        <f t="shared" ca="1" si="10"/>
        <v>90</v>
      </c>
      <c r="M212" s="11">
        <f t="shared" ca="1" si="11"/>
        <v>70</v>
      </c>
      <c r="N212" s="12" t="str" cm="1">
        <f t="array" ref="N212">_xlfn.IFS(
AND(NOT(ISBLANK(H212)),ISBLANK(K212)),"SUR",
AND(NOT(ISBLANK(H212)),NOT(ISBLANK(K212)),$P212="YES"),"RTR",
AND(NOT(ISBLANK(H212)),NOT(ISBLANK(K212)),$P212="NO"),"NTS",
TRUE,"TO Check"
)</f>
        <v>RTR</v>
      </c>
      <c r="O212" s="2" t="s">
        <v>37</v>
      </c>
      <c r="P212" s="9" t="s">
        <v>38</v>
      </c>
    </row>
    <row r="213" spans="1:16" x14ac:dyDescent="0.35">
      <c r="A213" s="2">
        <v>212</v>
      </c>
      <c r="B213" s="22">
        <v>230</v>
      </c>
      <c r="E213" t="s">
        <v>207</v>
      </c>
      <c r="F213" s="2" t="s">
        <v>33</v>
      </c>
      <c r="H213" s="3">
        <v>45301</v>
      </c>
      <c r="I213" s="12">
        <v>20</v>
      </c>
      <c r="J213" s="3">
        <f t="shared" si="9"/>
        <v>45321</v>
      </c>
      <c r="K213" s="3">
        <v>45391</v>
      </c>
      <c r="L213">
        <f t="shared" ca="1" si="10"/>
        <v>90</v>
      </c>
      <c r="M213" s="11">
        <f t="shared" ca="1" si="11"/>
        <v>70</v>
      </c>
      <c r="N213" s="12" t="str" cm="1">
        <f t="array" ref="N213">_xlfn.IFS(
AND(NOT(ISBLANK(H213)),ISBLANK(K213)),"SUR",
AND(NOT(ISBLANK(H213)),NOT(ISBLANK(K213)),$P213="YES"),"RTR",
AND(NOT(ISBLANK(H213)),NOT(ISBLANK(K213)),$P213="NO"),"NTS",
TRUE,"TO Check"
)</f>
        <v>RTR</v>
      </c>
      <c r="O213" s="2" t="s">
        <v>37</v>
      </c>
      <c r="P213" s="9" t="s">
        <v>38</v>
      </c>
    </row>
    <row r="214" spans="1:16" x14ac:dyDescent="0.35">
      <c r="A214" s="2">
        <v>213</v>
      </c>
      <c r="B214" s="22">
        <v>230</v>
      </c>
      <c r="E214" t="s">
        <v>208</v>
      </c>
      <c r="F214" s="2" t="s">
        <v>33</v>
      </c>
      <c r="H214" s="3">
        <v>45370</v>
      </c>
      <c r="I214" s="12">
        <v>20</v>
      </c>
      <c r="J214" s="3">
        <f t="shared" si="9"/>
        <v>45390</v>
      </c>
      <c r="K214" s="3">
        <v>45460</v>
      </c>
      <c r="L214">
        <f t="shared" ca="1" si="10"/>
        <v>90</v>
      </c>
      <c r="M214" s="11">
        <f t="shared" ca="1" si="11"/>
        <v>70</v>
      </c>
      <c r="N214" s="12" t="str" cm="1">
        <f t="array" ref="N214">_xlfn.IFS(
AND(NOT(ISBLANK(H214)),ISBLANK(K214)),"SUR",
AND(NOT(ISBLANK(H214)),NOT(ISBLANK(K214)),$P214="YES"),"RTR",
AND(NOT(ISBLANK(H214)),NOT(ISBLANK(K214)),$P214="NO"),"NTS",
TRUE,"TO Check"
)</f>
        <v>RTR</v>
      </c>
      <c r="O214" s="2" t="s">
        <v>37</v>
      </c>
      <c r="P214" s="9" t="s">
        <v>38</v>
      </c>
    </row>
    <row r="215" spans="1:16" x14ac:dyDescent="0.35">
      <c r="A215" s="2">
        <v>214</v>
      </c>
      <c r="B215" s="22">
        <v>230</v>
      </c>
      <c r="E215" t="s">
        <v>209</v>
      </c>
      <c r="F215" s="2" t="s">
        <v>33</v>
      </c>
      <c r="H215" s="3">
        <v>45370</v>
      </c>
      <c r="I215" s="12">
        <v>20</v>
      </c>
      <c r="J215" s="3">
        <f t="shared" si="9"/>
        <v>45390</v>
      </c>
      <c r="K215" s="3">
        <v>45460</v>
      </c>
      <c r="L215">
        <f t="shared" ca="1" si="10"/>
        <v>90</v>
      </c>
      <c r="M215" s="11">
        <f t="shared" ca="1" si="11"/>
        <v>70</v>
      </c>
      <c r="N215" s="12" t="str" cm="1">
        <f t="array" ref="N215">_xlfn.IFS(
AND(NOT(ISBLANK(H215)),ISBLANK(K215)),"SUR",
AND(NOT(ISBLANK(H215)),NOT(ISBLANK(K215)),$P215="YES"),"RTR",
AND(NOT(ISBLANK(H215)),NOT(ISBLANK(K215)),$P215="NO"),"NTS",
TRUE,"TO Check"
)</f>
        <v>RTR</v>
      </c>
      <c r="O215" s="2" t="s">
        <v>37</v>
      </c>
      <c r="P215" s="9" t="s">
        <v>38</v>
      </c>
    </row>
    <row r="216" spans="1:16" x14ac:dyDescent="0.35">
      <c r="A216" s="2">
        <v>215</v>
      </c>
      <c r="B216" s="22">
        <v>230</v>
      </c>
      <c r="E216" t="s">
        <v>124</v>
      </c>
      <c r="F216" s="2" t="s">
        <v>33</v>
      </c>
      <c r="H216" s="3">
        <v>45288</v>
      </c>
      <c r="I216" s="12">
        <v>20</v>
      </c>
      <c r="J216" s="3">
        <f t="shared" si="9"/>
        <v>45308</v>
      </c>
      <c r="K216" s="3">
        <v>45378</v>
      </c>
      <c r="L216">
        <f t="shared" ca="1" si="10"/>
        <v>90</v>
      </c>
      <c r="M216" s="11">
        <f t="shared" ca="1" si="11"/>
        <v>70</v>
      </c>
      <c r="N216" s="12" t="str" cm="1">
        <f t="array" ref="N216">_xlfn.IFS(
AND(NOT(ISBLANK(H216)),ISBLANK(K216)),"SUR",
AND(NOT(ISBLANK(H216)),NOT(ISBLANK(K216)),$P216="YES"),"RTR",
AND(NOT(ISBLANK(H216)),NOT(ISBLANK(K216)),$P216="NO"),"NTS",
TRUE,"TO Check"
)</f>
        <v>RTR</v>
      </c>
      <c r="O216" s="2" t="s">
        <v>37</v>
      </c>
      <c r="P216" s="9" t="s">
        <v>38</v>
      </c>
    </row>
    <row r="217" spans="1:16" x14ac:dyDescent="0.35">
      <c r="A217" s="2">
        <v>216</v>
      </c>
      <c r="B217" s="22">
        <v>230</v>
      </c>
      <c r="E217" t="s">
        <v>125</v>
      </c>
      <c r="F217" s="2" t="s">
        <v>33</v>
      </c>
      <c r="H217" s="3">
        <v>45288</v>
      </c>
      <c r="I217" s="12">
        <v>20</v>
      </c>
      <c r="J217" s="3">
        <f t="shared" si="9"/>
        <v>45308</v>
      </c>
      <c r="K217" s="3">
        <v>45378</v>
      </c>
      <c r="L217">
        <f t="shared" ca="1" si="10"/>
        <v>90</v>
      </c>
      <c r="M217" s="11">
        <f t="shared" ca="1" si="11"/>
        <v>70</v>
      </c>
      <c r="N217" s="12" t="str" cm="1">
        <f t="array" ref="N217">_xlfn.IFS(
AND(NOT(ISBLANK(H217)),ISBLANK(K217)),"SUR",
AND(NOT(ISBLANK(H217)),NOT(ISBLANK(K217)),$P217="YES"),"RTR",
AND(NOT(ISBLANK(H217)),NOT(ISBLANK(K217)),$P217="NO"),"NTS",
TRUE,"TO Check"
)</f>
        <v>RTR</v>
      </c>
      <c r="O217" s="2" t="s">
        <v>37</v>
      </c>
      <c r="P217" s="9" t="s">
        <v>38</v>
      </c>
    </row>
    <row r="218" spans="1:16" x14ac:dyDescent="0.35">
      <c r="A218" s="2">
        <v>217</v>
      </c>
      <c r="B218" s="22">
        <v>230</v>
      </c>
      <c r="E218" t="s">
        <v>210</v>
      </c>
      <c r="F218" s="2" t="s">
        <v>33</v>
      </c>
      <c r="H218" s="3">
        <v>45301</v>
      </c>
      <c r="I218" s="12">
        <v>20</v>
      </c>
      <c r="J218" s="3">
        <f t="shared" si="9"/>
        <v>45321</v>
      </c>
      <c r="K218" s="3">
        <v>45391</v>
      </c>
      <c r="L218">
        <f t="shared" ca="1" si="10"/>
        <v>90</v>
      </c>
      <c r="M218" s="11">
        <f t="shared" ca="1" si="11"/>
        <v>70</v>
      </c>
      <c r="N218" s="12" t="str" cm="1">
        <f t="array" ref="N218">_xlfn.IFS(
AND(NOT(ISBLANK(H218)),ISBLANK(K218)),"SUR",
AND(NOT(ISBLANK(H218)),NOT(ISBLANK(K218)),$P218="YES"),"RTR",
AND(NOT(ISBLANK(H218)),NOT(ISBLANK(K218)),$P218="NO"),"NTS",
TRUE,"TO Check"
)</f>
        <v>RTR</v>
      </c>
      <c r="O218" s="2" t="s">
        <v>37</v>
      </c>
      <c r="P218" s="9" t="s">
        <v>38</v>
      </c>
    </row>
    <row r="219" spans="1:16" x14ac:dyDescent="0.35">
      <c r="A219" s="2">
        <v>218</v>
      </c>
      <c r="B219" s="22">
        <v>230</v>
      </c>
      <c r="E219" t="s">
        <v>211</v>
      </c>
      <c r="F219" s="2" t="s">
        <v>33</v>
      </c>
      <c r="H219" s="3">
        <v>45288</v>
      </c>
      <c r="I219" s="12">
        <v>20</v>
      </c>
      <c r="J219" s="3">
        <f t="shared" si="9"/>
        <v>45308</v>
      </c>
      <c r="K219" s="3">
        <v>45378</v>
      </c>
      <c r="L219">
        <f t="shared" ca="1" si="10"/>
        <v>90</v>
      </c>
      <c r="M219" s="11">
        <f t="shared" ca="1" si="11"/>
        <v>70</v>
      </c>
      <c r="N219" s="12" t="str" cm="1">
        <f t="array" ref="N219">_xlfn.IFS(
AND(NOT(ISBLANK(H219)),ISBLANK(K219)),"SUR",
AND(NOT(ISBLANK(H219)),NOT(ISBLANK(K219)),$P219="YES"),"RTR",
AND(NOT(ISBLANK(H219)),NOT(ISBLANK(K219)),$P219="NO"),"NTS",
TRUE,"TO Check"
)</f>
        <v>RTR</v>
      </c>
      <c r="O219" s="2" t="s">
        <v>37</v>
      </c>
      <c r="P219" s="9" t="s">
        <v>38</v>
      </c>
    </row>
    <row r="220" spans="1:16" x14ac:dyDescent="0.35">
      <c r="A220" s="2">
        <v>219</v>
      </c>
      <c r="B220" s="22">
        <v>230</v>
      </c>
      <c r="E220" t="s">
        <v>123</v>
      </c>
      <c r="F220" s="2" t="s">
        <v>33</v>
      </c>
      <c r="H220" s="3">
        <v>45288</v>
      </c>
      <c r="I220" s="12">
        <v>20</v>
      </c>
      <c r="J220" s="3">
        <f t="shared" si="9"/>
        <v>45308</v>
      </c>
      <c r="K220" s="3">
        <v>45378</v>
      </c>
      <c r="L220">
        <f t="shared" ca="1" si="10"/>
        <v>90</v>
      </c>
      <c r="M220" s="11">
        <f t="shared" ca="1" si="11"/>
        <v>70</v>
      </c>
      <c r="N220" s="12" t="str" cm="1">
        <f t="array" ref="N220">_xlfn.IFS(
AND(NOT(ISBLANK(H220)),ISBLANK(K220)),"SUR",
AND(NOT(ISBLANK(H220)),NOT(ISBLANK(K220)),$P220="YES"),"RTR",
AND(NOT(ISBLANK(H220)),NOT(ISBLANK(K220)),$P220="NO"),"NTS",
TRUE,"TO Check"
)</f>
        <v>RTR</v>
      </c>
      <c r="O220" s="2" t="s">
        <v>37</v>
      </c>
      <c r="P220" s="9" t="s">
        <v>38</v>
      </c>
    </row>
    <row r="221" spans="1:16" x14ac:dyDescent="0.35">
      <c r="A221" s="2">
        <v>220</v>
      </c>
      <c r="B221" s="22">
        <v>230</v>
      </c>
      <c r="E221" t="s">
        <v>120</v>
      </c>
      <c r="F221" s="2" t="s">
        <v>33</v>
      </c>
      <c r="H221" s="3">
        <v>45288</v>
      </c>
      <c r="I221" s="12">
        <v>20</v>
      </c>
      <c r="J221" s="3">
        <f t="shared" si="9"/>
        <v>45308</v>
      </c>
      <c r="K221" s="3">
        <v>45378</v>
      </c>
      <c r="L221">
        <f t="shared" ca="1" si="10"/>
        <v>90</v>
      </c>
      <c r="M221" s="11">
        <f t="shared" ca="1" si="11"/>
        <v>70</v>
      </c>
      <c r="N221" s="12" t="str" cm="1">
        <f t="array" ref="N221">_xlfn.IFS(
AND(NOT(ISBLANK(H221)),ISBLANK(K221)),"SUR",
AND(NOT(ISBLANK(H221)),NOT(ISBLANK(K221)),$P221="YES"),"RTR",
AND(NOT(ISBLANK(H221)),NOT(ISBLANK(K221)),$P221="NO"),"NTS",
TRUE,"TO Check"
)</f>
        <v>RTR</v>
      </c>
      <c r="O221" s="2" t="s">
        <v>37</v>
      </c>
      <c r="P221" s="9" t="s">
        <v>38</v>
      </c>
    </row>
    <row r="222" spans="1:16" x14ac:dyDescent="0.35">
      <c r="A222" s="2">
        <v>221</v>
      </c>
      <c r="B222" s="22">
        <v>230</v>
      </c>
      <c r="E222" t="s">
        <v>212</v>
      </c>
      <c r="F222" s="2" t="s">
        <v>33</v>
      </c>
      <c r="H222" s="3">
        <v>45301</v>
      </c>
      <c r="I222" s="12">
        <v>20</v>
      </c>
      <c r="J222" s="3">
        <f t="shared" si="9"/>
        <v>45321</v>
      </c>
      <c r="K222" s="3">
        <v>45391</v>
      </c>
      <c r="L222">
        <f t="shared" ca="1" si="10"/>
        <v>90</v>
      </c>
      <c r="M222" s="11">
        <f t="shared" ca="1" si="11"/>
        <v>70</v>
      </c>
      <c r="N222" s="12" t="str" cm="1">
        <f t="array" ref="N222">_xlfn.IFS(
AND(NOT(ISBLANK(H222)),ISBLANK(K222)),"SUR",
AND(NOT(ISBLANK(H222)),NOT(ISBLANK(K222)),$P222="YES"),"RTR",
AND(NOT(ISBLANK(H222)),NOT(ISBLANK(K222)),$P222="NO"),"NTS",
TRUE,"TO Check"
)</f>
        <v>RTR</v>
      </c>
      <c r="O222" s="2" t="s">
        <v>37</v>
      </c>
      <c r="P222" s="9" t="s">
        <v>38</v>
      </c>
    </row>
    <row r="223" spans="1:16" x14ac:dyDescent="0.35">
      <c r="A223" s="2">
        <v>222</v>
      </c>
      <c r="B223" s="22">
        <v>230</v>
      </c>
      <c r="E223" t="s">
        <v>213</v>
      </c>
      <c r="F223" s="2" t="s">
        <v>33</v>
      </c>
      <c r="H223" s="3">
        <v>45301</v>
      </c>
      <c r="I223" s="12">
        <v>20</v>
      </c>
      <c r="J223" s="3">
        <f t="shared" si="9"/>
        <v>45321</v>
      </c>
      <c r="K223" s="3">
        <v>45391</v>
      </c>
      <c r="L223">
        <f t="shared" ca="1" si="10"/>
        <v>90</v>
      </c>
      <c r="M223" s="11">
        <f t="shared" ca="1" si="11"/>
        <v>70</v>
      </c>
      <c r="N223" s="12" t="str" cm="1">
        <f t="array" ref="N223">_xlfn.IFS(
AND(NOT(ISBLANK(H223)),ISBLANK(K223)),"SUR",
AND(NOT(ISBLANK(H223)),NOT(ISBLANK(K223)),$P223="YES"),"RTR",
AND(NOT(ISBLANK(H223)),NOT(ISBLANK(K223)),$P223="NO"),"NTS",
TRUE,"TO Check"
)</f>
        <v>RTR</v>
      </c>
      <c r="O223" s="2" t="s">
        <v>37</v>
      </c>
      <c r="P223" s="9" t="s">
        <v>38</v>
      </c>
    </row>
    <row r="224" spans="1:16" x14ac:dyDescent="0.35">
      <c r="A224" s="2">
        <v>223</v>
      </c>
      <c r="B224" s="22">
        <v>230</v>
      </c>
      <c r="E224" t="s">
        <v>214</v>
      </c>
      <c r="F224" s="2" t="s">
        <v>33</v>
      </c>
      <c r="H224" s="3">
        <v>45825</v>
      </c>
      <c r="I224" s="12">
        <v>20</v>
      </c>
      <c r="J224" s="3">
        <f t="shared" si="9"/>
        <v>45845</v>
      </c>
      <c r="K224" s="3">
        <v>45915</v>
      </c>
      <c r="L224">
        <f t="shared" ca="1" si="10"/>
        <v>90</v>
      </c>
      <c r="M224" s="11">
        <f t="shared" ca="1" si="11"/>
        <v>70</v>
      </c>
      <c r="N224" s="12" t="str" cm="1">
        <f t="array" ref="N224">_xlfn.IFS(
AND(NOT(ISBLANK(H224)),ISBLANK(K224)),"SUR",
AND(NOT(ISBLANK(H224)),NOT(ISBLANK(K224)),$P224="YES"),"RTR",
AND(NOT(ISBLANK(H224)),NOT(ISBLANK(K224)),$P224="NO"),"NTS",
TRUE,"TO Check"
)</f>
        <v>RTR</v>
      </c>
      <c r="O224" s="2" t="s">
        <v>37</v>
      </c>
      <c r="P224" s="9" t="s">
        <v>38</v>
      </c>
    </row>
    <row r="225" spans="1:16" x14ac:dyDescent="0.35">
      <c r="A225" s="2">
        <v>224</v>
      </c>
      <c r="B225" s="22">
        <v>1804</v>
      </c>
      <c r="E225" t="s">
        <v>215</v>
      </c>
      <c r="F225" s="2" t="s">
        <v>33</v>
      </c>
      <c r="H225" s="3">
        <v>45961</v>
      </c>
      <c r="I225" s="12">
        <v>20</v>
      </c>
      <c r="J225" s="3">
        <f t="shared" si="9"/>
        <v>45981</v>
      </c>
      <c r="K225" s="3">
        <v>46051</v>
      </c>
      <c r="L225">
        <f t="shared" ca="1" si="10"/>
        <v>90</v>
      </c>
      <c r="M225" s="11">
        <f t="shared" ca="1" si="11"/>
        <v>70</v>
      </c>
      <c r="N225" s="12" t="str" cm="1">
        <f t="array" ref="N225">_xlfn.IFS(
AND(NOT(ISBLANK(H225)),ISBLANK(K225)),"SUR",
AND(NOT(ISBLANK(H225)),NOT(ISBLANK(K225)),$P225="YES"),"RTR",
AND(NOT(ISBLANK(H225)),NOT(ISBLANK(K225)),$P225="NO"),"NTS",
TRUE,"TO Check"
)</f>
        <v>RTR</v>
      </c>
      <c r="O225" s="2" t="s">
        <v>34</v>
      </c>
      <c r="P225" s="9" t="s">
        <v>38</v>
      </c>
    </row>
    <row r="226" spans="1:16" x14ac:dyDescent="0.35">
      <c r="A226" s="2">
        <v>225</v>
      </c>
      <c r="B226" s="22">
        <v>1668</v>
      </c>
      <c r="E226" t="s">
        <v>216</v>
      </c>
      <c r="F226" s="2" t="s">
        <v>33</v>
      </c>
      <c r="H226" s="3">
        <v>45910</v>
      </c>
      <c r="I226" s="12">
        <v>20</v>
      </c>
      <c r="J226" s="3">
        <f t="shared" si="9"/>
        <v>45930</v>
      </c>
      <c r="K226" s="3">
        <v>46000</v>
      </c>
      <c r="L226">
        <f t="shared" ca="1" si="10"/>
        <v>90</v>
      </c>
      <c r="M226" s="11">
        <f t="shared" ca="1" si="11"/>
        <v>70</v>
      </c>
      <c r="N226" s="12" t="str" cm="1">
        <f t="array" ref="N226">_xlfn.IFS(
AND(NOT(ISBLANK(H226)),ISBLANK(K226)),"SUR",
AND(NOT(ISBLANK(H226)),NOT(ISBLANK(K226)),$P226="YES"),"RTR",
AND(NOT(ISBLANK(H226)),NOT(ISBLANK(K226)),$P226="NO"),"NTS",
TRUE,"TO Check"
)</f>
        <v>RTR</v>
      </c>
      <c r="O226" s="2" t="s">
        <v>88</v>
      </c>
      <c r="P226" s="9" t="s">
        <v>38</v>
      </c>
    </row>
    <row r="227" spans="1:16" x14ac:dyDescent="0.35">
      <c r="A227" s="2">
        <v>226</v>
      </c>
      <c r="B227" s="22">
        <v>1591</v>
      </c>
      <c r="E227" t="s">
        <v>217</v>
      </c>
      <c r="F227" s="2" t="s">
        <v>33</v>
      </c>
      <c r="H227" s="3">
        <v>45883</v>
      </c>
      <c r="I227" s="12">
        <v>20</v>
      </c>
      <c r="J227" s="3">
        <f t="shared" si="9"/>
        <v>45903</v>
      </c>
      <c r="K227" s="3">
        <v>45973</v>
      </c>
      <c r="L227">
        <f t="shared" ca="1" si="10"/>
        <v>90</v>
      </c>
      <c r="M227" s="11">
        <f t="shared" ca="1" si="11"/>
        <v>70</v>
      </c>
      <c r="N227" s="12" t="str" cm="1">
        <f t="array" ref="N227">_xlfn.IFS(
AND(NOT(ISBLANK(H227)),ISBLANK(K227)),"SUR",
AND(NOT(ISBLANK(H227)),NOT(ISBLANK(K227)),$P227="YES"),"RTR",
AND(NOT(ISBLANK(H227)),NOT(ISBLANK(K227)),$P227="NO"),"NTS",
TRUE,"TO Check"
)</f>
        <v>RTR</v>
      </c>
      <c r="O227" s="2" t="s">
        <v>37</v>
      </c>
      <c r="P227" s="9" t="s">
        <v>38</v>
      </c>
    </row>
    <row r="228" spans="1:16" x14ac:dyDescent="0.35">
      <c r="A228" s="2">
        <v>227</v>
      </c>
      <c r="B228" s="22">
        <v>535</v>
      </c>
      <c r="E228" t="s">
        <v>218</v>
      </c>
      <c r="F228" s="2" t="s">
        <v>33</v>
      </c>
      <c r="H228" s="3">
        <v>45469</v>
      </c>
      <c r="I228" s="12">
        <v>20</v>
      </c>
      <c r="J228" s="3">
        <f t="shared" si="9"/>
        <v>45489</v>
      </c>
      <c r="K228" s="3">
        <v>45559</v>
      </c>
      <c r="L228">
        <f t="shared" ca="1" si="10"/>
        <v>90</v>
      </c>
      <c r="M228" s="11">
        <f t="shared" ca="1" si="11"/>
        <v>70</v>
      </c>
      <c r="N228" s="12" t="str" cm="1">
        <f t="array" ref="N228">_xlfn.IFS(
AND(NOT(ISBLANK(H228)),ISBLANK(K228)),"SUR",
AND(NOT(ISBLANK(H228)),NOT(ISBLANK(K228)),$P228="YES"),"RTR",
AND(NOT(ISBLANK(H228)),NOT(ISBLANK(K228)),$P228="NO"),"NTS",
TRUE,"TO Check"
)</f>
        <v>RTR</v>
      </c>
      <c r="O228" s="2" t="s">
        <v>37</v>
      </c>
      <c r="P228" s="9" t="s">
        <v>38</v>
      </c>
    </row>
    <row r="229" spans="1:16" x14ac:dyDescent="0.35">
      <c r="A229" s="2">
        <v>228</v>
      </c>
      <c r="B229" s="22">
        <v>133</v>
      </c>
      <c r="E229" t="s">
        <v>98</v>
      </c>
      <c r="F229" s="2" t="s">
        <v>33</v>
      </c>
      <c r="H229" s="3">
        <v>45219</v>
      </c>
      <c r="I229" s="12">
        <v>20</v>
      </c>
      <c r="J229" s="3">
        <f t="shared" si="9"/>
        <v>45239</v>
      </c>
      <c r="K229" s="3">
        <v>45309</v>
      </c>
      <c r="L229">
        <f t="shared" ca="1" si="10"/>
        <v>90</v>
      </c>
      <c r="M229" s="11">
        <f t="shared" ca="1" si="11"/>
        <v>70</v>
      </c>
      <c r="N229" s="12" t="str" cm="1">
        <f t="array" ref="N229">_xlfn.IFS(
AND(NOT(ISBLANK(H229)),ISBLANK(K229)),"SUR",
AND(NOT(ISBLANK(H229)),NOT(ISBLANK(K229)),$P229="YES"),"RTR",
AND(NOT(ISBLANK(H229)),NOT(ISBLANK(K229)),$P229="NO"),"NTS",
TRUE,"TO Check"
)</f>
        <v>RTR</v>
      </c>
      <c r="O229" s="2" t="s">
        <v>34</v>
      </c>
      <c r="P229" s="9" t="s">
        <v>38</v>
      </c>
    </row>
    <row r="230" spans="1:16" x14ac:dyDescent="0.35">
      <c r="A230" s="2">
        <v>229</v>
      </c>
      <c r="B230" s="22">
        <v>432</v>
      </c>
      <c r="E230" t="s">
        <v>219</v>
      </c>
      <c r="F230" s="2" t="s">
        <v>33</v>
      </c>
      <c r="H230" s="3">
        <v>45394</v>
      </c>
      <c r="I230" s="12">
        <v>20</v>
      </c>
      <c r="J230" s="3">
        <f t="shared" si="9"/>
        <v>45414</v>
      </c>
      <c r="K230" s="3">
        <v>45484</v>
      </c>
      <c r="L230">
        <f t="shared" ca="1" si="10"/>
        <v>90</v>
      </c>
      <c r="M230" s="11">
        <f t="shared" ca="1" si="11"/>
        <v>70</v>
      </c>
      <c r="N230" s="12" t="str" cm="1">
        <f t="array" ref="N230">_xlfn.IFS(
AND(NOT(ISBLANK(H230)),ISBLANK(K230)),"SUR",
AND(NOT(ISBLANK(H230)),NOT(ISBLANK(K230)),$P230="YES"),"RTR",
AND(NOT(ISBLANK(H230)),NOT(ISBLANK(K230)),$P230="NO"),"NTS",
TRUE,"TO Check"
)</f>
        <v>RTR</v>
      </c>
      <c r="O230" s="2" t="s">
        <v>34</v>
      </c>
      <c r="P230" s="9" t="s">
        <v>38</v>
      </c>
    </row>
    <row r="231" spans="1:16" x14ac:dyDescent="0.35">
      <c r="A231" s="2">
        <v>230</v>
      </c>
      <c r="B231" s="22">
        <v>177</v>
      </c>
      <c r="E231" t="s">
        <v>220</v>
      </c>
      <c r="F231" s="2" t="s">
        <v>33</v>
      </c>
      <c r="H231" s="3">
        <v>45239</v>
      </c>
      <c r="I231" s="12">
        <v>20</v>
      </c>
      <c r="J231" s="3">
        <f t="shared" si="9"/>
        <v>45259</v>
      </c>
      <c r="K231" s="3">
        <v>45329</v>
      </c>
      <c r="L231">
        <f t="shared" ca="1" si="10"/>
        <v>90</v>
      </c>
      <c r="M231" s="11">
        <f t="shared" ca="1" si="11"/>
        <v>70</v>
      </c>
      <c r="N231" s="12" t="str" cm="1">
        <f t="array" ref="N231">_xlfn.IFS(
AND(NOT(ISBLANK(H231)),ISBLANK(K231)),"SUR",
AND(NOT(ISBLANK(H231)),NOT(ISBLANK(K231)),$P231="YES"),"RTR",
AND(NOT(ISBLANK(H231)),NOT(ISBLANK(K231)),$P231="NO"),"NTS",
TRUE,"TO Check"
)</f>
        <v>RTR</v>
      </c>
      <c r="O231" s="2" t="s">
        <v>34</v>
      </c>
      <c r="P231" s="9" t="s">
        <v>38</v>
      </c>
    </row>
    <row r="232" spans="1:16" x14ac:dyDescent="0.35">
      <c r="A232" s="2">
        <v>231</v>
      </c>
      <c r="B232" s="22">
        <v>1715</v>
      </c>
      <c r="E232" t="s">
        <v>221</v>
      </c>
      <c r="F232" s="2" t="s">
        <v>33</v>
      </c>
      <c r="H232" s="3">
        <v>45930</v>
      </c>
      <c r="I232" s="12">
        <v>20</v>
      </c>
      <c r="J232" s="3">
        <f t="shared" si="9"/>
        <v>45950</v>
      </c>
      <c r="K232" s="3">
        <v>46020</v>
      </c>
      <c r="L232">
        <f t="shared" ca="1" si="10"/>
        <v>90</v>
      </c>
      <c r="M232" s="11">
        <f t="shared" ca="1" si="11"/>
        <v>70</v>
      </c>
      <c r="N232" s="12" t="str" cm="1">
        <f t="array" ref="N232">_xlfn.IFS(
AND(NOT(ISBLANK(H232)),ISBLANK(K232)),"SUR",
AND(NOT(ISBLANK(H232)),NOT(ISBLANK(K232)),$P232="YES"),"RTR",
AND(NOT(ISBLANK(H232)),NOT(ISBLANK(K232)),$P232="NO"),"NTS",
TRUE,"TO Check"
)</f>
        <v>RTR</v>
      </c>
      <c r="O232" s="2" t="s">
        <v>34</v>
      </c>
      <c r="P232" s="9" t="s">
        <v>38</v>
      </c>
    </row>
    <row r="233" spans="1:16" x14ac:dyDescent="0.35">
      <c r="A233" s="2">
        <v>232</v>
      </c>
      <c r="B233" s="22">
        <v>1276</v>
      </c>
      <c r="E233" t="s">
        <v>222</v>
      </c>
      <c r="F233" s="2" t="s">
        <v>33</v>
      </c>
      <c r="H233" s="3">
        <v>45787</v>
      </c>
      <c r="I233" s="12">
        <v>20</v>
      </c>
      <c r="J233" s="3">
        <f t="shared" si="9"/>
        <v>45807</v>
      </c>
      <c r="K233" s="3">
        <v>45877</v>
      </c>
      <c r="L233">
        <f t="shared" ca="1" si="10"/>
        <v>90</v>
      </c>
      <c r="M233" s="11">
        <f t="shared" ca="1" si="11"/>
        <v>70</v>
      </c>
      <c r="N233" s="12" t="str" cm="1">
        <f t="array" ref="N233">_xlfn.IFS(
AND(NOT(ISBLANK(H233)),ISBLANK(K233)),"SUR",
AND(NOT(ISBLANK(H233)),NOT(ISBLANK(K233)),$P233="YES"),"RTR",
AND(NOT(ISBLANK(H233)),NOT(ISBLANK(K233)),$P233="NO"),"NTS",
TRUE,"TO Check"
)</f>
        <v>RTR</v>
      </c>
      <c r="O233" s="2" t="s">
        <v>37</v>
      </c>
      <c r="P233" s="9" t="s">
        <v>38</v>
      </c>
    </row>
  </sheetData>
  <autoFilter ref="A1:T233" xr:uid="{00000000-0001-0000-0000-000000000000}"/>
  <conditionalFormatting sqref="A1:XFD1048576">
    <cfRule type="expression" dxfId="0" priority="1">
      <formula>_xlfn.ISFORMULA(A1)</formula>
    </cfRule>
  </conditionalFormatting>
  <dataValidations count="1">
    <dataValidation type="list" allowBlank="1" showInputMessage="1" showErrorMessage="1" sqref="P1:P1048576" xr:uid="{CDD04B0A-BBB3-434F-9840-231D0D6918B8}">
      <formula1>"YES,NO"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17B8659-8FED-441E-8A24-629F29C2338D}">
          <x14:formula1>
            <xm:f>Code!$B$9:$B$11</xm:f>
          </x14:formula1>
          <xm:sqref>I2:I1048576</xm:sqref>
        </x14:dataValidation>
        <x14:dataValidation type="list" allowBlank="1" showInputMessage="1" showErrorMessage="1" xr:uid="{6BBFEC21-0DA3-43DE-BC8E-16D3EDB59E95}">
          <x14:formula1>
            <xm:f>Code!$H:$H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9"/>
  <sheetViews>
    <sheetView workbookViewId="0">
      <selection activeCell="C15" sqref="C15"/>
    </sheetView>
  </sheetViews>
  <sheetFormatPr defaultRowHeight="14.5" x14ac:dyDescent="0.35"/>
  <cols>
    <col min="1" max="1" width="23.54296875" bestFit="1" customWidth="1"/>
    <col min="2" max="2" width="22.1796875" bestFit="1" customWidth="1"/>
    <col min="3" max="3" width="24.81640625" bestFit="1" customWidth="1"/>
    <col min="4" max="4" width="11.1796875" bestFit="1" customWidth="1"/>
    <col min="5" max="5" width="21.453125" bestFit="1" customWidth="1"/>
    <col min="6" max="6" width="32.453125" bestFit="1" customWidth="1"/>
    <col min="7" max="7" width="12.1796875" bestFit="1" customWidth="1"/>
    <col min="8" max="8" width="13.453125" bestFit="1" customWidth="1"/>
    <col min="9" max="9" width="26.453125" bestFit="1" customWidth="1"/>
    <col min="10" max="10" width="12.1796875" bestFit="1" customWidth="1"/>
    <col min="11" max="11" width="10.81640625" customWidth="1"/>
    <col min="12" max="12" width="6.81640625" customWidth="1"/>
    <col min="13" max="13" width="93.81640625" style="17" customWidth="1"/>
    <col min="14" max="14" width="9.81640625" customWidth="1"/>
  </cols>
  <sheetData>
    <row r="1" spans="1:14" x14ac:dyDescent="0.35">
      <c r="A1" s="19" t="s">
        <v>223</v>
      </c>
      <c r="B1" s="19" t="s">
        <v>224</v>
      </c>
      <c r="C1" s="19" t="s">
        <v>225</v>
      </c>
      <c r="E1" s="1" t="s">
        <v>226</v>
      </c>
      <c r="F1" s="1" t="s">
        <v>28</v>
      </c>
      <c r="H1" s="1" t="s">
        <v>227</v>
      </c>
      <c r="I1" s="1" t="s">
        <v>29</v>
      </c>
      <c r="K1" s="1" t="s">
        <v>228</v>
      </c>
      <c r="L1" s="1" t="s">
        <v>229</v>
      </c>
      <c r="M1" s="16" t="s">
        <v>230</v>
      </c>
      <c r="N1" s="1" t="s">
        <v>231</v>
      </c>
    </row>
    <row r="2" spans="1:14" x14ac:dyDescent="0.35">
      <c r="A2" s="13" t="s">
        <v>232</v>
      </c>
      <c r="B2" s="13" t="s">
        <v>233</v>
      </c>
      <c r="C2" s="13" t="s">
        <v>234</v>
      </c>
      <c r="E2" s="13" t="s">
        <v>235</v>
      </c>
      <c r="F2" s="13" t="s">
        <v>236</v>
      </c>
      <c r="H2" s="13" t="s">
        <v>88</v>
      </c>
      <c r="I2" s="13" t="s">
        <v>237</v>
      </c>
      <c r="K2" s="13" t="s">
        <v>238</v>
      </c>
      <c r="L2" s="13" t="s">
        <v>239</v>
      </c>
      <c r="M2" s="18" t="s">
        <v>240</v>
      </c>
      <c r="N2" s="13" t="s">
        <v>241</v>
      </c>
    </row>
    <row r="3" spans="1:14" x14ac:dyDescent="0.35">
      <c r="A3" s="13" t="s">
        <v>242</v>
      </c>
      <c r="B3" s="13" t="s">
        <v>243</v>
      </c>
      <c r="C3" s="13" t="s">
        <v>234</v>
      </c>
      <c r="E3" s="13" t="s">
        <v>244</v>
      </c>
      <c r="F3" s="13" t="s">
        <v>245</v>
      </c>
      <c r="H3" s="13" t="s">
        <v>246</v>
      </c>
      <c r="I3" s="13" t="s">
        <v>247</v>
      </c>
      <c r="K3" s="13" t="s">
        <v>248</v>
      </c>
      <c r="L3" s="13" t="s">
        <v>239</v>
      </c>
      <c r="M3" s="18" t="s">
        <v>249</v>
      </c>
      <c r="N3" s="13" t="s">
        <v>250</v>
      </c>
    </row>
    <row r="4" spans="1:14" x14ac:dyDescent="0.35">
      <c r="A4" s="13" t="s">
        <v>251</v>
      </c>
      <c r="B4" s="13" t="s">
        <v>252</v>
      </c>
      <c r="C4" s="13" t="s">
        <v>234</v>
      </c>
      <c r="E4" s="13" t="s">
        <v>253</v>
      </c>
      <c r="F4" s="13" t="s">
        <v>254</v>
      </c>
      <c r="H4" s="13" t="s">
        <v>34</v>
      </c>
      <c r="I4" s="13" t="s">
        <v>255</v>
      </c>
      <c r="K4" s="13" t="s">
        <v>256</v>
      </c>
      <c r="L4" s="13" t="s">
        <v>239</v>
      </c>
      <c r="M4" s="18" t="s">
        <v>257</v>
      </c>
      <c r="N4" s="13" t="s">
        <v>250</v>
      </c>
    </row>
    <row r="5" spans="1:14" x14ac:dyDescent="0.35">
      <c r="A5" s="13" t="s">
        <v>258</v>
      </c>
      <c r="B5" s="13" t="s">
        <v>259</v>
      </c>
      <c r="C5" s="13" t="s">
        <v>234</v>
      </c>
      <c r="E5" s="13"/>
      <c r="F5" s="13"/>
      <c r="H5" s="13" t="s">
        <v>37</v>
      </c>
      <c r="I5" s="13" t="s">
        <v>260</v>
      </c>
      <c r="K5" s="13" t="s">
        <v>261</v>
      </c>
      <c r="L5" s="13" t="s">
        <v>239</v>
      </c>
      <c r="M5" s="18" t="s">
        <v>262</v>
      </c>
      <c r="N5" s="13" t="s">
        <v>241</v>
      </c>
    </row>
    <row r="6" spans="1:14" x14ac:dyDescent="0.35">
      <c r="A6" s="13" t="s">
        <v>263</v>
      </c>
      <c r="B6" s="13" t="s">
        <v>264</v>
      </c>
      <c r="C6" s="13" t="s">
        <v>265</v>
      </c>
      <c r="H6" s="13"/>
      <c r="I6" s="13"/>
      <c r="K6" s="13" t="s">
        <v>266</v>
      </c>
      <c r="L6" s="13" t="s">
        <v>239</v>
      </c>
      <c r="M6" s="18" t="s">
        <v>267</v>
      </c>
      <c r="N6" s="13" t="s">
        <v>241</v>
      </c>
    </row>
    <row r="7" spans="1:14" x14ac:dyDescent="0.35">
      <c r="A7" s="13" t="s">
        <v>268</v>
      </c>
      <c r="B7" s="14">
        <v>1</v>
      </c>
      <c r="C7" s="13" t="s">
        <v>269</v>
      </c>
      <c r="K7" s="13" t="s">
        <v>270</v>
      </c>
      <c r="L7" s="13" t="s">
        <v>239</v>
      </c>
      <c r="M7" s="18" t="s">
        <v>271</v>
      </c>
      <c r="N7" s="13" t="s">
        <v>241</v>
      </c>
    </row>
    <row r="8" spans="1:14" x14ac:dyDescent="0.35">
      <c r="A8" s="13" t="s">
        <v>272</v>
      </c>
      <c r="B8" s="14">
        <v>20000</v>
      </c>
      <c r="C8" s="13" t="s">
        <v>269</v>
      </c>
      <c r="K8" s="13" t="s">
        <v>273</v>
      </c>
      <c r="L8" s="13" t="s">
        <v>239</v>
      </c>
      <c r="M8" s="18" t="s">
        <v>274</v>
      </c>
      <c r="N8" s="13" t="s">
        <v>241</v>
      </c>
    </row>
    <row r="9" spans="1:14" x14ac:dyDescent="0.35">
      <c r="A9" s="13" t="s">
        <v>275</v>
      </c>
      <c r="B9" s="15">
        <v>20</v>
      </c>
      <c r="C9" s="13" t="s">
        <v>269</v>
      </c>
      <c r="K9" s="13" t="s">
        <v>276</v>
      </c>
      <c r="L9" s="13" t="s">
        <v>239</v>
      </c>
      <c r="M9" s="18" t="s">
        <v>277</v>
      </c>
      <c r="N9" s="13" t="s">
        <v>250</v>
      </c>
    </row>
    <row r="10" spans="1:14" x14ac:dyDescent="0.35">
      <c r="A10" s="13" t="s">
        <v>278</v>
      </c>
      <c r="B10" s="15">
        <v>14</v>
      </c>
      <c r="C10" s="13" t="s">
        <v>269</v>
      </c>
      <c r="K10" s="13" t="s">
        <v>279</v>
      </c>
      <c r="L10" s="13" t="s">
        <v>239</v>
      </c>
      <c r="M10" s="18" t="s">
        <v>280</v>
      </c>
      <c r="N10" s="13" t="s">
        <v>241</v>
      </c>
    </row>
    <row r="11" spans="1:14" x14ac:dyDescent="0.35">
      <c r="A11" s="13" t="s">
        <v>281</v>
      </c>
      <c r="B11" s="15">
        <v>14</v>
      </c>
      <c r="C11" s="13" t="s">
        <v>269</v>
      </c>
      <c r="K11" s="13" t="s">
        <v>282</v>
      </c>
      <c r="L11" s="13" t="s">
        <v>239</v>
      </c>
      <c r="M11" s="18" t="s">
        <v>283</v>
      </c>
      <c r="N11" s="13" t="s">
        <v>284</v>
      </c>
    </row>
    <row r="12" spans="1:14" x14ac:dyDescent="0.35">
      <c r="A12" s="13" t="s">
        <v>15</v>
      </c>
      <c r="B12" s="13" t="s">
        <v>285</v>
      </c>
      <c r="C12" s="13" t="s">
        <v>269</v>
      </c>
      <c r="K12" s="13" t="s">
        <v>286</v>
      </c>
      <c r="L12" s="13" t="s">
        <v>239</v>
      </c>
      <c r="M12" s="18" t="s">
        <v>287</v>
      </c>
      <c r="N12" s="13" t="s">
        <v>241</v>
      </c>
    </row>
    <row r="13" spans="1:14" x14ac:dyDescent="0.35">
      <c r="A13" s="13" t="s">
        <v>16</v>
      </c>
      <c r="B13" s="13" t="s">
        <v>288</v>
      </c>
      <c r="C13" s="13" t="s">
        <v>234</v>
      </c>
      <c r="K13" s="13" t="s">
        <v>289</v>
      </c>
      <c r="L13" s="13" t="s">
        <v>239</v>
      </c>
      <c r="M13" s="18" t="s">
        <v>290</v>
      </c>
      <c r="N13" s="13" t="s">
        <v>241</v>
      </c>
    </row>
    <row r="14" spans="1:14" ht="29" x14ac:dyDescent="0.35">
      <c r="A14" s="13" t="s">
        <v>17</v>
      </c>
      <c r="B14" s="13" t="s">
        <v>291</v>
      </c>
      <c r="C14" s="13" t="s">
        <v>234</v>
      </c>
      <c r="K14" s="13" t="s">
        <v>292</v>
      </c>
      <c r="L14" s="13" t="s">
        <v>239</v>
      </c>
      <c r="M14" s="18" t="s">
        <v>293</v>
      </c>
      <c r="N14" s="13" t="s">
        <v>241</v>
      </c>
    </row>
    <row r="15" spans="1:14" ht="43.5" x14ac:dyDescent="0.35">
      <c r="A15" s="13" t="s">
        <v>18</v>
      </c>
      <c r="B15" s="13" t="s">
        <v>294</v>
      </c>
      <c r="C15" s="13" t="s">
        <v>234</v>
      </c>
      <c r="K15" s="13" t="s">
        <v>295</v>
      </c>
      <c r="L15" s="13" t="s">
        <v>296</v>
      </c>
      <c r="M15" s="18" t="s">
        <v>297</v>
      </c>
      <c r="N15" s="13" t="s">
        <v>250</v>
      </c>
    </row>
    <row r="16" spans="1:14" x14ac:dyDescent="0.35">
      <c r="A16" s="13" t="s">
        <v>19</v>
      </c>
      <c r="B16" s="13" t="s">
        <v>298</v>
      </c>
      <c r="C16" s="13" t="s">
        <v>234</v>
      </c>
      <c r="K16" s="13" t="s">
        <v>299</v>
      </c>
      <c r="L16" s="13" t="s">
        <v>296</v>
      </c>
      <c r="M16" s="18" t="s">
        <v>300</v>
      </c>
      <c r="N16" s="13" t="s">
        <v>241</v>
      </c>
    </row>
    <row r="17" spans="1:14" ht="29" x14ac:dyDescent="0.35">
      <c r="A17" s="13" t="s">
        <v>20</v>
      </c>
      <c r="B17" s="13" t="s">
        <v>301</v>
      </c>
      <c r="C17" s="13" t="s">
        <v>234</v>
      </c>
      <c r="K17" s="13" t="s">
        <v>302</v>
      </c>
      <c r="L17" s="13" t="s">
        <v>303</v>
      </c>
      <c r="M17" s="18" t="s">
        <v>304</v>
      </c>
      <c r="N17" s="13" t="s">
        <v>250</v>
      </c>
    </row>
    <row r="18" spans="1:14" x14ac:dyDescent="0.35">
      <c r="A18" s="13" t="s">
        <v>21</v>
      </c>
      <c r="B18" s="13" t="s">
        <v>305</v>
      </c>
      <c r="C18" s="13" t="s">
        <v>234</v>
      </c>
      <c r="K18" s="13" t="s">
        <v>306</v>
      </c>
      <c r="L18" s="13" t="s">
        <v>303</v>
      </c>
      <c r="M18" s="18" t="s">
        <v>307</v>
      </c>
      <c r="N18" s="13" t="s">
        <v>241</v>
      </c>
    </row>
    <row r="19" spans="1:14" x14ac:dyDescent="0.35">
      <c r="A19" s="13" t="s">
        <v>22</v>
      </c>
      <c r="B19" s="13" t="s">
        <v>308</v>
      </c>
      <c r="C19" s="13" t="s">
        <v>265</v>
      </c>
      <c r="K19" s="13" t="s">
        <v>309</v>
      </c>
      <c r="L19" s="13" t="s">
        <v>303</v>
      </c>
      <c r="M19" s="18" t="s">
        <v>310</v>
      </c>
      <c r="N19" s="13" t="s">
        <v>241</v>
      </c>
    </row>
    <row r="20" spans="1:14" ht="29" x14ac:dyDescent="0.35">
      <c r="A20" s="13" t="s">
        <v>23</v>
      </c>
      <c r="B20" s="13" t="s">
        <v>311</v>
      </c>
      <c r="C20" s="13" t="s">
        <v>269</v>
      </c>
      <c r="K20" s="13" t="s">
        <v>312</v>
      </c>
      <c r="L20" s="13" t="s">
        <v>303</v>
      </c>
      <c r="M20" s="18" t="s">
        <v>313</v>
      </c>
      <c r="N20" s="13" t="s">
        <v>250</v>
      </c>
    </row>
    <row r="21" spans="1:14" x14ac:dyDescent="0.35">
      <c r="A21" s="13" t="s">
        <v>24</v>
      </c>
      <c r="B21" s="13" t="s">
        <v>314</v>
      </c>
      <c r="C21" s="13" t="s">
        <v>265</v>
      </c>
      <c r="K21" s="13" t="s">
        <v>315</v>
      </c>
      <c r="L21" s="13" t="s">
        <v>303</v>
      </c>
      <c r="M21" s="18" t="s">
        <v>316</v>
      </c>
      <c r="N21" s="13" t="s">
        <v>241</v>
      </c>
    </row>
    <row r="22" spans="1:14" x14ac:dyDescent="0.35">
      <c r="A22" s="13" t="s">
        <v>25</v>
      </c>
      <c r="B22" s="13" t="s">
        <v>317</v>
      </c>
      <c r="C22" s="13" t="s">
        <v>265</v>
      </c>
      <c r="K22" s="13" t="s">
        <v>318</v>
      </c>
      <c r="L22" s="13" t="s">
        <v>319</v>
      </c>
      <c r="M22" s="18" t="s">
        <v>320</v>
      </c>
      <c r="N22" s="13" t="s">
        <v>241</v>
      </c>
    </row>
    <row r="23" spans="1:14" x14ac:dyDescent="0.35">
      <c r="A23" s="13" t="s">
        <v>26</v>
      </c>
      <c r="B23" s="13" t="s">
        <v>321</v>
      </c>
      <c r="C23" s="13" t="s">
        <v>269</v>
      </c>
      <c r="K23" s="13" t="s">
        <v>322</v>
      </c>
      <c r="L23" s="13" t="s">
        <v>319</v>
      </c>
      <c r="M23" s="18" t="s">
        <v>323</v>
      </c>
      <c r="N23" s="13" t="s">
        <v>241</v>
      </c>
    </row>
    <row r="24" spans="1:14" x14ac:dyDescent="0.35">
      <c r="A24" s="13" t="s">
        <v>324</v>
      </c>
      <c r="B24" s="13" t="s">
        <v>325</v>
      </c>
      <c r="C24" s="13" t="s">
        <v>269</v>
      </c>
      <c r="K24" s="13" t="s">
        <v>326</v>
      </c>
      <c r="L24" s="13" t="s">
        <v>319</v>
      </c>
      <c r="M24" s="18" t="s">
        <v>327</v>
      </c>
      <c r="N24" s="13" t="s">
        <v>241</v>
      </c>
    </row>
    <row r="25" spans="1:14" x14ac:dyDescent="0.35">
      <c r="A25" s="13" t="s">
        <v>29</v>
      </c>
      <c r="B25" s="13" t="s">
        <v>328</v>
      </c>
      <c r="C25" s="13" t="s">
        <v>234</v>
      </c>
      <c r="K25" s="13" t="s">
        <v>329</v>
      </c>
      <c r="L25" s="13" t="s">
        <v>330</v>
      </c>
      <c r="M25" s="18" t="s">
        <v>331</v>
      </c>
      <c r="N25" s="13" t="s">
        <v>241</v>
      </c>
    </row>
    <row r="26" spans="1:14" ht="29" x14ac:dyDescent="0.35">
      <c r="A26" s="13" t="s">
        <v>30</v>
      </c>
      <c r="B26" s="13" t="s">
        <v>332</v>
      </c>
      <c r="C26" s="13" t="s">
        <v>333</v>
      </c>
      <c r="K26" s="13" t="s">
        <v>334</v>
      </c>
      <c r="L26" s="13" t="s">
        <v>335</v>
      </c>
      <c r="M26" s="18" t="s">
        <v>336</v>
      </c>
      <c r="N26" s="13" t="s">
        <v>241</v>
      </c>
    </row>
    <row r="27" spans="1:14" x14ac:dyDescent="0.35">
      <c r="A27" s="13" t="s">
        <v>31</v>
      </c>
      <c r="B27" s="13" t="s">
        <v>337</v>
      </c>
      <c r="C27" s="13" t="s">
        <v>234</v>
      </c>
      <c r="K27" s="13" t="s">
        <v>338</v>
      </c>
      <c r="L27" s="13" t="s">
        <v>339</v>
      </c>
      <c r="M27" s="18" t="s">
        <v>340</v>
      </c>
      <c r="N27" s="13" t="s">
        <v>250</v>
      </c>
    </row>
    <row r="28" spans="1:14" x14ac:dyDescent="0.35">
      <c r="A28" s="13"/>
      <c r="B28" s="13"/>
      <c r="C28" s="13"/>
      <c r="K28" s="13" t="s">
        <v>341</v>
      </c>
      <c r="L28" s="13" t="s">
        <v>339</v>
      </c>
      <c r="M28" s="18" t="s">
        <v>342</v>
      </c>
      <c r="N28" s="13" t="s">
        <v>241</v>
      </c>
    </row>
    <row r="29" spans="1:14" x14ac:dyDescent="0.35">
      <c r="K29" s="13"/>
      <c r="L29" s="13"/>
      <c r="M29" s="18"/>
      <c r="N29" s="13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E075E1F5F4354EAA6D40AAFDD7C5B7" ma:contentTypeVersion="11" ma:contentTypeDescription="Create a new document." ma:contentTypeScope="" ma:versionID="413e7fbc6bfff51495b9935fab9c9eb7">
  <xsd:schema xmlns:xsd="http://www.w3.org/2001/XMLSchema" xmlns:xs="http://www.w3.org/2001/XMLSchema" xmlns:p="http://schemas.microsoft.com/office/2006/metadata/properties" xmlns:ns2="d9e77098-5d25-4da0-8ec0-b428d9dfa13b" xmlns:ns3="dabe0c67-3730-4fa0-82e4-66182d905f97" targetNamespace="http://schemas.microsoft.com/office/2006/metadata/properties" ma:root="true" ma:fieldsID="72eddbe93d13f361e6527edddba36bff" ns2:_="" ns3:_="">
    <xsd:import namespace="d9e77098-5d25-4da0-8ec0-b428d9dfa13b"/>
    <xsd:import namespace="dabe0c67-3730-4fa0-82e4-66182d905f9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e77098-5d25-4da0-8ec0-b428d9dfa1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a420194-0c98-419b-8655-40353cf4b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be0c67-3730-4fa0-82e4-66182d905f9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9e00196-d256-4905-95b7-e5466cd208c7}" ma:internalName="TaxCatchAll" ma:showField="CatchAllData" ma:web="dabe0c67-3730-4fa0-82e4-66182d905f9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abe0c67-3730-4fa0-82e4-66182d905f97" xsi:nil="true"/>
    <lcf76f155ced4ddcb4097134ff3c332f xmlns="d9e77098-5d25-4da0-8ec0-b428d9dfa13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6A99400-7273-4660-B2DB-C8CE0A4C78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007B31-40A9-49CA-A632-763EEED92C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e77098-5d25-4da0-8ec0-b428d9dfa13b"/>
    <ds:schemaRef ds:uri="dabe0c67-3730-4fa0-82e4-66182d905f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1E19F9-E9BE-4A38-A4E5-C2DC89D12BB3}">
  <ds:schemaRefs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d9e77098-5d25-4da0-8ec0-b428d9dfa13b"/>
    <ds:schemaRef ds:uri="http://schemas.microsoft.com/office/2006/documentManagement/types"/>
    <ds:schemaRef ds:uri="http://purl.org/dc/elements/1.1/"/>
    <ds:schemaRef ds:uri="dabe0c67-3730-4fa0-82e4-66182d905f97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SubmittalLog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Franklin Song Qinhua</cp:lastModifiedBy>
  <cp:revision/>
  <dcterms:created xsi:type="dcterms:W3CDTF">2026-09-30T07:41:58Z</dcterms:created>
  <dcterms:modified xsi:type="dcterms:W3CDTF">2026-10-01T02:20:42Z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0x01010061E075E1F5F4354EAA6D40AAFDD7C5B7</vt:lpwstr>
  </property>
  <property fmtid="{D5CDD505-2E9C-101B-9397-08002B2CF9AE}" pid="3" name="MediaServiceImageTags">
    <vt:lpwstr/>
  </property>
</Properties>
</file>