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defaultThemeVersion="166925"/>
  <mc:AlternateContent xmlns:mc="http://schemas.openxmlformats.org/markup-compatibility/2006">
    <mc:Choice Requires="x15">
      <x15ac:absPath xmlns:x15ac="http://schemas.microsoft.com/office/spreadsheetml/2010/11/ac" url="C:\Users\qinghua.song\DSAI\workbuddy\MDL\"/>
    </mc:Choice>
  </mc:AlternateContent>
  <xr:revisionPtr revIDLastSave="0" documentId="13_ncr:1_{89F2B2AF-46C8-49E3-90EA-AFA73FA36EC9}" xr6:coauthVersionLast="47" xr6:coauthVersionMax="47" xr10:uidLastSave="{00000000-0000-0000-0000-000000000000}"/>
  <bookViews>
    <workbookView xWindow="-110" yWindow="-110" windowWidth="19420" windowHeight="11500" tabRatio="686" firstSheet="1" activeTab="2" xr2:uid="{00000000-000D-0000-FFFF-FFFF00000000}"/>
  </bookViews>
  <sheets>
    <sheet name="Notes" sheetId="8" r:id="rId1"/>
    <sheet name="Dashboard" sheetId="1" r:id="rId2"/>
    <sheet name="Code" sheetId="2" r:id="rId3"/>
    <sheet name="BQ" sheetId="11" r:id="rId4"/>
    <sheet name="Validation" sheetId="13" r:id="rId5"/>
    <sheet name="Project" sheetId="10" r:id="rId6"/>
    <sheet name="QAQC" sheetId="9" r:id="rId7"/>
    <sheet name="Process" sheetId="12" r:id="rId8"/>
    <sheet name="Mech" sheetId="3" r:id="rId9"/>
    <sheet name="Electrical" sheetId="4" r:id="rId10"/>
    <sheet name="ICA" sheetId="5" r:id="rId11"/>
    <sheet name="BS" sheetId="6" r:id="rId12"/>
    <sheet name="CSA" sheetId="7" r:id="rId13"/>
  </sheets>
  <externalReferences>
    <externalReference r:id="rId14"/>
  </externalReferences>
  <definedNames>
    <definedName name="_xlnm._FilterDatabase" localSheetId="3" hidden="1">BQ!$A$1:$C$2117</definedName>
    <definedName name="_xlnm._FilterDatabase" localSheetId="7" hidden="1">Process!$A$1:$Y$404</definedName>
    <definedName name="_xlnm._FilterDatabase" localSheetId="5" hidden="1">Project!$A$1:$Y$38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U16" i="12" l="1" a="1"/>
  <c r="V16" i="12" a="1"/>
  <c r="W16" i="12" a="1"/>
  <c r="X16" i="12"/>
  <c r="Y16" i="12" a="1"/>
  <c r="U17" i="12" a="1"/>
  <c r="V17" i="12" a="1"/>
  <c r="W17" i="12" a="1"/>
  <c r="X17" i="12"/>
  <c r="Y17" i="12" a="1"/>
  <c r="U18" i="12" a="1"/>
  <c r="V18" i="12" a="1"/>
  <c r="W18" i="12" a="1"/>
  <c r="X18" i="12"/>
  <c r="Y18" i="12" a="1"/>
  <c r="U19" i="12" a="1"/>
  <c r="V19" i="12" a="1"/>
  <c r="W19" i="12" a="1"/>
  <c r="X19" i="12"/>
  <c r="Y19" i="12" a="1"/>
  <c r="U20" i="12" a="1"/>
  <c r="V20" i="12" a="1"/>
  <c r="W20" i="12" a="1"/>
  <c r="X20" i="12"/>
  <c r="Y20" i="12" a="1"/>
  <c r="U21" i="12" a="1"/>
  <c r="V21" i="12" a="1"/>
  <c r="W21" i="12" a="1"/>
  <c r="X21" i="12"/>
  <c r="Y21" i="12" a="1"/>
  <c r="U22" i="12" a="1"/>
  <c r="V22" i="12" a="1"/>
  <c r="W22" i="12" a="1"/>
  <c r="X22" i="12"/>
  <c r="Y22" i="12" a="1"/>
  <c r="U23" i="12" a="1"/>
  <c r="V23" i="12" a="1"/>
  <c r="W23" i="12" a="1"/>
  <c r="X23" i="12"/>
  <c r="Y23" i="12" a="1"/>
  <c r="U24" i="12" a="1"/>
  <c r="V24" i="12" a="1"/>
  <c r="W24" i="12" a="1"/>
  <c r="X24" i="12"/>
  <c r="Y24" i="12" a="1"/>
  <c r="U25" i="12" a="1"/>
  <c r="V25" i="12" a="1"/>
  <c r="W25" i="12" a="1"/>
  <c r="X25" i="12"/>
  <c r="Y25" i="12" a="1"/>
  <c r="U26" i="12" a="1"/>
  <c r="V26" i="12" a="1"/>
  <c r="W26" i="12" a="1"/>
  <c r="X26" i="12"/>
  <c r="Y26" i="12" a="1"/>
  <c r="U27" i="12" a="1"/>
  <c r="V27" i="12" a="1"/>
  <c r="W27" i="12" a="1"/>
  <c r="X27" i="12"/>
  <c r="Y27" i="12" a="1"/>
  <c r="U28" i="12" a="1"/>
  <c r="V28" i="12" a="1"/>
  <c r="W28" i="12" a="1"/>
  <c r="X28" i="12"/>
  <c r="Y28" i="12" a="1"/>
  <c r="U29" i="12" a="1"/>
  <c r="V29" i="12" a="1"/>
  <c r="W29" i="12" a="1"/>
  <c r="X29" i="12"/>
  <c r="Y29" i="12" a="1"/>
  <c r="U30" i="12" a="1"/>
  <c r="V30" i="12" a="1"/>
  <c r="W30" i="12" a="1"/>
  <c r="X30" i="12"/>
  <c r="Y30" i="12" a="1"/>
  <c r="U31" i="12" a="1"/>
  <c r="V31" i="12" a="1"/>
  <c r="W31" i="12" a="1"/>
  <c r="X31" i="12"/>
  <c r="Y31" i="12" a="1"/>
  <c r="U32" i="12" a="1"/>
  <c r="V32" i="12" a="1"/>
  <c r="W32" i="12" a="1"/>
  <c r="X32" i="12"/>
  <c r="Y32" i="12" a="1"/>
  <c r="U33" i="12" a="1"/>
  <c r="V33" i="12" a="1"/>
  <c r="W33" i="12" a="1"/>
  <c r="X33" i="12"/>
  <c r="Y33" i="12" a="1"/>
  <c r="U34" i="12" a="1"/>
  <c r="V34" i="12" a="1"/>
  <c r="W34" i="12" a="1"/>
  <c r="X34" i="12"/>
  <c r="Y34" i="12" a="1"/>
  <c r="U35" i="12" a="1"/>
  <c r="V35" i="12" a="1"/>
  <c r="W35" i="12" a="1"/>
  <c r="X35" i="12"/>
  <c r="Y35" i="12" a="1"/>
  <c r="U36" i="12" a="1"/>
  <c r="V36" i="12" a="1"/>
  <c r="W36" i="12" a="1"/>
  <c r="X36" i="12"/>
  <c r="Y36" i="12" a="1"/>
  <c r="U37" i="12" a="1"/>
  <c r="V37" i="12" a="1"/>
  <c r="W37" i="12" a="1"/>
  <c r="X37" i="12"/>
  <c r="Y37" i="12" a="1"/>
  <c r="U38" i="12" a="1"/>
  <c r="V38" i="12" a="1"/>
  <c r="W38" i="12" a="1"/>
  <c r="X38" i="12"/>
  <c r="Y38" i="12" a="1"/>
  <c r="U39" i="12" a="1"/>
  <c r="V39" i="12" a="1"/>
  <c r="W39" i="12" a="1"/>
  <c r="X39" i="12"/>
  <c r="Y39" i="12" a="1"/>
  <c r="U40" i="12" a="1"/>
  <c r="V40" i="12" a="1"/>
  <c r="W40" i="12" a="1"/>
  <c r="X40" i="12"/>
  <c r="Y40" i="12" a="1"/>
  <c r="U41" i="12" a="1"/>
  <c r="V41" i="12" a="1"/>
  <c r="W41" i="12" a="1"/>
  <c r="X41" i="12"/>
  <c r="Y41" i="12" a="1"/>
  <c r="U42" i="12" a="1"/>
  <c r="V42" i="12" a="1"/>
  <c r="W42" i="12" a="1"/>
  <c r="X42" i="12"/>
  <c r="Y42" i="12" a="1"/>
  <c r="U43" i="12" a="1"/>
  <c r="V43" i="12" a="1"/>
  <c r="W43" i="12" a="1"/>
  <c r="X43" i="12"/>
  <c r="Y43" i="12" a="1"/>
  <c r="U44" i="12" a="1"/>
  <c r="V44" i="12" a="1"/>
  <c r="W44" i="12" a="1"/>
  <c r="X44" i="12"/>
  <c r="Y44" i="12" a="1"/>
  <c r="U45" i="12" a="1"/>
  <c r="V45" i="12" a="1"/>
  <c r="W45" i="12" a="1"/>
  <c r="X45" i="12"/>
  <c r="Y45" i="12" a="1"/>
  <c r="U46" i="12" a="1"/>
  <c r="V46" i="12" a="1"/>
  <c r="W46" i="12" a="1"/>
  <c r="X46" i="12"/>
  <c r="Y46" i="12" a="1"/>
  <c r="U47" i="12" a="1"/>
  <c r="V47" i="12" a="1"/>
  <c r="W47" i="12" a="1"/>
  <c r="X47" i="12"/>
  <c r="Y47" i="12" a="1"/>
  <c r="U48" i="12" a="1"/>
  <c r="V48" i="12" a="1"/>
  <c r="W48" i="12" a="1"/>
  <c r="X48" i="12"/>
  <c r="Y48" i="12" a="1"/>
  <c r="U49" i="12" a="1"/>
  <c r="V49" i="12" a="1"/>
  <c r="W49" i="12" a="1"/>
  <c r="X49" i="12"/>
  <c r="Y49" i="12" a="1"/>
  <c r="U50" i="12" a="1"/>
  <c r="V50" i="12" a="1"/>
  <c r="W50" i="12" a="1"/>
  <c r="X50" i="12"/>
  <c r="Y50" i="12" a="1"/>
  <c r="U51" i="12" a="1"/>
  <c r="V51" i="12" a="1"/>
  <c r="W51" i="12" a="1"/>
  <c r="X51" i="12"/>
  <c r="Y51" i="12" a="1"/>
  <c r="U52" i="12" a="1"/>
  <c r="V52" i="12" a="1"/>
  <c r="W52" i="12" a="1"/>
  <c r="X52" i="12"/>
  <c r="Y52" i="12" a="1"/>
  <c r="U53" i="12" a="1"/>
  <c r="V53" i="12" a="1"/>
  <c r="W53" i="12" a="1"/>
  <c r="X53" i="12"/>
  <c r="Y53" i="12" a="1"/>
  <c r="U54" i="12" a="1"/>
  <c r="V54" i="12" a="1"/>
  <c r="W54" i="12" a="1"/>
  <c r="X54" i="12"/>
  <c r="Y54" i="12" a="1"/>
  <c r="U55" i="12" a="1"/>
  <c r="V55" i="12" a="1"/>
  <c r="W55" i="12" a="1"/>
  <c r="X55" i="12"/>
  <c r="Y55" i="12" a="1"/>
  <c r="U56" i="12" a="1"/>
  <c r="V56" i="12" a="1"/>
  <c r="W56" i="12" a="1"/>
  <c r="X56" i="12"/>
  <c r="Y56" i="12" a="1"/>
  <c r="U57" i="12" a="1"/>
  <c r="V57" i="12" a="1"/>
  <c r="W57" i="12" a="1"/>
  <c r="X57" i="12"/>
  <c r="Y57" i="12" a="1"/>
  <c r="U58" i="12" a="1"/>
  <c r="V58" i="12" a="1"/>
  <c r="W58" i="12" a="1"/>
  <c r="X58" i="12"/>
  <c r="Y58" i="12" a="1"/>
  <c r="U59" i="12" a="1"/>
  <c r="V59" i="12" a="1"/>
  <c r="W59" i="12" a="1"/>
  <c r="X59" i="12"/>
  <c r="Y59" i="12" a="1"/>
  <c r="U60" i="12" a="1"/>
  <c r="V60" i="12" a="1"/>
  <c r="W60" i="12" a="1"/>
  <c r="X60" i="12"/>
  <c r="Y60" i="12" a="1"/>
  <c r="U61" i="12" a="1"/>
  <c r="V61" i="12" a="1"/>
  <c r="W61" i="12" a="1"/>
  <c r="X61" i="12"/>
  <c r="Y61" i="12" a="1"/>
  <c r="U62" i="12" a="1"/>
  <c r="V62" i="12" a="1"/>
  <c r="W62" i="12" a="1"/>
  <c r="X62" i="12"/>
  <c r="Y62" i="12" a="1"/>
  <c r="U63" i="12" a="1"/>
  <c r="V63" i="12" a="1"/>
  <c r="W63" i="12" a="1"/>
  <c r="X63" i="12"/>
  <c r="Y63" i="12" a="1"/>
  <c r="U64" i="12" a="1"/>
  <c r="V64" i="12" a="1"/>
  <c r="W64" i="12" a="1"/>
  <c r="X64" i="12"/>
  <c r="Y64" i="12" a="1"/>
  <c r="U65" i="12" a="1"/>
  <c r="V65" i="12" a="1"/>
  <c r="W65" i="12" a="1"/>
  <c r="X65" i="12"/>
  <c r="Y65" i="12" a="1"/>
  <c r="U66" i="12" a="1"/>
  <c r="V66" i="12" a="1"/>
  <c r="W66" i="12" a="1"/>
  <c r="X66" i="12"/>
  <c r="Y66" i="12" a="1"/>
  <c r="U67" i="12" a="1"/>
  <c r="V67" i="12" a="1"/>
  <c r="W67" i="12" a="1"/>
  <c r="X67" i="12"/>
  <c r="Y67" i="12" a="1"/>
  <c r="U68" i="12" a="1"/>
  <c r="V68" i="12" a="1"/>
  <c r="W68" i="12" a="1"/>
  <c r="X68" i="12"/>
  <c r="Y68" i="12" a="1"/>
  <c r="U69" i="12" a="1"/>
  <c r="V69" i="12" a="1"/>
  <c r="W69" i="12" a="1"/>
  <c r="X69" i="12"/>
  <c r="Y69" i="12" a="1"/>
  <c r="U70" i="12" a="1"/>
  <c r="V70" i="12" a="1"/>
  <c r="W70" i="12" a="1"/>
  <c r="X70" i="12"/>
  <c r="Y70" i="12" a="1"/>
  <c r="U71" i="12" a="1"/>
  <c r="V71" i="12" a="1"/>
  <c r="W71" i="12" a="1"/>
  <c r="X71" i="12"/>
  <c r="Y71" i="12" a="1"/>
  <c r="U72" i="12" a="1"/>
  <c r="V72" i="12" a="1"/>
  <c r="W72" i="12" a="1"/>
  <c r="X72" i="12"/>
  <c r="Y72" i="12" a="1"/>
  <c r="U73" i="12" a="1"/>
  <c r="V73" i="12" a="1"/>
  <c r="W73" i="12" a="1"/>
  <c r="X73" i="12"/>
  <c r="Y73" i="12" a="1"/>
  <c r="U74" i="12" a="1"/>
  <c r="V74" i="12" a="1"/>
  <c r="W74" i="12" a="1"/>
  <c r="X74" i="12"/>
  <c r="Y74" i="12" a="1"/>
  <c r="U75" i="12" a="1"/>
  <c r="V75" i="12" a="1"/>
  <c r="W75" i="12" a="1"/>
  <c r="X75" i="12"/>
  <c r="Y75" i="12" a="1"/>
  <c r="U76" i="12" a="1"/>
  <c r="V76" i="12" a="1"/>
  <c r="W76" i="12" a="1"/>
  <c r="X76" i="12"/>
  <c r="Y76" i="12" a="1"/>
  <c r="U77" i="12" a="1"/>
  <c r="V77" i="12" a="1"/>
  <c r="W77" i="12" a="1"/>
  <c r="X77" i="12"/>
  <c r="Y77" i="12" a="1"/>
  <c r="U78" i="12" a="1"/>
  <c r="V78" i="12" a="1"/>
  <c r="W78" i="12" a="1"/>
  <c r="X78" i="12"/>
  <c r="Y78" i="12" a="1"/>
  <c r="U79" i="12" a="1"/>
  <c r="V79" i="12" a="1"/>
  <c r="W79" i="12" a="1"/>
  <c r="X79" i="12"/>
  <c r="Y79" i="12" a="1"/>
  <c r="U80" i="12" a="1"/>
  <c r="V80" i="12" a="1"/>
  <c r="W80" i="12" a="1"/>
  <c r="X80" i="12"/>
  <c r="Y80" i="12" a="1"/>
  <c r="U81" i="12" a="1"/>
  <c r="V81" i="12" a="1"/>
  <c r="W81" i="12" a="1"/>
  <c r="X81" i="12"/>
  <c r="Y81" i="12" a="1"/>
  <c r="U82" i="12" a="1"/>
  <c r="V82" i="12" a="1"/>
  <c r="W82" i="12" a="1"/>
  <c r="X82" i="12"/>
  <c r="Y82" i="12" a="1"/>
  <c r="U83" i="12" a="1"/>
  <c r="V83" i="12" a="1"/>
  <c r="W83" i="12" a="1"/>
  <c r="X83" i="12"/>
  <c r="Y83" i="12" a="1"/>
  <c r="U84" i="12" a="1"/>
  <c r="V84" i="12" a="1"/>
  <c r="W84" i="12" a="1"/>
  <c r="X84" i="12"/>
  <c r="Y84" i="12" a="1"/>
  <c r="U85" i="12" a="1"/>
  <c r="V85" i="12" a="1"/>
  <c r="W85" i="12" a="1"/>
  <c r="X85" i="12"/>
  <c r="Y85" i="12" a="1"/>
  <c r="U86" i="12" a="1"/>
  <c r="V86" i="12" a="1"/>
  <c r="W86" i="12" a="1"/>
  <c r="X86" i="12"/>
  <c r="Y86" i="12" a="1"/>
  <c r="U87" i="12" a="1"/>
  <c r="V87" i="12" a="1"/>
  <c r="W87" i="12" a="1"/>
  <c r="X87" i="12"/>
  <c r="Y87" i="12" a="1"/>
  <c r="U88" i="12" a="1"/>
  <c r="V88" i="12" a="1"/>
  <c r="W88" i="12" a="1"/>
  <c r="X88" i="12"/>
  <c r="Y88" i="12" a="1"/>
  <c r="U89" i="12" a="1"/>
  <c r="V89" i="12" a="1"/>
  <c r="W89" i="12" a="1"/>
  <c r="X89" i="12"/>
  <c r="Y89" i="12" a="1"/>
  <c r="U90" i="12" a="1"/>
  <c r="V90" i="12" a="1"/>
  <c r="W90" i="12" a="1"/>
  <c r="X90" i="12"/>
  <c r="Y90" i="12" a="1"/>
  <c r="U91" i="12" a="1"/>
  <c r="V91" i="12" a="1"/>
  <c r="W91" i="12" a="1"/>
  <c r="X91" i="12"/>
  <c r="Y91" i="12" a="1"/>
  <c r="U92" i="12" a="1"/>
  <c r="V92" i="12" a="1"/>
  <c r="W92" i="12" a="1"/>
  <c r="X92" i="12"/>
  <c r="Y92" i="12" a="1"/>
  <c r="U93" i="12" a="1"/>
  <c r="V93" i="12" a="1"/>
  <c r="W93" i="12" a="1"/>
  <c r="X93" i="12"/>
  <c r="Y93" i="12" a="1"/>
  <c r="U94" i="12" a="1"/>
  <c r="V94" i="12" a="1"/>
  <c r="W94" i="12" a="1"/>
  <c r="X94" i="12"/>
  <c r="Y94" i="12" a="1"/>
  <c r="U95" i="12" a="1"/>
  <c r="V95" i="12" a="1"/>
  <c r="W95" i="12" a="1"/>
  <c r="X95" i="12"/>
  <c r="Y95" i="12" a="1"/>
  <c r="U96" i="12" a="1"/>
  <c r="V96" i="12" a="1"/>
  <c r="W96" i="12" a="1"/>
  <c r="X96" i="12"/>
  <c r="Y96" i="12" a="1"/>
  <c r="U97" i="12" a="1"/>
  <c r="V97" i="12" a="1"/>
  <c r="W97" i="12" a="1"/>
  <c r="X97" i="12"/>
  <c r="Y97" i="12" a="1"/>
  <c r="U98" i="12" a="1"/>
  <c r="V98" i="12" a="1"/>
  <c r="W98" i="12" a="1"/>
  <c r="X98" i="12"/>
  <c r="Y98" i="12" a="1"/>
  <c r="U99" i="12" a="1"/>
  <c r="V99" i="12" a="1"/>
  <c r="W99" i="12" a="1"/>
  <c r="X99" i="12"/>
  <c r="Y99" i="12" a="1"/>
  <c r="U100" i="12" a="1"/>
  <c r="V100" i="12" a="1"/>
  <c r="W100" i="12" a="1"/>
  <c r="X100" i="12"/>
  <c r="Y100" i="12" a="1"/>
  <c r="U101" i="12" a="1"/>
  <c r="V101" i="12" a="1"/>
  <c r="W101" i="12" a="1"/>
  <c r="X101" i="12"/>
  <c r="Y101" i="12" a="1"/>
  <c r="U102" i="12" a="1"/>
  <c r="V102" i="12" a="1"/>
  <c r="W102" i="12" a="1"/>
  <c r="X102" i="12"/>
  <c r="Y102" i="12" a="1"/>
  <c r="U103" i="12" a="1"/>
  <c r="V103" i="12" a="1"/>
  <c r="W103" i="12" a="1"/>
  <c r="X103" i="12"/>
  <c r="Y103" i="12" a="1"/>
  <c r="U104" i="12" a="1"/>
  <c r="V104" i="12" a="1"/>
  <c r="W104" i="12" a="1"/>
  <c r="X104" i="12"/>
  <c r="Y104" i="12" a="1"/>
  <c r="U105" i="12" a="1"/>
  <c r="V105" i="12" a="1"/>
  <c r="W105" i="12" a="1"/>
  <c r="X105" i="12"/>
  <c r="Y105" i="12" a="1"/>
  <c r="U106" i="12" a="1"/>
  <c r="V106" i="12" a="1"/>
  <c r="W106" i="12" a="1"/>
  <c r="X106" i="12"/>
  <c r="Y106" i="12" a="1"/>
  <c r="U107" i="12" a="1"/>
  <c r="V107" i="12" a="1"/>
  <c r="W107" i="12" a="1"/>
  <c r="X107" i="12"/>
  <c r="Y107" i="12" a="1"/>
  <c r="U108" i="12" a="1"/>
  <c r="V108" i="12" a="1"/>
  <c r="W108" i="12" a="1"/>
  <c r="X108" i="12"/>
  <c r="Y108" i="12" a="1"/>
  <c r="U109" i="12" a="1"/>
  <c r="V109" i="12" a="1"/>
  <c r="W109" i="12" a="1"/>
  <c r="X109" i="12"/>
  <c r="Y109" i="12" a="1"/>
  <c r="U110" i="12" a="1"/>
  <c r="V110" i="12" a="1"/>
  <c r="W110" i="12" a="1"/>
  <c r="X110" i="12"/>
  <c r="Y110" i="12" a="1"/>
  <c r="U111" i="12" a="1"/>
  <c r="V111" i="12" a="1"/>
  <c r="W111" i="12" a="1"/>
  <c r="X111" i="12"/>
  <c r="Y111" i="12" a="1"/>
  <c r="U112" i="12" a="1"/>
  <c r="V112" i="12" a="1"/>
  <c r="W112" i="12" a="1"/>
  <c r="X112" i="12"/>
  <c r="Y112" i="12" a="1"/>
  <c r="U113" i="12" a="1"/>
  <c r="V113" i="12" a="1"/>
  <c r="W113" i="12" a="1"/>
  <c r="X113" i="12"/>
  <c r="Y113" i="12" a="1"/>
  <c r="U114" i="12" a="1"/>
  <c r="V114" i="12" a="1"/>
  <c r="W114" i="12" a="1"/>
  <c r="X114" i="12"/>
  <c r="Y114" i="12" a="1"/>
  <c r="U115" i="12" a="1"/>
  <c r="V115" i="12" a="1"/>
  <c r="W115" i="12" a="1"/>
  <c r="X115" i="12"/>
  <c r="Y115" i="12" a="1"/>
  <c r="U116" i="12" a="1"/>
  <c r="V116" i="12" a="1"/>
  <c r="W116" i="12" a="1"/>
  <c r="X116" i="12"/>
  <c r="Y116" i="12" a="1"/>
  <c r="U117" i="12" a="1"/>
  <c r="V117" i="12" a="1"/>
  <c r="W117" i="12" a="1"/>
  <c r="X117" i="12"/>
  <c r="Y117" i="12" a="1"/>
  <c r="U118" i="12" a="1"/>
  <c r="V118" i="12" a="1"/>
  <c r="W118" i="12" a="1"/>
  <c r="X118" i="12"/>
  <c r="Y118" i="12" a="1"/>
  <c r="U119" i="12" a="1"/>
  <c r="V119" i="12" a="1"/>
  <c r="W119" i="12" a="1"/>
  <c r="X119" i="12"/>
  <c r="Y119" i="12" a="1"/>
  <c r="U120" i="12" a="1"/>
  <c r="V120" i="12" a="1"/>
  <c r="W120" i="12" a="1"/>
  <c r="X120" i="12"/>
  <c r="Y120" i="12" a="1"/>
  <c r="U121" i="12" a="1"/>
  <c r="V121" i="12" a="1"/>
  <c r="W121" i="12" a="1"/>
  <c r="X121" i="12"/>
  <c r="Y121" i="12" a="1"/>
  <c r="U122" i="12" a="1"/>
  <c r="V122" i="12" a="1"/>
  <c r="W122" i="12" a="1"/>
  <c r="X122" i="12"/>
  <c r="Y122" i="12" a="1"/>
  <c r="U123" i="12" a="1"/>
  <c r="V123" i="12" a="1"/>
  <c r="W123" i="12" a="1"/>
  <c r="X123" i="12"/>
  <c r="Y123" i="12" a="1"/>
  <c r="U124" i="12" a="1"/>
  <c r="V124" i="12" a="1"/>
  <c r="W124" i="12" a="1"/>
  <c r="X124" i="12"/>
  <c r="Y124" i="12" a="1"/>
  <c r="U125" i="12" a="1"/>
  <c r="V125" i="12" a="1"/>
  <c r="W125" i="12" a="1"/>
  <c r="X125" i="12"/>
  <c r="Y125" i="12" a="1"/>
  <c r="U126" i="12" a="1"/>
  <c r="V126" i="12" a="1"/>
  <c r="W126" i="12" a="1"/>
  <c r="X126" i="12"/>
  <c r="Y126" i="12" a="1"/>
  <c r="U127" i="12" a="1"/>
  <c r="V127" i="12" a="1"/>
  <c r="W127" i="12" a="1"/>
  <c r="X127" i="12"/>
  <c r="Y127" i="12" a="1"/>
  <c r="U128" i="12" a="1"/>
  <c r="V128" i="12" a="1"/>
  <c r="W128" i="12" a="1"/>
  <c r="X128" i="12"/>
  <c r="Y128" i="12" a="1"/>
  <c r="U129" i="12" a="1"/>
  <c r="V129" i="12" a="1"/>
  <c r="W129" i="12" a="1"/>
  <c r="X129" i="12"/>
  <c r="Y129" i="12" a="1"/>
  <c r="U130" i="12" a="1"/>
  <c r="V130" i="12" a="1"/>
  <c r="W130" i="12" a="1"/>
  <c r="X130" i="12"/>
  <c r="Y130" i="12" a="1"/>
  <c r="U131" i="12" a="1"/>
  <c r="V131" i="12" a="1"/>
  <c r="W131" i="12" a="1"/>
  <c r="X131" i="12"/>
  <c r="Y131" i="12" a="1"/>
  <c r="U132" i="12" a="1"/>
  <c r="V132" i="12" a="1"/>
  <c r="W132" i="12" a="1"/>
  <c r="X132" i="12"/>
  <c r="Y132" i="12" a="1"/>
  <c r="U133" i="12" a="1"/>
  <c r="V133" i="12" a="1"/>
  <c r="W133" i="12" a="1"/>
  <c r="X133" i="12"/>
  <c r="Y133" i="12" a="1"/>
  <c r="U134" i="12" a="1"/>
  <c r="V134" i="12" a="1"/>
  <c r="W134" i="12" a="1"/>
  <c r="X134" i="12"/>
  <c r="Y134" i="12" a="1"/>
  <c r="U135" i="12" a="1"/>
  <c r="V135" i="12" a="1"/>
  <c r="W135" i="12" a="1"/>
  <c r="X135" i="12"/>
  <c r="Y135" i="12" a="1"/>
  <c r="U136" i="12" a="1"/>
  <c r="V136" i="12" a="1"/>
  <c r="W136" i="12" a="1"/>
  <c r="X136" i="12"/>
  <c r="Y136" i="12" a="1"/>
  <c r="U137" i="12" a="1"/>
  <c r="V137" i="12" a="1"/>
  <c r="W137" i="12" a="1"/>
  <c r="X137" i="12"/>
  <c r="Y137" i="12" a="1"/>
  <c r="U138" i="12" a="1"/>
  <c r="V138" i="12" a="1"/>
  <c r="W138" i="12" a="1"/>
  <c r="X138" i="12"/>
  <c r="Y138" i="12" a="1"/>
  <c r="U139" i="12" a="1"/>
  <c r="V139" i="12" a="1"/>
  <c r="W139" i="12" a="1"/>
  <c r="X139" i="12"/>
  <c r="Y139" i="12" a="1"/>
  <c r="U140" i="12" a="1"/>
  <c r="V140" i="12" a="1"/>
  <c r="W140" i="12" a="1"/>
  <c r="X140" i="12"/>
  <c r="Y140" i="12" a="1"/>
  <c r="U141" i="12" a="1"/>
  <c r="V141" i="12" a="1"/>
  <c r="W141" i="12" a="1"/>
  <c r="X141" i="12"/>
  <c r="Y141" i="12" a="1"/>
  <c r="U142" i="12" a="1"/>
  <c r="V142" i="12" a="1"/>
  <c r="W142" i="12" a="1"/>
  <c r="X142" i="12"/>
  <c r="Y142" i="12" a="1"/>
  <c r="U143" i="12" a="1"/>
  <c r="V143" i="12" a="1"/>
  <c r="W143" i="12" a="1"/>
  <c r="X143" i="12"/>
  <c r="Y143" i="12" a="1"/>
  <c r="U144" i="12" a="1"/>
  <c r="V144" i="12" a="1"/>
  <c r="W144" i="12" a="1"/>
  <c r="X144" i="12"/>
  <c r="Y144" i="12" a="1"/>
  <c r="U145" i="12" a="1"/>
  <c r="V145" i="12" a="1"/>
  <c r="W145" i="12" a="1"/>
  <c r="X145" i="12"/>
  <c r="Y145" i="12" a="1"/>
  <c r="U146" i="12" a="1"/>
  <c r="V146" i="12" a="1"/>
  <c r="W146" i="12" a="1"/>
  <c r="X146" i="12"/>
  <c r="Y146" i="12" a="1"/>
  <c r="U147" i="12" a="1"/>
  <c r="V147" i="12" a="1"/>
  <c r="W147" i="12" a="1"/>
  <c r="X147" i="12"/>
  <c r="Y147" i="12" a="1"/>
  <c r="U148" i="12" a="1"/>
  <c r="V148" i="12" a="1"/>
  <c r="W148" i="12" a="1"/>
  <c r="X148" i="12"/>
  <c r="Y148" i="12" a="1"/>
  <c r="U149" i="12" a="1"/>
  <c r="V149" i="12" a="1"/>
  <c r="W149" i="12" a="1"/>
  <c r="X149" i="12"/>
  <c r="Y149" i="12" a="1"/>
  <c r="U150" i="12" a="1"/>
  <c r="V150" i="12" a="1"/>
  <c r="W150" i="12" a="1"/>
  <c r="X150" i="12"/>
  <c r="Y150" i="12" a="1"/>
  <c r="U151" i="12" a="1"/>
  <c r="V151" i="12" a="1"/>
  <c r="W151" i="12" a="1"/>
  <c r="X151" i="12"/>
  <c r="Y151" i="12" a="1"/>
  <c r="U152" i="12" a="1"/>
  <c r="V152" i="12" a="1"/>
  <c r="W152" i="12" a="1"/>
  <c r="X152" i="12"/>
  <c r="Y152" i="12" a="1"/>
  <c r="U153" i="12" a="1"/>
  <c r="V153" i="12" a="1"/>
  <c r="W153" i="12" a="1"/>
  <c r="X153" i="12"/>
  <c r="Y153" i="12" a="1"/>
  <c r="U154" i="12" a="1"/>
  <c r="V154" i="12" a="1"/>
  <c r="W154" i="12" a="1"/>
  <c r="X154" i="12"/>
  <c r="Y154" i="12" a="1"/>
  <c r="U155" i="12" a="1"/>
  <c r="V155" i="12" a="1"/>
  <c r="W155" i="12" a="1"/>
  <c r="X155" i="12"/>
  <c r="Y155" i="12" a="1"/>
  <c r="U156" i="12" a="1"/>
  <c r="V156" i="12" a="1"/>
  <c r="W156" i="12" a="1"/>
  <c r="X156" i="12"/>
  <c r="Y156" i="12" a="1"/>
  <c r="U157" i="12" a="1"/>
  <c r="V157" i="12" a="1"/>
  <c r="W157" i="12" a="1"/>
  <c r="X157" i="12"/>
  <c r="Y157" i="12" a="1"/>
  <c r="U158" i="12" a="1"/>
  <c r="V158" i="12" a="1"/>
  <c r="W158" i="12" a="1"/>
  <c r="X158" i="12"/>
  <c r="Y158" i="12" a="1"/>
  <c r="U159" i="12" a="1"/>
  <c r="V159" i="12" a="1"/>
  <c r="W159" i="12" a="1"/>
  <c r="X159" i="12"/>
  <c r="Y159" i="12" a="1"/>
  <c r="U160" i="12" a="1"/>
  <c r="V160" i="12" a="1"/>
  <c r="W160" i="12" a="1"/>
  <c r="X160" i="12"/>
  <c r="Y160" i="12" a="1"/>
  <c r="U161" i="12" a="1"/>
  <c r="V161" i="12" a="1"/>
  <c r="W161" i="12" a="1"/>
  <c r="X161" i="12"/>
  <c r="Y161" i="12" a="1"/>
  <c r="U162" i="12" a="1"/>
  <c r="V162" i="12" a="1"/>
  <c r="W162" i="12" a="1"/>
  <c r="X162" i="12"/>
  <c r="Y162" i="12" a="1"/>
  <c r="U163" i="12" a="1"/>
  <c r="V163" i="12" a="1"/>
  <c r="W163" i="12" a="1"/>
  <c r="X163" i="12"/>
  <c r="Y163" i="12" a="1"/>
  <c r="U164" i="12" a="1"/>
  <c r="V164" i="12" a="1"/>
  <c r="W164" i="12" a="1"/>
  <c r="X164" i="12"/>
  <c r="Y164" i="12" a="1"/>
  <c r="U165" i="12" a="1"/>
  <c r="V165" i="12" a="1"/>
  <c r="W165" i="12" a="1"/>
  <c r="X165" i="12"/>
  <c r="Y165" i="12" a="1"/>
  <c r="U166" i="12" a="1"/>
  <c r="V166" i="12" a="1"/>
  <c r="W166" i="12" a="1"/>
  <c r="X166" i="12"/>
  <c r="Y166" i="12" a="1"/>
  <c r="U167" i="12" a="1"/>
  <c r="V167" i="12" a="1"/>
  <c r="W167" i="12" a="1"/>
  <c r="X167" i="12"/>
  <c r="Y167" i="12" a="1"/>
  <c r="U168" i="12" a="1"/>
  <c r="V168" i="12" a="1"/>
  <c r="W168" i="12" a="1"/>
  <c r="X168" i="12"/>
  <c r="Y168" i="12" a="1"/>
  <c r="U169" i="12" a="1"/>
  <c r="V169" i="12" a="1"/>
  <c r="W169" i="12" a="1"/>
  <c r="X169" i="12"/>
  <c r="Y169" i="12" a="1"/>
  <c r="U170" i="12" a="1"/>
  <c r="V170" i="12" a="1"/>
  <c r="W170" i="12" a="1"/>
  <c r="X170" i="12"/>
  <c r="Y170" i="12" a="1"/>
  <c r="U171" i="12" a="1"/>
  <c r="V171" i="12" a="1"/>
  <c r="W171" i="12" a="1"/>
  <c r="X171" i="12"/>
  <c r="Y171" i="12" a="1"/>
  <c r="U172" i="12" a="1"/>
  <c r="V172" i="12" a="1"/>
  <c r="W172" i="12" a="1"/>
  <c r="X172" i="12"/>
  <c r="Y172" i="12" a="1"/>
  <c r="U173" i="12" a="1"/>
  <c r="V173" i="12" a="1"/>
  <c r="W173" i="12" a="1"/>
  <c r="X173" i="12"/>
  <c r="Y173" i="12" a="1"/>
  <c r="U174" i="12" a="1"/>
  <c r="V174" i="12" a="1"/>
  <c r="W174" i="12" a="1"/>
  <c r="X174" i="12"/>
  <c r="Y174" i="12" a="1"/>
  <c r="U175" i="12" a="1"/>
  <c r="V175" i="12" a="1"/>
  <c r="W175" i="12" a="1"/>
  <c r="X175" i="12"/>
  <c r="Y175" i="12" a="1"/>
  <c r="U176" i="12" a="1"/>
  <c r="V176" i="12" a="1"/>
  <c r="W176" i="12" a="1"/>
  <c r="X176" i="12"/>
  <c r="Y176" i="12" a="1"/>
  <c r="U177" i="12" a="1"/>
  <c r="V177" i="12" a="1"/>
  <c r="W177" i="12" a="1"/>
  <c r="X177" i="12"/>
  <c r="Y177" i="12" a="1"/>
  <c r="U178" i="12" a="1"/>
  <c r="V178" i="12" a="1"/>
  <c r="W178" i="12" a="1"/>
  <c r="X178" i="12"/>
  <c r="Y178" i="12" a="1"/>
  <c r="U179" i="12" a="1"/>
  <c r="V179" i="12" a="1"/>
  <c r="W179" i="12" a="1"/>
  <c r="X179" i="12"/>
  <c r="Y179" i="12" a="1"/>
  <c r="U180" i="12" a="1"/>
  <c r="V180" i="12" a="1"/>
  <c r="W180" i="12" a="1"/>
  <c r="X180" i="12"/>
  <c r="Y180" i="12" a="1"/>
  <c r="U181" i="12" a="1"/>
  <c r="V181" i="12" a="1"/>
  <c r="W181" i="12" a="1"/>
  <c r="X181" i="12"/>
  <c r="Y181" i="12" a="1"/>
  <c r="U182" i="12" a="1"/>
  <c r="V182" i="12" a="1"/>
  <c r="W182" i="12" a="1"/>
  <c r="X182" i="12"/>
  <c r="Y182" i="12" a="1"/>
  <c r="U183" i="12" a="1"/>
  <c r="V183" i="12" a="1"/>
  <c r="W183" i="12" a="1"/>
  <c r="X183" i="12"/>
  <c r="Y183" i="12" a="1"/>
  <c r="U184" i="12" a="1"/>
  <c r="V184" i="12" a="1"/>
  <c r="W184" i="12" a="1"/>
  <c r="X184" i="12"/>
  <c r="Y184" i="12" a="1"/>
  <c r="U185" i="12" a="1"/>
  <c r="V185" i="12" a="1"/>
  <c r="W185" i="12" a="1"/>
  <c r="X185" i="12"/>
  <c r="Y185" i="12" a="1"/>
  <c r="U186" i="12" a="1"/>
  <c r="V186" i="12" a="1"/>
  <c r="W186" i="12" a="1"/>
  <c r="X186" i="12"/>
  <c r="Y186" i="12" a="1"/>
  <c r="U187" i="12" a="1"/>
  <c r="V187" i="12" a="1"/>
  <c r="W187" i="12" a="1"/>
  <c r="X187" i="12"/>
  <c r="Y187" i="12" a="1"/>
  <c r="U188" i="12" a="1"/>
  <c r="V188" i="12" a="1"/>
  <c r="W188" i="12" a="1"/>
  <c r="X188" i="12"/>
  <c r="Y188" i="12" a="1"/>
  <c r="U189" i="12" a="1"/>
  <c r="V189" i="12" a="1"/>
  <c r="W189" i="12" a="1"/>
  <c r="X189" i="12"/>
  <c r="Y189" i="12" a="1"/>
  <c r="U190" i="12" a="1"/>
  <c r="V190" i="12" a="1"/>
  <c r="W190" i="12" a="1"/>
  <c r="X190" i="12"/>
  <c r="Y190" i="12" a="1"/>
  <c r="U191" i="12" a="1"/>
  <c r="V191" i="12" a="1"/>
  <c r="W191" i="12" a="1"/>
  <c r="X191" i="12"/>
  <c r="Y191" i="12" a="1"/>
  <c r="U192" i="12" a="1"/>
  <c r="V192" i="12" a="1"/>
  <c r="W192" i="12" a="1"/>
  <c r="X192" i="12"/>
  <c r="Y192" i="12" a="1"/>
  <c r="U193" i="12" a="1"/>
  <c r="V193" i="12" a="1"/>
  <c r="W193" i="12" a="1"/>
  <c r="X193" i="12"/>
  <c r="Y193" i="12" a="1"/>
  <c r="U194" i="12" a="1"/>
  <c r="V194" i="12" a="1"/>
  <c r="W194" i="12" a="1"/>
  <c r="X194" i="12"/>
  <c r="Y194" i="12" a="1"/>
  <c r="U195" i="12" a="1"/>
  <c r="V195" i="12" a="1"/>
  <c r="W195" i="12" a="1"/>
  <c r="X195" i="12"/>
  <c r="Y195" i="12" a="1"/>
  <c r="U196" i="12" a="1"/>
  <c r="V196" i="12" a="1"/>
  <c r="W196" i="12" a="1"/>
  <c r="X196" i="12"/>
  <c r="Y196" i="12" a="1"/>
  <c r="U197" i="12" a="1"/>
  <c r="V197" i="12" a="1"/>
  <c r="W197" i="12" a="1"/>
  <c r="X197" i="12"/>
  <c r="Y197" i="12" a="1"/>
  <c r="U198" i="12" a="1"/>
  <c r="V198" i="12" a="1"/>
  <c r="W198" i="12" a="1"/>
  <c r="X198" i="12"/>
  <c r="Y198" i="12" a="1"/>
  <c r="U199" i="12" a="1"/>
  <c r="V199" i="12" a="1"/>
  <c r="W199" i="12" a="1"/>
  <c r="X199" i="12"/>
  <c r="Y199" i="12" a="1"/>
  <c r="U200" i="12" a="1"/>
  <c r="V200" i="12" a="1"/>
  <c r="W200" i="12" a="1"/>
  <c r="X200" i="12"/>
  <c r="Y200" i="12" a="1"/>
  <c r="U201" i="12" a="1"/>
  <c r="V201" i="12" a="1"/>
  <c r="W201" i="12" a="1"/>
  <c r="X201" i="12"/>
  <c r="Y201" i="12" a="1"/>
  <c r="U202" i="12" a="1"/>
  <c r="V202" i="12" a="1"/>
  <c r="W202" i="12" a="1"/>
  <c r="X202" i="12"/>
  <c r="Y202" i="12" a="1"/>
  <c r="U203" i="12" a="1"/>
  <c r="V203" i="12" a="1"/>
  <c r="W203" i="12" a="1"/>
  <c r="X203" i="12"/>
  <c r="Y203" i="12" a="1"/>
  <c r="U204" i="12" a="1"/>
  <c r="V204" i="12" a="1"/>
  <c r="W204" i="12" a="1"/>
  <c r="X204" i="12"/>
  <c r="Y204" i="12" a="1"/>
  <c r="U205" i="12" a="1"/>
  <c r="V205" i="12" a="1"/>
  <c r="W205" i="12" a="1"/>
  <c r="X205" i="12"/>
  <c r="Y205" i="12" a="1"/>
  <c r="U206" i="12" a="1"/>
  <c r="V206" i="12" a="1"/>
  <c r="W206" i="12" a="1"/>
  <c r="X206" i="12"/>
  <c r="Y206" i="12" a="1"/>
  <c r="U207" i="12" a="1"/>
  <c r="V207" i="12" a="1"/>
  <c r="W207" i="12" a="1"/>
  <c r="X207" i="12"/>
  <c r="Y207" i="12" a="1"/>
  <c r="U208" i="12" a="1"/>
  <c r="V208" i="12" a="1"/>
  <c r="W208" i="12" a="1"/>
  <c r="X208" i="12"/>
  <c r="Y208" i="12" a="1"/>
  <c r="U209" i="12" a="1"/>
  <c r="V209" i="12" a="1"/>
  <c r="W209" i="12" a="1"/>
  <c r="X209" i="12"/>
  <c r="Y209" i="12" a="1"/>
  <c r="U210" i="12" a="1"/>
  <c r="V210" i="12" a="1"/>
  <c r="W210" i="12" a="1"/>
  <c r="X210" i="12"/>
  <c r="Y210" i="12" a="1"/>
  <c r="U211" i="12" a="1"/>
  <c r="V211" i="12" a="1"/>
  <c r="W211" i="12" a="1"/>
  <c r="X211" i="12"/>
  <c r="Y211" i="12" a="1"/>
  <c r="U212" i="12" a="1"/>
  <c r="V212" i="12" a="1"/>
  <c r="W212" i="12" a="1"/>
  <c r="X212" i="12"/>
  <c r="Y212" i="12" a="1"/>
  <c r="U213" i="12" a="1"/>
  <c r="V213" i="12" a="1"/>
  <c r="W213" i="12" a="1"/>
  <c r="X213" i="12"/>
  <c r="Y213" i="12" a="1"/>
  <c r="U214" i="12" a="1"/>
  <c r="V214" i="12" a="1"/>
  <c r="W214" i="12" a="1"/>
  <c r="X214" i="12"/>
  <c r="Y214" i="12" a="1"/>
  <c r="U215" i="12" a="1"/>
  <c r="V215" i="12" a="1"/>
  <c r="W215" i="12" a="1"/>
  <c r="X215" i="12"/>
  <c r="Y215" i="12" a="1"/>
  <c r="U216" i="12" a="1"/>
  <c r="V216" i="12" a="1"/>
  <c r="W216" i="12" a="1"/>
  <c r="X216" i="12"/>
  <c r="Y216" i="12" a="1"/>
  <c r="U217" i="12" a="1"/>
  <c r="V217" i="12" a="1"/>
  <c r="W217" i="12" a="1"/>
  <c r="X217" i="12"/>
  <c r="Y217" i="12" a="1"/>
  <c r="U218" i="12" a="1"/>
  <c r="V218" i="12" a="1"/>
  <c r="W218" i="12" a="1"/>
  <c r="X218" i="12"/>
  <c r="Y218" i="12" a="1"/>
  <c r="U219" i="12" a="1"/>
  <c r="V219" i="12" a="1"/>
  <c r="W219" i="12" a="1"/>
  <c r="X219" i="12"/>
  <c r="Y219" i="12" a="1"/>
  <c r="U220" i="12" a="1"/>
  <c r="V220" i="12" a="1"/>
  <c r="W220" i="12" a="1"/>
  <c r="X220" i="12"/>
  <c r="Y220" i="12" a="1"/>
  <c r="U221" i="12" a="1"/>
  <c r="V221" i="12" a="1"/>
  <c r="W221" i="12" a="1"/>
  <c r="X221" i="12"/>
  <c r="Y221" i="12" a="1"/>
  <c r="U222" i="12" a="1"/>
  <c r="V222" i="12" a="1"/>
  <c r="W222" i="12" a="1"/>
  <c r="X222" i="12"/>
  <c r="Y222" i="12" a="1"/>
  <c r="U223" i="12" a="1"/>
  <c r="V223" i="12" a="1"/>
  <c r="W223" i="12" a="1"/>
  <c r="X223" i="12"/>
  <c r="Y223" i="12" a="1"/>
  <c r="U224" i="12" a="1"/>
  <c r="V224" i="12" a="1"/>
  <c r="W224" i="12" a="1"/>
  <c r="X224" i="12"/>
  <c r="Y224" i="12" a="1"/>
  <c r="U225" i="12" a="1"/>
  <c r="V225" i="12" a="1"/>
  <c r="W225" i="12" a="1"/>
  <c r="X225" i="12"/>
  <c r="Y225" i="12" a="1"/>
  <c r="U226" i="12" a="1"/>
  <c r="V226" i="12" a="1"/>
  <c r="W226" i="12" a="1"/>
  <c r="X226" i="12"/>
  <c r="Y226" i="12" a="1"/>
  <c r="U227" i="12" a="1"/>
  <c r="V227" i="12" a="1"/>
  <c r="W227" i="12" a="1"/>
  <c r="X227" i="12"/>
  <c r="Y227" i="12" a="1"/>
  <c r="U228" i="12" a="1"/>
  <c r="V228" i="12" a="1"/>
  <c r="W228" i="12" a="1"/>
  <c r="X228" i="12"/>
  <c r="Y228" i="12" a="1"/>
  <c r="U229" i="12" a="1"/>
  <c r="V229" i="12" a="1"/>
  <c r="W229" i="12" a="1"/>
  <c r="X229" i="12"/>
  <c r="Y229" i="12" a="1"/>
  <c r="U230" i="12" a="1"/>
  <c r="V230" i="12" a="1"/>
  <c r="W230" i="12" a="1"/>
  <c r="X230" i="12"/>
  <c r="Y230" i="12" a="1"/>
  <c r="U231" i="12" a="1"/>
  <c r="V231" i="12" a="1"/>
  <c r="W231" i="12" a="1"/>
  <c r="X231" i="12"/>
  <c r="Y231" i="12" a="1"/>
  <c r="U232" i="12" a="1"/>
  <c r="V232" i="12" a="1"/>
  <c r="W232" i="12" a="1"/>
  <c r="X232" i="12"/>
  <c r="Y232" i="12" a="1"/>
  <c r="U233" i="12" a="1"/>
  <c r="V233" i="12" a="1"/>
  <c r="W233" i="12" a="1"/>
  <c r="X233" i="12"/>
  <c r="Y233" i="12" a="1"/>
  <c r="U234" i="12" a="1"/>
  <c r="V234" i="12" a="1"/>
  <c r="W234" i="12" a="1"/>
  <c r="X234" i="12"/>
  <c r="Y234" i="12" a="1"/>
  <c r="U235" i="12" a="1"/>
  <c r="V235" i="12" a="1"/>
  <c r="W235" i="12" a="1"/>
  <c r="X235" i="12"/>
  <c r="Y235" i="12" a="1"/>
  <c r="U236" i="12" a="1"/>
  <c r="V236" i="12" a="1"/>
  <c r="W236" i="12" a="1"/>
  <c r="X236" i="12"/>
  <c r="Y236" i="12" a="1"/>
  <c r="U237" i="12" a="1"/>
  <c r="V237" i="12" a="1"/>
  <c r="W237" i="12" a="1"/>
  <c r="X237" i="12"/>
  <c r="Y237" i="12" a="1"/>
  <c r="U238" i="12" a="1"/>
  <c r="V238" i="12" a="1"/>
  <c r="W238" i="12" a="1"/>
  <c r="X238" i="12"/>
  <c r="Y238" i="12" a="1"/>
  <c r="U239" i="12" a="1"/>
  <c r="V239" i="12" a="1"/>
  <c r="W239" i="12" a="1"/>
  <c r="X239" i="12"/>
  <c r="Y239" i="12" a="1"/>
  <c r="U240" i="12" a="1"/>
  <c r="V240" i="12" a="1"/>
  <c r="W240" i="12" a="1"/>
  <c r="X240" i="12"/>
  <c r="Y240" i="12" a="1"/>
  <c r="U241" i="12" a="1"/>
  <c r="V241" i="12" a="1"/>
  <c r="W241" i="12" a="1"/>
  <c r="X241" i="12"/>
  <c r="Y241" i="12" a="1"/>
  <c r="U242" i="12" a="1"/>
  <c r="V242" i="12" a="1"/>
  <c r="W242" i="12" a="1"/>
  <c r="X242" i="12"/>
  <c r="Y242" i="12" a="1"/>
  <c r="U243" i="12" a="1"/>
  <c r="V243" i="12" a="1"/>
  <c r="W243" i="12" a="1"/>
  <c r="X243" i="12"/>
  <c r="Y243" i="12" a="1"/>
  <c r="U244" i="12" a="1"/>
  <c r="V244" i="12" a="1"/>
  <c r="W244" i="12" a="1"/>
  <c r="X244" i="12"/>
  <c r="Y244" i="12" a="1"/>
  <c r="U245" i="12" a="1"/>
  <c r="V245" i="12" a="1"/>
  <c r="W245" i="12" a="1"/>
  <c r="X245" i="12"/>
  <c r="Y245" i="12" a="1"/>
  <c r="U246" i="12" a="1"/>
  <c r="V246" i="12" a="1"/>
  <c r="W246" i="12" a="1"/>
  <c r="X246" i="12"/>
  <c r="Y246" i="12" a="1"/>
  <c r="U247" i="12" a="1"/>
  <c r="V247" i="12" a="1"/>
  <c r="W247" i="12" a="1"/>
  <c r="X247" i="12"/>
  <c r="Y247" i="12" a="1"/>
  <c r="U248" i="12" a="1"/>
  <c r="V248" i="12" a="1"/>
  <c r="W248" i="12" a="1"/>
  <c r="X248" i="12"/>
  <c r="Y248" i="12" a="1"/>
  <c r="U249" i="12" a="1"/>
  <c r="V249" i="12" a="1"/>
  <c r="W249" i="12" a="1"/>
  <c r="X249" i="12"/>
  <c r="Y249" i="12" a="1"/>
  <c r="U250" i="12" a="1"/>
  <c r="V250" i="12" a="1"/>
  <c r="W250" i="12" a="1"/>
  <c r="X250" i="12"/>
  <c r="Y250" i="12" a="1"/>
  <c r="U251" i="12" a="1"/>
  <c r="V251" i="12" a="1"/>
  <c r="W251" i="12" a="1"/>
  <c r="X251" i="12"/>
  <c r="Y251" i="12" a="1"/>
  <c r="U252" i="12" a="1"/>
  <c r="V252" i="12" a="1"/>
  <c r="W252" i="12" a="1"/>
  <c r="X252" i="12"/>
  <c r="Y252" i="12" a="1"/>
  <c r="U253" i="12" a="1"/>
  <c r="V253" i="12" a="1"/>
  <c r="W253" i="12" a="1"/>
  <c r="X253" i="12"/>
  <c r="Y253" i="12" a="1"/>
  <c r="U254" i="12" a="1"/>
  <c r="V254" i="12" a="1"/>
  <c r="W254" i="12" a="1"/>
  <c r="X254" i="12"/>
  <c r="Y254" i="12" a="1"/>
  <c r="U255" i="12" a="1"/>
  <c r="V255" i="12" a="1"/>
  <c r="W255" i="12" a="1"/>
  <c r="X255" i="12"/>
  <c r="Y255" i="12" a="1"/>
  <c r="U256" i="12" a="1"/>
  <c r="V256" i="12" a="1"/>
  <c r="W256" i="12" a="1"/>
  <c r="X256" i="12"/>
  <c r="Y256" i="12" a="1"/>
  <c r="U257" i="12" a="1"/>
  <c r="V257" i="12" a="1"/>
  <c r="W257" i="12" a="1"/>
  <c r="X257" i="12"/>
  <c r="Y257" i="12" a="1"/>
  <c r="U258" i="12" a="1"/>
  <c r="V258" i="12" a="1"/>
  <c r="W258" i="12" a="1"/>
  <c r="X258" i="12"/>
  <c r="Y258" i="12" a="1"/>
  <c r="U259" i="12" a="1"/>
  <c r="V259" i="12" a="1"/>
  <c r="W259" i="12" a="1"/>
  <c r="X259" i="12"/>
  <c r="Y259" i="12" a="1"/>
  <c r="U260" i="12" a="1"/>
  <c r="V260" i="12" a="1"/>
  <c r="W260" i="12" a="1"/>
  <c r="X260" i="12"/>
  <c r="Y260" i="12" a="1"/>
  <c r="U261" i="12" a="1"/>
  <c r="V261" i="12" a="1"/>
  <c r="W261" i="12" a="1"/>
  <c r="X261" i="12"/>
  <c r="Y261" i="12" a="1"/>
  <c r="U262" i="12" a="1"/>
  <c r="V262" i="12" a="1"/>
  <c r="W262" i="12" a="1"/>
  <c r="X262" i="12"/>
  <c r="Y262" i="12" a="1"/>
  <c r="U263" i="12" a="1"/>
  <c r="V263" i="12" a="1"/>
  <c r="W263" i="12" a="1"/>
  <c r="X263" i="12"/>
  <c r="Y263" i="12" a="1"/>
  <c r="U264" i="12" a="1"/>
  <c r="V264" i="12" a="1"/>
  <c r="W264" i="12" a="1"/>
  <c r="X264" i="12"/>
  <c r="Y264" i="12" a="1"/>
  <c r="U265" i="12" a="1"/>
  <c r="V265" i="12" a="1"/>
  <c r="W265" i="12" a="1"/>
  <c r="X265" i="12"/>
  <c r="Y265" i="12" a="1"/>
  <c r="U266" i="12" a="1"/>
  <c r="V266" i="12" a="1"/>
  <c r="W266" i="12" a="1"/>
  <c r="X266" i="12"/>
  <c r="Y266" i="12" a="1"/>
  <c r="U267" i="12" a="1"/>
  <c r="V267" i="12" a="1"/>
  <c r="W267" i="12" a="1"/>
  <c r="X267" i="12"/>
  <c r="Y267" i="12" a="1"/>
  <c r="U268" i="12" a="1"/>
  <c r="V268" i="12" a="1"/>
  <c r="W268" i="12" a="1"/>
  <c r="X268" i="12"/>
  <c r="Y268" i="12" a="1"/>
  <c r="U269" i="12" a="1"/>
  <c r="V269" i="12" a="1"/>
  <c r="W269" i="12" a="1"/>
  <c r="X269" i="12"/>
  <c r="Y269" i="12" a="1"/>
  <c r="U270" i="12" a="1"/>
  <c r="V270" i="12" a="1"/>
  <c r="W270" i="12" a="1"/>
  <c r="X270" i="12"/>
  <c r="Y270" i="12" a="1"/>
  <c r="U271" i="12" a="1"/>
  <c r="V271" i="12" a="1"/>
  <c r="W271" i="12" a="1"/>
  <c r="X271" i="12"/>
  <c r="Y271" i="12" a="1"/>
  <c r="U272" i="12" a="1"/>
  <c r="V272" i="12" a="1"/>
  <c r="W272" i="12" a="1"/>
  <c r="X272" i="12"/>
  <c r="Y272" i="12" a="1"/>
  <c r="U273" i="12" a="1"/>
  <c r="V273" i="12" a="1"/>
  <c r="W273" i="12" a="1"/>
  <c r="X273" i="12"/>
  <c r="Y273" i="12" a="1"/>
  <c r="U274" i="12" a="1"/>
  <c r="V274" i="12" a="1"/>
  <c r="W274" i="12" a="1"/>
  <c r="X274" i="12"/>
  <c r="Y274" i="12" a="1"/>
  <c r="U275" i="12" a="1"/>
  <c r="V275" i="12" a="1"/>
  <c r="W275" i="12" a="1"/>
  <c r="X275" i="12"/>
  <c r="Y275" i="12" a="1"/>
  <c r="U276" i="12" a="1"/>
  <c r="V276" i="12" a="1"/>
  <c r="W276" i="12" a="1"/>
  <c r="X276" i="12"/>
  <c r="Y276" i="12" a="1"/>
  <c r="U277" i="12" a="1"/>
  <c r="V277" i="12" a="1"/>
  <c r="W277" i="12" a="1"/>
  <c r="X277" i="12"/>
  <c r="Y277" i="12" a="1"/>
  <c r="U278" i="12" a="1"/>
  <c r="V278" i="12" a="1"/>
  <c r="W278" i="12" a="1"/>
  <c r="X278" i="12"/>
  <c r="Y278" i="12" a="1"/>
  <c r="U279" i="12" a="1"/>
  <c r="V279" i="12" a="1"/>
  <c r="W279" i="12" a="1"/>
  <c r="X279" i="12"/>
  <c r="Y279" i="12" a="1"/>
  <c r="U280" i="12" a="1"/>
  <c r="V280" i="12" a="1"/>
  <c r="W280" i="12" a="1"/>
  <c r="X280" i="12"/>
  <c r="Y280" i="12" a="1"/>
  <c r="U281" i="12" a="1"/>
  <c r="V281" i="12" a="1"/>
  <c r="W281" i="12" a="1"/>
  <c r="X281" i="12"/>
  <c r="Y281" i="12" a="1"/>
  <c r="U282" i="12" a="1"/>
  <c r="V282" i="12" a="1"/>
  <c r="W282" i="12" a="1"/>
  <c r="X282" i="12"/>
  <c r="Y282" i="12" a="1"/>
  <c r="U283" i="12" a="1"/>
  <c r="V283" i="12" a="1"/>
  <c r="W283" i="12" a="1"/>
  <c r="X283" i="12"/>
  <c r="Y283" i="12" a="1"/>
  <c r="U284" i="12" a="1"/>
  <c r="V284" i="12" a="1"/>
  <c r="W284" i="12" a="1"/>
  <c r="X284" i="12"/>
  <c r="Y284" i="12" a="1"/>
  <c r="U285" i="12" a="1"/>
  <c r="V285" i="12" a="1"/>
  <c r="W285" i="12" a="1"/>
  <c r="X285" i="12"/>
  <c r="Y285" i="12" a="1"/>
  <c r="U286" i="12" a="1"/>
  <c r="V286" i="12" a="1"/>
  <c r="W286" i="12" a="1"/>
  <c r="X286" i="12"/>
  <c r="Y286" i="12" a="1"/>
  <c r="U287" i="12" a="1"/>
  <c r="V287" i="12" a="1"/>
  <c r="W287" i="12" a="1"/>
  <c r="X287" i="12"/>
  <c r="Y287" i="12" a="1"/>
  <c r="U288" i="12" a="1"/>
  <c r="V288" i="12" a="1"/>
  <c r="W288" i="12" a="1"/>
  <c r="X288" i="12"/>
  <c r="Y288" i="12" a="1"/>
  <c r="U289" i="12" a="1"/>
  <c r="V289" i="12" a="1"/>
  <c r="W289" i="12" a="1"/>
  <c r="X289" i="12"/>
  <c r="Y289" i="12" a="1"/>
  <c r="U290" i="12" a="1"/>
  <c r="V290" i="12" a="1"/>
  <c r="W290" i="12" a="1"/>
  <c r="X290" i="12"/>
  <c r="Y290" i="12" a="1"/>
  <c r="U291" i="12" a="1"/>
  <c r="V291" i="12" a="1"/>
  <c r="W291" i="12" a="1"/>
  <c r="X291" i="12"/>
  <c r="Y291" i="12" a="1"/>
  <c r="U292" i="12" a="1"/>
  <c r="V292" i="12" a="1"/>
  <c r="W292" i="12" a="1"/>
  <c r="X292" i="12"/>
  <c r="Y292" i="12" a="1"/>
  <c r="U293" i="12" a="1"/>
  <c r="V293" i="12" a="1"/>
  <c r="W293" i="12" a="1"/>
  <c r="X293" i="12"/>
  <c r="Y293" i="12" a="1"/>
  <c r="U294" i="12" a="1"/>
  <c r="V294" i="12" a="1"/>
  <c r="W294" i="12" a="1"/>
  <c r="X294" i="12"/>
  <c r="Y294" i="12" a="1"/>
  <c r="U295" i="12" a="1"/>
  <c r="V295" i="12" a="1"/>
  <c r="W295" i="12" a="1"/>
  <c r="X295" i="12"/>
  <c r="Y295" i="12" a="1"/>
  <c r="U296" i="12" a="1"/>
  <c r="V296" i="12" a="1"/>
  <c r="W296" i="12" a="1"/>
  <c r="X296" i="12"/>
  <c r="Y296" i="12" a="1"/>
  <c r="U297" i="12" a="1"/>
  <c r="V297" i="12" a="1"/>
  <c r="W297" i="12" a="1"/>
  <c r="X297" i="12"/>
  <c r="Y297" i="12" a="1"/>
  <c r="U298" i="12" a="1"/>
  <c r="V298" i="12" a="1"/>
  <c r="W298" i="12" a="1"/>
  <c r="X298" i="12"/>
  <c r="Y298" i="12" a="1"/>
  <c r="U299" i="12" a="1"/>
  <c r="V299" i="12" a="1"/>
  <c r="W299" i="12" a="1"/>
  <c r="X299" i="12"/>
  <c r="Y299" i="12" a="1"/>
  <c r="U300" i="12" a="1"/>
  <c r="V300" i="12" a="1"/>
  <c r="W300" i="12" a="1"/>
  <c r="X300" i="12"/>
  <c r="Y300" i="12" a="1"/>
  <c r="U301" i="12" a="1"/>
  <c r="V301" i="12" a="1"/>
  <c r="W301" i="12" a="1"/>
  <c r="X301" i="12"/>
  <c r="Y301" i="12" a="1"/>
  <c r="U302" i="12" a="1"/>
  <c r="V302" i="12" a="1"/>
  <c r="W302" i="12" a="1"/>
  <c r="X302" i="12"/>
  <c r="Y302" i="12" a="1"/>
  <c r="U303" i="12" a="1"/>
  <c r="V303" i="12" a="1"/>
  <c r="W303" i="12" a="1"/>
  <c r="X303" i="12"/>
  <c r="Y303" i="12" a="1"/>
  <c r="U304" i="12" a="1"/>
  <c r="V304" i="12" a="1"/>
  <c r="W304" i="12" a="1"/>
  <c r="X304" i="12"/>
  <c r="Y304" i="12" a="1"/>
  <c r="U305" i="12" a="1"/>
  <c r="V305" i="12" a="1"/>
  <c r="W305" i="12" a="1"/>
  <c r="X305" i="12"/>
  <c r="Y305" i="12" a="1"/>
  <c r="U306" i="12" a="1"/>
  <c r="V306" i="12" a="1"/>
  <c r="W306" i="12" a="1"/>
  <c r="X306" i="12"/>
  <c r="Y306" i="12" a="1"/>
  <c r="U307" i="12" a="1"/>
  <c r="V307" i="12" a="1"/>
  <c r="W307" i="12" a="1"/>
  <c r="X307" i="12"/>
  <c r="Y307" i="12" a="1"/>
  <c r="U308" i="12" a="1"/>
  <c r="V308" i="12" a="1"/>
  <c r="W308" i="12" a="1"/>
  <c r="X308" i="12"/>
  <c r="Y308" i="12" a="1"/>
  <c r="U309" i="12" a="1"/>
  <c r="V309" i="12" a="1"/>
  <c r="W309" i="12" a="1"/>
  <c r="X309" i="12"/>
  <c r="Y309" i="12" a="1"/>
  <c r="U310" i="12" a="1"/>
  <c r="V310" i="12" a="1"/>
  <c r="W310" i="12" a="1"/>
  <c r="X310" i="12"/>
  <c r="Y310" i="12" a="1"/>
  <c r="U311" i="12" a="1"/>
  <c r="V311" i="12" a="1"/>
  <c r="W311" i="12" a="1"/>
  <c r="X311" i="12"/>
  <c r="Y311" i="12" a="1"/>
  <c r="U312" i="12" a="1"/>
  <c r="V312" i="12" a="1"/>
  <c r="W312" i="12" a="1"/>
  <c r="X312" i="12"/>
  <c r="Y312" i="12" a="1"/>
  <c r="U313" i="12" a="1"/>
  <c r="V313" i="12" a="1"/>
  <c r="W313" i="12" a="1"/>
  <c r="X313" i="12"/>
  <c r="Y313" i="12" a="1"/>
  <c r="U314" i="12" a="1"/>
  <c r="V314" i="12" a="1"/>
  <c r="W314" i="12" a="1"/>
  <c r="X314" i="12"/>
  <c r="Y314" i="12" a="1"/>
  <c r="U315" i="12" a="1"/>
  <c r="V315" i="12" a="1"/>
  <c r="W315" i="12" a="1"/>
  <c r="X315" i="12"/>
  <c r="Y315" i="12" a="1"/>
  <c r="U316" i="12" a="1"/>
  <c r="V316" i="12" a="1"/>
  <c r="W316" i="12" a="1"/>
  <c r="X316" i="12"/>
  <c r="Y316" i="12" a="1"/>
  <c r="U317" i="12" a="1"/>
  <c r="V317" i="12" a="1"/>
  <c r="W317" i="12" a="1"/>
  <c r="X317" i="12"/>
  <c r="Y317" i="12" a="1"/>
  <c r="U318" i="12" a="1"/>
  <c r="V318" i="12" a="1"/>
  <c r="W318" i="12" a="1"/>
  <c r="X318" i="12"/>
  <c r="Y318" i="12" a="1"/>
  <c r="U319" i="12" a="1"/>
  <c r="V319" i="12" a="1"/>
  <c r="W319" i="12" a="1"/>
  <c r="X319" i="12"/>
  <c r="Y319" i="12" a="1"/>
  <c r="U320" i="12" a="1"/>
  <c r="V320" i="12" a="1"/>
  <c r="W320" i="12" a="1"/>
  <c r="X320" i="12"/>
  <c r="Y320" i="12" a="1"/>
  <c r="U321" i="12" a="1"/>
  <c r="V321" i="12" a="1"/>
  <c r="W321" i="12" a="1"/>
  <c r="X321" i="12"/>
  <c r="Y321" i="12" a="1"/>
  <c r="U322" i="12" a="1"/>
  <c r="V322" i="12" a="1"/>
  <c r="W322" i="12" a="1"/>
  <c r="X322" i="12"/>
  <c r="Y322" i="12" a="1"/>
  <c r="U323" i="12" a="1"/>
  <c r="V323" i="12" a="1"/>
  <c r="W323" i="12" a="1"/>
  <c r="X323" i="12"/>
  <c r="Y323" i="12" a="1"/>
  <c r="U324" i="12" a="1"/>
  <c r="V324" i="12" a="1"/>
  <c r="W324" i="12" a="1"/>
  <c r="X324" i="12"/>
  <c r="Y324" i="12" a="1"/>
  <c r="U325" i="12" a="1"/>
  <c r="V325" i="12" a="1"/>
  <c r="W325" i="12" a="1"/>
  <c r="X325" i="12"/>
  <c r="Y325" i="12" a="1"/>
  <c r="U326" i="12" a="1"/>
  <c r="V326" i="12" a="1"/>
  <c r="W326" i="12" a="1"/>
  <c r="X326" i="12"/>
  <c r="Y326" i="12" a="1"/>
  <c r="U327" i="12" a="1"/>
  <c r="V327" i="12" a="1"/>
  <c r="W327" i="12" a="1"/>
  <c r="X327" i="12"/>
  <c r="Y327" i="12" a="1"/>
  <c r="U328" i="12" a="1"/>
  <c r="V328" i="12" a="1"/>
  <c r="W328" i="12" a="1"/>
  <c r="X328" i="12"/>
  <c r="Y328" i="12" a="1"/>
  <c r="U329" i="12" a="1"/>
  <c r="V329" i="12" a="1"/>
  <c r="W329" i="12" a="1"/>
  <c r="X329" i="12"/>
  <c r="Y329" i="12" a="1"/>
  <c r="U330" i="12" a="1"/>
  <c r="V330" i="12" a="1"/>
  <c r="W330" i="12" a="1"/>
  <c r="X330" i="12"/>
  <c r="Y330" i="12" a="1"/>
  <c r="U331" i="12" a="1"/>
  <c r="V331" i="12" a="1"/>
  <c r="W331" i="12" a="1"/>
  <c r="X331" i="12"/>
  <c r="Y331" i="12" a="1"/>
  <c r="U332" i="12" a="1"/>
  <c r="V332" i="12" a="1"/>
  <c r="W332" i="12" a="1"/>
  <c r="X332" i="12"/>
  <c r="Y332" i="12" a="1"/>
  <c r="U333" i="12" a="1"/>
  <c r="V333" i="12" a="1"/>
  <c r="W333" i="12" a="1"/>
  <c r="X333" i="12"/>
  <c r="Y333" i="12" a="1"/>
  <c r="U334" i="12" a="1"/>
  <c r="V334" i="12" a="1"/>
  <c r="W334" i="12" a="1"/>
  <c r="X334" i="12"/>
  <c r="Y334" i="12" a="1"/>
  <c r="U335" i="12" a="1"/>
  <c r="V335" i="12" a="1"/>
  <c r="W335" i="12" a="1"/>
  <c r="X335" i="12"/>
  <c r="Y335" i="12" a="1"/>
  <c r="U336" i="12" a="1"/>
  <c r="V336" i="12" a="1"/>
  <c r="W336" i="12" a="1"/>
  <c r="X336" i="12"/>
  <c r="Y336" i="12" a="1"/>
  <c r="U337" i="12" a="1"/>
  <c r="V337" i="12" a="1"/>
  <c r="W337" i="12" a="1"/>
  <c r="X337" i="12"/>
  <c r="Y337" i="12" a="1"/>
  <c r="U338" i="12" a="1"/>
  <c r="V338" i="12" a="1"/>
  <c r="W338" i="12" a="1"/>
  <c r="X338" i="12"/>
  <c r="Y338" i="12" a="1"/>
  <c r="U339" i="12" a="1"/>
  <c r="V339" i="12" a="1"/>
  <c r="W339" i="12" a="1"/>
  <c r="X339" i="12"/>
  <c r="Y339" i="12" a="1"/>
  <c r="U340" i="12" a="1"/>
  <c r="V340" i="12" a="1"/>
  <c r="W340" i="12" a="1"/>
  <c r="X340" i="12"/>
  <c r="Y340" i="12" a="1"/>
  <c r="U341" i="12" a="1"/>
  <c r="V341" i="12" a="1"/>
  <c r="W341" i="12" a="1"/>
  <c r="X341" i="12"/>
  <c r="Y341" i="12" a="1"/>
  <c r="U342" i="12" a="1"/>
  <c r="V342" i="12" a="1"/>
  <c r="W342" i="12" a="1"/>
  <c r="X342" i="12"/>
  <c r="Y342" i="12" a="1"/>
  <c r="U343" i="12" a="1"/>
  <c r="V343" i="12" a="1"/>
  <c r="W343" i="12" a="1"/>
  <c r="X343" i="12"/>
  <c r="Y343" i="12" a="1"/>
  <c r="U344" i="12" a="1"/>
  <c r="V344" i="12" a="1"/>
  <c r="W344" i="12" a="1"/>
  <c r="X344" i="12"/>
  <c r="Y344" i="12" a="1"/>
  <c r="U345" i="12" a="1"/>
  <c r="V345" i="12" a="1"/>
  <c r="W345" i="12" a="1"/>
  <c r="X345" i="12"/>
  <c r="Y345" i="12" a="1"/>
  <c r="U346" i="12" a="1"/>
  <c r="V346" i="12" a="1"/>
  <c r="W346" i="12" a="1"/>
  <c r="X346" i="12"/>
  <c r="Y346" i="12" a="1"/>
  <c r="U347" i="12" a="1"/>
  <c r="V347" i="12" a="1"/>
  <c r="W347" i="12" a="1"/>
  <c r="X347" i="12"/>
  <c r="Y347" i="12" a="1"/>
  <c r="U348" i="12" a="1"/>
  <c r="V348" i="12" a="1"/>
  <c r="W348" i="12" a="1"/>
  <c r="X348" i="12"/>
  <c r="Y348" i="12" a="1"/>
  <c r="U349" i="12" a="1"/>
  <c r="V349" i="12" a="1"/>
  <c r="W349" i="12" a="1"/>
  <c r="X349" i="12"/>
  <c r="Y349" i="12" a="1"/>
  <c r="U350" i="12" a="1"/>
  <c r="V350" i="12" a="1"/>
  <c r="W350" i="12" a="1"/>
  <c r="X350" i="12"/>
  <c r="Y350" i="12" a="1"/>
  <c r="U351" i="12" a="1"/>
  <c r="V351" i="12" a="1"/>
  <c r="W351" i="12" a="1"/>
  <c r="X351" i="12"/>
  <c r="Y351" i="12" a="1"/>
  <c r="U352" i="12" a="1"/>
  <c r="V352" i="12" a="1"/>
  <c r="W352" i="12" a="1"/>
  <c r="X352" i="12"/>
  <c r="Y352" i="12" a="1"/>
  <c r="U353" i="12" a="1"/>
  <c r="V353" i="12" a="1"/>
  <c r="W353" i="12" a="1"/>
  <c r="X353" i="12"/>
  <c r="Y353" i="12" a="1"/>
  <c r="U354" i="12" a="1"/>
  <c r="V354" i="12" a="1"/>
  <c r="W354" i="12" a="1"/>
  <c r="X354" i="12"/>
  <c r="Y354" i="12" a="1"/>
  <c r="U355" i="12" a="1"/>
  <c r="V355" i="12" a="1"/>
  <c r="W355" i="12" a="1"/>
  <c r="X355" i="12"/>
  <c r="Y355" i="12" a="1"/>
  <c r="U356" i="12" a="1"/>
  <c r="V356" i="12" a="1"/>
  <c r="W356" i="12" a="1"/>
  <c r="X356" i="12"/>
  <c r="Y356" i="12" a="1"/>
  <c r="U357" i="12" a="1"/>
  <c r="V357" i="12" a="1"/>
  <c r="W357" i="12" a="1"/>
  <c r="X357" i="12"/>
  <c r="Y357" i="12" a="1"/>
  <c r="U358" i="12" a="1"/>
  <c r="V358" i="12" a="1"/>
  <c r="W358" i="12" a="1"/>
  <c r="X358" i="12"/>
  <c r="Y358" i="12" a="1"/>
  <c r="U359" i="12" a="1"/>
  <c r="V359" i="12" a="1"/>
  <c r="W359" i="12" a="1"/>
  <c r="X359" i="12"/>
  <c r="Y359" i="12" a="1"/>
  <c r="U360" i="12" a="1"/>
  <c r="V360" i="12" a="1"/>
  <c r="W360" i="12" a="1"/>
  <c r="X360" i="12"/>
  <c r="Y360" i="12" a="1"/>
  <c r="U361" i="12" a="1"/>
  <c r="V361" i="12" a="1"/>
  <c r="W361" i="12" a="1"/>
  <c r="X361" i="12"/>
  <c r="Y361" i="12" a="1"/>
  <c r="U362" i="12" a="1"/>
  <c r="V362" i="12" a="1"/>
  <c r="W362" i="12" a="1"/>
  <c r="X362" i="12"/>
  <c r="Y362" i="12" a="1"/>
  <c r="U363" i="12" a="1"/>
  <c r="V363" i="12" a="1"/>
  <c r="W363" i="12" a="1"/>
  <c r="X363" i="12"/>
  <c r="Y363" i="12" a="1"/>
  <c r="U364" i="12" a="1"/>
  <c r="V364" i="12" a="1"/>
  <c r="W364" i="12" a="1"/>
  <c r="X364" i="12"/>
  <c r="Y364" i="12" a="1"/>
  <c r="U365" i="12" a="1"/>
  <c r="V365" i="12" a="1"/>
  <c r="W365" i="12" a="1"/>
  <c r="X365" i="12"/>
  <c r="Y365" i="12" a="1"/>
  <c r="U366" i="12" a="1"/>
  <c r="V366" i="12" a="1"/>
  <c r="W366" i="12" a="1"/>
  <c r="X366" i="12"/>
  <c r="Y366" i="12" a="1"/>
  <c r="U367" i="12" a="1"/>
  <c r="V367" i="12" a="1"/>
  <c r="W367" i="12" a="1"/>
  <c r="X367" i="12"/>
  <c r="Y367" i="12" a="1"/>
  <c r="U368" i="12" a="1"/>
  <c r="V368" i="12" a="1"/>
  <c r="W368" i="12" a="1"/>
  <c r="X368" i="12"/>
  <c r="Y368" i="12" a="1"/>
  <c r="U369" i="12" a="1"/>
  <c r="V369" i="12" a="1"/>
  <c r="W369" i="12" a="1"/>
  <c r="X369" i="12"/>
  <c r="Y369" i="12" a="1"/>
  <c r="U370" i="12" a="1"/>
  <c r="V370" i="12" a="1"/>
  <c r="W370" i="12" a="1"/>
  <c r="X370" i="12"/>
  <c r="Y370" i="12" a="1"/>
  <c r="U371" i="12" a="1"/>
  <c r="V371" i="12" a="1"/>
  <c r="W371" i="12" a="1"/>
  <c r="X371" i="12"/>
  <c r="Y371" i="12" a="1"/>
  <c r="U372" i="12" a="1"/>
  <c r="V372" i="12" a="1"/>
  <c r="W372" i="12" a="1"/>
  <c r="X372" i="12"/>
  <c r="Y372" i="12" a="1"/>
  <c r="U373" i="12" a="1"/>
  <c r="V373" i="12" a="1"/>
  <c r="W373" i="12" a="1"/>
  <c r="X373" i="12"/>
  <c r="Y373" i="12" a="1"/>
  <c r="U374" i="12" a="1"/>
  <c r="V374" i="12" a="1"/>
  <c r="W374" i="12" a="1"/>
  <c r="X374" i="12"/>
  <c r="Y374" i="12" a="1"/>
  <c r="U375" i="12" a="1"/>
  <c r="V375" i="12" a="1"/>
  <c r="W375" i="12" a="1"/>
  <c r="X375" i="12"/>
  <c r="Y375" i="12" a="1"/>
  <c r="U376" i="12" a="1"/>
  <c r="V376" i="12" a="1"/>
  <c r="W376" i="12" a="1"/>
  <c r="X376" i="12"/>
  <c r="Y376" i="12" a="1"/>
  <c r="U377" i="12" a="1"/>
  <c r="V377" i="12" a="1"/>
  <c r="W377" i="12" a="1"/>
  <c r="X377" i="12"/>
  <c r="Y377" i="12" a="1"/>
  <c r="U378" i="12" a="1"/>
  <c r="V378" i="12" a="1"/>
  <c r="W378" i="12" a="1"/>
  <c r="X378" i="12"/>
  <c r="Y378" i="12" a="1"/>
  <c r="U379" i="12" a="1"/>
  <c r="V379" i="12" a="1"/>
  <c r="W379" i="12" a="1"/>
  <c r="X379" i="12"/>
  <c r="Y379" i="12" a="1"/>
  <c r="U380" i="12" a="1"/>
  <c r="V380" i="12" a="1"/>
  <c r="W380" i="12" a="1"/>
  <c r="X380" i="12"/>
  <c r="Y380" i="12" a="1"/>
  <c r="U381" i="12" a="1"/>
  <c r="V381" i="12" a="1"/>
  <c r="W381" i="12" a="1"/>
  <c r="X381" i="12"/>
  <c r="Y381" i="12" a="1"/>
  <c r="U382" i="12" a="1"/>
  <c r="V382" i="12" a="1"/>
  <c r="W382" i="12" a="1"/>
  <c r="X382" i="12"/>
  <c r="Y382" i="12" a="1"/>
  <c r="U383" i="12" a="1"/>
  <c r="V383" i="12" a="1"/>
  <c r="W383" i="12" a="1"/>
  <c r="X383" i="12"/>
  <c r="Y383" i="12" a="1"/>
  <c r="U384" i="12" a="1"/>
  <c r="V384" i="12" a="1"/>
  <c r="W384" i="12" a="1"/>
  <c r="X384" i="12"/>
  <c r="Y384" i="12" a="1"/>
  <c r="U385" i="12" a="1"/>
  <c r="V385" i="12" a="1"/>
  <c r="W385" i="12" a="1"/>
  <c r="X385" i="12"/>
  <c r="Y385" i="12" a="1"/>
  <c r="U386" i="12" a="1"/>
  <c r="V386" i="12" a="1"/>
  <c r="W386" i="12" a="1"/>
  <c r="X386" i="12"/>
  <c r="Y386" i="12" a="1"/>
  <c r="U387" i="12" a="1"/>
  <c r="V387" i="12" a="1"/>
  <c r="W387" i="12" a="1"/>
  <c r="X387" i="12"/>
  <c r="Y387" i="12" a="1"/>
  <c r="U388" i="12" a="1"/>
  <c r="V388" i="12" a="1"/>
  <c r="W388" i="12" a="1"/>
  <c r="X388" i="12"/>
  <c r="Y388" i="12" a="1"/>
  <c r="U389" i="12" a="1"/>
  <c r="V389" i="12" a="1"/>
  <c r="W389" i="12" a="1"/>
  <c r="X389" i="12"/>
  <c r="Y389" i="12" a="1"/>
  <c r="U390" i="12" a="1"/>
  <c r="V390" i="12" a="1"/>
  <c r="W390" i="12" a="1"/>
  <c r="X390" i="12"/>
  <c r="Y390" i="12" a="1"/>
  <c r="U391" i="12" a="1"/>
  <c r="V391" i="12" a="1"/>
  <c r="W391" i="12" a="1"/>
  <c r="X391" i="12"/>
  <c r="Y391" i="12" a="1"/>
  <c r="U392" i="12" a="1"/>
  <c r="V392" i="12" a="1"/>
  <c r="W392" i="12" a="1"/>
  <c r="X392" i="12"/>
  <c r="Y392" i="12" a="1"/>
  <c r="U393" i="12" a="1"/>
  <c r="V393" i="12" a="1"/>
  <c r="W393" i="12" a="1"/>
  <c r="X393" i="12"/>
  <c r="Y393" i="12" a="1"/>
  <c r="U394" i="12" a="1"/>
  <c r="V394" i="12" a="1"/>
  <c r="W394" i="12" a="1"/>
  <c r="X394" i="12"/>
  <c r="Y394" i="12" a="1"/>
  <c r="U395" i="12" a="1"/>
  <c r="V395" i="12" a="1"/>
  <c r="W395" i="12" a="1"/>
  <c r="X395" i="12"/>
  <c r="Y395" i="12" a="1"/>
  <c r="U396" i="12" a="1"/>
  <c r="V396" i="12" a="1"/>
  <c r="W396" i="12" a="1"/>
  <c r="X396" i="12"/>
  <c r="Y396" i="12" a="1"/>
  <c r="U397" i="12" a="1"/>
  <c r="V397" i="12" a="1"/>
  <c r="W397" i="12" a="1"/>
  <c r="X397" i="12"/>
  <c r="Y397" i="12" a="1"/>
  <c r="U398" i="12" a="1"/>
  <c r="V398" i="12" a="1"/>
  <c r="W398" i="12" a="1"/>
  <c r="X398" i="12"/>
  <c r="Y398" i="12" a="1"/>
  <c r="U399" i="12" a="1"/>
  <c r="V399" i="12" a="1"/>
  <c r="W399" i="12" a="1"/>
  <c r="X399" i="12"/>
  <c r="Y399" i="12" a="1"/>
  <c r="U400" i="12" a="1"/>
  <c r="V400" i="12" a="1"/>
  <c r="W400" i="12" a="1"/>
  <c r="X400" i="12"/>
  <c r="Y400" i="12" a="1"/>
  <c r="U401" i="12" a="1"/>
  <c r="V401" i="12" a="1"/>
  <c r="W401" i="12" a="1"/>
  <c r="X401" i="12"/>
  <c r="Y401" i="12" a="1"/>
  <c r="U402" i="12" a="1"/>
  <c r="V402" i="12" a="1"/>
  <c r="W402" i="12" a="1"/>
  <c r="X402" i="12"/>
  <c r="Y402" i="12" a="1"/>
  <c r="U403" i="12" a="1"/>
  <c r="V403" i="12" a="1"/>
  <c r="W403" i="12" a="1"/>
  <c r="X403" i="12"/>
  <c r="Y403" i="12" a="1"/>
  <c r="U404" i="12" a="1"/>
  <c r="V404" i="12" a="1"/>
  <c r="W404" i="12" a="1"/>
  <c r="X404" i="12"/>
  <c r="Y404" i="12" a="1"/>
  <c r="Y15" i="12" a="1"/>
  <c r="X15" i="12"/>
  <c r="W15" i="12" a="1"/>
  <c r="V15" i="12" a="1"/>
  <c r="U15" i="12" a="1"/>
  <c r="Y14" i="12" a="1"/>
  <c r="X14" i="12"/>
  <c r="W14" i="12" a="1"/>
  <c r="V14" i="12" a="1"/>
  <c r="U14" i="12" a="1"/>
  <c r="Y13" i="12" a="1"/>
  <c r="X13" i="12"/>
  <c r="W13" i="12" a="1"/>
  <c r="V13" i="12" a="1"/>
  <c r="U13" i="12" a="1"/>
  <c r="Y12" i="12" a="1"/>
  <c r="X12" i="12"/>
  <c r="W12" i="12" a="1"/>
  <c r="V12" i="12" a="1"/>
  <c r="U12" i="12" a="1"/>
  <c r="Y11" i="12" a="1"/>
  <c r="X11" i="12"/>
  <c r="W11" i="12" a="1"/>
  <c r="V11" i="12" a="1"/>
  <c r="U11" i="12" a="1"/>
  <c r="Y10" i="12" a="1"/>
  <c r="X10" i="12"/>
  <c r="W10" i="12" a="1"/>
  <c r="V10" i="12" a="1"/>
  <c r="U10" i="12" a="1"/>
  <c r="Y9" i="12" a="1"/>
  <c r="X9" i="12"/>
  <c r="W9" i="12" a="1"/>
  <c r="V9" i="12" a="1"/>
  <c r="U9" i="12" a="1"/>
  <c r="Y8" i="12" a="1"/>
  <c r="X8" i="12"/>
  <c r="W8" i="12" a="1"/>
  <c r="V8" i="12" a="1"/>
  <c r="U8" i="12" a="1"/>
  <c r="Y7" i="12" a="1"/>
  <c r="X7" i="12"/>
  <c r="W7" i="12" a="1"/>
  <c r="V7" i="12" a="1"/>
  <c r="U7" i="12" a="1"/>
  <c r="Y6" i="12" a="1"/>
  <c r="X6" i="12"/>
  <c r="W6" i="12" a="1"/>
  <c r="V6" i="12" a="1"/>
  <c r="U6" i="12" a="1"/>
  <c r="Y5" i="12" a="1"/>
  <c r="X5" i="12"/>
  <c r="W5" i="12" a="1"/>
  <c r="V5" i="12" a="1"/>
  <c r="U5" i="12" a="1"/>
  <c r="Y4" i="12" a="1"/>
  <c r="X4" i="12"/>
  <c r="W4" i="12" a="1"/>
  <c r="V4" i="12" a="1"/>
  <c r="U4" i="12" a="1"/>
  <c r="Y3" i="12" a="1"/>
  <c r="X3" i="12"/>
  <c r="W3" i="12" a="1"/>
  <c r="V3" i="12" a="1"/>
  <c r="U3" i="12" a="1"/>
  <c r="Y2" i="12" a="1"/>
  <c r="X2" i="12"/>
  <c r="W2" i="12" a="1"/>
  <c r="V2" i="12" a="1"/>
  <c r="U2" i="12" a="1"/>
  <c r="Y15" i="7" a="1"/>
  <c r="X15" i="7"/>
  <c r="W15" i="7" a="1"/>
  <c r="V15" i="7" a="1"/>
  <c r="U15" i="7" a="1"/>
  <c r="Y14" i="7" a="1"/>
  <c r="X14" i="7"/>
  <c r="W14" i="7" a="1"/>
  <c r="V14" i="7" a="1"/>
  <c r="U14" i="7" a="1"/>
  <c r="Y13" i="7" a="1"/>
  <c r="X13" i="7"/>
  <c r="W13" i="7" a="1"/>
  <c r="V13" i="7" a="1"/>
  <c r="U13" i="7" a="1"/>
  <c r="Y12" i="7" a="1"/>
  <c r="X12" i="7"/>
  <c r="W12" i="7" a="1"/>
  <c r="V12" i="7" a="1"/>
  <c r="U12" i="7" a="1"/>
  <c r="Y11" i="7" a="1"/>
  <c r="X11" i="7"/>
  <c r="W11" i="7" a="1"/>
  <c r="V11" i="7" a="1"/>
  <c r="U11" i="7" a="1"/>
  <c r="Y10" i="7" a="1"/>
  <c r="X10" i="7"/>
  <c r="W10" i="7" a="1"/>
  <c r="V10" i="7" a="1"/>
  <c r="U10" i="7" a="1"/>
  <c r="Y9" i="7" a="1"/>
  <c r="X9" i="7"/>
  <c r="W9" i="7" a="1"/>
  <c r="V9" i="7" a="1"/>
  <c r="U9" i="7" a="1"/>
  <c r="Y8" i="7" a="1"/>
  <c r="X8" i="7"/>
  <c r="W8" i="7" a="1"/>
  <c r="V8" i="7" a="1"/>
  <c r="U8" i="7" a="1"/>
  <c r="Y7" i="7" a="1"/>
  <c r="X7" i="7"/>
  <c r="W7" i="7" a="1"/>
  <c r="V7" i="7" a="1"/>
  <c r="U7" i="7" a="1"/>
  <c r="Y6" i="7" a="1"/>
  <c r="X6" i="7"/>
  <c r="W6" i="7" a="1"/>
  <c r="V6" i="7" a="1"/>
  <c r="U6" i="7" a="1"/>
  <c r="Y5" i="7" a="1"/>
  <c r="X5" i="7"/>
  <c r="W5" i="7" a="1"/>
  <c r="V5" i="7" a="1"/>
  <c r="U5" i="7" a="1"/>
  <c r="Y4" i="7" a="1"/>
  <c r="X4" i="7"/>
  <c r="W4" i="7" a="1"/>
  <c r="V4" i="7" a="1"/>
  <c r="U4" i="7" a="1"/>
  <c r="Y3" i="7" a="1"/>
  <c r="X3" i="7"/>
  <c r="W3" i="7" a="1"/>
  <c r="V3" i="7" a="1"/>
  <c r="U3" i="7" a="1"/>
  <c r="Y2" i="7" a="1"/>
  <c r="X2" i="7"/>
  <c r="W2" i="7" a="1"/>
  <c r="V2" i="7" a="1"/>
  <c r="U2" i="7" a="1"/>
  <c r="Y15" i="6" a="1"/>
  <c r="X15" i="6"/>
  <c r="W15" i="6" a="1"/>
  <c r="V15" i="6" a="1"/>
  <c r="U15" i="6" a="1"/>
  <c r="Y14" i="6" a="1"/>
  <c r="X14" i="6"/>
  <c r="W14" i="6" a="1"/>
  <c r="V14" i="6" a="1"/>
  <c r="U14" i="6" a="1"/>
  <c r="Y13" i="6" a="1"/>
  <c r="X13" i="6"/>
  <c r="W13" i="6" a="1"/>
  <c r="V13" i="6" a="1"/>
  <c r="U13" i="6" a="1"/>
  <c r="Y12" i="6" a="1"/>
  <c r="X12" i="6"/>
  <c r="W12" i="6" a="1"/>
  <c r="V12" i="6" a="1"/>
  <c r="U12" i="6" a="1"/>
  <c r="Y11" i="6" a="1"/>
  <c r="X11" i="6"/>
  <c r="W11" i="6" a="1"/>
  <c r="V11" i="6" a="1"/>
  <c r="U11" i="6" a="1"/>
  <c r="Y10" i="6" a="1"/>
  <c r="X10" i="6"/>
  <c r="W10" i="6" a="1"/>
  <c r="V10" i="6" a="1"/>
  <c r="U10" i="6" a="1"/>
  <c r="Y9" i="6" a="1"/>
  <c r="X9" i="6"/>
  <c r="W9" i="6" a="1"/>
  <c r="V9" i="6" a="1"/>
  <c r="U9" i="6" a="1"/>
  <c r="Y8" i="6" a="1"/>
  <c r="X8" i="6"/>
  <c r="W8" i="6" a="1"/>
  <c r="V8" i="6" a="1"/>
  <c r="U8" i="6" a="1"/>
  <c r="Y7" i="6" a="1"/>
  <c r="X7" i="6"/>
  <c r="W7" i="6" a="1"/>
  <c r="V7" i="6" a="1"/>
  <c r="U7" i="6" a="1"/>
  <c r="Y6" i="6" a="1"/>
  <c r="X6" i="6"/>
  <c r="W6" i="6" a="1"/>
  <c r="V6" i="6" a="1"/>
  <c r="U6" i="6" a="1"/>
  <c r="Y5" i="6" a="1"/>
  <c r="X5" i="6"/>
  <c r="W5" i="6" a="1"/>
  <c r="V5" i="6" a="1"/>
  <c r="U5" i="6" a="1"/>
  <c r="Y4" i="6" a="1"/>
  <c r="X4" i="6"/>
  <c r="W4" i="6" a="1"/>
  <c r="V4" i="6" a="1"/>
  <c r="U4" i="6" a="1"/>
  <c r="Y3" i="6" a="1"/>
  <c r="X3" i="6"/>
  <c r="W3" i="6" a="1"/>
  <c r="V3" i="6" a="1"/>
  <c r="U3" i="6" a="1"/>
  <c r="Y2" i="6" a="1"/>
  <c r="X2" i="6"/>
  <c r="W2" i="6" a="1"/>
  <c r="V2" i="6" a="1"/>
  <c r="U2" i="6" a="1"/>
  <c r="Y15" i="5" a="1"/>
  <c r="X15" i="5"/>
  <c r="W15" i="5" a="1"/>
  <c r="V15" i="5" a="1"/>
  <c r="U15" i="5" a="1"/>
  <c r="Y14" i="5" a="1"/>
  <c r="X14" i="5"/>
  <c r="W14" i="5" a="1"/>
  <c r="V14" i="5" a="1"/>
  <c r="U14" i="5" a="1"/>
  <c r="Y13" i="5" a="1"/>
  <c r="X13" i="5"/>
  <c r="W13" i="5" a="1"/>
  <c r="V13" i="5" a="1"/>
  <c r="U13" i="5" a="1"/>
  <c r="Y12" i="5" a="1"/>
  <c r="X12" i="5"/>
  <c r="W12" i="5" a="1"/>
  <c r="V12" i="5" a="1"/>
  <c r="U12" i="5" a="1"/>
  <c r="Y11" i="5" a="1"/>
  <c r="X11" i="5"/>
  <c r="W11" i="5" a="1"/>
  <c r="V11" i="5" a="1"/>
  <c r="U11" i="5" a="1"/>
  <c r="Y10" i="5" a="1"/>
  <c r="X10" i="5"/>
  <c r="W10" i="5" a="1"/>
  <c r="V10" i="5" a="1"/>
  <c r="U10" i="5" a="1"/>
  <c r="Y9" i="5" a="1"/>
  <c r="X9" i="5"/>
  <c r="W9" i="5" a="1"/>
  <c r="V9" i="5" a="1"/>
  <c r="U9" i="5" a="1"/>
  <c r="Y8" i="5" a="1"/>
  <c r="X8" i="5"/>
  <c r="W8" i="5" a="1"/>
  <c r="V8" i="5" a="1"/>
  <c r="U8" i="5" a="1"/>
  <c r="Y7" i="5" a="1"/>
  <c r="X7" i="5"/>
  <c r="W7" i="5" a="1"/>
  <c r="V7" i="5" a="1"/>
  <c r="U7" i="5" a="1"/>
  <c r="Y6" i="5" a="1"/>
  <c r="X6" i="5"/>
  <c r="W6" i="5" a="1"/>
  <c r="V6" i="5" a="1"/>
  <c r="U6" i="5" a="1"/>
  <c r="Y5" i="5" a="1"/>
  <c r="X5" i="5"/>
  <c r="W5" i="5" a="1"/>
  <c r="V5" i="5" a="1"/>
  <c r="U5" i="5" a="1"/>
  <c r="Y4" i="5" a="1"/>
  <c r="X4" i="5"/>
  <c r="W4" i="5" a="1"/>
  <c r="V4" i="5" a="1"/>
  <c r="U4" i="5" a="1"/>
  <c r="Y3" i="5" a="1"/>
  <c r="X3" i="5"/>
  <c r="W3" i="5" a="1"/>
  <c r="V3" i="5" a="1"/>
  <c r="U3" i="5" a="1"/>
  <c r="Y2" i="5" a="1"/>
  <c r="X2" i="5"/>
  <c r="W2" i="5" a="1"/>
  <c r="V2" i="5" a="1"/>
  <c r="U2" i="5" a="1"/>
  <c r="Y15" i="4" a="1"/>
  <c r="X15" i="4"/>
  <c r="W15" i="4" a="1"/>
  <c r="V15" i="4" a="1"/>
  <c r="U15" i="4" a="1"/>
  <c r="Y14" i="4" a="1"/>
  <c r="X14" i="4"/>
  <c r="W14" i="4" a="1"/>
  <c r="V14" i="4" a="1"/>
  <c r="U14" i="4" a="1"/>
  <c r="Y13" i="4" a="1"/>
  <c r="X13" i="4"/>
  <c r="W13" i="4" a="1"/>
  <c r="V13" i="4" a="1"/>
  <c r="U13" i="4" a="1"/>
  <c r="Y12" i="4" a="1"/>
  <c r="X12" i="4"/>
  <c r="W12" i="4" a="1"/>
  <c r="V12" i="4" a="1"/>
  <c r="U12" i="4" a="1"/>
  <c r="Y11" i="4" a="1"/>
  <c r="X11" i="4"/>
  <c r="W11" i="4" a="1"/>
  <c r="V11" i="4" a="1"/>
  <c r="U11" i="4" a="1"/>
  <c r="Y10" i="4" a="1"/>
  <c r="X10" i="4"/>
  <c r="W10" i="4" a="1"/>
  <c r="V10" i="4" a="1"/>
  <c r="U10" i="4" a="1"/>
  <c r="Y9" i="4" a="1"/>
  <c r="X9" i="4"/>
  <c r="W9" i="4" a="1"/>
  <c r="V9" i="4" a="1"/>
  <c r="U9" i="4" a="1"/>
  <c r="Y8" i="4" a="1"/>
  <c r="X8" i="4"/>
  <c r="W8" i="4" a="1"/>
  <c r="V8" i="4" a="1"/>
  <c r="U8" i="4" a="1"/>
  <c r="Y7" i="4" a="1"/>
  <c r="X7" i="4"/>
  <c r="W7" i="4" a="1"/>
  <c r="V7" i="4" a="1"/>
  <c r="U7" i="4" a="1"/>
  <c r="Y6" i="4" a="1"/>
  <c r="X6" i="4"/>
  <c r="W6" i="4" a="1"/>
  <c r="V6" i="4" a="1"/>
  <c r="U6" i="4" a="1"/>
  <c r="Y5" i="4" a="1"/>
  <c r="X5" i="4"/>
  <c r="W5" i="4" a="1"/>
  <c r="V5" i="4" a="1"/>
  <c r="U5" i="4" a="1"/>
  <c r="Y4" i="4" a="1"/>
  <c r="X4" i="4"/>
  <c r="W4" i="4" a="1"/>
  <c r="V4" i="4" a="1"/>
  <c r="U4" i="4" a="1"/>
  <c r="Y3" i="4" a="1"/>
  <c r="X3" i="4"/>
  <c r="W3" i="4" a="1"/>
  <c r="V3" i="4" a="1"/>
  <c r="U3" i="4" a="1"/>
  <c r="Y2" i="4" a="1"/>
  <c r="X2" i="4"/>
  <c r="W2" i="4" a="1"/>
  <c r="V2" i="4" a="1"/>
  <c r="U2" i="4" a="1"/>
  <c r="Y15" i="3" a="1"/>
  <c r="X15" i="3"/>
  <c r="W15" i="3" a="1"/>
  <c r="V15" i="3" a="1"/>
  <c r="U15" i="3" a="1"/>
  <c r="Y14" i="3" a="1"/>
  <c r="X14" i="3"/>
  <c r="W14" i="3" a="1"/>
  <c r="V14" i="3" a="1"/>
  <c r="U14" i="3" a="1"/>
  <c r="Y13" i="3" a="1"/>
  <c r="X13" i="3"/>
  <c r="W13" i="3" a="1"/>
  <c r="V13" i="3" a="1"/>
  <c r="U13" i="3" a="1"/>
  <c r="Y12" i="3" a="1"/>
  <c r="X12" i="3"/>
  <c r="W12" i="3" a="1"/>
  <c r="V12" i="3" a="1"/>
  <c r="U12" i="3" a="1"/>
  <c r="Y11" i="3" a="1"/>
  <c r="X11" i="3"/>
  <c r="W11" i="3" a="1"/>
  <c r="V11" i="3" a="1"/>
  <c r="U11" i="3" a="1"/>
  <c r="Y10" i="3" a="1"/>
  <c r="X10" i="3"/>
  <c r="W10" i="3" a="1"/>
  <c r="V10" i="3" a="1"/>
  <c r="U10" i="3" a="1"/>
  <c r="Y9" i="3" a="1"/>
  <c r="X9" i="3"/>
  <c r="W9" i="3" a="1"/>
  <c r="V9" i="3" a="1"/>
  <c r="U9" i="3" a="1"/>
  <c r="Y8" i="3" a="1"/>
  <c r="X8" i="3"/>
  <c r="W8" i="3" a="1"/>
  <c r="V8" i="3" a="1"/>
  <c r="U8" i="3" a="1"/>
  <c r="Y7" i="3" a="1"/>
  <c r="X7" i="3"/>
  <c r="W7" i="3" a="1"/>
  <c r="V7" i="3" a="1"/>
  <c r="U7" i="3" a="1"/>
  <c r="Y6" i="3" a="1"/>
  <c r="X6" i="3"/>
  <c r="W6" i="3" a="1"/>
  <c r="V6" i="3" a="1"/>
  <c r="U6" i="3" a="1"/>
  <c r="Y5" i="3" a="1"/>
  <c r="X5" i="3"/>
  <c r="W5" i="3" a="1"/>
  <c r="V5" i="3" a="1"/>
  <c r="U5" i="3" a="1"/>
  <c r="Y4" i="3" a="1"/>
  <c r="X4" i="3"/>
  <c r="W4" i="3" a="1"/>
  <c r="V4" i="3" a="1"/>
  <c r="U4" i="3" a="1"/>
  <c r="Y3" i="3" a="1"/>
  <c r="X3" i="3"/>
  <c r="W3" i="3" a="1"/>
  <c r="V3" i="3" a="1"/>
  <c r="U3" i="3" a="1"/>
  <c r="Y2" i="3" a="1"/>
  <c r="X2" i="3"/>
  <c r="W2" i="3" a="1"/>
  <c r="V2" i="3" a="1"/>
  <c r="U2" i="3" a="1"/>
  <c r="Y15" i="9" a="1"/>
  <c r="X15" i="9"/>
  <c r="W15" i="9" a="1"/>
  <c r="V15" i="9" a="1"/>
  <c r="U15" i="9" a="1"/>
  <c r="Y14" i="9" a="1"/>
  <c r="X14" i="9"/>
  <c r="W14" i="9" a="1"/>
  <c r="V14" i="9" a="1"/>
  <c r="U14" i="9" a="1"/>
  <c r="Y13" i="9" a="1"/>
  <c r="X13" i="9"/>
  <c r="W13" i="9" a="1"/>
  <c r="V13" i="9" a="1"/>
  <c r="U13" i="9" a="1"/>
  <c r="Y12" i="9" a="1"/>
  <c r="X12" i="9"/>
  <c r="W12" i="9" a="1"/>
  <c r="V12" i="9" a="1"/>
  <c r="U12" i="9" a="1"/>
  <c r="Y11" i="9" a="1"/>
  <c r="X11" i="9"/>
  <c r="W11" i="9" a="1"/>
  <c r="V11" i="9" a="1"/>
  <c r="U11" i="9" a="1"/>
  <c r="Y10" i="9" a="1"/>
  <c r="X10" i="9"/>
  <c r="W10" i="9" a="1"/>
  <c r="V10" i="9" a="1"/>
  <c r="U10" i="9" a="1"/>
  <c r="Y9" i="9" a="1"/>
  <c r="X9" i="9"/>
  <c r="W9" i="9" a="1"/>
  <c r="V9" i="9" a="1"/>
  <c r="U9" i="9" a="1"/>
  <c r="Y8" i="9" a="1"/>
  <c r="X8" i="9"/>
  <c r="W8" i="9" a="1"/>
  <c r="V8" i="9" a="1"/>
  <c r="U8" i="9" a="1"/>
  <c r="Y7" i="9" a="1"/>
  <c r="X7" i="9"/>
  <c r="W7" i="9" a="1"/>
  <c r="V7" i="9" a="1"/>
  <c r="U7" i="9" a="1"/>
  <c r="Y6" i="9" a="1"/>
  <c r="X6" i="9"/>
  <c r="W6" i="9" a="1"/>
  <c r="V6" i="9" a="1"/>
  <c r="U6" i="9" a="1"/>
  <c r="Y5" i="9" a="1"/>
  <c r="X5" i="9"/>
  <c r="W5" i="9" a="1"/>
  <c r="V5" i="9" a="1"/>
  <c r="U5" i="9" a="1"/>
  <c r="Y4" i="9" a="1"/>
  <c r="X4" i="9"/>
  <c r="W4" i="9" a="1"/>
  <c r="V4" i="9" a="1"/>
  <c r="U4" i="9" a="1"/>
  <c r="Y3" i="9" a="1"/>
  <c r="X3" i="9"/>
  <c r="W3" i="9" a="1"/>
  <c r="V3" i="9" a="1"/>
  <c r="U3" i="9" a="1"/>
  <c r="Y2" i="9" a="1"/>
  <c r="X2" i="9"/>
  <c r="W2" i="9" a="1"/>
  <c r="V2" i="9" a="1"/>
  <c r="U2" i="9" a="1"/>
  <c r="U3" i="10" a="1"/>
  <c r="V3" i="10" a="1"/>
  <c r="W3" i="10" a="1"/>
  <c r="X3" i="10"/>
  <c r="Y3" i="10" a="1"/>
  <c r="U4" i="10" a="1"/>
  <c r="V4" i="10" a="1"/>
  <c r="W4" i="10" a="1"/>
  <c r="X4" i="10"/>
  <c r="Y4" i="10" a="1"/>
  <c r="U5" i="10" a="1"/>
  <c r="V5" i="10" a="1"/>
  <c r="W5" i="10" a="1"/>
  <c r="X5" i="10"/>
  <c r="Y5" i="10" a="1"/>
  <c r="U6" i="10" a="1"/>
  <c r="V6" i="10" a="1"/>
  <c r="W6" i="10" a="1"/>
  <c r="X6" i="10"/>
  <c r="Y6" i="10" a="1"/>
  <c r="U7" i="10" a="1"/>
  <c r="V7" i="10" a="1"/>
  <c r="W7" i="10" a="1"/>
  <c r="X7" i="10"/>
  <c r="Y7" i="10" a="1"/>
  <c r="U8" i="10" a="1"/>
  <c r="V8" i="10" a="1"/>
  <c r="W8" i="10" a="1"/>
  <c r="X8" i="10"/>
  <c r="Y8" i="10" a="1"/>
  <c r="U9" i="10" a="1"/>
  <c r="V9" i="10" a="1"/>
  <c r="W9" i="10" a="1"/>
  <c r="X9" i="10"/>
  <c r="Y9" i="10" a="1"/>
  <c r="U10" i="10" a="1"/>
  <c r="V10" i="10" a="1"/>
  <c r="W10" i="10" a="1"/>
  <c r="X10" i="10"/>
  <c r="Y10" i="10" a="1"/>
  <c r="U11" i="10" a="1"/>
  <c r="V11" i="10" a="1"/>
  <c r="W11" i="10" a="1"/>
  <c r="X11" i="10"/>
  <c r="Y11" i="10" a="1"/>
  <c r="U12" i="10" a="1"/>
  <c r="V12" i="10" a="1"/>
  <c r="W12" i="10" a="1"/>
  <c r="X12" i="10"/>
  <c r="Y12" i="10" a="1"/>
  <c r="U13" i="10" a="1"/>
  <c r="V13" i="10" a="1"/>
  <c r="W13" i="10" a="1"/>
  <c r="X13" i="10"/>
  <c r="Y13" i="10" a="1"/>
  <c r="U14" i="10" a="1"/>
  <c r="V14" i="10" a="1"/>
  <c r="W14" i="10" a="1"/>
  <c r="X14" i="10"/>
  <c r="Y14" i="10" a="1"/>
  <c r="U15" i="10" a="1"/>
  <c r="V15" i="10" a="1"/>
  <c r="W15" i="10" a="1"/>
  <c r="X15" i="10"/>
  <c r="Y15" i="10" a="1"/>
  <c r="Y2" i="10" a="1"/>
  <c r="X2" i="10"/>
  <c r="V2" i="10" a="1"/>
  <c r="U2" i="10" a="1"/>
  <c r="W2" i="10" a="1"/>
  <c r="M15" i="7"/>
  <c r="M14" i="7"/>
  <c r="M13" i="7"/>
  <c r="M12" i="7"/>
  <c r="M11" i="7"/>
  <c r="M10" i="7"/>
  <c r="M9" i="7"/>
  <c r="A9" i="7" s="1"/>
  <c r="M8" i="7"/>
  <c r="M7" i="7"/>
  <c r="M6" i="7"/>
  <c r="M5" i="7"/>
  <c r="M4" i="7"/>
  <c r="M3" i="7"/>
  <c r="M2" i="7"/>
  <c r="A2" i="7" s="1"/>
  <c r="M15" i="6"/>
  <c r="M14" i="6"/>
  <c r="M13" i="6"/>
  <c r="M12" i="6"/>
  <c r="M11" i="6"/>
  <c r="M10" i="6"/>
  <c r="M9" i="6"/>
  <c r="A9" i="6" s="1"/>
  <c r="M8" i="6"/>
  <c r="M7" i="6"/>
  <c r="M6" i="6"/>
  <c r="M5" i="6"/>
  <c r="M4" i="6"/>
  <c r="M3" i="6"/>
  <c r="M2" i="6"/>
  <c r="A2" i="6" s="1"/>
  <c r="M15" i="5"/>
  <c r="M14" i="5"/>
  <c r="M13" i="5"/>
  <c r="M12" i="5"/>
  <c r="M11" i="5"/>
  <c r="M10" i="5"/>
  <c r="M9" i="5"/>
  <c r="M8" i="5"/>
  <c r="M7" i="5"/>
  <c r="M6" i="5"/>
  <c r="M5" i="5"/>
  <c r="M4" i="5"/>
  <c r="M3" i="5"/>
  <c r="M2" i="5"/>
  <c r="M15" i="4"/>
  <c r="M14" i="4"/>
  <c r="M13" i="4"/>
  <c r="M12" i="4"/>
  <c r="M11" i="4"/>
  <c r="M10" i="4"/>
  <c r="M9" i="4"/>
  <c r="A9" i="4" s="1"/>
  <c r="M8" i="4"/>
  <c r="M7" i="4"/>
  <c r="M6" i="4"/>
  <c r="M5" i="4"/>
  <c r="M4" i="4"/>
  <c r="M3" i="4"/>
  <c r="M2" i="4"/>
  <c r="A2" i="4" s="1"/>
  <c r="M15" i="3"/>
  <c r="M14" i="3"/>
  <c r="M13" i="3"/>
  <c r="M12" i="3"/>
  <c r="M11" i="3"/>
  <c r="M10" i="3"/>
  <c r="M9" i="3"/>
  <c r="M8" i="3"/>
  <c r="M7" i="3"/>
  <c r="M6" i="3"/>
  <c r="M5" i="3"/>
  <c r="M4" i="3"/>
  <c r="M3" i="3"/>
  <c r="M2" i="3"/>
  <c r="M15" i="9"/>
  <c r="M14" i="9"/>
  <c r="M13" i="9"/>
  <c r="M12" i="9"/>
  <c r="M11" i="9"/>
  <c r="M10" i="9"/>
  <c r="M9" i="9"/>
  <c r="A9" i="9" s="1"/>
  <c r="M8" i="9"/>
  <c r="M7" i="9"/>
  <c r="M6" i="9"/>
  <c r="M5" i="9"/>
  <c r="M4" i="9"/>
  <c r="M3" i="9"/>
  <c r="M2" i="9"/>
  <c r="A2" i="9" s="1"/>
  <c r="M15" i="10"/>
  <c r="M14" i="10"/>
  <c r="M13" i="10"/>
  <c r="M12" i="10"/>
  <c r="M11" i="10"/>
  <c r="M10" i="10"/>
  <c r="M9" i="10"/>
  <c r="A9" i="10" s="1"/>
  <c r="M8" i="10"/>
  <c r="M7" i="10"/>
  <c r="M6" i="10"/>
  <c r="M5" i="10"/>
  <c r="M4" i="10"/>
  <c r="M3" i="10"/>
  <c r="A3" i="10" s="1"/>
  <c r="M2" i="10"/>
  <c r="A2" i="10" s="1"/>
  <c r="M3" i="12"/>
  <c r="M4" i="12"/>
  <c r="M5" i="12"/>
  <c r="M6" i="12"/>
  <c r="M7" i="12"/>
  <c r="M8" i="12"/>
  <c r="M9" i="12"/>
  <c r="M10" i="12"/>
  <c r="M11" i="12"/>
  <c r="M12" i="12"/>
  <c r="M13" i="12"/>
  <c r="M14" i="12"/>
  <c r="M15" i="12"/>
  <c r="M16" i="12"/>
  <c r="M17" i="12"/>
  <c r="M18" i="12"/>
  <c r="M19" i="12"/>
  <c r="M20" i="12"/>
  <c r="M21" i="12"/>
  <c r="M22" i="12"/>
  <c r="M23" i="12"/>
  <c r="M24" i="12"/>
  <c r="M25" i="12"/>
  <c r="M26" i="12"/>
  <c r="M27" i="12"/>
  <c r="M28" i="12"/>
  <c r="M29" i="12"/>
  <c r="M30" i="12"/>
  <c r="M31" i="12"/>
  <c r="M32" i="12"/>
  <c r="M33" i="12"/>
  <c r="M34" i="12"/>
  <c r="M35" i="12"/>
  <c r="M36" i="12"/>
  <c r="M37" i="12"/>
  <c r="M38" i="12"/>
  <c r="M39" i="12"/>
  <c r="M40" i="12"/>
  <c r="M41" i="12"/>
  <c r="M42" i="12"/>
  <c r="M43" i="12"/>
  <c r="M44" i="12"/>
  <c r="M45" i="12"/>
  <c r="M46" i="12"/>
  <c r="M47" i="12"/>
  <c r="M48" i="12"/>
  <c r="M49" i="12"/>
  <c r="M50" i="12"/>
  <c r="M51" i="12"/>
  <c r="M52" i="12"/>
  <c r="M53" i="12"/>
  <c r="M54" i="12"/>
  <c r="M55" i="12"/>
  <c r="M56" i="12"/>
  <c r="M57" i="12"/>
  <c r="M58" i="12"/>
  <c r="M59" i="12"/>
  <c r="M60" i="12"/>
  <c r="M61" i="12"/>
  <c r="M62" i="12"/>
  <c r="M63" i="12"/>
  <c r="M64" i="12"/>
  <c r="M65" i="12"/>
  <c r="M66" i="12"/>
  <c r="M67" i="12"/>
  <c r="M68" i="12"/>
  <c r="M69" i="12"/>
  <c r="M70" i="12"/>
  <c r="M71" i="12"/>
  <c r="M72" i="12"/>
  <c r="M73" i="12"/>
  <c r="M74" i="12"/>
  <c r="M75" i="12"/>
  <c r="M76" i="12"/>
  <c r="M77" i="12"/>
  <c r="M78" i="12"/>
  <c r="M79" i="12"/>
  <c r="M80" i="12"/>
  <c r="M81" i="12"/>
  <c r="M82" i="12"/>
  <c r="M83" i="12"/>
  <c r="M84" i="12"/>
  <c r="M85" i="12"/>
  <c r="M86" i="12"/>
  <c r="M87" i="12"/>
  <c r="M88" i="12"/>
  <c r="M89" i="12"/>
  <c r="M90" i="12"/>
  <c r="M91" i="12"/>
  <c r="M92" i="12"/>
  <c r="M93" i="12"/>
  <c r="M94" i="12"/>
  <c r="M95" i="12"/>
  <c r="M96" i="12"/>
  <c r="M97" i="12"/>
  <c r="M98" i="12"/>
  <c r="M99" i="12"/>
  <c r="M100" i="12"/>
  <c r="M101" i="12"/>
  <c r="M102" i="12"/>
  <c r="M103" i="12"/>
  <c r="M104" i="12"/>
  <c r="M105" i="12"/>
  <c r="M106" i="12"/>
  <c r="M107" i="12"/>
  <c r="M108" i="12"/>
  <c r="M109" i="12"/>
  <c r="M110" i="12"/>
  <c r="M111" i="12"/>
  <c r="M112" i="12"/>
  <c r="M113" i="12"/>
  <c r="M114" i="12"/>
  <c r="M115" i="12"/>
  <c r="M116" i="12"/>
  <c r="M117" i="12"/>
  <c r="M118" i="12"/>
  <c r="M119" i="12"/>
  <c r="M120" i="12"/>
  <c r="M121" i="12"/>
  <c r="M122" i="12"/>
  <c r="M123" i="12"/>
  <c r="M124" i="12"/>
  <c r="M125" i="12"/>
  <c r="M126" i="12"/>
  <c r="M127" i="12"/>
  <c r="M128" i="12"/>
  <c r="M129" i="12"/>
  <c r="M130" i="12"/>
  <c r="M131" i="12"/>
  <c r="M132" i="12"/>
  <c r="M133" i="12"/>
  <c r="M134" i="12"/>
  <c r="M135" i="12"/>
  <c r="M136" i="12"/>
  <c r="M137" i="12"/>
  <c r="M138" i="12"/>
  <c r="M139" i="12"/>
  <c r="M140" i="12"/>
  <c r="M141" i="12"/>
  <c r="M142" i="12"/>
  <c r="M143" i="12"/>
  <c r="M144" i="12"/>
  <c r="M145" i="12"/>
  <c r="M146" i="12"/>
  <c r="M147" i="12"/>
  <c r="M148" i="12"/>
  <c r="M149" i="12"/>
  <c r="M150" i="12"/>
  <c r="M151" i="12"/>
  <c r="M152" i="12"/>
  <c r="M153" i="12"/>
  <c r="M154" i="12"/>
  <c r="M155" i="12"/>
  <c r="M156" i="12"/>
  <c r="M157" i="12"/>
  <c r="M158" i="12"/>
  <c r="M159" i="12"/>
  <c r="M160" i="12"/>
  <c r="M161" i="12"/>
  <c r="M162" i="12"/>
  <c r="M163" i="12"/>
  <c r="M164" i="12"/>
  <c r="M165" i="12"/>
  <c r="M166" i="12"/>
  <c r="M167" i="12"/>
  <c r="M168" i="12"/>
  <c r="M169" i="12"/>
  <c r="M170" i="12"/>
  <c r="M171" i="12"/>
  <c r="M172" i="12"/>
  <c r="M173" i="12"/>
  <c r="M174" i="12"/>
  <c r="M175" i="12"/>
  <c r="M176" i="12"/>
  <c r="M177" i="12"/>
  <c r="M178" i="12"/>
  <c r="M179" i="12"/>
  <c r="M180" i="12"/>
  <c r="M181" i="12"/>
  <c r="M182" i="12"/>
  <c r="M183" i="12"/>
  <c r="M184" i="12"/>
  <c r="M185" i="12"/>
  <c r="M186" i="12"/>
  <c r="M187" i="12"/>
  <c r="M188" i="12"/>
  <c r="M189" i="12"/>
  <c r="M190" i="12"/>
  <c r="M191" i="12"/>
  <c r="M192" i="12"/>
  <c r="M193" i="12"/>
  <c r="M194" i="12"/>
  <c r="M195" i="12"/>
  <c r="M196" i="12"/>
  <c r="M197" i="12"/>
  <c r="M198" i="12"/>
  <c r="M199" i="12"/>
  <c r="M200" i="12"/>
  <c r="M201" i="12"/>
  <c r="M202" i="12"/>
  <c r="M203" i="12"/>
  <c r="M204" i="12"/>
  <c r="M205" i="12"/>
  <c r="M206" i="12"/>
  <c r="M207" i="12"/>
  <c r="M208" i="12"/>
  <c r="M209" i="12"/>
  <c r="M210" i="12"/>
  <c r="M211" i="12"/>
  <c r="M212" i="12"/>
  <c r="M213" i="12"/>
  <c r="M214" i="12"/>
  <c r="M215" i="12"/>
  <c r="M216" i="12"/>
  <c r="M217" i="12"/>
  <c r="M218" i="12"/>
  <c r="M219" i="12"/>
  <c r="M220" i="12"/>
  <c r="M221" i="12"/>
  <c r="M222" i="12"/>
  <c r="M223" i="12"/>
  <c r="M224" i="12"/>
  <c r="M225" i="12"/>
  <c r="M226" i="12"/>
  <c r="M227" i="12"/>
  <c r="M228" i="12"/>
  <c r="M229" i="12"/>
  <c r="M230" i="12"/>
  <c r="M231" i="12"/>
  <c r="M232" i="12"/>
  <c r="M233" i="12"/>
  <c r="M234" i="12"/>
  <c r="M235" i="12"/>
  <c r="M236" i="12"/>
  <c r="M237" i="12"/>
  <c r="M238" i="12"/>
  <c r="M239" i="12"/>
  <c r="M240" i="12"/>
  <c r="M241" i="12"/>
  <c r="M242" i="12"/>
  <c r="M243" i="12"/>
  <c r="M244" i="12"/>
  <c r="M245" i="12"/>
  <c r="M246" i="12"/>
  <c r="M247" i="12"/>
  <c r="M248" i="12"/>
  <c r="M249" i="12"/>
  <c r="M250" i="12"/>
  <c r="M251" i="12"/>
  <c r="M252" i="12"/>
  <c r="M253" i="12"/>
  <c r="M254" i="12"/>
  <c r="M255" i="12"/>
  <c r="M256" i="12"/>
  <c r="M257" i="12"/>
  <c r="M258" i="12"/>
  <c r="M259" i="12"/>
  <c r="M260" i="12"/>
  <c r="M261" i="12"/>
  <c r="M262" i="12"/>
  <c r="M263" i="12"/>
  <c r="M264" i="12"/>
  <c r="M265" i="12"/>
  <c r="M266" i="12"/>
  <c r="M267" i="12"/>
  <c r="M268" i="12"/>
  <c r="M269" i="12"/>
  <c r="M270" i="12"/>
  <c r="M271" i="12"/>
  <c r="M272" i="12"/>
  <c r="M273" i="12"/>
  <c r="M274" i="12"/>
  <c r="M275" i="12"/>
  <c r="M276" i="12"/>
  <c r="M277" i="12"/>
  <c r="M278" i="12"/>
  <c r="M279" i="12"/>
  <c r="M280" i="12"/>
  <c r="M281" i="12"/>
  <c r="M282" i="12"/>
  <c r="M283" i="12"/>
  <c r="M284" i="12"/>
  <c r="M285" i="12"/>
  <c r="M286" i="12"/>
  <c r="M287" i="12"/>
  <c r="M288" i="12"/>
  <c r="M289" i="12"/>
  <c r="M290" i="12"/>
  <c r="M291" i="12"/>
  <c r="M292" i="12"/>
  <c r="M293" i="12"/>
  <c r="M294" i="12"/>
  <c r="M295" i="12"/>
  <c r="M296" i="12"/>
  <c r="M297" i="12"/>
  <c r="M298" i="12"/>
  <c r="M299" i="12"/>
  <c r="M300" i="12"/>
  <c r="M301" i="12"/>
  <c r="M302" i="12"/>
  <c r="M303" i="12"/>
  <c r="M304" i="12"/>
  <c r="M305" i="12"/>
  <c r="M306" i="12"/>
  <c r="M307" i="12"/>
  <c r="M308" i="12"/>
  <c r="M309" i="12"/>
  <c r="M310" i="12"/>
  <c r="M311" i="12"/>
  <c r="M312" i="12"/>
  <c r="M313" i="12"/>
  <c r="M314" i="12"/>
  <c r="M315" i="12"/>
  <c r="M316" i="12"/>
  <c r="M317" i="12"/>
  <c r="M318" i="12"/>
  <c r="M319" i="12"/>
  <c r="M320" i="12"/>
  <c r="M321" i="12"/>
  <c r="M322" i="12"/>
  <c r="M323" i="12"/>
  <c r="M324" i="12"/>
  <c r="M325" i="12"/>
  <c r="M326" i="12"/>
  <c r="M327" i="12"/>
  <c r="M328" i="12"/>
  <c r="M329" i="12"/>
  <c r="M330" i="12"/>
  <c r="M331" i="12"/>
  <c r="M332" i="12"/>
  <c r="M333" i="12"/>
  <c r="M334" i="12"/>
  <c r="M335" i="12"/>
  <c r="M336" i="12"/>
  <c r="M337" i="12"/>
  <c r="M338" i="12"/>
  <c r="M339" i="12"/>
  <c r="M340" i="12"/>
  <c r="M341" i="12"/>
  <c r="M342" i="12"/>
  <c r="M343" i="12"/>
  <c r="M344" i="12"/>
  <c r="M345" i="12"/>
  <c r="M346" i="12"/>
  <c r="M347" i="12"/>
  <c r="M348" i="12"/>
  <c r="M349" i="12"/>
  <c r="M350" i="12"/>
  <c r="M351" i="12"/>
  <c r="M352" i="12"/>
  <c r="M353" i="12"/>
  <c r="M354" i="12"/>
  <c r="M355" i="12"/>
  <c r="M356" i="12"/>
  <c r="M357" i="12"/>
  <c r="M358" i="12"/>
  <c r="M359" i="12"/>
  <c r="M360" i="12"/>
  <c r="M361" i="12"/>
  <c r="M362" i="12"/>
  <c r="M363" i="12"/>
  <c r="M364" i="12"/>
  <c r="M365" i="12"/>
  <c r="M366" i="12"/>
  <c r="M367" i="12"/>
  <c r="M368" i="12"/>
  <c r="M369" i="12"/>
  <c r="M370" i="12"/>
  <c r="M371" i="12"/>
  <c r="M372" i="12"/>
  <c r="M373" i="12"/>
  <c r="M374" i="12"/>
  <c r="M375" i="12"/>
  <c r="M376" i="12"/>
  <c r="M377" i="12"/>
  <c r="M378" i="12"/>
  <c r="M379" i="12"/>
  <c r="M380" i="12"/>
  <c r="M381" i="12"/>
  <c r="M382" i="12"/>
  <c r="M383" i="12"/>
  <c r="M384" i="12"/>
  <c r="M385" i="12"/>
  <c r="M386" i="12"/>
  <c r="M387" i="12"/>
  <c r="M388" i="12"/>
  <c r="M389" i="12"/>
  <c r="M390" i="12"/>
  <c r="M391" i="12"/>
  <c r="M392" i="12"/>
  <c r="M393" i="12"/>
  <c r="M394" i="12"/>
  <c r="M395" i="12"/>
  <c r="M396" i="12"/>
  <c r="M397" i="12"/>
  <c r="M398" i="12"/>
  <c r="M399" i="12"/>
  <c r="M400" i="12"/>
  <c r="M401" i="12"/>
  <c r="M402" i="12"/>
  <c r="M403" i="12"/>
  <c r="M404" i="12"/>
  <c r="M2" i="12"/>
  <c r="A2" i="12" s="1"/>
  <c r="A2" i="3"/>
  <c r="A9" i="5"/>
  <c r="A2" i="5"/>
  <c r="A9" i="13" l="1" a="1"/>
  <c r="A3" i="12"/>
  <c r="A4" i="12" s="1"/>
  <c r="A5" i="12" s="1"/>
  <c r="A3" i="7"/>
  <c r="A3" i="6"/>
  <c r="A3" i="5"/>
  <c r="A3" i="4"/>
  <c r="A3" i="3"/>
  <c r="A3" i="9"/>
  <c r="A4" i="10"/>
  <c r="A5" i="10" s="1"/>
  <c r="A6" i="10" s="1"/>
  <c r="A6" i="12" l="1"/>
  <c r="A4" i="7"/>
  <c r="A4" i="6"/>
  <c r="A4" i="5"/>
  <c r="A4" i="4"/>
  <c r="A5" i="4"/>
  <c r="A4" i="3"/>
  <c r="A4" i="9"/>
  <c r="A7" i="10"/>
  <c r="A7" i="12" l="1"/>
  <c r="A5" i="7"/>
  <c r="A5" i="6"/>
  <c r="A5" i="5"/>
  <c r="A6" i="4"/>
  <c r="A5" i="3"/>
  <c r="A5" i="9"/>
  <c r="A8" i="10"/>
  <c r="A10" i="10" s="1"/>
  <c r="A6" i="5" l="1"/>
  <c r="A7" i="5"/>
  <c r="A6" i="3"/>
  <c r="A8" i="12"/>
  <c r="A6" i="7"/>
  <c r="A6" i="6"/>
  <c r="A8" i="5"/>
  <c r="A10" i="5"/>
  <c r="A7" i="4"/>
  <c r="A8" i="4" s="1"/>
  <c r="A10" i="4" s="1"/>
  <c r="A11" i="4" s="1"/>
  <c r="A12" i="4" s="1"/>
  <c r="A13" i="4" s="1"/>
  <c r="A14" i="4" s="1"/>
  <c r="A15" i="4" s="1"/>
  <c r="A7" i="3"/>
  <c r="A6" i="9"/>
  <c r="A7" i="9" s="1"/>
  <c r="A8" i="9" s="1"/>
  <c r="A10" i="9" s="1"/>
  <c r="A11" i="9" s="1"/>
  <c r="A12" i="9" s="1"/>
  <c r="A13" i="9" s="1"/>
  <c r="A14" i="9" s="1"/>
  <c r="A15" i="9" s="1"/>
  <c r="A11" i="10"/>
  <c r="A12" i="10" s="1"/>
  <c r="A9" i="12" l="1"/>
  <c r="A7" i="7"/>
  <c r="A7" i="6"/>
  <c r="A11" i="5"/>
  <c r="A12" i="5" s="1"/>
  <c r="A13" i="5" s="1"/>
  <c r="A14" i="5" s="1"/>
  <c r="A15" i="5" s="1"/>
  <c r="A8" i="3"/>
  <c r="A9" i="3" s="1"/>
  <c r="A10" i="3" s="1"/>
  <c r="A11" i="3" s="1"/>
  <c r="A12" i="3" s="1"/>
  <c r="A13" i="3" s="1"/>
  <c r="A14" i="3" s="1"/>
  <c r="A15" i="3" s="1"/>
  <c r="A13" i="10"/>
  <c r="A14" i="10" s="1"/>
  <c r="A15" i="10" s="1"/>
  <c r="A8" i="7" l="1"/>
  <c r="A10" i="7" s="1"/>
  <c r="A11" i="7" s="1"/>
  <c r="A12" i="7" s="1"/>
  <c r="A13" i="7" s="1"/>
  <c r="A14" i="7" s="1"/>
  <c r="A15" i="7"/>
  <c r="A8" i="6"/>
  <c r="A10" i="12"/>
  <c r="A10" i="6" l="1"/>
  <c r="A11" i="12"/>
  <c r="A11" i="6" l="1"/>
  <c r="A12" i="12"/>
  <c r="A12" i="6" l="1"/>
  <c r="A13" i="6" s="1"/>
  <c r="A14" i="6" s="1"/>
  <c r="A15" i="6" s="1"/>
  <c r="A13" i="12"/>
  <c r="A14" i="12" s="1"/>
  <c r="A15" i="12" s="1"/>
  <c r="A16" i="12" s="1"/>
  <c r="A17" i="12" s="1"/>
  <c r="A18" i="12" s="1"/>
  <c r="A19" i="12" s="1"/>
  <c r="A20" i="12" s="1"/>
  <c r="A21" i="12" s="1"/>
  <c r="A22" i="12"/>
  <c r="A23" i="12" s="1"/>
  <c r="A24" i="12" l="1"/>
  <c r="A25" i="12" s="1"/>
  <c r="A26" i="12" s="1"/>
  <c r="A27" i="12" s="1"/>
  <c r="A28" i="12" s="1"/>
  <c r="A29" i="12" s="1"/>
  <c r="A30" i="12" s="1"/>
  <c r="A31" i="12" s="1"/>
  <c r="A32" i="12" s="1"/>
  <c r="A33" i="12" s="1"/>
  <c r="A34" i="12" s="1"/>
  <c r="A35" i="12" s="1"/>
  <c r="A36" i="12" s="1"/>
  <c r="A37" i="12" s="1"/>
  <c r="A38" i="12" s="1"/>
  <c r="A39" i="12" s="1"/>
  <c r="A40" i="12" s="1"/>
  <c r="A41" i="12" s="1"/>
  <c r="A42" i="12" s="1"/>
  <c r="A43" i="12" s="1"/>
  <c r="A44" i="12" s="1"/>
  <c r="A45" i="12" s="1"/>
  <c r="A46" i="12" s="1"/>
  <c r="A47" i="12" s="1"/>
  <c r="A48" i="12" s="1"/>
  <c r="A49" i="12" s="1"/>
  <c r="A50" i="12" s="1"/>
  <c r="A51" i="12" s="1"/>
  <c r="A52" i="12" s="1"/>
  <c r="A53" i="12" s="1"/>
  <c r="A54" i="12" s="1"/>
  <c r="A55" i="12" s="1"/>
  <c r="A56" i="12" s="1"/>
  <c r="A57" i="12" s="1"/>
  <c r="A58" i="12" s="1"/>
  <c r="A59" i="12" s="1"/>
  <c r="A60" i="12" s="1"/>
  <c r="A61" i="12" s="1"/>
  <c r="A62" i="12" s="1"/>
  <c r="A63" i="12" s="1"/>
  <c r="A64" i="12" s="1"/>
  <c r="A65" i="12" s="1"/>
  <c r="A66" i="12" s="1"/>
  <c r="A67" i="12" s="1"/>
  <c r="A68" i="12" s="1"/>
  <c r="A69" i="12" s="1"/>
  <c r="A70" i="12" s="1"/>
  <c r="A71" i="12" s="1"/>
  <c r="A72" i="12" s="1"/>
  <c r="A73" i="12" s="1"/>
  <c r="A74" i="12" s="1"/>
  <c r="A75" i="12" s="1"/>
  <c r="A76" i="12" s="1"/>
  <c r="A77" i="12" s="1"/>
  <c r="A78" i="12" s="1"/>
  <c r="A79" i="12" s="1"/>
  <c r="A80" i="12" s="1"/>
  <c r="A81" i="12" s="1"/>
  <c r="A82" i="12" s="1"/>
  <c r="A83" i="12" s="1"/>
  <c r="A84" i="12" s="1"/>
  <c r="A85" i="12" s="1"/>
  <c r="A86" i="12" s="1"/>
  <c r="A87" i="12" s="1"/>
  <c r="A88" i="12" s="1"/>
  <c r="A89" i="12" s="1"/>
  <c r="A90" i="12" s="1"/>
  <c r="A91" i="12" s="1"/>
  <c r="A92" i="12" s="1"/>
  <c r="A93" i="12" s="1"/>
  <c r="A94" i="12" s="1"/>
  <c r="A95" i="12" s="1"/>
  <c r="A96" i="12" s="1"/>
  <c r="A97" i="12" s="1"/>
  <c r="A98" i="12" s="1"/>
  <c r="A99" i="12" s="1"/>
  <c r="A100" i="12" s="1"/>
  <c r="A101" i="12" s="1"/>
  <c r="A102" i="12" s="1"/>
  <c r="A103" i="12" s="1"/>
  <c r="A104" i="12" s="1"/>
  <c r="A105" i="12" s="1"/>
  <c r="A106" i="12" s="1"/>
  <c r="A107" i="12" s="1"/>
  <c r="A108" i="12" s="1"/>
  <c r="A109" i="12" s="1"/>
  <c r="A110" i="12" s="1"/>
  <c r="A111" i="12" s="1"/>
  <c r="A112" i="12" s="1"/>
  <c r="A113" i="12" s="1"/>
  <c r="A114" i="12" s="1"/>
  <c r="A115" i="12" s="1"/>
  <c r="A116" i="12" s="1"/>
  <c r="A117" i="12" s="1"/>
  <c r="A118" i="12" s="1"/>
  <c r="A119" i="12" s="1"/>
  <c r="A120" i="12" s="1"/>
  <c r="A121" i="12" s="1"/>
  <c r="A122" i="12" s="1"/>
  <c r="A123" i="12" s="1"/>
  <c r="A124" i="12" s="1"/>
  <c r="A125" i="12" s="1"/>
  <c r="A126" i="12" s="1"/>
  <c r="A127" i="12" s="1"/>
  <c r="A128" i="12" s="1"/>
  <c r="A129" i="12" s="1"/>
  <c r="A130" i="12" s="1"/>
  <c r="A131" i="12" s="1"/>
  <c r="A132" i="12" s="1"/>
  <c r="A133" i="12" s="1"/>
  <c r="A134" i="12" s="1"/>
  <c r="A135" i="12" s="1"/>
  <c r="A136" i="12" s="1"/>
  <c r="A137" i="12" s="1"/>
  <c r="A138" i="12" s="1"/>
  <c r="A139" i="12" s="1"/>
  <c r="A140" i="12" s="1"/>
  <c r="A141" i="12" s="1"/>
  <c r="A142" i="12" s="1"/>
  <c r="A143" i="12" s="1"/>
  <c r="A144" i="12" s="1"/>
  <c r="A145" i="12" s="1"/>
  <c r="A146" i="12" s="1"/>
  <c r="A147" i="12" s="1"/>
  <c r="A148" i="12" s="1"/>
  <c r="A149" i="12" s="1"/>
  <c r="A150" i="12" s="1"/>
  <c r="A151" i="12" s="1"/>
  <c r="A152" i="12" s="1"/>
  <c r="A153" i="12" s="1"/>
  <c r="A154" i="12" s="1"/>
  <c r="A155" i="12" s="1"/>
  <c r="A156" i="12" s="1"/>
  <c r="A157" i="12" s="1"/>
  <c r="A158" i="12" s="1"/>
  <c r="A159" i="12" s="1"/>
  <c r="A160" i="12" s="1"/>
  <c r="A161" i="12" s="1"/>
  <c r="A162" i="12" s="1"/>
  <c r="A163" i="12" s="1"/>
  <c r="A164" i="12" s="1"/>
  <c r="A165" i="12" s="1"/>
  <c r="A166" i="12" s="1"/>
  <c r="A167" i="12" s="1"/>
  <c r="A168" i="12" s="1"/>
  <c r="A169" i="12" s="1"/>
  <c r="A170" i="12" s="1"/>
  <c r="A171" i="12" s="1"/>
  <c r="A172" i="12" s="1"/>
  <c r="A173" i="12" s="1"/>
  <c r="A174" i="12" s="1"/>
  <c r="A175" i="12" s="1"/>
  <c r="A176" i="12" s="1"/>
  <c r="A177" i="12" s="1"/>
  <c r="A178" i="12" s="1"/>
  <c r="A179" i="12" s="1"/>
  <c r="A180" i="12" s="1"/>
  <c r="A181" i="12" s="1"/>
  <c r="A182" i="12" s="1"/>
  <c r="A183" i="12" s="1"/>
  <c r="A184" i="12" s="1"/>
  <c r="A185" i="12" s="1"/>
  <c r="A186" i="12" s="1"/>
  <c r="A187" i="12" s="1"/>
  <c r="A188" i="12" s="1"/>
  <c r="A189" i="12" s="1"/>
  <c r="A190" i="12" s="1"/>
  <c r="A191" i="12" s="1"/>
  <c r="A192" i="12" s="1"/>
  <c r="A193" i="12" s="1"/>
  <c r="A194" i="12" s="1"/>
  <c r="A195" i="12" s="1"/>
  <c r="A196" i="12" s="1"/>
  <c r="A197" i="12" s="1"/>
  <c r="A198" i="12" s="1"/>
  <c r="A199" i="12" s="1"/>
  <c r="A200" i="12" s="1"/>
  <c r="A201" i="12" s="1"/>
  <c r="A202" i="12" s="1"/>
  <c r="A203" i="12" s="1"/>
  <c r="A204" i="12" s="1"/>
  <c r="A205" i="12" s="1"/>
  <c r="A206" i="12" s="1"/>
  <c r="A207" i="12" s="1"/>
  <c r="A208" i="12" s="1"/>
  <c r="A209" i="12" s="1"/>
  <c r="A210" i="12" s="1"/>
  <c r="A211" i="12" s="1"/>
  <c r="A212" i="12" s="1"/>
  <c r="A213" i="12" s="1"/>
  <c r="A214" i="12" s="1"/>
  <c r="A215" i="12" s="1"/>
  <c r="A216" i="12" s="1"/>
  <c r="A217" i="12" s="1"/>
  <c r="A218" i="12" s="1"/>
  <c r="A219" i="12" s="1"/>
  <c r="A220" i="12" s="1"/>
  <c r="A221" i="12" s="1"/>
  <c r="A222" i="12" s="1"/>
  <c r="A223" i="12" s="1"/>
  <c r="A224" i="12" s="1"/>
  <c r="A225" i="12" s="1"/>
  <c r="A226" i="12" s="1"/>
  <c r="A227" i="12" s="1"/>
  <c r="A228" i="12" s="1"/>
  <c r="A229" i="12" s="1"/>
  <c r="A230" i="12" s="1"/>
  <c r="A231" i="12" s="1"/>
  <c r="A232" i="12" s="1"/>
  <c r="A233" i="12" s="1"/>
  <c r="A234" i="12" s="1"/>
  <c r="A235" i="12" s="1"/>
  <c r="A236" i="12" s="1"/>
  <c r="A237" i="12" s="1"/>
  <c r="A238" i="12" s="1"/>
  <c r="A239" i="12" s="1"/>
  <c r="A240" i="12" s="1"/>
  <c r="A241" i="12" s="1"/>
  <c r="A242" i="12" s="1"/>
  <c r="A243" i="12" s="1"/>
  <c r="A244" i="12" s="1"/>
  <c r="A245" i="12" s="1"/>
  <c r="A246" i="12" s="1"/>
  <c r="A247" i="12" s="1"/>
  <c r="A248" i="12" s="1"/>
  <c r="A249" i="12" s="1"/>
  <c r="A250" i="12" s="1"/>
  <c r="A251" i="12" s="1"/>
  <c r="A252" i="12" s="1"/>
  <c r="A253" i="12" s="1"/>
  <c r="A254" i="12" s="1"/>
  <c r="A255" i="12" s="1"/>
  <c r="A256" i="12" s="1"/>
  <c r="A257" i="12" s="1"/>
  <c r="A258" i="12" s="1"/>
  <c r="A259" i="12" s="1"/>
  <c r="A260" i="12" s="1"/>
  <c r="A261" i="12" s="1"/>
  <c r="A262" i="12" s="1"/>
  <c r="A263" i="12" s="1"/>
  <c r="A264" i="12" s="1"/>
  <c r="A265" i="12" s="1"/>
  <c r="A266" i="12" s="1"/>
  <c r="A267" i="12" s="1"/>
  <c r="A268" i="12" s="1"/>
  <c r="A269" i="12" s="1"/>
  <c r="A270" i="12" s="1"/>
  <c r="A271" i="12" s="1"/>
  <c r="A272" i="12" s="1"/>
  <c r="A273" i="12" s="1"/>
  <c r="A274" i="12" s="1"/>
  <c r="A275" i="12" s="1"/>
  <c r="A276" i="12" s="1"/>
  <c r="A277" i="12" s="1"/>
  <c r="A278" i="12" s="1"/>
  <c r="A279" i="12" s="1"/>
  <c r="A280" i="12" s="1"/>
  <c r="A281" i="12" s="1"/>
  <c r="A282" i="12" s="1"/>
  <c r="A283" i="12" s="1"/>
  <c r="A284" i="12" s="1"/>
  <c r="A285" i="12" s="1"/>
  <c r="A286" i="12" s="1"/>
  <c r="A287" i="12" s="1"/>
  <c r="A288" i="12" s="1"/>
  <c r="A289" i="12" s="1"/>
  <c r="A290" i="12" s="1"/>
  <c r="A291" i="12" s="1"/>
  <c r="A292" i="12" s="1"/>
  <c r="A293" i="12" s="1"/>
  <c r="A294" i="12" s="1"/>
  <c r="A295" i="12" s="1"/>
  <c r="A296" i="12" s="1"/>
  <c r="A297" i="12" s="1"/>
  <c r="A298" i="12" s="1"/>
  <c r="A299" i="12" s="1"/>
  <c r="A300" i="12" s="1"/>
  <c r="A301" i="12" s="1"/>
  <c r="A302" i="12" s="1"/>
  <c r="A303" i="12" s="1"/>
  <c r="A304" i="12" s="1"/>
  <c r="A305" i="12" s="1"/>
  <c r="A306" i="12" s="1"/>
  <c r="A307" i="12" s="1"/>
  <c r="A308" i="12" s="1"/>
  <c r="A309" i="12" s="1"/>
  <c r="A310" i="12" s="1"/>
  <c r="A311" i="12" s="1"/>
  <c r="A312" i="12" s="1"/>
  <c r="A313" i="12" s="1"/>
  <c r="A314" i="12" s="1"/>
  <c r="A315" i="12" s="1"/>
  <c r="A316" i="12" s="1"/>
  <c r="A317" i="12" s="1"/>
  <c r="A318" i="12" s="1"/>
  <c r="A319" i="12" s="1"/>
  <c r="A320" i="12" s="1"/>
  <c r="A321" i="12" s="1"/>
  <c r="A322" i="12" s="1"/>
  <c r="A323" i="12" s="1"/>
  <c r="A324" i="12" s="1"/>
  <c r="A325" i="12" s="1"/>
  <c r="A326" i="12" s="1"/>
  <c r="A327" i="12" s="1"/>
  <c r="A328" i="12" s="1"/>
  <c r="A329" i="12" s="1"/>
  <c r="A330" i="12" s="1"/>
  <c r="A331" i="12" s="1"/>
  <c r="A332" i="12" s="1"/>
  <c r="A333" i="12" s="1"/>
  <c r="A334" i="12" s="1"/>
  <c r="A335" i="12" s="1"/>
  <c r="A336" i="12" s="1"/>
  <c r="A337" i="12" s="1"/>
  <c r="A338" i="12" s="1"/>
  <c r="A339" i="12" s="1"/>
  <c r="A340" i="12" s="1"/>
  <c r="A341" i="12" s="1"/>
  <c r="A342" i="12" s="1"/>
  <c r="A343" i="12" s="1"/>
  <c r="A344" i="12" s="1"/>
  <c r="A345" i="12" s="1"/>
  <c r="A346" i="12" s="1"/>
  <c r="A347" i="12" s="1"/>
  <c r="A348" i="12" s="1"/>
  <c r="A349" i="12" s="1"/>
  <c r="A350" i="12" s="1"/>
  <c r="A351" i="12" s="1"/>
  <c r="A352" i="12" s="1"/>
  <c r="A353" i="12" s="1"/>
  <c r="A354" i="12" s="1"/>
  <c r="A355" i="12" s="1"/>
  <c r="A356" i="12" s="1"/>
  <c r="A357" i="12" s="1"/>
  <c r="A358" i="12" s="1"/>
  <c r="A359" i="12" s="1"/>
  <c r="A360" i="12" s="1"/>
  <c r="A361" i="12" s="1"/>
  <c r="A362" i="12" s="1"/>
  <c r="A363" i="12" s="1"/>
  <c r="A364" i="12" s="1"/>
  <c r="A365" i="12" s="1"/>
  <c r="A366" i="12" s="1"/>
  <c r="A367" i="12" s="1"/>
  <c r="A368" i="12" s="1"/>
  <c r="A369" i="12" s="1"/>
  <c r="A370" i="12" s="1"/>
  <c r="A371" i="12" s="1"/>
  <c r="A372" i="12" s="1"/>
  <c r="A373" i="12" s="1"/>
  <c r="A374" i="12" s="1"/>
  <c r="A375" i="12" s="1"/>
  <c r="A376" i="12" s="1"/>
  <c r="A377" i="12" s="1"/>
  <c r="A378" i="12" s="1"/>
  <c r="A379" i="12" s="1"/>
  <c r="A380" i="12" s="1"/>
  <c r="A381" i="12" s="1"/>
  <c r="A382" i="12" s="1"/>
  <c r="A383" i="12" s="1"/>
  <c r="A384" i="12" s="1"/>
  <c r="A385" i="12" s="1"/>
  <c r="A386" i="12" s="1"/>
  <c r="A387" i="12" s="1"/>
  <c r="A388" i="12" s="1"/>
  <c r="A389" i="12" s="1"/>
  <c r="A390" i="12" s="1"/>
  <c r="A391" i="12" s="1"/>
  <c r="A392" i="12" s="1"/>
  <c r="A393" i="12" s="1"/>
  <c r="A394" i="12" s="1"/>
  <c r="A395" i="12" s="1"/>
  <c r="A396" i="12" s="1"/>
  <c r="A397" i="12" s="1"/>
  <c r="A398" i="12" s="1"/>
  <c r="A399" i="12" s="1"/>
  <c r="A400" i="12" s="1"/>
  <c r="A401" i="12" s="1"/>
  <c r="A402" i="12" s="1"/>
  <c r="A403" i="12" s="1"/>
  <c r="A404" i="1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<sst xmlns="http://schemas.openxmlformats.org/spreadsheetml/2006/main" count="10267" uniqueCount="3929">
  <si>
    <t>Instructions to use MDL:</t>
  </si>
  <si>
    <t>R1</t>
  </si>
  <si>
    <t>For discipline collaboration, this workbook must be shared on project SharePoint site. Document Control will set up this MDL for the project.</t>
  </si>
  <si>
    <t>R2</t>
  </si>
  <si>
    <t>Do not update Code worksheet. This worksheet will be maintained by Document Control. Changes will affect dashboard performance.</t>
  </si>
  <si>
    <t>R3</t>
  </si>
  <si>
    <t>When adding a new document list, the work sheet name must match the UESH discipline in Code!H column.</t>
  </si>
  <si>
    <t>R4</t>
  </si>
  <si>
    <t>keep same column header name and sequence in discipline document list worksheet.</t>
  </si>
  <si>
    <t>R5</t>
  </si>
  <si>
    <t>Actual document list will start from row 2 in discipline document list worksheet.</t>
  </si>
  <si>
    <t>R6</t>
  </si>
  <si>
    <t>Calculated columns will be highlighted in grey background in discipline document list worksheet. Do not manually update those cells.</t>
  </si>
  <si>
    <t>R7</t>
  </si>
  <si>
    <t>Do not leave blank for column Project Code, Project Prefix, Doc Type, Discipline, Number, and Document Title.</t>
  </si>
  <si>
    <t>R8</t>
  </si>
  <si>
    <t>Use XXXX for "Number" to reserve a document place holder.</t>
  </si>
  <si>
    <t>R9</t>
  </si>
  <si>
    <t>Use "Document Title" column to separate groups for document.</t>
  </si>
  <si>
    <t>R10</t>
  </si>
  <si>
    <t>"Document No." to be left blank if a row is for other purposes.</t>
  </si>
  <si>
    <t>R11</t>
  </si>
  <si>
    <t>Use "Validation" work sheet to search and validate document numbers.</t>
  </si>
  <si>
    <t>Notes from S.O.:</t>
  </si>
  <si>
    <t>Refer to webpage dashboard under the same folder.</t>
  </si>
  <si>
    <t>Project Metadata Title</t>
  </si>
  <si>
    <t>Project Metadata Values</t>
  </si>
  <si>
    <t>Project Metadata Data Type</t>
  </si>
  <si>
    <t>Stage Code</t>
  </si>
  <si>
    <t>Description</t>
  </si>
  <si>
    <t>UESH Discipline</t>
  </si>
  <si>
    <t>UESH Discipline Description</t>
  </si>
  <si>
    <t>WBS Contract Code</t>
  </si>
  <si>
    <t>Contract Title</t>
  </si>
  <si>
    <t>PROJECT PREFIX</t>
  </si>
  <si>
    <t>Facility/Building Description</t>
  </si>
  <si>
    <t>Doc Code</t>
  </si>
  <si>
    <t>Doc Description</t>
  </si>
  <si>
    <t>Discipline Code</t>
  </si>
  <si>
    <t>Discipline Description</t>
  </si>
  <si>
    <t>Series</t>
  </si>
  <si>
    <t>Authority Code</t>
  </si>
  <si>
    <t>Authority Submission</t>
  </si>
  <si>
    <t>Submission Status Code</t>
  </si>
  <si>
    <t>Submission Status</t>
  </si>
  <si>
    <t>Approval Code</t>
  </si>
  <si>
    <t>Approval Status</t>
  </si>
  <si>
    <t>Error Code</t>
  </si>
  <si>
    <t>Group</t>
  </si>
  <si>
    <t>Rule</t>
  </si>
  <si>
    <t>Severity</t>
  </si>
  <si>
    <t>Project Title</t>
  </si>
  <si>
    <t>TWRP C3B2</t>
  </si>
  <si>
    <t>Text</t>
  </si>
  <si>
    <t>Deleted</t>
  </si>
  <si>
    <t>The document is never submitted and not required any more.</t>
  </si>
  <si>
    <t>General</t>
  </si>
  <si>
    <t>General Activities</t>
  </si>
  <si>
    <t>Industrial LM2</t>
  </si>
  <si>
    <t>WIL21</t>
  </si>
  <si>
    <t>Industrial LM2 Headworks</t>
  </si>
  <si>
    <t>AD</t>
  </si>
  <si>
    <t>Addendum</t>
  </si>
  <si>
    <t>A</t>
  </si>
  <si>
    <t>Architecture</t>
  </si>
  <si>
    <t>0000-0999</t>
  </si>
  <si>
    <t>General (symbols legends, general notes, etc)</t>
  </si>
  <si>
    <t>BCA</t>
  </si>
  <si>
    <t>SUR</t>
  </si>
  <si>
    <t>Submitted Under SO Review</t>
  </si>
  <si>
    <t>REJ</t>
  </si>
  <si>
    <t>Rejected</t>
  </si>
  <si>
    <t>V-01</t>
  </si>
  <si>
    <t>Document No. (M) blank on an otherwise populated row</t>
  </si>
  <si>
    <t>Warning</t>
  </si>
  <si>
    <t>Project Code</t>
  </si>
  <si>
    <t>C3B2</t>
  </si>
  <si>
    <t>Hold</t>
  </si>
  <si>
    <t>Document # is on hold</t>
  </si>
  <si>
    <t>Project</t>
  </si>
  <si>
    <t>Project Management</t>
  </si>
  <si>
    <t>WIL22</t>
  </si>
  <si>
    <t>Industrial LM2 Primary Treatment</t>
  </si>
  <si>
    <t>AF</t>
  </si>
  <si>
    <t>Animation File</t>
  </si>
  <si>
    <t>B</t>
  </si>
  <si>
    <t>Building Services</t>
  </si>
  <si>
    <t>1000-1999</t>
  </si>
  <si>
    <t>Plan Sheets, Plan &amp; Profile</t>
  </si>
  <si>
    <t>FSSD</t>
  </si>
  <si>
    <t>RTR</t>
  </si>
  <si>
    <t>SO Reviewed Pending Resubmission</t>
  </si>
  <si>
    <t>NAP</t>
  </si>
  <si>
    <t>Not Approved</t>
  </si>
  <si>
    <t>V-02</t>
  </si>
  <si>
    <t>Stage (B) not in Code!E list</t>
  </si>
  <si>
    <t>Error</t>
  </si>
  <si>
    <t>Client</t>
  </si>
  <si>
    <t>PUB</t>
  </si>
  <si>
    <t>Void</t>
  </si>
  <si>
    <t>Document was submitted and now is not required any more.</t>
  </si>
  <si>
    <t>Procurement</t>
  </si>
  <si>
    <t>Procurement Management</t>
  </si>
  <si>
    <t>WIL23</t>
  </si>
  <si>
    <t>Industrial LM2 Secondary Treatment</t>
  </si>
  <si>
    <t>AG</t>
  </si>
  <si>
    <t>Agenda</t>
  </si>
  <si>
    <t>C</t>
  </si>
  <si>
    <t>Civil</t>
  </si>
  <si>
    <t>2000-2999</t>
  </si>
  <si>
    <t>Elevations (Vertical Views)</t>
  </si>
  <si>
    <t>NEA</t>
  </si>
  <si>
    <t>NTS</t>
  </si>
  <si>
    <t>Resubmission Not Required</t>
  </si>
  <si>
    <t>APP</t>
  </si>
  <si>
    <t>Approved without Comments</t>
  </si>
  <si>
    <t>V-03</t>
  </si>
  <si>
    <t>UESH Discipline (C) not in Code!H list</t>
  </si>
  <si>
    <t>Consultant</t>
  </si>
  <si>
    <t>Jacobs</t>
  </si>
  <si>
    <t>Superseded</t>
  </si>
  <si>
    <t>Document was submitted and now is superseded by another document #.</t>
  </si>
  <si>
    <t>Contracting</t>
  </si>
  <si>
    <t>Contract Management</t>
  </si>
  <si>
    <t>WSW46</t>
  </si>
  <si>
    <t>C3B2 Sitewide</t>
  </si>
  <si>
    <t>AU</t>
  </si>
  <si>
    <t>Audit Files</t>
  </si>
  <si>
    <t>D</t>
  </si>
  <si>
    <t>Design Management</t>
  </si>
  <si>
    <t>3000-3999</t>
  </si>
  <si>
    <t>Sections (Sectional Views, Wall Sections, Sections that are not Details)</t>
  </si>
  <si>
    <t>NPK</t>
  </si>
  <si>
    <t>NFS</t>
  </si>
  <si>
    <t>No First Submitted</t>
  </si>
  <si>
    <t>AWC</t>
  </si>
  <si>
    <t>Approved with Comments</t>
  </si>
  <si>
    <t>V-04</t>
  </si>
  <si>
    <t>Discipline Code (J) not in Code!T list (client discipline code)</t>
  </si>
  <si>
    <t>Project Start Date</t>
  </si>
  <si>
    <t>Date</t>
  </si>
  <si>
    <t>Combined</t>
  </si>
  <si>
    <t>Document is to be combined and submitted under another document #.</t>
  </si>
  <si>
    <t>Construction</t>
  </si>
  <si>
    <t>Construction Management</t>
  </si>
  <si>
    <t>WNS03</t>
  </si>
  <si>
    <t>NW/IW Pump Station</t>
  </si>
  <si>
    <t>BQ</t>
  </si>
  <si>
    <t>Bill of Quantities/material</t>
  </si>
  <si>
    <t>E</t>
  </si>
  <si>
    <t>Electrical</t>
  </si>
  <si>
    <t>4000-4999</t>
  </si>
  <si>
    <t>Enlarged Plans (Blow-up/Part plan)</t>
  </si>
  <si>
    <t>LTA</t>
  </si>
  <si>
    <t>V-05</t>
  </si>
  <si>
    <t>Doc Type (I) not in Code!Q list</t>
  </si>
  <si>
    <t>Header Row</t>
  </si>
  <si>
    <t>Int</t>
  </si>
  <si>
    <t>Internal</t>
  </si>
  <si>
    <t>The document is for internal submission purpose.</t>
  </si>
  <si>
    <t>HSE</t>
  </si>
  <si>
    <t>Health, Safety and Environment</t>
  </si>
  <si>
    <t>WIL06</t>
  </si>
  <si>
    <t>Industrial Chemical Area</t>
  </si>
  <si>
    <t>CB</t>
  </si>
  <si>
    <t>Commercial Bid Evaluation</t>
  </si>
  <si>
    <t>G</t>
  </si>
  <si>
    <t>Geotechnical</t>
  </si>
  <si>
    <t>5000-5999</t>
  </si>
  <si>
    <t>Details</t>
  </si>
  <si>
    <t>URA</t>
  </si>
  <si>
    <t>V-06</t>
  </si>
  <si>
    <t>Authority (Q) not in Code!Z list</t>
  </si>
  <si>
    <t>List End Row</t>
  </si>
  <si>
    <t>M1</t>
  </si>
  <si>
    <t>The document is to be submitted with M1 report.</t>
  </si>
  <si>
    <t>TnC</t>
  </si>
  <si>
    <t>Testing and Commissioning</t>
  </si>
  <si>
    <t>CD</t>
  </si>
  <si>
    <t>Construction Record / Document</t>
  </si>
  <si>
    <t>HS</t>
  </si>
  <si>
    <t>Environmental, Health, Safety &amp; Security</t>
  </si>
  <si>
    <t>6000-6999</t>
  </si>
  <si>
    <t>P&amp;ID’s</t>
  </si>
  <si>
    <t>V-07</t>
  </si>
  <si>
    <t>Prolog Submission Status (W) not in Code!AC list</t>
  </si>
  <si>
    <t>First Client Review</t>
  </si>
  <si>
    <t>M2</t>
  </si>
  <si>
    <t>The document is to be submitted with M2 report.</t>
  </si>
  <si>
    <t>OnM</t>
  </si>
  <si>
    <t>Operation and Maintenance</t>
  </si>
  <si>
    <t>CE</t>
  </si>
  <si>
    <t>Cost Estimation</t>
  </si>
  <si>
    <t>I</t>
  </si>
  <si>
    <t>Instrument, Control &amp; Automation (ICA)</t>
  </si>
  <si>
    <t>7000-7999</t>
  </si>
  <si>
    <t>Schematics, Schedules and Diagrams</t>
  </si>
  <si>
    <t>V-08</t>
  </si>
  <si>
    <t>Latest Approval Status (Y) not in the Approval Code block (Code!AF, read at runtime) and not blank</t>
  </si>
  <si>
    <t>Subsequent Client Review</t>
  </si>
  <si>
    <t>M3</t>
  </si>
  <si>
    <t>The document is to be submitted with M3 report.</t>
  </si>
  <si>
    <t>QAQC</t>
  </si>
  <si>
    <t>QA/QC</t>
  </si>
  <si>
    <t>CH</t>
  </si>
  <si>
    <t>Checklist</t>
  </si>
  <si>
    <t>IM</t>
  </si>
  <si>
    <t>Information Management/IT</t>
  </si>
  <si>
    <t>8000-8999</t>
  </si>
  <si>
    <t>User Defined Sheet Type</t>
  </si>
  <si>
    <t>V-10</t>
  </si>
  <si>
    <t>As-Built (P) = YES but Actual 1st Issue Date (U) blank</t>
  </si>
  <si>
    <t>Resubmission Duration</t>
  </si>
  <si>
    <t>NA</t>
  </si>
  <si>
    <t>Stage is not applicable for the document.</t>
  </si>
  <si>
    <t>PC</t>
  </si>
  <si>
    <t>Project Control</t>
  </si>
  <si>
    <t>CL</t>
  </si>
  <si>
    <t>Calculations</t>
  </si>
  <si>
    <t>K</t>
  </si>
  <si>
    <t>9000-9999</t>
  </si>
  <si>
    <t>3D Presentations (isometrics, perspectives, photographs)</t>
  </si>
  <si>
    <t>V-12</t>
  </si>
  <si>
    <t>Stage = Deleted/Void/Superseded but still counted as active (should be excluded)</t>
  </si>
  <si>
    <t>Info</t>
  </si>
  <si>
    <t>SNo.</t>
  </si>
  <si>
    <t>Column-A</t>
  </si>
  <si>
    <t>Permitting</t>
  </si>
  <si>
    <t>For authority submission.</t>
  </si>
  <si>
    <t>DC</t>
  </si>
  <si>
    <t>Document Control</t>
  </si>
  <si>
    <t>CM</t>
  </si>
  <si>
    <t>Combined Model</t>
  </si>
  <si>
    <t>M</t>
  </si>
  <si>
    <t>Mechanical</t>
  </si>
  <si>
    <t>V-13</t>
  </si>
  <si>
    <t>Empty lookup code column while description column has values (mirrors PPP V-22)</t>
  </si>
  <si>
    <t>Stage</t>
  </si>
  <si>
    <t>Column-B</t>
  </si>
  <si>
    <t>Stage 1</t>
  </si>
  <si>
    <t>Stage 1 submission.</t>
  </si>
  <si>
    <t>QS</t>
  </si>
  <si>
    <t>Quantity Survey/Costing</t>
  </si>
  <si>
    <t>CN</t>
  </si>
  <si>
    <t>Change Notices / Request</t>
  </si>
  <si>
    <t>PI</t>
  </si>
  <si>
    <t>Piping</t>
  </si>
  <si>
    <t>V-14</t>
  </si>
  <si>
    <t>Project Code (G) not in Code!K list (WBS Contract Code)</t>
  </si>
  <si>
    <t>Column-C</t>
  </si>
  <si>
    <t>Stage 2</t>
  </si>
  <si>
    <t>Stage 2 submission.</t>
  </si>
  <si>
    <t>BIM</t>
  </si>
  <si>
    <t>BIM Modelling and Drafting</t>
  </si>
  <si>
    <t>CR</t>
  </si>
  <si>
    <t>Specific for the clash process</t>
  </si>
  <si>
    <t>PR</t>
  </si>
  <si>
    <t>Process</t>
  </si>
  <si>
    <t>V-15</t>
  </si>
  <si>
    <t>Document No. (M) contains a placeholder/xxxx (on-hold number) — the row record is still valid; Warning only (applies to active rows, §3.7; does not fail V-17 since composition uses the actual K value)</t>
  </si>
  <si>
    <t>P6 Activity ID</t>
  </si>
  <si>
    <t>Column-D</t>
  </si>
  <si>
    <t>Stage 3</t>
  </si>
  <si>
    <t>Stage 3 submission.</t>
  </si>
  <si>
    <t>Process Discipline</t>
  </si>
  <si>
    <t>CT</t>
  </si>
  <si>
    <t>Contract</t>
  </si>
  <si>
    <t>Project Controls</t>
  </si>
  <si>
    <t>V-17</t>
  </si>
  <si>
    <t>Document No. (M) must equal ProjectCode-Prefix-DocType-DisciplineCode-Number = G-H-I-J-K joined by - (universal project rule; the Discipline segment is the client Discipline Code = col J, validated against Code!T — not UESH Discipline col C)</t>
  </si>
  <si>
    <t>BQ Number</t>
  </si>
  <si>
    <t>Column-E</t>
  </si>
  <si>
    <t>Stage 4</t>
  </si>
  <si>
    <t>Stage 4 submission.</t>
  </si>
  <si>
    <t>Mech</t>
  </si>
  <si>
    <t>Mechanical Discipline</t>
  </si>
  <si>
    <t>DA</t>
  </si>
  <si>
    <t>Daily Report</t>
  </si>
  <si>
    <t>PM</t>
  </si>
  <si>
    <t>V-19</t>
  </si>
  <si>
    <t>Prolog Submission Status (W) non-blank ⇔ Prolog Number (V) non-blank (two-way)</t>
  </si>
  <si>
    <t>System</t>
  </si>
  <si>
    <t>Column-F</t>
  </si>
  <si>
    <t>Stage 5</t>
  </si>
  <si>
    <t>Stage 5 submission.</t>
  </si>
  <si>
    <t>Piping Discipline</t>
  </si>
  <si>
    <t>DB</t>
  </si>
  <si>
    <t>Database</t>
  </si>
  <si>
    <t>Q</t>
  </si>
  <si>
    <t>Quantity Survey/Estimating</t>
  </si>
  <si>
    <t>V-18</t>
  </si>
  <si>
    <t>Actual 1st Issue Date (U = 1st submission date) non-blank ⇒ Prolog Number (V) and Prolog Submission Status (W) must be non-blank (submitted ⇒ transmittal session exists)</t>
  </si>
  <si>
    <t>Column-G</t>
  </si>
  <si>
    <t>Stage 6</t>
  </si>
  <si>
    <t>Stage 6 submission.</t>
  </si>
  <si>
    <t>BS</t>
  </si>
  <si>
    <t>Building Service Discipline</t>
  </si>
  <si>
    <t>DR</t>
  </si>
  <si>
    <t>2D Drawing</t>
  </si>
  <si>
    <t>S</t>
  </si>
  <si>
    <t>Structural</t>
  </si>
  <si>
    <t>V-11</t>
  </si>
  <si>
    <t>Approval Status = APP but Latest Approval Date (X) blank</t>
  </si>
  <si>
    <t>Project Prefix</t>
  </si>
  <si>
    <t>Column-H</t>
  </si>
  <si>
    <t>Stage 7</t>
  </si>
  <si>
    <t>Stage 7 submission.</t>
  </si>
  <si>
    <t>CSA</t>
  </si>
  <si>
    <t>CSA Discipline</t>
  </si>
  <si>
    <t>DS</t>
  </si>
  <si>
    <t>Data Sheet</t>
  </si>
  <si>
    <t>W</t>
  </si>
  <si>
    <t>Procurement, Contract</t>
  </si>
  <si>
    <t>V-16</t>
  </si>
  <si>
    <t>Prolog Submission Status (W) = RTR but Latest Approval Status (Y) blank/VOID (approval expected)</t>
  </si>
  <si>
    <t>Doc Type</t>
  </si>
  <si>
    <t>Column-I</t>
  </si>
  <si>
    <t>ASB</t>
  </si>
  <si>
    <t>As Built</t>
  </si>
  <si>
    <t>ICA</t>
  </si>
  <si>
    <t>ICA Discipline</t>
  </si>
  <si>
    <t>EM</t>
  </si>
  <si>
    <t>Email</t>
  </si>
  <si>
    <t>Z</t>
  </si>
  <si>
    <t>General (non-specific)</t>
  </si>
  <si>
    <t>V-20</t>
  </si>
  <si>
    <t>Approval Status (Y) has a conclusion (APP/AWC/REJ/NAP) ⇒ Actual (U) non-blank and Latest Approval Date (X) non-blank</t>
  </si>
  <si>
    <t>Discipline</t>
  </si>
  <si>
    <t>Column-J</t>
  </si>
  <si>
    <t>Electrical Discipline</t>
  </si>
  <si>
    <t>FM</t>
  </si>
  <si>
    <t>Forms/Templates</t>
  </si>
  <si>
    <t>V-21</t>
  </si>
  <si>
    <t>Latest Approval Date (X) non-blank ⇒ Y non-blank and X ≥ U</t>
  </si>
  <si>
    <t>Number</t>
  </si>
  <si>
    <t>Column-K</t>
  </si>
  <si>
    <t>ID</t>
  </si>
  <si>
    <t>Incoming Data</t>
  </si>
  <si>
    <t>V-09</t>
  </si>
  <si>
    <t>Date order: Planned (S) ≤ Forecast (T) ≤ Actual (U)</t>
  </si>
  <si>
    <t>Rev</t>
  </si>
  <si>
    <t>Column-L</t>
  </si>
  <si>
    <t>IV</t>
  </si>
  <si>
    <t>Invoice</t>
  </si>
  <si>
    <t>V-22</t>
  </si>
  <si>
    <t>Actual (U) non-blank ⇒ Planned (S) &amp; Forecast (T) non-blank</t>
  </si>
  <si>
    <t>Document No.</t>
  </si>
  <si>
    <t>Column-M</t>
  </si>
  <si>
    <t>LC</t>
  </si>
  <si>
    <t>Licence/Certificates</t>
  </si>
  <si>
    <t>V-23</t>
  </si>
  <si>
    <t>Any date (S/T/U/X) later than current system date ⇒ data lag / future date</t>
  </si>
  <si>
    <t>Document Title</t>
  </si>
  <si>
    <t>Column-N</t>
  </si>
  <si>
    <t>LT</t>
  </si>
  <si>
    <t>Letter</t>
  </si>
  <si>
    <t>V-24</t>
  </si>
  <si>
    <t>BQ Number (E) non-blank ⇒ must exist in BQ sheet BQ No. column (blank E is allowed)</t>
  </si>
  <si>
    <t>Notes</t>
  </si>
  <si>
    <t>Column-O</t>
  </si>
  <si>
    <t>2D Model File</t>
  </si>
  <si>
    <t>V-25</t>
  </si>
  <si>
    <t>F</t>
  </si>
  <si>
    <t>Valid record (M non-blank) missing any required field: Document Title(N)/UESH Discipline(C)/Stage(B)/Doc Type(I)/Discipline Code(J)/Project Code(G)/Project Prefix(H)/Number(K)</t>
  </si>
  <si>
    <t>As-Built</t>
  </si>
  <si>
    <t>Column-P</t>
  </si>
  <si>
    <t>Boolean</t>
  </si>
  <si>
    <t>3D Model File</t>
  </si>
  <si>
    <t>V-26</t>
  </si>
  <si>
    <t>Document No. (M) duplicated within the consolidated table</t>
  </si>
  <si>
    <t>Authority</t>
  </si>
  <si>
    <t>Column-Q</t>
  </si>
  <si>
    <t>M4</t>
  </si>
  <si>
    <t>4D Model File</t>
  </si>
  <si>
    <t>V-27</t>
  </si>
  <si>
    <t>As-Built (P) / Vendor Data (R) must be YES/NO/blank; other values</t>
  </si>
  <si>
    <t>Vendor Data</t>
  </si>
  <si>
    <t>Column-R</t>
  </si>
  <si>
    <t>M5</t>
  </si>
  <si>
    <t>5D Model File</t>
  </si>
  <si>
    <t>Planned 1st Issue Date</t>
  </si>
  <si>
    <t>Column-S</t>
  </si>
  <si>
    <t>M6</t>
  </si>
  <si>
    <t>6D Model File</t>
  </si>
  <si>
    <t>Forecast 1st Issue Date</t>
  </si>
  <si>
    <t>Column-T</t>
  </si>
  <si>
    <t>MI</t>
  </si>
  <si>
    <t>Minutes/Action notes</t>
  </si>
  <si>
    <t>Actual 1st Issue Date</t>
  </si>
  <si>
    <t>Column-U</t>
  </si>
  <si>
    <t>MM</t>
  </si>
  <si>
    <t>Memo</t>
  </si>
  <si>
    <t>Prolog Number</t>
  </si>
  <si>
    <t>Column-V</t>
  </si>
  <si>
    <t>MR</t>
  </si>
  <si>
    <t>Material Requisition</t>
  </si>
  <si>
    <t>Column-W</t>
  </si>
  <si>
    <t>MS</t>
  </si>
  <si>
    <t>Method Statement</t>
  </si>
  <si>
    <t>Latest Approval Date</t>
  </si>
  <si>
    <t>Column-X</t>
  </si>
  <si>
    <t>NC</t>
  </si>
  <si>
    <t>Non Conformance Report</t>
  </si>
  <si>
    <t>Latest Approval Status</t>
  </si>
  <si>
    <t>Column-Y</t>
  </si>
  <si>
    <t>OM</t>
  </si>
  <si>
    <t>Operations &amp; Maintenance (O&amp;M)</t>
  </si>
  <si>
    <t>Payment Certificate / Progress Claim</t>
  </si>
  <si>
    <t>PG</t>
  </si>
  <si>
    <t>Programme</t>
  </si>
  <si>
    <t>PO</t>
  </si>
  <si>
    <t>Purchase Order</t>
  </si>
  <si>
    <t>PP</t>
  </si>
  <si>
    <t>Project Management/Execution Plans</t>
  </si>
  <si>
    <t>PQ</t>
  </si>
  <si>
    <t>Pre-Qualification</t>
  </si>
  <si>
    <t>PS</t>
  </si>
  <si>
    <t>Presentation</t>
  </si>
  <si>
    <t>PT</t>
  </si>
  <si>
    <t>Photograph</t>
  </si>
  <si>
    <t>QA</t>
  </si>
  <si>
    <t>Quality Assurance / Inspection Test Plan</t>
  </si>
  <si>
    <t>QC</t>
  </si>
  <si>
    <t>Quality Control</t>
  </si>
  <si>
    <t>QU</t>
  </si>
  <si>
    <t>Quotation</t>
  </si>
  <si>
    <t>RG</t>
  </si>
  <si>
    <t>Register</t>
  </si>
  <si>
    <t>RI</t>
  </si>
  <si>
    <t>Request for Information</t>
  </si>
  <si>
    <t>RN</t>
  </si>
  <si>
    <t>Request for Inspection</t>
  </si>
  <si>
    <t>RT</t>
  </si>
  <si>
    <t>Report</t>
  </si>
  <si>
    <t>SD</t>
  </si>
  <si>
    <t>Shop Drawing</t>
  </si>
  <si>
    <t>SH</t>
  </si>
  <si>
    <t>Schedules</t>
  </si>
  <si>
    <t>SI</t>
  </si>
  <si>
    <t>Site Instruction</t>
  </si>
  <si>
    <t>SK</t>
  </si>
  <si>
    <t>Sketch Part, Part Print/Plan</t>
  </si>
  <si>
    <t>SN</t>
  </si>
  <si>
    <t>Snagging List (Punch List)</t>
  </si>
  <si>
    <t>SP</t>
  </si>
  <si>
    <t>Specification</t>
  </si>
  <si>
    <t>SU</t>
  </si>
  <si>
    <t>Survey</t>
  </si>
  <si>
    <t>TB</t>
  </si>
  <si>
    <t>Technical Bid Evaluation</t>
  </si>
  <si>
    <t>TE</t>
  </si>
  <si>
    <t>Tender</t>
  </si>
  <si>
    <t>TM</t>
  </si>
  <si>
    <t>Tech Memo</t>
  </si>
  <si>
    <t>TS</t>
  </si>
  <si>
    <t>Timesheet</t>
  </si>
  <si>
    <t>VI</t>
  </si>
  <si>
    <t>Vendor Information</t>
  </si>
  <si>
    <t>VO</t>
  </si>
  <si>
    <t>Variation Order</t>
  </si>
  <si>
    <t>VS</t>
  </si>
  <si>
    <t>Visualization File</t>
  </si>
  <si>
    <t>BQ No.</t>
  </si>
  <si>
    <t>BQ Item</t>
  </si>
  <si>
    <t>BQ1-1</t>
  </si>
  <si>
    <t>BILL NO. 1</t>
  </si>
  <si>
    <t>PRELIMINARIES AND GENERAL</t>
  </si>
  <si>
    <t>Note:
The following items are reproduced in brief from the Preliminaries and General for the purposes of pricing only. The Contractor shall refer to Particular Specification P2, General Specifications G1 and G2, and other sections of the Contract as appropriate,  for full details of the requirements which must be allowed for in the pricing of the items. For details of the payment procedures for these items, the Contractor is to refer to the Preamble to Bills of Quantities. The Contractor shall allow for each and every expense in Bill No. 1, where applicable, for complying with the Conditions of Contract, Drawings, Specifications and any other documents forming part of the Contract as no claim for extra will be entertained.</t>
  </si>
  <si>
    <t>BQ1-1 /A</t>
  </si>
  <si>
    <t>Insurances to be arranged by Contractor under Clause 27 and Clause 28 of the Public Sector Standard Conditions of Contract and Clause 5 Particular Conditions of Contract</t>
  </si>
  <si>
    <t>Allow for all cost necessary to take out Public Liability Insurance</t>
  </si>
  <si>
    <t>BQ1-1 /B</t>
  </si>
  <si>
    <t>Allow for all cost necessary to take out Work Injury Compensation Insurance</t>
  </si>
  <si>
    <t>BQ1-2 /A</t>
  </si>
  <si>
    <t>Insurances to be arranged by Contractor under Clause 27 and Clause 28 of the Public Sector Standard Conditions of Contract and Clause 5 Particular Conditions of Contract (Cont'd)</t>
  </si>
  <si>
    <t>Allow for all cost necessary to take out Insurance of the Works to cover Employer’s existing properties</t>
  </si>
  <si>
    <t>BQ1-2 /B</t>
  </si>
  <si>
    <t>Allow for any cost necessary for any other additional insurances deemed appropriate</t>
  </si>
  <si>
    <t>BQ1-2 /C</t>
  </si>
  <si>
    <t>Security Deposit</t>
  </si>
  <si>
    <t>Allow for furnishing of security deposit in accordance with the Conditions of Contract</t>
  </si>
  <si>
    <t>BQ1-3 /A</t>
  </si>
  <si>
    <t>Fees Imposed by Statutory Boards, Authorities and Any Other Companies</t>
  </si>
  <si>
    <t>Allow for fees and charges imposed by Statutory Boards, Authorities and any other companies, pertaining to all necessary applications/ processing/ submissions etc. whether direct, indirect and/or incidental</t>
  </si>
  <si>
    <t>BQ1-3 /B</t>
  </si>
  <si>
    <t>Setting-Out Survey</t>
  </si>
  <si>
    <t>Allow for setting-out survey for the Works by independent registered surveyors as specified</t>
  </si>
  <si>
    <t>BQ1-3 /C</t>
  </si>
  <si>
    <t>Pre Construction Surveys</t>
  </si>
  <si>
    <t>Provide pre-construction surveys by certified independent registered surveyors with photographic evidence and submit report to satisfaction of S.O</t>
  </si>
  <si>
    <t>BQ1-4 /A</t>
  </si>
  <si>
    <t>Surveys During Construction</t>
  </si>
  <si>
    <t>Allow for surveys during construction for the Works as specified</t>
  </si>
  <si>
    <t>BQ1-4 /B</t>
  </si>
  <si>
    <t>Post Construction Surveys</t>
  </si>
  <si>
    <t>Allow for post-construction surveys of the properties adjacent to the works together with any additional properties affected by the Works, certified by independent registered surveyors with photographic evidence and submit report to satisfaction of S.O.</t>
  </si>
  <si>
    <t>BQ1-5 /A</t>
  </si>
  <si>
    <t>Special Hazards</t>
  </si>
  <si>
    <t>Allow for compliance with all Special Hazards requirements as specified</t>
  </si>
  <si>
    <t>BQ1-5 /B</t>
  </si>
  <si>
    <t>Fire Hazard</t>
  </si>
  <si>
    <t>Allow for costs in preventing fire hazard (Price shall include provision of fire fighting equipment)</t>
  </si>
  <si>
    <t>BQ1-5 /C</t>
  </si>
  <si>
    <t>Dust Hazard</t>
  </si>
  <si>
    <t>Allow for costs in taking necessary measures to minimise dust</t>
  </si>
  <si>
    <t>BQ1-6 /A</t>
  </si>
  <si>
    <t>Site Constraints</t>
  </si>
  <si>
    <t>Allow for taking into account of all site constraints in completing the Works</t>
  </si>
  <si>
    <t>BQ1-6 /B</t>
  </si>
  <si>
    <t>Noise Control</t>
  </si>
  <si>
    <t>Noise Mitigation Plan to comply with latest NEA Noise Pollution Regulation. Allow for all necessary precautions to maintain or to repair construction equipment which cause excessive noise, to install noise suppressers or removal of the equipment from the Site, engage qualified personnel to measure noise and vibrations as and when directed by the S.O. so as to comply with all relevant Regulations and Specifications</t>
  </si>
  <si>
    <t>BQ1-6 /C</t>
  </si>
  <si>
    <t>Allow for compliance with the Environmental Protection and Management Act 2008 and Environmental Public Health, including provision of noise monitoring meter for the whole of the Contract period</t>
  </si>
  <si>
    <t>BQ1-7 /A</t>
  </si>
  <si>
    <t>Temporary Access Road</t>
  </si>
  <si>
    <t>Allow for all necessary temporary access roads, ramps, paths, platforms, etc. within the Site</t>
  </si>
  <si>
    <t>BQ1-7 /B</t>
  </si>
  <si>
    <t>Operation and maintenance of the temporary access road</t>
  </si>
  <si>
    <t>BQ1-7 /C</t>
  </si>
  <si>
    <t>Removal of the temporary access road and reinstate the affected areas to the satisfaction of the S.O. upon completion of the Works</t>
  </si>
  <si>
    <t>BQ1-8 /A</t>
  </si>
  <si>
    <t>Earth Control Measures (ECM )</t>
  </si>
  <si>
    <t>Allow for establishment of ECM as specified</t>
  </si>
  <si>
    <t>BQ1-8 /B</t>
  </si>
  <si>
    <t>Operation and maintenance of ECM</t>
  </si>
  <si>
    <t>BQ1-8 /C</t>
  </si>
  <si>
    <t>On completion of the Works, removal of all ECM and reinstate all affected areas to the satisfaction of S.O.</t>
  </si>
  <si>
    <t>BQ1-9 /A</t>
  </si>
  <si>
    <t>Works to be Kept Free from Water</t>
  </si>
  <si>
    <t>Allow for keeping the Works well drained and clear of water as specified (The Contractor shall provide his own pumping equipment or plant that may be necessary to exclude any ingress of water which may arise from any leakages)</t>
  </si>
  <si>
    <t>BQ1-10 /A</t>
  </si>
  <si>
    <t>Washing Facilities</t>
  </si>
  <si>
    <t>Allow for washing facilities to service vehicles leaving the site, as specified</t>
  </si>
  <si>
    <t>BQ1-10 /B</t>
  </si>
  <si>
    <t>Operation and maintenance of the washing facilities</t>
  </si>
  <si>
    <t>BQ1-10 /C</t>
  </si>
  <si>
    <t>On completion of the Works, removal of the washing facilities and reinstate all affected areas to the satisfaction of S.O.</t>
  </si>
  <si>
    <t>BQ1-11 /A</t>
  </si>
  <si>
    <t>Contractor's Site Office</t>
  </si>
  <si>
    <t>Allow for Contractor's site office for the Works</t>
  </si>
  <si>
    <t>BQ1-11 /B</t>
  </si>
  <si>
    <t>Operation and maintenance of Contractor's site office</t>
  </si>
  <si>
    <t>BQ1-11 /C</t>
  </si>
  <si>
    <t>Removal of Contractor's site office upon completion of the Works including reinstate all affected areas to the satisfaction of the S.O.</t>
  </si>
  <si>
    <t>BQ1-12 /A</t>
  </si>
  <si>
    <t>Site Security</t>
  </si>
  <si>
    <t>Allow for site security as specified</t>
  </si>
  <si>
    <t>BQ1-12 /B</t>
  </si>
  <si>
    <t>Traffic Management System</t>
  </si>
  <si>
    <t>Allow for compliance with the traffic management system and delivery logistic management system for the whole Contract period</t>
  </si>
  <si>
    <t>BQ1-13 /A</t>
  </si>
  <si>
    <t>Radio Communications System</t>
  </si>
  <si>
    <t>Allow for fifteen (15) sets of portable radio sets for the S.O. as specified</t>
  </si>
  <si>
    <t>BQ1-13 /B</t>
  </si>
  <si>
    <t>Operation and maintenance of the portable radio sets</t>
  </si>
  <si>
    <t>BQ1-14 /A</t>
  </si>
  <si>
    <t>Temporary Sanitary and Waste Disposal Facilities</t>
  </si>
  <si>
    <t>Allow for establishment of temporary sanitary and waste disposal facilities for use in the Works</t>
  </si>
  <si>
    <t>BQ1-14 /B</t>
  </si>
  <si>
    <t>Operation and maintenance of the temporary sanitary and waste disposal facilities including provision of cleaners, conservancy charges and keeping all in a sanitary condition</t>
  </si>
  <si>
    <t>BQ1-14 /C</t>
  </si>
  <si>
    <t>On completion of the Works, disconnect and remove completely all temporary sanitary and waste disposal facilities and reinstate all affected areas to the satisfaction of S.O.</t>
  </si>
  <si>
    <t>BQ1-15 /A</t>
  </si>
  <si>
    <t>Potable Water Supplies for the Works</t>
  </si>
  <si>
    <t>Allow for establishment of potable water supplies for use in the Works</t>
  </si>
  <si>
    <t>BQ1-15 /B</t>
  </si>
  <si>
    <t>Operation and maintenance of the potable water supplies</t>
  </si>
  <si>
    <t>BQ1-15 /C</t>
  </si>
  <si>
    <t>On completion of the Works, disconnect and remove completely all potable water supplies and reinstate all affected areas to the satisfaction of S.O.</t>
  </si>
  <si>
    <t>BQ1-16 /A</t>
  </si>
  <si>
    <t>NEWater Supplies for the Works</t>
  </si>
  <si>
    <t>Allow for establishment of NEWater supplies for use in the Works</t>
  </si>
  <si>
    <t>BQ1-16 /B</t>
  </si>
  <si>
    <t>Operation and maintenance of the NEWater supplies</t>
  </si>
  <si>
    <t>BQ1-16 /C</t>
  </si>
  <si>
    <t>On completion of the Works, disconnect and remove completely all NEWater supplies and reinstate all affected areas to the satisfaction of S.O.</t>
  </si>
  <si>
    <t>BQ1-17 /A</t>
  </si>
  <si>
    <t>Electricity Supplies for the Works</t>
  </si>
  <si>
    <t>Allow for establishment of electricity supplies for use in the Works</t>
  </si>
  <si>
    <t>BQ1-17 /B</t>
  </si>
  <si>
    <t>Operation and maintenance of the electricity supplies</t>
  </si>
  <si>
    <t>BQ1-17 /C</t>
  </si>
  <si>
    <t>On completion of the Works, disconnect and remove completely all electricity supplies and reinstate all affected areas to the satisfaction of S.O.</t>
  </si>
  <si>
    <t>BQ1-18 /A</t>
  </si>
  <si>
    <t>Project Signboards</t>
  </si>
  <si>
    <t>Allow for project signboards as specified to the S.O.'s approval</t>
  </si>
  <si>
    <t>BQ1-18 /B</t>
  </si>
  <si>
    <t>Maintenance of the project signboards</t>
  </si>
  <si>
    <t>BQ1-18 /C</t>
  </si>
  <si>
    <t>Removal of the project signboards upon completion of the Works including reinstate all affected areas to the satisfaction of the S.O.</t>
  </si>
  <si>
    <t>BQ1-19 /A</t>
  </si>
  <si>
    <t>Collaboration with Others</t>
  </si>
  <si>
    <t>Allow for all attendances, all necessary costs/ fees incurred in the Works for monitoring, liaison, interfacing and coordination with other contractors, consultants, managing agents, Government Agencies, Statutory Boards, companies, etc. for working at or in the vicinity of the Works</t>
  </si>
  <si>
    <t>BQ1-20</t>
  </si>
  <si>
    <t>Site Management Team</t>
  </si>
  <si>
    <t>BQ1-20 /A</t>
  </si>
  <si>
    <t>The Contractor shall allow for engagement of the following qualified and experienced key site personnel for the Contract Period as specified:</t>
  </si>
  <si>
    <t>Project Manager</t>
  </si>
  <si>
    <t>BQ1-20 /B</t>
  </si>
  <si>
    <t>Construction Manager</t>
  </si>
  <si>
    <t>BQ1-20 /C</t>
  </si>
  <si>
    <t>Building Information Management System Manager</t>
  </si>
  <si>
    <t>BQ1-20 /D</t>
  </si>
  <si>
    <t>Testing and Commissioning Manager</t>
  </si>
  <si>
    <t>BQ1-21</t>
  </si>
  <si>
    <t>Site Management Team (Cont'd)</t>
  </si>
  <si>
    <t>BQ1-21 /A</t>
  </si>
  <si>
    <t>The Contractor shall allow for engagement of the following qualified and experienced key site personnel for the Contract Period as specified: (Cont'd)</t>
  </si>
  <si>
    <t>Allow for the engagement of all other project personnel (including but not limited to Project Director, Project Controls Manager, Quality Assurance/ Quality Control Manager, Electrical Engineering Manager, Licensed Electrical Worker, Mechanical Engineering Manager, Control System Engineering Manager, Senior Planner, Risk Management and Design for Safety (DfS) Professional, Document Controller, HSE Manager, Registered WSH Officer, Registered WSH Coordinator, Testing and Commissioning Process Specialist, Operations and Maintenance Manager, Supervisors, Technicians, Quantity Surveyor, Registered Surveyor, HSE Administrative Assistant etc.) to manage and supervise the Works as specified for the entire Contract Period</t>
  </si>
  <si>
    <t>BQ1-22 /A</t>
  </si>
  <si>
    <t>Qualified Persons</t>
  </si>
  <si>
    <t>Allow for the engagement of Qualified Persons for the Works as specified</t>
  </si>
  <si>
    <t>BQ1-22 /B</t>
  </si>
  <si>
    <t>Progress Reporting</t>
  </si>
  <si>
    <t>Allow for compilation and submission of monthly progress reports as specified</t>
  </si>
  <si>
    <t>BQ1-22 /C</t>
  </si>
  <si>
    <t>Workshop(s)</t>
  </si>
  <si>
    <t>Allow for conducting of workshop(s) and submission of reports to S.O.'s approval</t>
  </si>
  <si>
    <t>BQ1-22 /D</t>
  </si>
  <si>
    <t>Plant Testing and Commissioning</t>
  </si>
  <si>
    <t>Allow all costs associated with Plant Testing and Commissioning including labour, consumables, water, electricity, transportation of seed sludge, grit and screenings removal and sampling and testing, etc. as specified</t>
  </si>
  <si>
    <t>BQ1-23 /A</t>
  </si>
  <si>
    <t>BIM Delivery, As-Built Drawings, Operation and Maintenance Information</t>
  </si>
  <si>
    <t>Allow for BIM delivery, As-Built Drawings and operation and maintenance information including As-Constructed/ As-Built information, Warranties (for Works/ Products) for the Works as specified
(This sum shall not be less than one percent (1%) of Part 1 - Total Amount (Bill Nos. 1 to 9).</t>
  </si>
  <si>
    <t>BQ1-23 /B</t>
  </si>
  <si>
    <t>Training</t>
  </si>
  <si>
    <t>Allow for training the Board's personnel on the operation and maintenance of all plant and equipment</t>
  </si>
  <si>
    <t>BQ1-23 /C</t>
  </si>
  <si>
    <t>Common Data Environment</t>
  </si>
  <si>
    <t>Allow cost for Common Data Environment to store and manage information of the Contract as specified (refer to G1.2)</t>
  </si>
  <si>
    <t>BQ1-24 /A</t>
  </si>
  <si>
    <t>Constructional Equipment, Machinery and Materials</t>
  </si>
  <si>
    <t>Allow for constructional equipment, machinery and materials necessary for carrying out the Works</t>
  </si>
  <si>
    <t>BQ1-24 /B</t>
  </si>
  <si>
    <t>Lightning Protection System</t>
  </si>
  <si>
    <t>Allow for lightning protection system including regular testing and maintenance. (Rate shall include the engagement of Professional Engineer (Electrical))</t>
  </si>
  <si>
    <t>BQ1-24 /C</t>
  </si>
  <si>
    <t>Scaffolding</t>
  </si>
  <si>
    <t>Allow for scaffolding, planks, battens, catwalks, gangways, ladders, working platforms, etc. necessary for the carrying out the Works</t>
  </si>
  <si>
    <t>BQ1-25 /A</t>
  </si>
  <si>
    <t>Site Clearance</t>
  </si>
  <si>
    <t>Allow for general site clearance including all necessary works required for carrying out the construction works, disposal of debris etc. off site</t>
  </si>
  <si>
    <t>BQ1-26 /A</t>
  </si>
  <si>
    <t>Temporary Hoarding</t>
  </si>
  <si>
    <t>Allow for temporary hoarding for the Contractor's construction works, temporary working areas and staging areas as specified</t>
  </si>
  <si>
    <t>BQ1-26 /B</t>
  </si>
  <si>
    <t>Maintenance of the temporary hoarding</t>
  </si>
  <si>
    <t>BQ1-26 /C</t>
  </si>
  <si>
    <t>Removal of the temporary hoarding upon completion of the Works including reinstate all affected areas to the satisfaction of the S.O.</t>
  </si>
  <si>
    <t>BQ1-26 /D</t>
  </si>
  <si>
    <t>Temporary Signages</t>
  </si>
  <si>
    <t>Allow for temporary signage's within the Site including maintenance and removal upon completion of the Works</t>
  </si>
  <si>
    <t>BQ1-27 /A</t>
  </si>
  <si>
    <t>Safety Requirements</t>
  </si>
  <si>
    <t>Allow for general safety equipment and safety measures for the Works in compliance with safety requirements specified (refer to G2)</t>
  </si>
  <si>
    <t>BQ1-27 /B</t>
  </si>
  <si>
    <t>Allow for developing and implementing a Safety Management System as specified (refer to P9)</t>
  </si>
  <si>
    <t>BQ1-27 /C</t>
  </si>
  <si>
    <t>Allow for provision, maintenance and removal, of the motion sensing alert devices (Screaming cones) as specified</t>
  </si>
  <si>
    <t>BQ1-27 /D</t>
  </si>
  <si>
    <t>Pest Control at Site</t>
  </si>
  <si>
    <t>Allow for engagement of pest control company to carry out pest control and surveillance at the site as specified</t>
  </si>
  <si>
    <t>BQ1-28 /A</t>
  </si>
  <si>
    <t>Services Detection and Protection</t>
  </si>
  <si>
    <t>Allow for carrying out detection and protection of existing services and utilities within the Site as specified</t>
  </si>
  <si>
    <t>BQ1-29 /A</t>
  </si>
  <si>
    <t>Cleaning Up Periodically</t>
  </si>
  <si>
    <t>Allow for all necessary cleaning of the site periodically throughout the construction period</t>
  </si>
  <si>
    <t>BQ1-29 /B</t>
  </si>
  <si>
    <t>Cleaning Up On Completion</t>
  </si>
  <si>
    <t>Allow for cleaning up to the satisfaction of the S.O. on completion of the Works</t>
  </si>
  <si>
    <t>BQ1-29 /C</t>
  </si>
  <si>
    <t>Care and Maintenance of the Works</t>
  </si>
  <si>
    <t>Allow for care and maintenance of the works from Substantial Completion of each Phase of the Works until issuance of Certificate of Substantial Completion for the Whole of the Works.</t>
  </si>
  <si>
    <t>BQ1-30</t>
  </si>
  <si>
    <t>Others</t>
  </si>
  <si>
    <t>BQ1-30 /A</t>
  </si>
  <si>
    <t>Allow for each and every expense for complying with the Conditions of Contract, Specifications, Drawings and all other documents forming part of this Contract, not specifically mentioned and allowed for elsewhere in Bill No. 1 for satisfactory completion of the Works, naming the items below and pricing them separately. (Tenderer shall give a breakdown of the works covered under the item below or on a separate sheet if space provide here is not enough)</t>
  </si>
  <si>
    <t>___________________________</t>
  </si>
  <si>
    <t>BQ1-30 /B</t>
  </si>
  <si>
    <t>BQ1-30 /C</t>
  </si>
  <si>
    <t>BQ1-30 /D</t>
  </si>
  <si>
    <t>BQ1-30 /E</t>
  </si>
  <si>
    <t>BQ1-30 /F</t>
  </si>
  <si>
    <t>BQ2-1</t>
  </si>
  <si>
    <t>BILL NO. 2</t>
  </si>
  <si>
    <t xml:space="preserve">CIVIL, STRUCTURAL AND ARCHITECTURAL WORKS </t>
  </si>
  <si>
    <t>Notes:
The items described herein is to provide as a general breakdown of the entire system. The Contractor shall price in all necessary items to complete the Works and deliver a full operational and functional system. The "SUM" so priced shall also deemed to have included for all associated costs for supervision, labours, machinery, hoists, fixing accessories, etc. necessary to bring the whole of the Works to a satisfactory completion certified by the S.O.</t>
  </si>
  <si>
    <t>CONCRETE WORK</t>
  </si>
  <si>
    <t>In-situ Concrete</t>
  </si>
  <si>
    <t>BQ2-1 /A</t>
  </si>
  <si>
    <t>WIL 22 Industrial LM2 Primary Treatment</t>
  </si>
  <si>
    <t>Sulphate-resisting mass concrete with silica fume including formwork as specified</t>
  </si>
  <si>
    <t>BQ2-1 /B</t>
  </si>
  <si>
    <t>Sulphate-resisting mass concrete with silica fume in irregular shape including formwork as specified</t>
  </si>
  <si>
    <t>BQ2-1 /C</t>
  </si>
  <si>
    <t>WIL 23 Industrial LM2 Secondary Treatment</t>
  </si>
  <si>
    <t>Sulphate-resisting mass concrete with silica fume including formwork to form platforms as specified</t>
  </si>
  <si>
    <t>BQ2-2</t>
  </si>
  <si>
    <t>CONCRETE WORK (CONT'D)</t>
  </si>
  <si>
    <t>Reinforcement</t>
  </si>
  <si>
    <t>BQ2-2 /A</t>
  </si>
  <si>
    <t>Welded fabric reinforcement, well lapped (measured net) as specified</t>
  </si>
  <si>
    <t>WSFR A10</t>
  </si>
  <si>
    <t>BQ2-2 /B</t>
  </si>
  <si>
    <t>BQ2-2 /C</t>
  </si>
  <si>
    <t>WSFR A13</t>
  </si>
  <si>
    <t>BQ2-3</t>
  </si>
  <si>
    <t>Concrete corrosion protection</t>
  </si>
  <si>
    <t>PVC lining system as specified</t>
  </si>
  <si>
    <t>BQ2-3 /A</t>
  </si>
  <si>
    <t>WIL 23 Industrial LM2 Secondary Treatment (Cont'd)</t>
  </si>
  <si>
    <t>Wall</t>
  </si>
  <si>
    <t>BQ2-3 /B</t>
  </si>
  <si>
    <t>Floor</t>
  </si>
  <si>
    <t>BQ2-4</t>
  </si>
  <si>
    <t>SUNDRIES</t>
  </si>
  <si>
    <t>Concrete Coring</t>
  </si>
  <si>
    <t>BQ2-4 /A</t>
  </si>
  <si>
    <t>Mobilisation and Demobilisation of Concrete Coring Equipment and Labour</t>
  </si>
  <si>
    <t>Allow for all necessary concrete diamond coring equipment and labour on Site including moving it around the Site; subsequent dismantling and removal from Site on completion</t>
  </si>
  <si>
    <t>BQ2-5</t>
  </si>
  <si>
    <t>SUNDRIES (CONT'D)</t>
  </si>
  <si>
    <t>Concrete Coring (Cont'd)</t>
  </si>
  <si>
    <t>Carry out concrete diamond coring of holes through concrete structure including mobilisation/ demobilisation of equipment, protection, removal of debris off site and make goods</t>
  </si>
  <si>
    <t>BQ2-5 /A</t>
  </si>
  <si>
    <t>Exceeding 100mm but not exceeding 200mm depth</t>
  </si>
  <si>
    <t>50 to 200mm Diameter</t>
  </si>
  <si>
    <t>BQ2-5 /B</t>
  </si>
  <si>
    <t>201 to 400mm Diameter</t>
  </si>
  <si>
    <t>BQ2-5 /C</t>
  </si>
  <si>
    <t>401 to 600mm Diameter</t>
  </si>
  <si>
    <t>BQ2-6</t>
  </si>
  <si>
    <t>Carry out concrete diamond coring of holes through concrete structure including mobilisation/ demobilisation of equipment, protection, removal of debris off site and make goods (Cont'd)</t>
  </si>
  <si>
    <t>BQ2-6 /A</t>
  </si>
  <si>
    <t>Exceeding 200mm but not exceeding 400mm depth</t>
  </si>
  <si>
    <t>BQ2-6 /B</t>
  </si>
  <si>
    <t>BQ2-6 /C</t>
  </si>
  <si>
    <t>BQ2-7 /A</t>
  </si>
  <si>
    <t>Exceeding 400mm but not exceeding 600mm depth</t>
  </si>
  <si>
    <t>BQ2-7 /B</t>
  </si>
  <si>
    <t>BQ2-7 /C</t>
  </si>
  <si>
    <t>BQ2-8 /A</t>
  </si>
  <si>
    <t>Exceeding 600mm but not exceeding 800mm depth</t>
  </si>
  <si>
    <t>BQ2-8 /B</t>
  </si>
  <si>
    <t>BQ2-8 /C</t>
  </si>
  <si>
    <t>BQ2-9 /A</t>
  </si>
  <si>
    <t>Allow for expansion joint as specified</t>
  </si>
  <si>
    <t>BQ2-10 /A</t>
  </si>
  <si>
    <t>ACOUSTIC INSULATION</t>
  </si>
  <si>
    <t xml:space="preserve">Provide acoustic insulation wall as specified and subject to S.O.'s approval </t>
  </si>
  <si>
    <t>BQ2-10 /B</t>
  </si>
  <si>
    <t xml:space="preserve">Provide acoustic insulation ceiling as specified and subject to S.O.'s approval </t>
  </si>
  <si>
    <t>BQ2-11</t>
  </si>
  <si>
    <t>ACOUSTIC INSULATION (CONT'D)</t>
  </si>
  <si>
    <t>BQ2-11 /A</t>
  </si>
  <si>
    <t xml:space="preserve">Provide door as per specified and subject to S.O.'s approval </t>
  </si>
  <si>
    <t>Type S1, door size 1000 x 2100mm height</t>
  </si>
  <si>
    <t>BQ2-11 /B</t>
  </si>
  <si>
    <t>Type SD1, door size 2000 x 2100mm height</t>
  </si>
  <si>
    <t>BQ2-11 /C</t>
  </si>
  <si>
    <t xml:space="preserve">Provide roller shutter as per specified and subject to S.O.'s approval </t>
  </si>
  <si>
    <t>Type R1, panel size 2500 x 4000mm height</t>
  </si>
  <si>
    <t>BQ2-11 /D</t>
  </si>
  <si>
    <t>Type R1, panel size 4500 x 4000mm height</t>
  </si>
  <si>
    <t>BQ2-12 /A</t>
  </si>
  <si>
    <t xml:space="preserve">Provide acoustic louvres as specified and subject to S.O.'s approval </t>
  </si>
  <si>
    <t>BQ2-12 /B</t>
  </si>
  <si>
    <t>METAL WORKS</t>
  </si>
  <si>
    <t>Aluminium grating cover to tank openings as specified</t>
  </si>
  <si>
    <t>BQ2-12 /C</t>
  </si>
  <si>
    <t>MISCELLANEOUS</t>
  </si>
  <si>
    <t>The following items are to be completed with all necessary fittings, fixing brackets and accessories, as specified</t>
  </si>
  <si>
    <t>Provide internal signages</t>
  </si>
  <si>
    <t>BQ2-13</t>
  </si>
  <si>
    <t>OTHERS</t>
  </si>
  <si>
    <t>BQ2-13 /A</t>
  </si>
  <si>
    <t>Allow for each and every expense for complying with the Conditions of Contract, Specifications, Drawings and all other documents forming part of this Contract, not specifically mentioned and allowed for elsewhere for satisfactory completion of the Works specified in Bill No. 2, naming the items below and pricing them separately
(Tenderer shall give a breakdown of the works covered under the item below or on a separate sheet if space provided here is not enough)</t>
  </si>
  <si>
    <t>______________________________</t>
  </si>
  <si>
    <t>BQ2-13 /B</t>
  </si>
  <si>
    <t>BQ2-13 /C</t>
  </si>
  <si>
    <t>BQ2-13 /D</t>
  </si>
  <si>
    <t>BQ2-13 /E</t>
  </si>
  <si>
    <t>BQ2-13 /F</t>
  </si>
  <si>
    <t>BQ3.1-1</t>
  </si>
  <si>
    <t>BILL NO. 3.1</t>
  </si>
  <si>
    <t>MECHANICAL WORKS</t>
  </si>
  <si>
    <t>- INDUSTRIAL HEADWORKS, PRIMARY AND SECONDARY TREATMENT</t>
  </si>
  <si>
    <t>Note:
The items described herein is to provide as a general breakdown of the entire system. The Contractor shall price in all necessary items to complete the Works and deliver a fully operational and functional system. The "SUM" so priced shall also deemed to have included for all associated costs for supervision, labours, machinery, hoists, fixing accessories, etc. necessary to bring the whole of the Works to a satisfactory completion certified by the S.O.</t>
  </si>
  <si>
    <t>IUW INFLUENT PIPELINE</t>
  </si>
  <si>
    <t>BQ3.1-1 /A**</t>
  </si>
  <si>
    <t>A**</t>
  </si>
  <si>
    <t>Provide IUW Influent Pipeline including equipment, instruments associated with or integrated into the equipment, piping, valves, appurtenances, equipment plinths, supporting structures and others as required and necessary for a complete and functional system, as specified</t>
  </si>
  <si>
    <t>One (1) Influent Pipeline for ILM2 up to the tie-in points</t>
  </si>
  <si>
    <t>BQ3.1-1 /B**</t>
  </si>
  <si>
    <t>B**</t>
  </si>
  <si>
    <t>One (1) Actuated knife gate valve for ILM2 Influent Pipeline</t>
  </si>
  <si>
    <t>BQ3.1-1 /C**</t>
  </si>
  <si>
    <t>C**</t>
  </si>
  <si>
    <t>One (1) Actuated flow control butterfly valve for ILM2 Influent Pipeline</t>
  </si>
  <si>
    <t>BQ3.1-2</t>
  </si>
  <si>
    <t>IUW INFLUENT PIPELINE (CONT'D)</t>
  </si>
  <si>
    <t>BQ3.1-2 /A**</t>
  </si>
  <si>
    <t>Provide IUW Influent Pipeline including equipment, instruments associated with or integrated into the equipment, piping, valves, appurtenances, equipment plinths, supporting structures and others as required and necessary for a complete and functional system, as specified (Cont'd)</t>
  </si>
  <si>
    <t>Two (2) ILM2 Influent Flowmeter Chamber sump pumps complete with motors, pipework including valves and actuators as shown in the drawings, quick discharge connector, lifting guide rails, lifting chain and all required appurtenances</t>
  </si>
  <si>
    <t>BQ3.1-2 /B**</t>
  </si>
  <si>
    <t>ILM2 Valves and fittings as shown in the drawings</t>
  </si>
  <si>
    <t>BQ3.1-2 /C**</t>
  </si>
  <si>
    <t>Allow for any other items not mentioned above but deemed required for the satisfactory completion for this system</t>
  </si>
  <si>
    <t>BQ3.1-3</t>
  </si>
  <si>
    <t>USED WATER SCREENS AND SCREENINGS TREATMENT SYSTEM</t>
  </si>
  <si>
    <t>BQ3.1-3 /A**</t>
  </si>
  <si>
    <t>Provide Used Water Screens and Screening Treatment System including equipment, instruments associated with or integrated into the equipment, piping, valves, appurtenances, equipment plinths, supporting structures and others as required and necessary for a complete and functional system, as specified</t>
  </si>
  <si>
    <t>Biosolids drainage pipework from ILM2 Headworks Inlet Chamber to tie-in points</t>
  </si>
  <si>
    <t>BQ3.1-3 /B**</t>
  </si>
  <si>
    <t>ILM Odour Control facility drainage pipework from ILM2 Headworks Inlet Chamber to tie-in points</t>
  </si>
  <si>
    <t>BQ3.1-4</t>
  </si>
  <si>
    <t>USED WATER SCREENS AND SCREENINGS TREATMENT SYSTEM (CONT'D)</t>
  </si>
  <si>
    <t>BQ3.1-4 /A**</t>
  </si>
  <si>
    <t>Provide Used Water Screens and Screening Treatment System including equipment, instruments associated with or integrated into the equipment, piping, valves, appurtenances, equipment plinths, supporting structures and others as required and necessary for a complete and functional system, as specified (Cont'd)</t>
  </si>
  <si>
    <t>Three (3) ILM2 Intermediate screens with dewatering presses</t>
  </si>
  <si>
    <t>BQ3.1-4 /B**</t>
  </si>
  <si>
    <t>Three (3) ILM2 Intermediate screenings cross conveyor with actuated slide gates</t>
  </si>
  <si>
    <t>BQ3.1-4 /C**</t>
  </si>
  <si>
    <t>Four (4) ILM2 Intermediate screenings loadout conveyor with actuated slide gates</t>
  </si>
  <si>
    <t>BQ3.1-5 /A**</t>
  </si>
  <si>
    <t>Three (3) ILM2 Fine Screens with dewatering presses</t>
  </si>
  <si>
    <t>BQ3.1-5 /B**</t>
  </si>
  <si>
    <t>Three (3) ILM2 Fine screenings cross conveyor with actuated slide gates</t>
  </si>
  <si>
    <t>BQ3.1-5 /C**</t>
  </si>
  <si>
    <t>Four (4) ILM2 Fine screenings loadout conveyor with actuated slide gates</t>
  </si>
  <si>
    <t>BQ3.1-6 /A**</t>
  </si>
  <si>
    <t>Two (2) ILM2 Headworks screenings hopper with modulating actuated slide gate</t>
  </si>
  <si>
    <t>BQ3.1-7</t>
  </si>
  <si>
    <t>GRIT, GREASE AND SCUM REMOVAL SYSTEM</t>
  </si>
  <si>
    <t>BQ3.1-7 /A**</t>
  </si>
  <si>
    <t>Provide Grit, Grease and Scum Removal System including equipment, instruments associated with or integrated into the equipment, piping, valves, appurtenances, equipment plinths, supporting structures and others as required and necessary for a complete and functional system, as specified</t>
  </si>
  <si>
    <t>Four (4) Removable bolted on panels of stainless steel 316L material complete with all accessories and appurtenances for inlet and outlet openings of unequipped ILM2 Aerated Grit Tanks</t>
  </si>
  <si>
    <t>BQ3.1-7 /B**</t>
  </si>
  <si>
    <t>ILM2 Aerated grit tanks, grit tank inlet channel and grit tank effluent channel coarse bubble diffuser system complete with coarse bubble diffusers, stainless steel 316L material lift-out header, drop legs, retractable system on drop legs, air manifolds, distribution headers, supports, joints, spacers, valves and all appurtenances</t>
  </si>
  <si>
    <t>BQ3.1-8</t>
  </si>
  <si>
    <t>GRIT, GREASE AND SCUM REMOVAL SYSTEM (CONT'D)</t>
  </si>
  <si>
    <t>BQ3.1-8 /A**</t>
  </si>
  <si>
    <t>Provide Grit, Grease and Scum Removal System including equipment, instruments associated with or integrated into the equipment, piping, valves, appurtenances, equipment plinths, supporting structures and others as required and necessary for a complete and functional system, as specified (Cont'd)</t>
  </si>
  <si>
    <t>ILM2 Grit Tank aeration system complete with aeration blowers and motors, valves with associated and necessary appurtenances</t>
  </si>
  <si>
    <t>BQ3.1-8 /B**</t>
  </si>
  <si>
    <t>ILM2 Grit Tank aeration air supply pipework</t>
  </si>
  <si>
    <t>BQ3.1-8 /C**</t>
  </si>
  <si>
    <t>ILM2 removable wire mesh guard to protect against aeration air pipework of elevated temperatures</t>
  </si>
  <si>
    <t>BQ3.1-9 /A**</t>
  </si>
  <si>
    <t>Three (3) ILM2 submerged grit screw conveyor</t>
  </si>
  <si>
    <t>BQ3.1-9 /B**</t>
  </si>
  <si>
    <t>Three (3) ILM2 Scum and Grease Removal Equipment</t>
  </si>
  <si>
    <t>BQ3.1-9 /C**</t>
  </si>
  <si>
    <t>ILM2 Grit tank outlet V-notch weirs and launders</t>
  </si>
  <si>
    <t>BQ3.1-10 /A**</t>
  </si>
  <si>
    <t>ILM2 Grease and scum wet well automatic water spray system including non-clog nozzles</t>
  </si>
  <si>
    <t>BQ3.1-10 /B**</t>
  </si>
  <si>
    <t>Four (4) ILM2 Grease and scum wet well pumps complete with motors, pipework including valves and actuators</t>
  </si>
  <si>
    <t>BQ3.1-11 /A**</t>
  </si>
  <si>
    <t>Three (3) ILM2 Grit pumps complete with motors, pipework including valves and actuators</t>
  </si>
  <si>
    <t>BQ3.1-11 /B**</t>
  </si>
  <si>
    <t>Drainage pipework connection from ILM2 Aerated Grit Tanks to plant drain, complete with all necessary fittings and supports</t>
  </si>
  <si>
    <t>BQ3.1-11 /C**</t>
  </si>
  <si>
    <t>Two (2) ILM2 Grit classifier complete with all appurtenances (eg. vortex chamber, stirrer, nozzles, valves, instruments, etc.)</t>
  </si>
  <si>
    <t>BQ3.1-12 /A**</t>
  </si>
  <si>
    <t>Two (2) ILM2 Grit classifier outlet automated diverter chute</t>
  </si>
  <si>
    <t>BQ3.1-12 /B**</t>
  </si>
  <si>
    <t>Two (2) ILM2 Grit loadout conveyors</t>
  </si>
  <si>
    <t>BQ3.1-12 /C**</t>
  </si>
  <si>
    <t>Two (2) ILM2 Grit hopper with actuated slide gate</t>
  </si>
  <si>
    <t>BQ3.1-12 /D**</t>
  </si>
  <si>
    <t>D**</t>
  </si>
  <si>
    <t>One (1) ILM2 Grit Tank Effluent Channel Sampling Pump complete with motor</t>
  </si>
  <si>
    <t>BQ3.1-13 /A**</t>
  </si>
  <si>
    <t>Thickening centrate return pipework from tie-in point to ILM2 Grit Tank Effluent Channel</t>
  </si>
  <si>
    <t>BQ3.1-13 /B**</t>
  </si>
  <si>
    <t>Treated side stream returns pipework from tie-in point to ILM2 Grit Tank Effluent Channel</t>
  </si>
  <si>
    <t>BQ3.1-14 /A**</t>
  </si>
  <si>
    <t>BQ3.1-14 /B**</t>
  </si>
  <si>
    <t>ILM2 Aerated Grit Tank Covers</t>
  </si>
  <si>
    <t>BQ3.1-15</t>
  </si>
  <si>
    <t>PRIMARY SEDIMENTATION, SCUM AND SLUDGE REMOVAL SYSTEM</t>
  </si>
  <si>
    <t>BQ3.1-15 /A@@</t>
  </si>
  <si>
    <t>A@@</t>
  </si>
  <si>
    <t>Provide Primary Sedimentation, Scum and Sludge Removal System including equipment, instruments associated with or integrated into the equipment, piping, valves, appurtenances, equipment plinths, supporting structures and others as required and necessary for a complete and functional system, as specified</t>
  </si>
  <si>
    <t>Three (3) ILM2 Primary Sedimentation Tank lamella settlement system complete with lamella plate packs, v-notch weirs, launder channels, automated lamella plate cleaning system, high pressure hoses, sludge scraper system, scum skimming and removal system, underpack drains, inlet channel diffusers, all necessary components, pipework, supports and appurtenances</t>
  </si>
  <si>
    <t>BQ3.1-15 /B**</t>
  </si>
  <si>
    <t>Six (6) ILM2 Primary sludge transfer pumps complete with motors, pipework including valves and actuators</t>
  </si>
  <si>
    <t>BQ3.1-16</t>
  </si>
  <si>
    <t>PRIMARY SEDIMENTATION, SCUM AND SLUDGE REMOVAL SYSTEM (CONT'D)</t>
  </si>
  <si>
    <t>BQ3.1-16 /A**</t>
  </si>
  <si>
    <t>Provide Primary Sedimentation, Scum and Sludge Removal System including equipment, instruments associated with or integrated into the equipment, piping, valves, appurtenances, equipment plinths, supporting structures and others as required and necessary for a complete and functional system, as specified (Cont'd)</t>
  </si>
  <si>
    <t>Drainage pipework connection from ILM2 Primary Sedimentation Tanks to plant drain, complete with all necessary fittings and supports</t>
  </si>
  <si>
    <t>BQ3.1-16 /B**</t>
  </si>
  <si>
    <t>Six (6) ILM2 Primary scum wet well pumps complete with motors, pipework including valves and actuators</t>
  </si>
  <si>
    <t>BQ3.1-16 /C**</t>
  </si>
  <si>
    <t>Three (3) ILM2 Primary scum wet well automatic water spray system including non-clog nozzles</t>
  </si>
  <si>
    <t>BQ3.1-17 /A**</t>
  </si>
  <si>
    <t>Four (4) ILM2 Primary sludge industrial transfer pumps complete with motors, pipework including valves and actuators</t>
  </si>
  <si>
    <t>BQ3.1-17 /B**</t>
  </si>
  <si>
    <t>Primary sludge industrial discharge pipework connection from ILM2 to the tie-in points</t>
  </si>
  <si>
    <t>BQ3.1-18 /A**</t>
  </si>
  <si>
    <t>ILM2 Valves and fittings</t>
  </si>
  <si>
    <t>BQ3.1-18 /B**</t>
  </si>
  <si>
    <t>ILM2 PST Covers</t>
  </si>
  <si>
    <t>BQ3.1-19</t>
  </si>
  <si>
    <t>MEMBRANE BIOREACTOR (MBR) SCREENING SYSTEM</t>
  </si>
  <si>
    <t>BQ3.1-19 /A**</t>
  </si>
  <si>
    <t>Provide Membrane Bioreactor (MBR) Screening System including equipment, instruments associated with or integrated into the equipment, piping, valves, appurtenances, equipment plinths, supporting structures and others as required and necessary for a complete and functional system, as specified</t>
  </si>
  <si>
    <t>Three (3) ILM2 MBR Fine Screens and two (2) dewatering presses</t>
  </si>
  <si>
    <t>BQ3.1-19 /B**</t>
  </si>
  <si>
    <t>One (1) ILM2 MBR Fine Screen screenings channel launder with odour containment covers</t>
  </si>
  <si>
    <t>BQ3.1-19 /C**</t>
  </si>
  <si>
    <t>ILM2 Penstocks</t>
  </si>
  <si>
    <t>BQ3.1-20 /B**</t>
  </si>
  <si>
    <t>MEMBRANE BIOREACTOR (MBR) SCREENING SYSTEM (CONT'D)</t>
  </si>
  <si>
    <t>Provide Membrane Bioreactor (MBR) Screening System including equipment, instruments associated with or integrated into the equipment, piping, valves, appurtenances, equipment plinths, supporting structures and others as required and necessary for a complete and functional system, as specified (Cont'd)</t>
  </si>
  <si>
    <t>BQ3.1-21</t>
  </si>
  <si>
    <t>BIOREACTOR SYSTEM</t>
  </si>
  <si>
    <t>BQ3.1-21 /A**</t>
  </si>
  <si>
    <t>Provide Bioreactor System including equipment, instruments associated with or integrated into the equipment, piping, valves, appurtenances, equipment plinths, supporting structures and others as required and necessary for a complete and functional system, as specified</t>
  </si>
  <si>
    <t>Twelve (12) ILM2 Bioreactor anoxic zone hyperboloid mixers</t>
  </si>
  <si>
    <t>BQ3.1-21 /B**</t>
  </si>
  <si>
    <t>ILM2 Bioreactor aerobic zones fine bubble diffuser system complete with ceramic disc type fine bubble diffusers, drop legs, air manifolds, distribution headers, supports, joints, spacers, valves, cleaning system and all appurtenances</t>
  </si>
  <si>
    <t>BQ3.1-21 /C**</t>
  </si>
  <si>
    <t>ILM2 portable dynamic wet pressure measurement system</t>
  </si>
  <si>
    <t>BQ3.1-22</t>
  </si>
  <si>
    <t>BIOREACTOR SYSTEM (CONT'D)</t>
  </si>
  <si>
    <t>BQ3.1-22 /A</t>
  </si>
  <si>
    <t>Provide Bioreactor System including equipment, instruments associated with or integrated into the equipment, piping, valves, appurtenances, equipment plinths, supporting structures and others as required and necessary for a complete and functional system, as specified (Cont'd)</t>
  </si>
  <si>
    <t>Computational Fluid Dynamics (CFD) analysis study and report proving the performance of the hyperboloid mixing system</t>
  </si>
  <si>
    <t>BQ3.1-22 /B**</t>
  </si>
  <si>
    <t>ILM2 Bioreactor process aeration system complete with aeration blowers, motors, and valve with associated and necessary appurtenances</t>
  </si>
  <si>
    <t>BQ3.1-22 /C**</t>
  </si>
  <si>
    <t>ILM2 Bioreactor process aeration system pipework and air supply ring main</t>
  </si>
  <si>
    <t>BQ3.1-23 /A**</t>
  </si>
  <si>
    <t>BQ3.1-23 /B**</t>
  </si>
  <si>
    <t>ILM2 Bioreactor drainage complete with pipework connecting to the tie-in flange of below ground drainage header, guide rail, lifting chain, and all necessary fittings and supports</t>
  </si>
  <si>
    <t>BQ3.1-23 /C**</t>
  </si>
  <si>
    <t>ILM2 Bioreactor portable drainage submersible pumps complete with motors</t>
  </si>
  <si>
    <t>BQ3.1-24 /A**</t>
  </si>
  <si>
    <t>Six (6) ILM2 RAS pumps complete with motors</t>
  </si>
  <si>
    <t>BQ3.1-24 /B**</t>
  </si>
  <si>
    <t>ILM2 RAS pumps discharge pipework connecting to the RAS header including valves and actuators</t>
  </si>
  <si>
    <t>BQ3.1-24 /C**</t>
  </si>
  <si>
    <t>ILM2 DeOx/RAS Tanks drainage complete with pipework connecting to the tie-in flange of below ground drainage header, guide rail, lifting chain, and all necessary fittings and supports</t>
  </si>
  <si>
    <t>BQ3.1-24 /D**</t>
  </si>
  <si>
    <t>ILM2 DeOx/RAS Tank portable drainage submersible pumps complete with motors</t>
  </si>
  <si>
    <t>BQ3.1-25 /A**</t>
  </si>
  <si>
    <t>Six (6) ILM2 WAS pumps complete with motors</t>
  </si>
  <si>
    <t>BQ3.1-25 /B**</t>
  </si>
  <si>
    <t>ILM2 WAS pipework up to the tie-in points, including valves and actuators</t>
  </si>
  <si>
    <t>BQ3.1-25 /C**</t>
  </si>
  <si>
    <t>Twelve (12) ILM2 Bioreactor Sampling Pumps complete with motors</t>
  </si>
  <si>
    <t>BQ3.1-25 /D**</t>
  </si>
  <si>
    <t>ILM2 WAS Wet Wells drainage complete with pipework connecting to the tie-in flange of below ground drainage header, guide rail, lifting chain, and all necessary fittings and supports</t>
  </si>
  <si>
    <t>BQ3.1-26 /B**</t>
  </si>
  <si>
    <t>ILM2 Bioreactor area common pipe rack</t>
  </si>
  <si>
    <t>BQ3.1-27</t>
  </si>
  <si>
    <t>MEMBRANE FILTRATION SYSTEM</t>
  </si>
  <si>
    <t>BQ3.1-27 /A@@</t>
  </si>
  <si>
    <t>Provide Membrane Filtration System including equipment, instruments associated with or integrated into the equipment, piping, valves, appurtenances, equipment plinths, supporting structures and others as required and necessary for a complete and functional system, as specified</t>
  </si>
  <si>
    <t>ILM2 Polymeric Membrane Filtration System complete with membrane cassettes/towers/racks/modules and complete support system</t>
  </si>
  <si>
    <t>BQ3.1-27 /B@@</t>
  </si>
  <si>
    <t>B@@</t>
  </si>
  <si>
    <t>ILM2 Polymeric MFS integrated open mesh flooring and all fixtures and fittings for a complete system</t>
  </si>
  <si>
    <t>BQ3.1-28</t>
  </si>
  <si>
    <t>MEMBRANE FILTRATION SYSTEM (CONT'D)</t>
  </si>
  <si>
    <t>BQ3.1-28 /A@@</t>
  </si>
  <si>
    <t>Provide Membrane Filtration System including equipment, instruments associated with or integrated into the equipment, piping, valves, appurtenances, equipment plinths, supporting structures and others as required and necessary for a complete and functional system, as specified (Cont'd)</t>
  </si>
  <si>
    <t>ILM2 Polymeric MFS pipings, manifolds, valves, actuators, dismantling joints, quick connectors, hoses, pipe supports etc. for a complete and functional system</t>
  </si>
  <si>
    <t>BQ3.1-28 /B@@</t>
  </si>
  <si>
    <t>Storage of Polymeric Membrane Modules  off site pre-installation</t>
  </si>
  <si>
    <t>BQ3.1-29 /A**</t>
  </si>
  <si>
    <t>One (1) ILM2 Mixed liquor return pump complete with motor</t>
  </si>
  <si>
    <t>BQ3.1-29 /B**</t>
  </si>
  <si>
    <t>Fourteen (14) ILM2 Membrane filtrate pumps complete with motors</t>
  </si>
  <si>
    <t>BQ3.1-29 /C**</t>
  </si>
  <si>
    <t>Four (4) ILM2 Membrane cleaning pumps complete with motors</t>
  </si>
  <si>
    <t>BQ3.1-30 /A**</t>
  </si>
  <si>
    <t>Two (2) ILM2 cleaning piping header static mixers for sodium hypochlorite and citric acid</t>
  </si>
  <si>
    <t>BQ3.1-30 /B**</t>
  </si>
  <si>
    <t>ILM2 cleaning main pipework including valves and actuators</t>
  </si>
  <si>
    <t>BQ3.1-30 /C**</t>
  </si>
  <si>
    <t>ILM2 In-Spec and Off-Spec Filtrate discharge main pipework including valves and actuators</t>
  </si>
  <si>
    <t>BQ3.1-31 /A**</t>
  </si>
  <si>
    <t>ILM2 staging tank appurtenances including plant water, chemicals, and air scour pipework with all necessary fittings and supports</t>
  </si>
  <si>
    <t>BQ3.1-31 /B**</t>
  </si>
  <si>
    <t>ILM2 Special tools kit for installation, operation and maintenance of membranes, cassettes and associated appurtenances</t>
  </si>
  <si>
    <t>BQ3.1-32 /A**</t>
  </si>
  <si>
    <t>ILM2 Membrane air scour blowers system complete with air scour blowers, motors, and valve with associated and necessary appurtenances</t>
  </si>
  <si>
    <t>BQ3.1-32 /B**</t>
  </si>
  <si>
    <t>ILM2 Membrane air scour blowers system pipework and air supply ring main</t>
  </si>
  <si>
    <t>BQ3.1-32 /C**</t>
  </si>
  <si>
    <t>ILM2 Removable wire mesh guard to protect against air scour pipework of elevated temperatures</t>
  </si>
  <si>
    <t>BQ3.1-33 /A**</t>
  </si>
  <si>
    <t xml:space="preserve">ILM2 Membrane tank covers constructed of open mesh metal flooring as specified </t>
  </si>
  <si>
    <t>BQ3.1-33 /B##</t>
  </si>
  <si>
    <t>B##</t>
  </si>
  <si>
    <t>ILM2 Membrane tanks area common pipe rack</t>
  </si>
  <si>
    <t>BQ3.1-33 /C##</t>
  </si>
  <si>
    <t>C##</t>
  </si>
  <si>
    <t>ILM2 Membrane filtrate pipe rack</t>
  </si>
  <si>
    <t>BQ3.1-34 /A##</t>
  </si>
  <si>
    <t>A##</t>
  </si>
  <si>
    <t>Provide fireman access platform accessway including all necessary fixing accessories as required and necessary for a complete and functional system, as specified</t>
  </si>
  <si>
    <t>BQ3.1-35</t>
  </si>
  <si>
    <t>MEMBRANE AREA SCUM REMOVAL SYSTEM</t>
  </si>
  <si>
    <t>BQ3.1-35 /A**</t>
  </si>
  <si>
    <t>Provide Membrane Area Scum Removal System including equipment, instruments associated with or integrated into the equipment, piping, valves, appurtenances, equipment plinths, supporting structures and others as required and necessary for a complete and functional system, as specified</t>
  </si>
  <si>
    <t>ILM2 Membrane Scum Wet Well spray sparger system with non-clog nozzles</t>
  </si>
  <si>
    <t>BQ3.1-35 /B**</t>
  </si>
  <si>
    <t xml:space="preserve">Fourteen (14) ILM2 Membrane Scum Pumps with complete motors and seven (7) nos. SS316L metal wet wells </t>
  </si>
  <si>
    <t>BQ3.1-35 /C**</t>
  </si>
  <si>
    <t>ILM2 scum discharge main pipework including valves and actuators</t>
  </si>
  <si>
    <t>BQ3.1-36</t>
  </si>
  <si>
    <t>MEMBRANE AREA SCUM REMOVAL SYSTEM (CONT'D)</t>
  </si>
  <si>
    <t>BQ3.1-36 /A**</t>
  </si>
  <si>
    <t>Provide Membrane Area Scum Removal System including equipment, instruments associated with or integrated into the equipment, piping, valves, appurtenances, equipment plinths, supporting structures and others as required and necessary for a complete and functional system, as specified (Cont'd)</t>
  </si>
  <si>
    <t>BQ3.1-36 /B**</t>
  </si>
  <si>
    <t>BQ3.1-37</t>
  </si>
  <si>
    <t>MBR FILTRATE TANK AND PUMPING SYSTEM</t>
  </si>
  <si>
    <t>BQ3.1-37 /A**</t>
  </si>
  <si>
    <t>Provide MBR Filtrate Tank and Pumping System including equipment, instruments associated with or integrated into the equipment, piping, valves, appurtenances, equipment plinths, supporting structures and others as required and necessary for a complete and functional system, as specified</t>
  </si>
  <si>
    <t>Four (4) ILM2 G2I Plant Water pumps complete with motors</t>
  </si>
  <si>
    <t>BQ3.1-37 /B**</t>
  </si>
  <si>
    <t>ILM2 G2I pumps discharge piping complete with discharge manifolds, valves, actuators, dismantling joints, fittings and supports</t>
  </si>
  <si>
    <t>BQ3.1-38</t>
  </si>
  <si>
    <t>MBR FILTRATE TANK AND PUMPING SYSTEM (CONT'D)</t>
  </si>
  <si>
    <t>BQ3.1-38 /A**</t>
  </si>
  <si>
    <t>Provide MBR Filtrate Tank and Pumping System including equipment, instruments associated with or integrated into the equipment, piping, valves, appurtenances, equipment plinths, supporting structures and others as required and necessary for a complete and functional system, as specified (Cont'd)</t>
  </si>
  <si>
    <t>Two (2) ILM2 Membrane Filtrate Tank Sampling pumps complete with motors, pipework, valves and associated and necessary appurtenances</t>
  </si>
  <si>
    <t>BQ3.1-38 /B**</t>
  </si>
  <si>
    <t>One (1) ILM2 Membrane Filtrate Tank portable drainage submersible pump complete with motor</t>
  </si>
  <si>
    <t>BQ3.1-38 /C**</t>
  </si>
  <si>
    <t>ILM2 Membrane Filtrate Tank compartments drainage complete with pipework, valves, actuators, dismantling joints, quick connectors, guide rail, lifting chain, and all necessary fittings and supports</t>
  </si>
  <si>
    <t>BQ3.1-39 /A</t>
  </si>
  <si>
    <t>Computational Fluid Dynamics (CFD) analysis study and report proving the hydraulic performance of the ILM2 Membrane Filtrate tank and pumping systems.</t>
  </si>
  <si>
    <t>BQ3.1-40</t>
  </si>
  <si>
    <t>ODOUR CONTROL FACILITY (OCF)</t>
  </si>
  <si>
    <t>BQ3.1-40 /A**</t>
  </si>
  <si>
    <t>Provide Odour Control Facility (OCF) including equipment, instruments associated with or integrated into the equipment, piping, valves, appurtenances, equipment plinths, supporting structures and others as required and necessary for a complete and functional system, as specified.</t>
  </si>
  <si>
    <t>All FRP odour pipework and ductwork for ILM2 OCF up to tie-in points, including but not limited to valves, dampers, bends, tees, reducers, spool pieces, flanges, flange adaptors, dismantling joints, supporting structures, thrust restraint joints, pipe sleeves,  embeds, duck foots, fittings and all fixing accessories</t>
  </si>
  <si>
    <t>BQ3.1-41</t>
  </si>
  <si>
    <t>ODOUR CONTROL FACILITY (OCF) (CONT'D)</t>
  </si>
  <si>
    <t>BQ3.1-41 /A**</t>
  </si>
  <si>
    <t>Provide Odour Control Facility (OCF) including equipment, instruments associated with or integrated into the equipment, piping, valves, appurtenances, equipment plinths, supporting structures and others as required and necessary for a complete and functional system, as specified. (Cont'd)</t>
  </si>
  <si>
    <t>Any other pipework including but not limited to valves, bends, tees, reducers, spool pieces, flanges, flange adaptors,  dismantling joints, supporting structures, thrust restraint joints, pipe sleeves, embeds, duck foots, fittings and all fixing accessories as required to complete the system, as specified</t>
  </si>
  <si>
    <t>BQ3.1-42</t>
  </si>
  <si>
    <t>BQ3.1-42 /A</t>
  </si>
  <si>
    <t>Allow for each and every expense for complying with the Conditions of Contract, Specifications, Drawings and all other documents forming part of this Contract, not specifically mentioned and allowed for elsewhere for satisfactory completion of the Works specified in Bill No. 3.1, naming the items below and pricing them separately. (Tenderer shall give a breakdown of the works covered under the item below or on a separate sheet if space provided here is not enough)</t>
  </si>
  <si>
    <t>__________________________________</t>
  </si>
  <si>
    <t>BQ3.1-42 /B</t>
  </si>
  <si>
    <t>BQ3.1-42 /C</t>
  </si>
  <si>
    <t>BQ3.1-42 /D</t>
  </si>
  <si>
    <t>BQ3.1-42 /E</t>
  </si>
  <si>
    <t>BQ3.1-42 /F</t>
  </si>
  <si>
    <t>BQ3.2-1</t>
  </si>
  <si>
    <t>BILL NO. 3.2</t>
  </si>
  <si>
    <t>- INDUSTRIAL LIQUIDS COMMON</t>
  </si>
  <si>
    <t>COMPRESSED AIR SYSTEM</t>
  </si>
  <si>
    <t>BQ3.2-1 /A**</t>
  </si>
  <si>
    <t>Provide Compressed Air System including instruments associated with or integrated into the equipment, piping, valves, appurtenances, equipment plinths, supporting structures and others as required and necessary for a complete and functional system, as specified</t>
  </si>
  <si>
    <t>ILM2 Compressed air system complete with rotary screw compressors, acoustic enclosures and inlet filters where applicable, integrated controls, instrumentation, after coolers, air dryers, moisture separators, air receivers, pipeworks, valves, actuators, supports and all appurtenances required</t>
  </si>
  <si>
    <t>BQ3.2-1 /B**</t>
  </si>
  <si>
    <t>ILM2 Compressed air ring distribution main complete with pipework, manual and automatic valves, supports, secondary receivers if required and all necessary appurtenances</t>
  </si>
  <si>
    <t>BQ3.2-2</t>
  </si>
  <si>
    <t>COMPRESSED AIR SYSTEM (CONT'D)</t>
  </si>
  <si>
    <t>BQ3.2-2 /A**</t>
  </si>
  <si>
    <t>Provide Compressed Air System including instruments associated with or integrated into the equipment, piping, valves, appurtenances, equipment plinths, supporting structures and others as required and necessary for a complete and functional system, as specified (Cont'd)</t>
  </si>
  <si>
    <t>One (1) dedicated air receiver to provide air for emergency penstock at ILM2 common primary effluent feed to bioreactors, complete with pipework, valves and all necessary appurtenances and controls</t>
  </si>
  <si>
    <t>BQ3.2-2 /B**</t>
  </si>
  <si>
    <t>BQ3.2-3</t>
  </si>
  <si>
    <t>PLANT DRAINAGE</t>
  </si>
  <si>
    <t>BQ3.2-3 /A**</t>
  </si>
  <si>
    <t>Provide Plant Drainage System including equipment, instruments associated with or integrated into the equipment, piping, valves, appurtenances, equipment plinths, supporting structures and others as required and necessary for a complete and functional system, as specified</t>
  </si>
  <si>
    <t>Two (2) Submersible drainage pumps transferring plant drains to ILM1 and ILM2 complete with quick discharge connector, lifting guide rails, lifting chain and all required appurtenances</t>
  </si>
  <si>
    <t>BQ3.2-3 /B**</t>
  </si>
  <si>
    <t>Plant drain pumps discharge pipework for ILM2 including but not limited to manual and automatic valves, air release valves, puddle flanges, cast-in pipe spools, pipe fittings, flange adaptors, supports, thrust restraint joints, pipe sleeves, embeds, duck foots, fittings and all fixing accessories, etc.</t>
  </si>
  <si>
    <t>BQ3.2-4</t>
  </si>
  <si>
    <t>PLANT DRAINAGE (CONT'D)</t>
  </si>
  <si>
    <t>BQ3.2-4 /A**</t>
  </si>
  <si>
    <t>Provide Plant Drainage System including equipment, instruments associated with or integrated into the equipment, piping, valves, appurtenances, equipment plinths, supporting structures and others as required and necessary for a complete and functional system, as specified (Cont'd)</t>
  </si>
  <si>
    <t>Grit dislodging plant water pipework complete with fittings, valves, suitable nozzles, supports, dismantling joints etc. for a complete functional system</t>
  </si>
  <si>
    <t>BQ3.2-5</t>
  </si>
  <si>
    <t>PLANT WATER SYSTEM</t>
  </si>
  <si>
    <t>BQ3.2-5 /A**</t>
  </si>
  <si>
    <t>Provide Plant Water System including equipment, instruments associated with or integrated into the equipment, piping, valves, appurtenances, equipment plinths, supporting structures and others as required and necessary for a complete and functional system, as specified</t>
  </si>
  <si>
    <t>ILM2 G2D water ring main complete with pipework, manual and automatic valves, dismantling joints, accumulators, fittings and supports as required</t>
  </si>
  <si>
    <t>BQ3.2-5 /B**</t>
  </si>
  <si>
    <t>ILM2 G2I water ring main complete with pipework, manual and automatic valves, dismantling joints, accumulators, fittings and supports as required</t>
  </si>
  <si>
    <t>BQ3.2-5 /C**</t>
  </si>
  <si>
    <t>BQ3.2-6</t>
  </si>
  <si>
    <t>PLANT WATER SYSTEM (CONT'D)</t>
  </si>
  <si>
    <t>BQ3.2-6 /A**</t>
  </si>
  <si>
    <t>Provide Plant Water System including equipment, instruments associated with or integrated into the equipment, piping, valves, appurtenances, equipment plinths, supporting structures and others as required and necessary for a complete and functional system, as specified (Cont'd)</t>
  </si>
  <si>
    <t>Three (3) ILM2 G2HP Plant Water pumps complete with motors</t>
  </si>
  <si>
    <t>BQ3.2-6 /B**</t>
  </si>
  <si>
    <t>ILM2 G2HP water ring complete with pipework, manual and automatic valves, dismantling joints, accumulators, fittings and supports as required</t>
  </si>
  <si>
    <t>BQ3.2-7 /A</t>
  </si>
  <si>
    <t>Allow for plant water hose points complete with isolation valve, quick connector, mounting bracket, supports and any other items</t>
  </si>
  <si>
    <t>BQ3.2-7 /B</t>
  </si>
  <si>
    <t>Allow for hose reels complete with a washing hose with a quick connector, heavy duty spray gun, hose rack, support and any other items</t>
  </si>
  <si>
    <t>BQ3.2-8</t>
  </si>
  <si>
    <t>CHEMICAL DOSING SYSTEM</t>
  </si>
  <si>
    <t>BQ3.2-8 /A**</t>
  </si>
  <si>
    <t>Provide Chemical Dosing System including equipment, instruments associated with or integrated into the equipment, piping, valves, appurtenances, equipment plinths, supporting structures and others as required and necessary for a complete and functional system, as specified</t>
  </si>
  <si>
    <t>Two (2) Citric acid dosing pumps for ILM2 Membrane Filtration System</t>
  </si>
  <si>
    <t>BQ3.2-8 /B**</t>
  </si>
  <si>
    <t>One (1) Calibration column for citric acid storage and dosing system</t>
  </si>
  <si>
    <t>BQ3.2-9</t>
  </si>
  <si>
    <t>CHEMICAL DOSING SYSTEM (CONT'D)</t>
  </si>
  <si>
    <t>BQ3.2-9 /A**</t>
  </si>
  <si>
    <t>Provide Chemical Dosing System including equipment, instruments associated with or integrated into the equipment, piping, valves, appurtenances, equipment plinths, supporting structures and others as required and necessary for a complete and functional system, as specified (Cont'd)</t>
  </si>
  <si>
    <t>Citric acid dosing pipework for ILM2 Membrane Filtration System including manual and automatic valves, relief valves, back pressure valves, strainers, pressure gauges, pulsation dampeners, drain and flushing connections, supports etc., all suited for the specific chemical in contact</t>
  </si>
  <si>
    <t>BQ3.2-10 /A**</t>
  </si>
  <si>
    <t>Double containment piping system for citric acid dosing piping complete with leak detection catch pots, necessary instrumentation for leak detection and all provisions for safe draining of contained chemical</t>
  </si>
  <si>
    <t>BQ3.2-11 /A**</t>
  </si>
  <si>
    <t>Two (2) Sodium hypochlorite dosing pumps for ILM2 Membrane Filtration System</t>
  </si>
  <si>
    <t>BQ3.2-11 /B**</t>
  </si>
  <si>
    <t>One (1) Calibration column for sodium hypochlorite storage and dosing system</t>
  </si>
  <si>
    <t>BQ3.2-12 /A**</t>
  </si>
  <si>
    <t>Sodium hypochlorite dosing pipework for ILM2 Membrane Filtration System including manual and automatic valves, relief valves, back pressure valves, strainers, pressure gauges, pulsation dampeners, drain and flushing connections, supports etc., all suited for the specific chemical in contact</t>
  </si>
  <si>
    <t>BQ3.2-13 /A**</t>
  </si>
  <si>
    <t>Double containment piping system for sodium hypochlorite dosing piping complete with leak detection catch pots, necessary instrumentation for leak detection and all provisions for safe draining of contained chemical</t>
  </si>
  <si>
    <t>BQ3.2-14</t>
  </si>
  <si>
    <t>LIFTING EQUIPMENT</t>
  </si>
  <si>
    <t>BQ3.2-14 /A**</t>
  </si>
  <si>
    <t>Provide Lifting Equipment including instruments associated with or integrated into the equipment, piping, valves, appurtenances, equipment plinths, supporting structures and others as required and necessary for a complete and functional system, as specified</t>
  </si>
  <si>
    <t>Allow for lifting equipment as per Lifting equipment schedule complete with all the accessories</t>
  </si>
  <si>
    <t>BQ3.2-15</t>
  </si>
  <si>
    <t>ACCESS PLATFORMS, STAIRWAYS AND LADDERS</t>
  </si>
  <si>
    <t>BQ3.2-15 /A**</t>
  </si>
  <si>
    <t>Provide access platforms, stairways, ladders with 2-hour fireproofing coating for safe access and maintenance to all items of Plant as required and necessary for a complete and functional system, as specified</t>
  </si>
  <si>
    <t>For ILM2 Headworks (WIL21)</t>
  </si>
  <si>
    <t>BQ3.2-15 /B**</t>
  </si>
  <si>
    <t>For ILM2 Primary Treatment (WIL22)</t>
  </si>
  <si>
    <t>BQ3.2-15 /C**</t>
  </si>
  <si>
    <t>For ILM2 Secondary Treatment (WIL23)</t>
  </si>
  <si>
    <t>BQ3.2-15 /D**</t>
  </si>
  <si>
    <t>Allow for any other access platforms for elevated equipment not mentioned above or based on for Tenderer's design. Access platform accessway including all necessary fixing accessories as required and necessary for a complete and functional system, as specified.</t>
  </si>
  <si>
    <t>BQ3.2-16</t>
  </si>
  <si>
    <t>AUTOMATIC LUBRICATION SYSTEM (ALS)</t>
  </si>
  <si>
    <t>BQ3.2-16 /A**</t>
  </si>
  <si>
    <t>Provide ALS including accessories, supporting structures and others as required and necessary for a complete and functional system, as specified</t>
  </si>
  <si>
    <t>For ILM2</t>
  </si>
  <si>
    <t>BQ3.2-16 /B**</t>
  </si>
  <si>
    <t>Allow for ALS for drainage pumps, actuated ball valves and any other equipment not mentioned above or based on for Tenderer's design</t>
  </si>
  <si>
    <t>BQ3.2-17</t>
  </si>
  <si>
    <t>SURGE ANALYSIS</t>
  </si>
  <si>
    <t>BQ3.2-17 /A</t>
  </si>
  <si>
    <t>Allow for modelling and network pressure/surge analysis to analyse worst scenarios to arrest positive and negative surge pressures</t>
  </si>
  <si>
    <t>For ILM2 PSI pumping system</t>
  </si>
  <si>
    <t>BQ3.2-17 /B</t>
  </si>
  <si>
    <t>For ILM2 WAS pumping system</t>
  </si>
  <si>
    <t>BQ3.2-17 /C</t>
  </si>
  <si>
    <t>For RAS pumping system</t>
  </si>
  <si>
    <t>BQ3.2-17 /D</t>
  </si>
  <si>
    <t>For Membrane Filtrate pumping system</t>
  </si>
  <si>
    <t>BQ3.2-17 /E</t>
  </si>
  <si>
    <t>For G2I pumping system</t>
  </si>
  <si>
    <t>BQ3.2-18</t>
  </si>
  <si>
    <t>SURGE ANALYSIS (CONT'D)</t>
  </si>
  <si>
    <t>BQ3.2-18 /A**</t>
  </si>
  <si>
    <t>Allow for modelling and network pressure/surge analysis to analyse worst scenarios to arrest positive and negative surge pressures (Cont'd)</t>
  </si>
  <si>
    <t>Surge mitigation equipment for RAS pumping system</t>
  </si>
  <si>
    <t>BQ3.2-18 /B**</t>
  </si>
  <si>
    <t>Surge mitigation equipment for Membrane Filtrate pumping system</t>
  </si>
  <si>
    <t>BQ3.2-18 /C**</t>
  </si>
  <si>
    <t>Surge mitigation equipment for G2I pumping system</t>
  </si>
  <si>
    <t>BQ3.2-19</t>
  </si>
  <si>
    <t>SAFETY SHOWER AND EYE WASH UNIT</t>
  </si>
  <si>
    <t>BQ3.2-19 /A##</t>
  </si>
  <si>
    <t>Provide safety shower and eye wash unit including but not limited to bends, tees, reducers, spool pieces, flanges, flange adaptors, dismantling joints, supporting structures, fittings and all fixing accessories as required and necessary for a complete and functional system, as specified.</t>
  </si>
  <si>
    <t>BQ3.2-19 /B##</t>
  </si>
  <si>
    <t>BQ3.2-19 /C##</t>
  </si>
  <si>
    <t>BQ3.2-19 /D##</t>
  </si>
  <si>
    <t>D##</t>
  </si>
  <si>
    <t>For Industrial Chemical Area (WIL06)</t>
  </si>
  <si>
    <t>BQ3.2-19 /E##</t>
  </si>
  <si>
    <t>E##</t>
  </si>
  <si>
    <t>Allow for any other item not mentioned above or based on Tenderer's design</t>
  </si>
  <si>
    <t>BQ3.2-20</t>
  </si>
  <si>
    <t>BQ3.2-20 /A</t>
  </si>
  <si>
    <t>Allow for each and every expense for complying with the Conditions of Contract, Specifications, Drawings and all other documents forming part of this Contract, not specifically mentioned and allowed for elsewhere for satisfactory completion of the Works specified in Bill No. 3.2, naming the items below and pricing them separately. (Tenderer shall give a breakdown of the works covered under the item below or on a separate sheet if space provided here is not enough)</t>
  </si>
  <si>
    <t>BQ3.2-20 /B</t>
  </si>
  <si>
    <t>BQ3.2-20 /C</t>
  </si>
  <si>
    <t>BQ3.2-20 /D</t>
  </si>
  <si>
    <t>BQ3.2-20 /E</t>
  </si>
  <si>
    <t>BQ3.2-20 /F</t>
  </si>
  <si>
    <t>BQ3.3-1</t>
  </si>
  <si>
    <t>BILL NO. 3.3</t>
  </si>
  <si>
    <t>- NW/IW PUMP STATION</t>
  </si>
  <si>
    <t>SURGE VESSEL, PIPEWORK, AND ANCILLARIES</t>
  </si>
  <si>
    <t>BQ3.3-1 /A**</t>
  </si>
  <si>
    <t>Provide surge mitigation equipment, including surge vessels and surge relief devices, along with associated piping and valving to connect the surge vessels to the pump discharge pipe, as specified.</t>
  </si>
  <si>
    <t xml:space="preserve">Four (4) Surge Vessels (Bladder type) High Head, all associated pipework and valving, pipe/valve supports, instrumentation and operation/ maintenances appurtenances such as access platforms, stairs, handrails, ladders, safety cages, etc., all necessary statutory. registrations and certifications and any other appurtenances constituting the complete surge arrest system. Access platform accessway including all necessary fixing accessories as required and necessary for a complete and functional system, as specified. </t>
  </si>
  <si>
    <t>BQ3.3-2</t>
  </si>
  <si>
    <t>SURGE VESSEL, PIPEWORK, AND ANCILLARIES (CONT'D)</t>
  </si>
  <si>
    <t>BQ3.3-2 /A**</t>
  </si>
  <si>
    <t>Provide surge mitigation equipment, including surge vessels and surge relief devices, along with associated piping and valving to connect the surge vessels to the pump discharge pipe, as specified. (Cont'd)</t>
  </si>
  <si>
    <t>Two (2) Surge Vessels (Bladder type) Low Head, all associated pipework and valving, pipe/valve supports, instrumentation and operation/ maintenances appurtenances such as access platforms, stairs, handrails, ladders, safety cages, etc., all necessary statutory registrations and certifications and any other appurtenances constituting the complete surge arrest system. Access platform accessway including all necessary fixing accessories as required and necessary for a complete and functional system, as specified</t>
  </si>
  <si>
    <t>BQ3.3-2 /B**</t>
  </si>
  <si>
    <t>Allow for any other items not mentioned above but deemed required for the satisfactory completion of this system.</t>
  </si>
  <si>
    <t>BQ3.3-3</t>
  </si>
  <si>
    <t>PORTABLE COMPRESSED AIR SYSTEM</t>
  </si>
  <si>
    <t>BQ3.3-3 /A**</t>
  </si>
  <si>
    <t xml:space="preserve">Provide a Portable Compressed Air System including instruments associated with or integrated into the equipment, pipes, flexible hoses, connectors, valves and others as required and necessary for a complete and functional system to facilitate the filling of surge vessels with pressurized air. </t>
  </si>
  <si>
    <t>One (1) dedicated portable air compressor system, complete with integrated controls, instrumentation, moisture separators, pipework, hoses, connectors, isolation and control valves, supports, and all necessary appurtenances, shall be provided for the C2B surge vessels.</t>
  </si>
  <si>
    <t>BQ3.3-3 /B**</t>
  </si>
  <si>
    <t>A separate SS316L compressed air supply pipework system, equipped with isolation valves, control valves, pressure gauges, and supports, shall be installed to facilitate the filling of surge vessels with pressurized air.</t>
  </si>
  <si>
    <t>BQ3.3-3 /C**</t>
  </si>
  <si>
    <t>BQ3.3-4</t>
  </si>
  <si>
    <t>BQ3.3-4 /A</t>
  </si>
  <si>
    <t>Allow for each and every expense for complying with the Conditions of Contract, Specifications, Drawings and all other documents forming part of this Contract, not specifically mentioned and allowed for elsewhere for satisfactory completion of the Works specified in Bill No. 3.3, naming the items below and pricing them separately. (Tenderer shall give a breakdown of the works covered under the item below or on a separate sheet if space provided here is not enough)</t>
  </si>
  <si>
    <t>BQ3.3-4 /B</t>
  </si>
  <si>
    <t>BQ3.3-4 /C</t>
  </si>
  <si>
    <t>BQ3.3-4 /D</t>
  </si>
  <si>
    <t>BQ3.3-4 /E</t>
  </si>
  <si>
    <t>BQ3.3-4 /F</t>
  </si>
  <si>
    <t>BQ3.4-1</t>
  </si>
  <si>
    <t>BILL NO. 3.4</t>
  </si>
  <si>
    <t>- BASE UNIT RATE OF MATERIAL</t>
  </si>
  <si>
    <t>BQ3.4-1 /A</t>
  </si>
  <si>
    <t xml:space="preserve">Note:
1. Contractor to fill in the Base Unit Rate of Material for Structural Steel, for purposes of Fluctuations as set out under the Appendix to Standard Conditions of Contract in Volume 1.
2. For Structural Steel subject to price adjustment, the following Base Unit Rate shall apply. 
</t>
  </si>
  <si>
    <t>Base Unit Rate of Materials - Structural Steel</t>
  </si>
  <si>
    <t>BQ3-1</t>
  </si>
  <si>
    <t>BILL NO. 3</t>
  </si>
  <si>
    <t>SUMMARY</t>
  </si>
  <si>
    <t>INDUSTRIAL HEADWORKS, PRIMARY AND SECONDARY TREATMENT</t>
  </si>
  <si>
    <t>INDUSTRIAL LIQUIDS COMMON</t>
  </si>
  <si>
    <t>NW/IW PUMP STATION</t>
  </si>
  <si>
    <t>BASE UNIT RATE OF MATERIAL</t>
  </si>
  <si>
    <t>TOTAL OF BILL NO. 3 CARRIED TO GENERAL SUMMARY</t>
  </si>
  <si>
    <t>BQ4.1-1</t>
  </si>
  <si>
    <t>BILL NO. 4.1</t>
  </si>
  <si>
    <t>ELECTRICAL WORKS</t>
  </si>
  <si>
    <t>Notes:
The items described herein is to provide as a general breakdown of the entire system. The Contractor shall price in all necessary items to complete the Works and deliver a full operational and functional system. The "SUM" so priced shall also deemed to have included for all associated costs for design, procurement, delivery, supervision, labour, machinery, hoists, fixing accessories, documentation, testing and commissioning etc. necessary to bring the whole of the Works to a satisfactory completion certified by the S.O.</t>
  </si>
  <si>
    <t>HIGH VOLTAGE SYSTEM EQUIPMENT</t>
  </si>
  <si>
    <t>BQ4.1-1 /A**</t>
  </si>
  <si>
    <t>Provide High Voltage System Equipment including all remote switching panels, DC supplies, accessories, equipment plinths, interlocks and all others as required and necessary for a complete and functional system, as specified</t>
  </si>
  <si>
    <t>22kV GIS Switchgear
(WIL00-HVSG-0002A)</t>
  </si>
  <si>
    <t>BQ4.1-1 /B**</t>
  </si>
  <si>
    <t>22kV GIS Switchgear
(WIL00-HVSG-0002B)</t>
  </si>
  <si>
    <t>BQ4.1-1 /C**</t>
  </si>
  <si>
    <t>6.6kV GIS Switchgear
(WIL23-HVSG-0001A)</t>
  </si>
  <si>
    <t>BQ4.1-1 /D**</t>
  </si>
  <si>
    <t>6.6kV GIS Switchgear
(WIL23-HVSG-0001B)</t>
  </si>
  <si>
    <t>BQ4.1-2</t>
  </si>
  <si>
    <t>HIGH VOLTAGE SYSTEM EQUIPMENT (CONT'D)</t>
  </si>
  <si>
    <t>BQ4.1-2 /A**</t>
  </si>
  <si>
    <t>Provide High Voltage System Equipment including all remote switching panels, DC supplies, accessories, equipment plinths, interlocks and all others as required and necessary for a complete and functional system, as specified (Cont'd)</t>
  </si>
  <si>
    <t>6.6kV DOL Starters for Bioreactor Process Aeration Blowers in ILM 2</t>
  </si>
  <si>
    <t>BQ4.1-2 /B**</t>
  </si>
  <si>
    <t>6.6kV DOL Starters for Membrane Air Scour Blowers in ILM 2</t>
  </si>
  <si>
    <t>BQ4.1-2 /C**</t>
  </si>
  <si>
    <t>22/6.6kV Distribution Transformer
(WIL23-TRF-0001A)</t>
  </si>
  <si>
    <t>BQ4.1-2 /D**</t>
  </si>
  <si>
    <t>22/6.6kV Distribution Transformer
(WIL23-TRF-0001B)</t>
  </si>
  <si>
    <t>BQ4.1-2 /E**</t>
  </si>
  <si>
    <t>E**</t>
  </si>
  <si>
    <t>BQ4.1-3</t>
  </si>
  <si>
    <t>HIGH VOLTAGE SYSTEM CABLES</t>
  </si>
  <si>
    <t>BQ4.1-3 /A**</t>
  </si>
  <si>
    <t>Provide High Voltage System Cables including termination, testing, accessories and others as required and necessary for a complete and functional system, as specified</t>
  </si>
  <si>
    <t>All incoming cables to 22kV GIS Switchgear (WIL00-HVSG-0002A)</t>
  </si>
  <si>
    <t>BQ4.1-3 /B**</t>
  </si>
  <si>
    <t>All incoming cables to 22kV GIS Switchgear (WIL00-HVSG-0002B)</t>
  </si>
  <si>
    <t>BQ4.1-3 /C**</t>
  </si>
  <si>
    <t>Bus-tie cables between 22kV GIS Switchgear (WIL00-HVSG-0002A &amp; WIL00-HVSG-0002B)</t>
  </si>
  <si>
    <t>BQ4.1-3 /D**</t>
  </si>
  <si>
    <t>All outgoing cables from 22kV GIS Switchgear (WIL00-HVSG-0002A)</t>
  </si>
  <si>
    <t>BQ4.1-3 /E**</t>
  </si>
  <si>
    <t>All outgoing cables from 22kV GIS Switchgear (WIL00-HVSG-0002B)</t>
  </si>
  <si>
    <t>BQ4.1-4</t>
  </si>
  <si>
    <t>HIGH VOLTAGE SYSTEM CABLES (CONT'D)</t>
  </si>
  <si>
    <t>BQ4.1-4 /A**</t>
  </si>
  <si>
    <t>Provide High Voltage System Cables including termination, testing, accessories and others as required and necessary for a complete and functional system, as specified (Cont'd)</t>
  </si>
  <si>
    <t>All incoming cables to 6.6kV GIS Switchgear (WIL23-HVSG-0001A)</t>
  </si>
  <si>
    <t>BQ4.1-4 /B**</t>
  </si>
  <si>
    <t>All incoming cables to 6.6kV GIS Switchgear (WIL23-HVSG-0001B)</t>
  </si>
  <si>
    <t>BQ4.1-4 /C**</t>
  </si>
  <si>
    <t>Bus-tie cables between 6.6kV GIS Switchgear (WIL23-HVSG-0001A &amp; WIL23-HVSG-0001B)</t>
  </si>
  <si>
    <t>BQ4.1-5 /A**</t>
  </si>
  <si>
    <t>All outgoing cables from 6.6kV GIS Switchgear (WIL23-HVSG-0001A), including cables from switchgear to DOL starter, and cables from DOL starter to motor</t>
  </si>
  <si>
    <t>BQ4.1-5 /B**</t>
  </si>
  <si>
    <t>All outgoing cables from 6.6kV GIS Switchgear (WIL23-HVSG-0001B), including cables from switchgear to DOL starter, and cables from DOL starter to motor</t>
  </si>
  <si>
    <t>BQ4.1-5 /C**</t>
  </si>
  <si>
    <t>BQ4.1-6</t>
  </si>
  <si>
    <t>LOW VOLTAGE SYSTEM EQUIPMENT</t>
  </si>
  <si>
    <t>BQ4.1-6 /A**</t>
  </si>
  <si>
    <t>Provide Low Voltage System Equipment including all accessories, motor starters within MCCs, motor starters that are standalone, equipment plinths and others as required and necessary for a complete and functional system, as specified</t>
  </si>
  <si>
    <t>22/0.415kV Distribution Transformer (WIL21-TRF-0001A)</t>
  </si>
  <si>
    <t>BQ4.1-6 /B**</t>
  </si>
  <si>
    <t>22/0.415kV Distribution Transformer (WIL21-TRF-0001B)</t>
  </si>
  <si>
    <t>BQ4.1-6 /C**</t>
  </si>
  <si>
    <t>22/0.415kV Distribution Transformer (WIL22-TRF-0001A)</t>
  </si>
  <si>
    <t>BQ4.1-6 /D**</t>
  </si>
  <si>
    <t>22/0.415kV Distribution Transformer (WIL22-TRF-0001B)</t>
  </si>
  <si>
    <t>BQ4.1-7</t>
  </si>
  <si>
    <t>LOW VOLTAGE SYSTEM EQUIPMENT (CONT'D)</t>
  </si>
  <si>
    <t>BQ4.1-7 /A**</t>
  </si>
  <si>
    <t>Provide Low Voltage System Equipment including all accessories, motor starters within MCCs, motor starters that are standalone, equipment plinths and others as required and necessary for a complete and functional system, as specified (Cont'd)</t>
  </si>
  <si>
    <t>22/0.415kV Distribution Transformer (WIL23-TRF-0002A)</t>
  </si>
  <si>
    <t>BQ4.1-7 /B**</t>
  </si>
  <si>
    <t>22/0.415kV Distribution Transformer (WIL23-TRF-0002B)</t>
  </si>
  <si>
    <t>BQ4.1-7 /C**</t>
  </si>
  <si>
    <t>22/0.415kV Distribution Transformer (WIL23-TRF-0003A)</t>
  </si>
  <si>
    <t>BQ4.1-7 /D**</t>
  </si>
  <si>
    <t>22/0.415kV Distribution Transformer (WIL23-TRF-0003B)</t>
  </si>
  <si>
    <t>BQ4.1-8 /A**</t>
  </si>
  <si>
    <t>22/0.415kV Distribution Transformer (WIL23-TRF-0004A)</t>
  </si>
  <si>
    <t>BQ4.1-8 /B**</t>
  </si>
  <si>
    <t>22/0.415kV Distribution Transformer (WIL23-TRF-0004B)</t>
  </si>
  <si>
    <t>BQ4.1-9 /A**</t>
  </si>
  <si>
    <t>LV Switchgear (WIL21-LVSG-0001A)</t>
  </si>
  <si>
    <t>BQ4.1-9 /B**</t>
  </si>
  <si>
    <t>LV Switchgear (WIL21-LVSG-0001B)</t>
  </si>
  <si>
    <t>BQ4.1-9 /C**</t>
  </si>
  <si>
    <t>LV Switchgear (WIL22-LVSG-0001A)</t>
  </si>
  <si>
    <t>BQ4.1-9 /D**</t>
  </si>
  <si>
    <t>LV Switchgear (WIL22-LVSG-0001B)</t>
  </si>
  <si>
    <t>BQ4.1-10 /A**</t>
  </si>
  <si>
    <t>LV Switchgear (WIL23-LVSG-0001A)</t>
  </si>
  <si>
    <t>BQ4.1-10 /B**</t>
  </si>
  <si>
    <t>LV Switchgear (WIL23-LVSG-0001B)</t>
  </si>
  <si>
    <t>BQ4.1-10 /C**</t>
  </si>
  <si>
    <t>LV Switchgear (WIL23-LVSG-0002A)</t>
  </si>
  <si>
    <t>BQ4.1-10 /D**</t>
  </si>
  <si>
    <t>LV Switchgear (WIL23-LVSG-0002B)</t>
  </si>
  <si>
    <t>BQ4.1-11 /A**</t>
  </si>
  <si>
    <t>LV Switchgear (WIL23-LVSG-0003A)</t>
  </si>
  <si>
    <t>BQ4.1-11 /B**</t>
  </si>
  <si>
    <t>LV Switchgear (WIL23-LVSG-0003B)</t>
  </si>
  <si>
    <t>BQ4.1-12 /A**</t>
  </si>
  <si>
    <t>LV MCC (WIL21-MCC-0001A)</t>
  </si>
  <si>
    <t>BQ4.1-12 /B**</t>
  </si>
  <si>
    <t>LV MCC (WIL21-MCC-0001B)</t>
  </si>
  <si>
    <t>BQ4.1-12 /C**</t>
  </si>
  <si>
    <t>LV MCC (WIL21-MCC-0002A)</t>
  </si>
  <si>
    <t>BQ4.1-12 /D**</t>
  </si>
  <si>
    <t>LV MCC (WIL21-MCC-0002B)</t>
  </si>
  <si>
    <t>BQ4.1-12 /E**</t>
  </si>
  <si>
    <t>LV MCC (WIL21-MCC-1001A)</t>
  </si>
  <si>
    <t>BQ4.1-12 /F**</t>
  </si>
  <si>
    <t>F**</t>
  </si>
  <si>
    <t>LV MCC (WIL21-MCC-1001B)</t>
  </si>
  <si>
    <t>BQ4.1-13 /A**</t>
  </si>
  <si>
    <t>LV MCC (WIL22-MCC-0001A)</t>
  </si>
  <si>
    <t>BQ4.1-13 /B**</t>
  </si>
  <si>
    <t>LV MCC (WIL22-MCC-0001B)</t>
  </si>
  <si>
    <t>BQ4.1-13 /C**</t>
  </si>
  <si>
    <t>LV MCC (WIL22-MCC-1001A)</t>
  </si>
  <si>
    <t>BQ4.1-13 /D**</t>
  </si>
  <si>
    <t>LV MCC (WIL22-MCC-1001B)</t>
  </si>
  <si>
    <t>BQ4.1-14 /A**</t>
  </si>
  <si>
    <t>LV MCC (WIL23-MCC-0001A)</t>
  </si>
  <si>
    <t>BQ4.1-14 /B**</t>
  </si>
  <si>
    <t>LV MCC (WIL23-MCC-0001B)</t>
  </si>
  <si>
    <t>BQ4.1-14 /C**</t>
  </si>
  <si>
    <t>LV MCC (WIL23-MCC-0002A)</t>
  </si>
  <si>
    <t>BQ4.1-14 /D**</t>
  </si>
  <si>
    <t>LV MCC (WIL23-MCC-0002B)</t>
  </si>
  <si>
    <t>BQ4.1-15 /A**</t>
  </si>
  <si>
    <t>LV MCC (WIL23-MCC-0003A)</t>
  </si>
  <si>
    <t>BQ4.1-15 /B**</t>
  </si>
  <si>
    <t>LV MCC (WIL23-MCC-0003B)</t>
  </si>
  <si>
    <t>BQ4.1-15 /C**</t>
  </si>
  <si>
    <t>LV MCC (WIL23-MCC-1001A)</t>
  </si>
  <si>
    <t>BQ4.1-15 /D**</t>
  </si>
  <si>
    <t>LV MCC (WIL23-MCC-1001B)</t>
  </si>
  <si>
    <t>BQ4.1-16 /A**</t>
  </si>
  <si>
    <t>LV MCC (WIL23-MCC-0004A)</t>
  </si>
  <si>
    <t>BQ4.1-16 /B**</t>
  </si>
  <si>
    <t>LV MCC (WIL23-MCC-0004B)</t>
  </si>
  <si>
    <t>BQ4.1-16 /C**</t>
  </si>
  <si>
    <t>LV MCC (WIL23-MCC-1002A)</t>
  </si>
  <si>
    <t>BQ4.1-16 /D**</t>
  </si>
  <si>
    <t>LV MCC (WIL23-MCC-1002B)</t>
  </si>
  <si>
    <t>BQ4.1-17 /A**</t>
  </si>
  <si>
    <t>LV MCC (WIL23-MCC-0005A)</t>
  </si>
  <si>
    <t>BQ4.1-17 /B**</t>
  </si>
  <si>
    <t>LV MCC (WIL23-MCC-0005B)</t>
  </si>
  <si>
    <t>BQ4.1-18 /A**</t>
  </si>
  <si>
    <t>Main Distribution Board (WIL21-MDB-0001A)</t>
  </si>
  <si>
    <t>BQ4.1-18 /B**</t>
  </si>
  <si>
    <t>Main Distribution Board (WIL21-MDB-0001B)</t>
  </si>
  <si>
    <t>BQ4.1-18 /C**</t>
  </si>
  <si>
    <t>Main Distribution Board (WIL21-MDB-1001A)</t>
  </si>
  <si>
    <t>BQ4.1-18 /D**</t>
  </si>
  <si>
    <t>Main Distribution Board (WIL21-MDB-1001B)</t>
  </si>
  <si>
    <t>BQ4.1-19 /A**</t>
  </si>
  <si>
    <t>All downstream sub distribution boards for final branch distribution to loads of process and non-process equipment for WIL21 facility</t>
  </si>
  <si>
    <t>BQ4.1-19 /B**</t>
  </si>
  <si>
    <t>Motor starters and local control stations as required for WIL21 facility</t>
  </si>
  <si>
    <t>BQ4.1-20 /A**</t>
  </si>
  <si>
    <t>Main Distribution Board (WIL22-MDB-0001A)</t>
  </si>
  <si>
    <t>BQ4.1-20 /B**</t>
  </si>
  <si>
    <t>Main Distribution Board (WIL22-MDB-0001B)</t>
  </si>
  <si>
    <t>BQ4.1-20 /C**</t>
  </si>
  <si>
    <t>Main Distribution Board (WIL22-MDB-1001A)</t>
  </si>
  <si>
    <t>BQ4.1-20 /D**</t>
  </si>
  <si>
    <t>Main Distribution Board (WIL22-MDB-1001B)</t>
  </si>
  <si>
    <t>BQ4.1-21 /A**</t>
  </si>
  <si>
    <t>All downstream sub distribution boards for final branch distribution to loads of process and non-process equipment for WIL22 facility</t>
  </si>
  <si>
    <t>BQ4.1-21 /B**</t>
  </si>
  <si>
    <t>Motor starters and local control stations as required for WIL22 facility</t>
  </si>
  <si>
    <t>BQ4.1-22 /A**</t>
  </si>
  <si>
    <t>Main Distribution Board (WIL23-MDB-0001A)</t>
  </si>
  <si>
    <t>BQ4.1-22 /B**</t>
  </si>
  <si>
    <t>Main Distribution Board (WIL23-MDB-0001B)</t>
  </si>
  <si>
    <t>BQ4.1-22 /C**</t>
  </si>
  <si>
    <t>Main Distribution Board (WIL23-MDB-0002A)</t>
  </si>
  <si>
    <t>BQ4.1-22 /D**</t>
  </si>
  <si>
    <t>Main Distribution Board (WIL23-MDB-0002B)</t>
  </si>
  <si>
    <t>BQ4.1-23 /A**</t>
  </si>
  <si>
    <t>Main Distribution Board (WIL23-MDB-1001A)</t>
  </si>
  <si>
    <t>BQ4.1-23 /B**</t>
  </si>
  <si>
    <t>Main Distribution Board (WIL23-MDB-1001B)</t>
  </si>
  <si>
    <t>BQ4.1-23 /C**</t>
  </si>
  <si>
    <t>Main Distribution Board (WIL23-MDB-0003A)</t>
  </si>
  <si>
    <t>BQ4.1-23 /D**</t>
  </si>
  <si>
    <t>Main Distribution Board (WIL23-MDB-0003B)</t>
  </si>
  <si>
    <t>BQ4.1-24 /A**</t>
  </si>
  <si>
    <t>Main Distribution Board (WIL23-MDB-0004A)</t>
  </si>
  <si>
    <t>BQ4.1-24 /B**</t>
  </si>
  <si>
    <t>Main Distribution Board (WIL23-MDB-0004B)</t>
  </si>
  <si>
    <t>BQ4.1-24 /C**</t>
  </si>
  <si>
    <t>Main Distribution Board (WIL23-MDB-1002A)</t>
  </si>
  <si>
    <t>BQ4.1-24 /D**</t>
  </si>
  <si>
    <t>Main Distribution Board (WIL23-MDB-1002B)</t>
  </si>
  <si>
    <t>BQ4.1-25 /A**</t>
  </si>
  <si>
    <t>Main Distribution Board (WIL23-MDB-1003A)</t>
  </si>
  <si>
    <t>BQ4.1-25 /B**</t>
  </si>
  <si>
    <t>Main Distribution Board (WIL23-MDB-1003B)</t>
  </si>
  <si>
    <t>BQ4.1-25 /C**</t>
  </si>
  <si>
    <t>All downstream sub distribution boards for final branch distribution to loads of process and non-process equipment for WIL23 facility</t>
  </si>
  <si>
    <t>BQ4.1-25 /D**</t>
  </si>
  <si>
    <t>Motor starters and local control stations as required for WIL23 facility</t>
  </si>
  <si>
    <t>BQ4.1-26 /A**</t>
  </si>
  <si>
    <t>Emergency Generator (WIL21-SDE-0001)</t>
  </si>
  <si>
    <t>BQ4.1-26 /B**</t>
  </si>
  <si>
    <t>Essential Services Switchboard (WIL00-ESSB-0002)</t>
  </si>
  <si>
    <t>BQ4.1-26 /C**</t>
  </si>
  <si>
    <t>Essential Services Switchboard (WIL21-ESSB-0001A)</t>
  </si>
  <si>
    <t>BQ4.1-26 /D**</t>
  </si>
  <si>
    <t>Essential Services Switchboard (WIL21-ESSB-0001B)</t>
  </si>
  <si>
    <t>BQ4.1-27 /A**</t>
  </si>
  <si>
    <t>Essential Services Switchboard (WIL23-ESSB-0001A)</t>
  </si>
  <si>
    <t>BQ4.1-27 /B**</t>
  </si>
  <si>
    <t>Essential Services Switchboard (WIL23-ESSB-0001B)</t>
  </si>
  <si>
    <t>BQ4.1-27 /C**</t>
  </si>
  <si>
    <t>Essential Services Switchboard (WIL23-ESSB-0002A)</t>
  </si>
  <si>
    <t>BQ4.1-27 /D**</t>
  </si>
  <si>
    <t>Essential Services Switchboard (WIL23-ESSB-0002B)</t>
  </si>
  <si>
    <t>BQ4.1-28 /A**</t>
  </si>
  <si>
    <t>Essential Services Switchboard (WIL23-ESSB-0003A)</t>
  </si>
  <si>
    <t>BQ4.1-28 /B**</t>
  </si>
  <si>
    <t>Essential Services Switchboard (WIL23-ESSB-0003B)</t>
  </si>
  <si>
    <t>BQ4.1-29</t>
  </si>
  <si>
    <t>LOW VOLTAGE SYSTEM CABLES</t>
  </si>
  <si>
    <t>BQ4.1-29 /A**</t>
  </si>
  <si>
    <t>Provide Low Voltage System Cables including termination, testing, accessories and others as required and necessary for a complete and functional system, as specified</t>
  </si>
  <si>
    <t>All incoming cables to LV Switchgear (WIL21-LVSG-0001A)</t>
  </si>
  <si>
    <t>BQ4.1-29 /B**</t>
  </si>
  <si>
    <t>All incoming cables to LV Switchgear (WIL21-LVSG-0001B)</t>
  </si>
  <si>
    <t>BQ4.1-29 /C**</t>
  </si>
  <si>
    <t>All incoming cables to LV Switchgear (WIL22-LVSG-0001A)</t>
  </si>
  <si>
    <t>BQ4.1-29 /D**</t>
  </si>
  <si>
    <t>All incoming cables to LV Switchgear (WIL22-LVSG-0001B)</t>
  </si>
  <si>
    <t>BQ4.1-30</t>
  </si>
  <si>
    <t>LOW VOLTAGE SYSTEM CABLES (CONT'D)</t>
  </si>
  <si>
    <t>BQ4.1-30 /A**</t>
  </si>
  <si>
    <t>Provide Low Voltage System Cables including termination, testing, accessories and others as required and necessary for a complete and functional system, as specified (Cont'd)</t>
  </si>
  <si>
    <t>All incoming cables to LV Switchgear (WIL23-LVSG-0001A)</t>
  </si>
  <si>
    <t>BQ4.1-30 /B**</t>
  </si>
  <si>
    <t>All incoming cables to LV Switchgear (WIL23-LVSG-0001B)</t>
  </si>
  <si>
    <t>BQ4.1-30 /C**</t>
  </si>
  <si>
    <t>All incoming cables to LV Switchgear (WIL23-LVSG-0002A)</t>
  </si>
  <si>
    <t>BQ4.1-30 /D**</t>
  </si>
  <si>
    <t>All incoming cables to LV Switchgear (WIL23-LVSG-0002B)</t>
  </si>
  <si>
    <t>BQ4.1-31 /A**</t>
  </si>
  <si>
    <t>All incoming cables to LV Switchgear (WIL23-LVSG-0003A)</t>
  </si>
  <si>
    <t>BQ4.1-31 /B**</t>
  </si>
  <si>
    <t>All incoming cables to LV Switchgear (WIL23-LVSG-0003B)</t>
  </si>
  <si>
    <t>BQ4.1-32 /A**</t>
  </si>
  <si>
    <t>Bus-tie cables between LV Switchgear (WIL21-LVSG-0001A and WIL21-LVSG-0001B)</t>
  </si>
  <si>
    <t>BQ4.1-32 /B**</t>
  </si>
  <si>
    <t>Bus-tie cables between LV Switchgear (WIL22-LVSG-0001A and WIL22-LVSG-0001B)</t>
  </si>
  <si>
    <t>BQ4.1-32 /C**</t>
  </si>
  <si>
    <t>Bus-tie cables between LV Switchgear (WIL23-LVSG-0001A and WIL23-LVSG-0001B)</t>
  </si>
  <si>
    <t>BQ4.1-32 /D**</t>
  </si>
  <si>
    <t>Bus-tie cables between LV Switchgear (WIL23-LVSG-0002A and WIL23-LVSG-0002B)</t>
  </si>
  <si>
    <t>BQ4.1-32 /E**</t>
  </si>
  <si>
    <t>Bus-tie cables between LV Switchgear (WIL23-LVSG-0003A and WIL23-LVSG-0003B)</t>
  </si>
  <si>
    <t>BQ4.1-33 /A**</t>
  </si>
  <si>
    <t>All outgoing cables from LV Switchgear (WIL21-LVSG-0001A)</t>
  </si>
  <si>
    <t>BQ4.1-33 /B**</t>
  </si>
  <si>
    <t>All outgoing cables from LV Switchgear (WIL21-LVSG-0001B)</t>
  </si>
  <si>
    <t>BQ4.1-33 /C**</t>
  </si>
  <si>
    <t>All outgoing cables from LV Switchgear (WIL22-LVSG-0001A)</t>
  </si>
  <si>
    <t>BQ4.1-33 /D**</t>
  </si>
  <si>
    <t>All outgoing cables from LV Switchgear (WIL22-LVSG-0001B)</t>
  </si>
  <si>
    <t>BQ4.1-34 /A**</t>
  </si>
  <si>
    <t>All outgoing cables from LV Switchgear (WIL23-LVSG-0001A)</t>
  </si>
  <si>
    <t>BQ4.1-34 /B**</t>
  </si>
  <si>
    <t>All outgoing cables from LV Switchgear (WIL23-LVSG-0001B)</t>
  </si>
  <si>
    <t>BQ4.1-34 /C**</t>
  </si>
  <si>
    <t>All outgoing cables from LV Switchgear (WIL23-LVSG-0002A)</t>
  </si>
  <si>
    <t>BQ4.1-34 /D**</t>
  </si>
  <si>
    <t>All outgoing cables from LV Switchgear (WIL23-LVSG-0002B)</t>
  </si>
  <si>
    <t>BQ4.1-34 /E**</t>
  </si>
  <si>
    <t>All outgoing cables from LV Switchgear (WIL23-LVSG-0003A)</t>
  </si>
  <si>
    <t>BQ4.1-34 /F**</t>
  </si>
  <si>
    <t>All outgoing cables from LV Switchgear (WIL23-LVSG-0003B)</t>
  </si>
  <si>
    <t>BQ4.1-35 /A**</t>
  </si>
  <si>
    <t xml:space="preserve">Bus-tie cables between LV MCC (WIL21-MCC-0001A &amp; WIL21-MCC-0001B) </t>
  </si>
  <si>
    <t>BQ4.1-35 /B**</t>
  </si>
  <si>
    <t xml:space="preserve">Bus-tie cables between LV MCC (WIL21-MCC-0002A &amp; WIL21-MCC-0002B) </t>
  </si>
  <si>
    <t>BQ4.1-35 /C**</t>
  </si>
  <si>
    <t xml:space="preserve">Bus-tie cables between LV MCC (WIL21-MCC-1001A &amp; WIL21-MCC-1001B) </t>
  </si>
  <si>
    <t>BQ4.1-36 /A**</t>
  </si>
  <si>
    <t xml:space="preserve">Bus-tie cables between LV MCC (WIL22-MCC-0001A &amp; WIL22-MCC-0001B) </t>
  </si>
  <si>
    <t>BQ4.1-36 /B**</t>
  </si>
  <si>
    <t xml:space="preserve">Bus-tie cables between LV MCC (WIL22-MCC-1001A &amp; WIL22-MCC-1001B) </t>
  </si>
  <si>
    <t>BQ4.1-36 /C**</t>
  </si>
  <si>
    <t xml:space="preserve">Bus-tie cables between LV MCC (WIL23-MCC-0001A &amp; WIL23-MCC-0001B) </t>
  </si>
  <si>
    <t>BQ4.1-36 /D**</t>
  </si>
  <si>
    <t>Bus-tie cables between LV MCC (WIL23-MCC-0002A &amp; WIL23-MCC-0002B)</t>
  </si>
  <si>
    <t>BQ4.1-37 /A**</t>
  </si>
  <si>
    <t xml:space="preserve">Bus-tie cables between LV MCC (WIL23-MCC-0003A &amp; WIL23-MCC-0003B) </t>
  </si>
  <si>
    <t>BQ4.1-37 /B**</t>
  </si>
  <si>
    <t>Bus-tie cables between LV MCC (WIL23-MCC-1001A &amp; WIL23-MCC-1001B)</t>
  </si>
  <si>
    <t>BQ4.1-37 /C**</t>
  </si>
  <si>
    <t>Bus-tie cables between LV MCC (WIL23-MCC-0004A &amp; WIL23-MCC-0004B)</t>
  </si>
  <si>
    <t>BQ4.1-37 /D**</t>
  </si>
  <si>
    <t>Bus-tie cables between LV MCC (WIL23-MCC-1002A &amp; WIL23-MCC-1002B)</t>
  </si>
  <si>
    <t>BQ4.1-37 /E**</t>
  </si>
  <si>
    <t>Bus-tie cables between LV MCC (WIL23-MCC-0005A &amp; WIL23-MCC-0005B)</t>
  </si>
  <si>
    <t>BQ4.1-38 /A**</t>
  </si>
  <si>
    <t xml:space="preserve">All outgoing cables from LV MCC (WIL21-MCC-0001A) </t>
  </si>
  <si>
    <t>BQ4.1-38 /B**</t>
  </si>
  <si>
    <t xml:space="preserve">All outgoing cables from LV MCC (WIL21-MCC-0001B) </t>
  </si>
  <si>
    <t>BQ4.1-38 /C**</t>
  </si>
  <si>
    <t xml:space="preserve">All outgoing cables from LV MCC (WIL21-MCC-0002A) </t>
  </si>
  <si>
    <t>BQ4.1-38 /D**</t>
  </si>
  <si>
    <t xml:space="preserve">All outgoing cables from LV MCC (WIL21-MCC-0002B) </t>
  </si>
  <si>
    <t>BQ4.1-39 /A**</t>
  </si>
  <si>
    <t xml:space="preserve">All outgoing cables from LV MCC (WIL21-MCC-1001A) </t>
  </si>
  <si>
    <t>BQ4.1-39 /B**</t>
  </si>
  <si>
    <t xml:space="preserve">All outgoing cables from LV MCC (WIL21-MCC-1001B) </t>
  </si>
  <si>
    <t>BQ4.1-39 /C**</t>
  </si>
  <si>
    <t xml:space="preserve">All outgoing cables from LV MCC (WIL22-MCC-0001A) </t>
  </si>
  <si>
    <t>BQ4.1-39 /D**</t>
  </si>
  <si>
    <t xml:space="preserve">All outgoing cables from LV MCC (WIL22-MCC-0001B) </t>
  </si>
  <si>
    <t>BQ4.1-40 /A**</t>
  </si>
  <si>
    <t xml:space="preserve">All outgoing cables from LV MCC (WIL22-MCC-1001A) </t>
  </si>
  <si>
    <t>BQ4.1-40 /B**</t>
  </si>
  <si>
    <t xml:space="preserve">All outgoing cables from LV MCC (WIL22-MCC-1001B) </t>
  </si>
  <si>
    <t>BQ4.1-40 /C**</t>
  </si>
  <si>
    <t xml:space="preserve">All outgoing cables from LV MCC (WIL23-MCC-0001A) </t>
  </si>
  <si>
    <t>BQ4.1-40 /D**</t>
  </si>
  <si>
    <t xml:space="preserve">All outgoing cables from LV MCC (WIL23-MCC-0001B) </t>
  </si>
  <si>
    <t>BQ4.1-41 /A**</t>
  </si>
  <si>
    <t xml:space="preserve">All outgoing cables from LV MCC (WIL23-MCC-0002A) </t>
  </si>
  <si>
    <t>BQ4.1-41 /B**</t>
  </si>
  <si>
    <t xml:space="preserve">All outgoing cables from LV MCC (WIL23-MCC-0002B) </t>
  </si>
  <si>
    <t>BQ4.1-41 /C**</t>
  </si>
  <si>
    <t xml:space="preserve">All outgoing cables from LV MCC (WIL23-MCC-0003A) </t>
  </si>
  <si>
    <t>BQ4.1-41 /D**</t>
  </si>
  <si>
    <t xml:space="preserve">All outgoing cables from LV MCC (WIL23-MCC-0003B) </t>
  </si>
  <si>
    <t>BQ4.1-42 /A**</t>
  </si>
  <si>
    <t xml:space="preserve">All outgoing cables from LV MCC (WIL23-MCC-1001A) </t>
  </si>
  <si>
    <t>BQ4.1-42 /B**</t>
  </si>
  <si>
    <t xml:space="preserve">All outgoing cables from LV MCC (WIL23-MCC-1001B) </t>
  </si>
  <si>
    <t>BQ4.1-42 /C**</t>
  </si>
  <si>
    <t xml:space="preserve">All outgoing cables from LV MCC (WIL23-MCC-0004A) </t>
  </si>
  <si>
    <t>BQ4.1-42 /D**</t>
  </si>
  <si>
    <t xml:space="preserve">All outgoing cables from LV MCC (WIL23-MCC-0004B) </t>
  </si>
  <si>
    <t>BQ4.1-43 /A**</t>
  </si>
  <si>
    <t xml:space="preserve">All outgoing cables from LV MCC (WIL23-MCC-1002A) </t>
  </si>
  <si>
    <t>BQ4.1-43 /B**</t>
  </si>
  <si>
    <t xml:space="preserve">All outgoing cables from LV MCC (WIL23-MCC-1002B) </t>
  </si>
  <si>
    <t>BQ4.1-43 /C**</t>
  </si>
  <si>
    <t xml:space="preserve">All outgoing cables from LV MCC (WIL23-MCC-0005A) </t>
  </si>
  <si>
    <t>BQ4.1-43 /D**</t>
  </si>
  <si>
    <t xml:space="preserve">All outgoing cables from LV MCC (WIL23-MCC-0005B) </t>
  </si>
  <si>
    <t>BQ4.1-44 /A**</t>
  </si>
  <si>
    <t>Bus-tie cables between LV MDB (WIL21-MDB-0001A &amp; WIL21-MDB-0001A)</t>
  </si>
  <si>
    <t>BQ4.1-44 /B**</t>
  </si>
  <si>
    <t>Bus-tie cables between LV MDB (WIL21-MDB-1001A &amp; WIL21-MDB-1001A)</t>
  </si>
  <si>
    <t>BQ4.1-44 /C**</t>
  </si>
  <si>
    <t xml:space="preserve">Bus-tie cables between LV MDB (WIL22-MDB-0001A &amp; WIL22-MDB-0001A) </t>
  </si>
  <si>
    <t>BQ4.1-44 /D**</t>
  </si>
  <si>
    <t>Bus-tie cables between LV MDB (WIL22-MDB-1001A &amp; WIL22-MDB-1001A)</t>
  </si>
  <si>
    <t>BQ4.1-45 /A**</t>
  </si>
  <si>
    <t>Bus-tie cables between LV MDB (WIL23-MDB-0001A &amp; WIL23-MDB-0001B)</t>
  </si>
  <si>
    <t>BQ4.1-45 /B**</t>
  </si>
  <si>
    <t>Bus-tie cables between LV MDB (WIL23-MDB-0002A &amp; WIL23-MDB-0002B)</t>
  </si>
  <si>
    <t>BQ4.1-45 /C**</t>
  </si>
  <si>
    <t>Bus-tie cables between LV MDB (WIL23-MDB-1001A &amp; WIL23-MDB-1001B)</t>
  </si>
  <si>
    <t>BQ4.1-45 /D**</t>
  </si>
  <si>
    <t>Bus-tie cables between LV MDB (WIL23-MDB-0003A &amp; WIL23-MDB-0003B)</t>
  </si>
  <si>
    <t>BQ4.1-46 /A**</t>
  </si>
  <si>
    <t>Bus-tie cables between LV MDB (WIL23-MDB-1002A &amp; WIL23-MDB-1002B)</t>
  </si>
  <si>
    <t>BQ4.1-46 /B**</t>
  </si>
  <si>
    <t>Bus-tie cables between LV MDB (WIL23-MDB-0004A &amp; WIL23-MDB-0004B)</t>
  </si>
  <si>
    <t>BQ4.1-46 /C**</t>
  </si>
  <si>
    <t>Bus-tie cables between LV MDB (WIL23-MDB-1003A &amp; WIL23-MDB-1003B)</t>
  </si>
  <si>
    <t>BQ4.1-47 /A**</t>
  </si>
  <si>
    <t xml:space="preserve">All outgoing cables from LV MDB (WIL21-MDB-0001A) </t>
  </si>
  <si>
    <t>BQ4.1-47 /B**</t>
  </si>
  <si>
    <t xml:space="preserve">All outgoing cables from LV MDB (WIL21-MDB-0001B) </t>
  </si>
  <si>
    <t>BQ4.1-47 /C**</t>
  </si>
  <si>
    <t xml:space="preserve">All outgoing cables from LV MDB (WIL21-MDB-1001A) </t>
  </si>
  <si>
    <t>BQ4.1-47 /D**</t>
  </si>
  <si>
    <t xml:space="preserve">All outgoing cables from LV MDB (WIL21-MDB-1001B) </t>
  </si>
  <si>
    <t>BQ4.1-48 /A**</t>
  </si>
  <si>
    <t xml:space="preserve">All outgoing cables from LV MDB (WIL22-MDB-0001A) </t>
  </si>
  <si>
    <t>BQ4.1-48 /B**</t>
  </si>
  <si>
    <t xml:space="preserve">All outgoing cables from LV MDB (WIL22-MDB-0001B) </t>
  </si>
  <si>
    <t>BQ4.1-48 /C**</t>
  </si>
  <si>
    <t xml:space="preserve">All outgoing cables from LV MDB (WIL22-MDB-1001A) </t>
  </si>
  <si>
    <t>BQ4.1-48 /D**</t>
  </si>
  <si>
    <t xml:space="preserve">All outgoing cables from LV MDB (WIL22-MDB-1001B) </t>
  </si>
  <si>
    <t>BQ4.1-49 /A**</t>
  </si>
  <si>
    <t xml:space="preserve">All outgoing cables from LV MDB (WIL23-MDB-0001A) </t>
  </si>
  <si>
    <t>BQ4.1-49 /B**</t>
  </si>
  <si>
    <t xml:space="preserve">All outgoing cables from LV MDB (WIL23-MDB-0001B) </t>
  </si>
  <si>
    <t>BQ4.1-49 /C**</t>
  </si>
  <si>
    <t xml:space="preserve">All outgoing cables from LV MDB (WIL23-MDB-0002A) </t>
  </si>
  <si>
    <t>BQ4.1-49 /D**</t>
  </si>
  <si>
    <t xml:space="preserve">All outgoing cables from LV MDB (WIL23-MDB-0002B) </t>
  </si>
  <si>
    <t>BQ4.1-50 /A**</t>
  </si>
  <si>
    <t xml:space="preserve">All outgoing cables from LV MDB (WIL23-MDB-1001A) </t>
  </si>
  <si>
    <t>BQ4.1-50 /B**</t>
  </si>
  <si>
    <t xml:space="preserve">All outgoing cables from LV MDB (WIL23-MDB-1001B) </t>
  </si>
  <si>
    <t>BQ4.1-50 /C**</t>
  </si>
  <si>
    <t xml:space="preserve">All outgoing cables from LV MDB (WIL23-MDB-0003A) </t>
  </si>
  <si>
    <t>BQ4.1-50 /D**</t>
  </si>
  <si>
    <t xml:space="preserve">All outgoing cables from LV MDB (WIL23-MDB-0003B) </t>
  </si>
  <si>
    <t>BQ4.1-51 /A**</t>
  </si>
  <si>
    <t xml:space="preserve">All outgoing cables from LV MDB (WIL23-MDB-1002A) </t>
  </si>
  <si>
    <t>BQ4.1-51 /B**</t>
  </si>
  <si>
    <t xml:space="preserve">All outgoing cables from LV MDB (WIL23-MDB-1002B) </t>
  </si>
  <si>
    <t>BQ4.1-51 /C**</t>
  </si>
  <si>
    <t xml:space="preserve">All outgoing cables from LV MDB (WIL23-MDB-0004A) </t>
  </si>
  <si>
    <t>BQ4.1-51 /D**</t>
  </si>
  <si>
    <t xml:space="preserve">All outgoing cables from LV MDB (WIL23-MDB-0004B) </t>
  </si>
  <si>
    <t>BQ4.1-52 /A**</t>
  </si>
  <si>
    <t xml:space="preserve">All outgoing cables from LV MDB (WIL23-MDB-1003A) </t>
  </si>
  <si>
    <t>BQ4.1-52 /B**</t>
  </si>
  <si>
    <t xml:space="preserve">All outgoing cables from LV MDB (WIL23-MDB-1003B) </t>
  </si>
  <si>
    <t>BQ4.1-52 /C**</t>
  </si>
  <si>
    <t>All outgoing cables from Emergency Generator (WIL21-SDE-0001) to ESSB WIL00-ESSB-0002</t>
  </si>
  <si>
    <t>BQ4.1-52 /D**</t>
  </si>
  <si>
    <t>All outgoing cables from ESSB (WIL00-ESSB-0002)</t>
  </si>
  <si>
    <t>BQ4.1-53 /A**</t>
  </si>
  <si>
    <t>Bus-tie cables between ESSB (WIL21-ESSB-0001A &amp; WIL21-ESSB-0001B)</t>
  </si>
  <si>
    <t>BQ4.1-53 /B**</t>
  </si>
  <si>
    <t>Bus-tie cables between ESSB (WIL23-ESSB-0001A &amp; WIL23-ESSB-0001B)</t>
  </si>
  <si>
    <t>BQ4.1-53 /C**</t>
  </si>
  <si>
    <t>Bus-tie cables between ESSB (WIL23-ESSB-0002A &amp; WIL23-ESSB-0002B)</t>
  </si>
  <si>
    <t>BQ4.1-53 /D**</t>
  </si>
  <si>
    <t>Bus-tie cables between ESSB (WIL23-ESSB-0003A &amp; WIL23-ESSB-0003B)</t>
  </si>
  <si>
    <t>BQ4.1-54 /A**</t>
  </si>
  <si>
    <t>All outgoing cables from ESSB (WIL21-ESSB-0001A)</t>
  </si>
  <si>
    <t>BQ4.1-54 /B**</t>
  </si>
  <si>
    <t>All outgoing cables from ESSB (WIL21-ESSB-0001B)</t>
  </si>
  <si>
    <t>BQ4.1-54 /C**</t>
  </si>
  <si>
    <t>All outgoing cables from ESSB (WIL23-ESSB-0001A)</t>
  </si>
  <si>
    <t>BQ4.1-54 /D**</t>
  </si>
  <si>
    <t>All outgoing cables from ESSB (WIL23-ESSB-0001B)</t>
  </si>
  <si>
    <t>BQ4.1-55 /A**</t>
  </si>
  <si>
    <t>All outgoing cables from ESSB (WIL23-ESSB-0002A)</t>
  </si>
  <si>
    <t>BQ4.1-55 /B**</t>
  </si>
  <si>
    <t>All outgoing cables from ESSB (WIL23-ESSB-0002B)</t>
  </si>
  <si>
    <t>BQ4.1-56</t>
  </si>
  <si>
    <t>HIGH VOLTAGE, LOW VOLTAGE AND EXTRA LOW VOLTAGE NETWORK RACEWAY</t>
  </si>
  <si>
    <t>BQ4.1-56 /A**</t>
  </si>
  <si>
    <t>Provide High Voltage, Low Voltage and Extra Low Voltage Raceways including supports, accessories, and others as required and necessary for a complete and functional system, as specified</t>
  </si>
  <si>
    <t>Raceways for WIL21 areas</t>
  </si>
  <si>
    <t>BQ4.1-56 /B**</t>
  </si>
  <si>
    <t>Raceways for WIL22 areas</t>
  </si>
  <si>
    <t>BQ4.1-56 /C**</t>
  </si>
  <si>
    <t>Raceways for WIL23 areas</t>
  </si>
  <si>
    <t>BQ4.1-56 /D**</t>
  </si>
  <si>
    <t>BQ4.1-57</t>
  </si>
  <si>
    <t>EARTHING SYSTEM</t>
  </si>
  <si>
    <t>BQ4.1-57 /A**</t>
  </si>
  <si>
    <t>Provide HV, LV, and XLV (instrument) earthing system for all areas under the contract including all accessories and others as required and necessary for a complete and functional system, as specified</t>
  </si>
  <si>
    <t>Earthing for emergency power supply at ILM 2</t>
  </si>
  <si>
    <t>BQ4.1-57 /B**</t>
  </si>
  <si>
    <t>Earthing for all building services systems at ILM 2</t>
  </si>
  <si>
    <t>BQ4.1-57 /C**</t>
  </si>
  <si>
    <t>Additional earthing requirement (on top of the base provision in C3A, in Volume 6) for successful satisfactory completion of the electrical installation</t>
  </si>
  <si>
    <t>BQ4.1-58</t>
  </si>
  <si>
    <t>LIGHTNING PROTECTION SYSTEM</t>
  </si>
  <si>
    <t>BQ4.1-58 /A**</t>
  </si>
  <si>
    <t>Provide the Lightning Protection System including all necessary accessories as required for a complete and functional system, as specified</t>
  </si>
  <si>
    <t>Lightning protection for WIL21 areas</t>
  </si>
  <si>
    <t>BQ4.1-58 /B**</t>
  </si>
  <si>
    <t>Lightning protection for WIL22 areas</t>
  </si>
  <si>
    <t>BQ4.1-58 /C**</t>
  </si>
  <si>
    <t>Lightning protection for WIL23 areas</t>
  </si>
  <si>
    <t>BQ4.1-59</t>
  </si>
  <si>
    <t>BQ4.1-59 /A**</t>
  </si>
  <si>
    <t>Provide the following as specified</t>
  </si>
  <si>
    <t>Electrical system analysis</t>
  </si>
  <si>
    <t>BQ4.1-59 /B**</t>
  </si>
  <si>
    <t>Rubber mats for all areas</t>
  </si>
  <si>
    <t>BQ4.1-59 /C**</t>
  </si>
  <si>
    <t>Protective shelters for all outdoor electrical equipment for all areas</t>
  </si>
  <si>
    <t>BQ4.1-59 /D**</t>
  </si>
  <si>
    <t>Provide a new Sub DB complete with incoming and outgoing cabling for electrical operated level gauge of surge vessels at NEWater pumping station area (C2B)</t>
  </si>
  <si>
    <t>BQ4.1-60</t>
  </si>
  <si>
    <t>MISCELLANEOUS (CONT'D)</t>
  </si>
  <si>
    <t>BQ4.1-60 /A**</t>
  </si>
  <si>
    <t>Provide the following as specified (Cont'd)</t>
  </si>
  <si>
    <t>Lifting truck for racking out of ACBs in WIL21</t>
  </si>
  <si>
    <t>BQ4.1-60 /B**</t>
  </si>
  <si>
    <t>Lifting truck for racking out of ACBs in WIL22</t>
  </si>
  <si>
    <t>BQ4.1-60 /C**</t>
  </si>
  <si>
    <t>Lifting truck for racking out of ACBs in WIL23</t>
  </si>
  <si>
    <t>BQ4.1-61</t>
  </si>
  <si>
    <t>OTHER</t>
  </si>
  <si>
    <t>BQ4.1-61 /A</t>
  </si>
  <si>
    <t>Allow for each and every expense for complying with the Conditions of Contract, Specifications, Drawings and all other documents forming part of this Contract, not specifically mentioned and allowed for elsewhere in Bill No. 4.1 for satisfactory completion of the Works, naming the items below and pricing them separately. (Tenderer shall give a breakdown of the works covered under the item below or on a separate sheet if space provided here is not enough)</t>
  </si>
  <si>
    <t>_____________________________</t>
  </si>
  <si>
    <t>BQ4.1-61 /B</t>
  </si>
  <si>
    <t>BQ4.1-61 /C</t>
  </si>
  <si>
    <t>BQ4.1-61 /D</t>
  </si>
  <si>
    <t>BQ4.1-61 /E</t>
  </si>
  <si>
    <t>BQ4.1-61 /F</t>
  </si>
  <si>
    <t>BQ4.2-1</t>
  </si>
  <si>
    <t>BILL NO. 4.2</t>
  </si>
  <si>
    <t>- LIGHTING AND SMALL POWER</t>
  </si>
  <si>
    <t>LIGHTING AND SMALL POWER</t>
  </si>
  <si>
    <t>BQ4.2-1 /A**</t>
  </si>
  <si>
    <t>Provide Lighting and Small Power including lighting control,  accessories, cables and others as required and necessary for a complete and functional system, as specified</t>
  </si>
  <si>
    <t>Lighting and small power for WIL21 areas</t>
  </si>
  <si>
    <t>BQ4.2-1 /B**</t>
  </si>
  <si>
    <t>Lighting and small power for WIL22 areas</t>
  </si>
  <si>
    <t>BQ4.2-1 /C**</t>
  </si>
  <si>
    <t>Lighting and small power for WIL23 areas</t>
  </si>
  <si>
    <t>BQ4.2-1 /D**</t>
  </si>
  <si>
    <t>Lighting and small power for all other ILM 2 area</t>
  </si>
  <si>
    <t>BQ4.2-2</t>
  </si>
  <si>
    <t>LIGHTING AND SMALL POWER (CONT'D)</t>
  </si>
  <si>
    <t>BQ4.2-2 /A**</t>
  </si>
  <si>
    <t>Provide Lighting and Small Power including lighting control,  accessories, cables and others as required and necessary for a complete and functional system, as specified (Cont'd)</t>
  </si>
  <si>
    <t>Lighting and small power for Central Avenue (Between ILM 1 and ILM 2)</t>
  </si>
  <si>
    <t>BQ4.2-2 /B**</t>
  </si>
  <si>
    <t xml:space="preserve">Small power including cabling for Surge Vessels  related work at NEWater Pumping Station Area (C2B). </t>
  </si>
  <si>
    <t>BQ4.2-2 /C**</t>
  </si>
  <si>
    <t>BQ4.2-3</t>
  </si>
  <si>
    <t>BQ4.2-3 /A</t>
  </si>
  <si>
    <t>Allow for each and every expense for complying with the Conditions of Contract, Specifications, Drawings and all other documents forming part of this Contract, not specifically mentioned and allowed for elsewhere in Bill No. 4.2 for satisfactory completion of the Works, naming the items below and pricing them separately. (Tenderer shall give a breakdown of the works covered under the item below or on a separate sheet if space provided here is not enough)</t>
  </si>
  <si>
    <t>BQ4.2-3 /B</t>
  </si>
  <si>
    <t>BQ4.2-3 /C</t>
  </si>
  <si>
    <t>BQ4.2-3 /D</t>
  </si>
  <si>
    <t>BQ4.2-3 /E</t>
  </si>
  <si>
    <t>BQ4.2-3 /F</t>
  </si>
  <si>
    <t>BQ4-1</t>
  </si>
  <si>
    <t>BILL NO. 4</t>
  </si>
  <si>
    <t xml:space="preserve">ELECTRICAL WORKS </t>
  </si>
  <si>
    <t>TOTAL OF BILL NO. 4 CARRIED TO GENERAL SUMMARY</t>
  </si>
  <si>
    <t>BQ5.1-1</t>
  </si>
  <si>
    <t>BILL NO. 5.1</t>
  </si>
  <si>
    <t>INSTRUMENTATION, CONTROL AND AUTOMATION</t>
  </si>
  <si>
    <t>Note:
The items described herein is to provide as a general breakdown of the entire system. The Contractor shall price in all necessary items to complete the Works and deliver a full operational and functional system. The "SUM" so priced shall also deemed to have included for all associated costs for supervision, labours, machinery, hoists, fixing accessories, etc. necessary to bring the whole of the Works to a satisfactory completion certified by the S.O.</t>
  </si>
  <si>
    <t>DESIGN AND TECHNICAL INPUT</t>
  </si>
  <si>
    <t>BQ5.1-1 /A</t>
  </si>
  <si>
    <t>The total of all items in this section "Design and Technical Input" shall not exceed 1% of the total value of this Bill No. 5</t>
  </si>
  <si>
    <t>Allow for attendance at S.O.'s FDS and PCN workshops</t>
  </si>
  <si>
    <t>BQ5.1-1 /B</t>
  </si>
  <si>
    <t>Allow for attendance at CHAZOP workshop</t>
  </si>
  <si>
    <t>BQ5.1-1 /C</t>
  </si>
  <si>
    <t>Allow for attendance at S.O.'s software FAT</t>
  </si>
  <si>
    <t>BQ5.1-1 /D</t>
  </si>
  <si>
    <t>Allow for attendance during software SAT</t>
  </si>
  <si>
    <t>BQ5.1-1 /E</t>
  </si>
  <si>
    <t>Allow for review and updating of process control narrative to suit proposed process equipment</t>
  </si>
  <si>
    <t>BQ5.1-2</t>
  </si>
  <si>
    <t>DESIGN AND TECHNICAL INPUT (CONT'D)</t>
  </si>
  <si>
    <t>BQ5.1-2 /A</t>
  </si>
  <si>
    <t>The total of all items in this section "Design and Technical Input" shall not exceed 1% of the total value of this Bill No. 5 (Cont'd)</t>
  </si>
  <si>
    <t>Allow for Functional Design Specification (FDS) for Membrane (MBR) process in ILM2 - in coordination and subject to S.O.'s approval</t>
  </si>
  <si>
    <t>BQ5.1-2 /B</t>
  </si>
  <si>
    <t>Allow for Functional Design Specification (FDS) for Grit Blowers system in ILM2 - in coordination and subject to S.O.'s approval</t>
  </si>
  <si>
    <t>BQ5.1-2 /C</t>
  </si>
  <si>
    <t>Allow for Functional Design Specification (FDS) for Bioreactor Aeration Blowers system in ILM2 - in coordination and subject to S.O.'s approval</t>
  </si>
  <si>
    <t>BQ5.1-3 /A</t>
  </si>
  <si>
    <t>Allow for Functional Design Specification (FDS) for Membrane Air Blowers system in ILM2 - in coordination and subject to S.O.'s approval</t>
  </si>
  <si>
    <t>BQ5.1-3 /B</t>
  </si>
  <si>
    <t>Allow for Functional Design Specification (FDS) for Compressed Air System in ILM2 - in coordination and subject to S.O.'s approval</t>
  </si>
  <si>
    <t>BQ5.1-4 /A</t>
  </si>
  <si>
    <t>Allow for submission of comments on FDS (for integration with existing system) provided by the S.O.</t>
  </si>
  <si>
    <t>BQ5.1-4 /B</t>
  </si>
  <si>
    <t>Allow for functional safety review workshop and submission of SIF report</t>
  </si>
  <si>
    <t>BQ5.1-4 /C</t>
  </si>
  <si>
    <t>Allow for hazardous area requirements for field devices</t>
  </si>
  <si>
    <t>BQ5.1-5</t>
  </si>
  <si>
    <t>SOFTWARE ENGINEERING AND CONFIGURATION WORKS - COORDINATION WITH S.O. FOR INTEGRATION WITH EXISTING SYSTEM</t>
  </si>
  <si>
    <t>BQ5.1-5 /A</t>
  </si>
  <si>
    <t>Coordination, liaison and support to S.O. and existing contractors for software engineering and configuration works for integration with existing system</t>
  </si>
  <si>
    <t>For integration with existing WIL06 PLCs and control monitoring system</t>
  </si>
  <si>
    <t>BQ5.1-5 /B</t>
  </si>
  <si>
    <t>For integration of PMS with existing system</t>
  </si>
  <si>
    <t>BQ5.1-5 /C</t>
  </si>
  <si>
    <t>BQ5.1-6</t>
  </si>
  <si>
    <t>SOFTWARE ENGINEERING AND CONFIGURATION WORKS</t>
  </si>
  <si>
    <t>BQ5.1-6 /A</t>
  </si>
  <si>
    <t>Development of software engineering and configuration works including local hardware configuration, database, documentation, SCADA data exchange schedule, FAT, SAT, liaison with the S.O.'s programmers and logic configuration.</t>
  </si>
  <si>
    <t>For Grit Blowers master control PLCs in ILM2 including Grit Blowers system 1 to 3 unit controller (either PLCs or micro-controller)</t>
  </si>
  <si>
    <t>BQ5.1-6 /B</t>
  </si>
  <si>
    <t>For Membrane main plant PLCs in ILM2</t>
  </si>
  <si>
    <t>BQ5.1-6 /C</t>
  </si>
  <si>
    <t>For Membrane Air Blowers master control PLCs in ILM2 including Membrane Air Blowers system 1 to 4 unit PLCs</t>
  </si>
  <si>
    <t>BQ5.1-7</t>
  </si>
  <si>
    <t>SOFTWARE ENGINEERING AND CONFIGURATION WORKS (CONT'D)</t>
  </si>
  <si>
    <t>BQ5.1-7 /A</t>
  </si>
  <si>
    <t>Development of software engineering and configuration works including local hardware configuration, database, documentation, SCADA data exchange schedule, FAT, SAT, liaison with the S.O.'s programmers and logic configuration. (Cont'd)</t>
  </si>
  <si>
    <t>For Bioreactor Aeration Blowers master control PLCs in ILM2 including Bioreactor Aeration Blowers system 1 to 8 unit PLCs</t>
  </si>
  <si>
    <t>BQ5.1-7 /B</t>
  </si>
  <si>
    <t>For Compressed Air system at WIL23</t>
  </si>
  <si>
    <t>BQ5.1-7 /C</t>
  </si>
  <si>
    <t>BQ5.1-8</t>
  </si>
  <si>
    <t>SOFTWARE ENGINEERING AND CONFIGURATION WORKS FOR ON-SITE HMI</t>
  </si>
  <si>
    <t>BQ5.1-8 /A</t>
  </si>
  <si>
    <t>Development of software engineering and configuration works including local graphics, database, alarm and trend configuration</t>
  </si>
  <si>
    <t>For Grit Blowers system master and unit on-site HMIs in ILM2</t>
  </si>
  <si>
    <t>BQ5.1-8 /B</t>
  </si>
  <si>
    <t>(WIL23: Industrial LM2 Secondary Treatment)</t>
  </si>
  <si>
    <t>For Membrane on-site HMIs in ILM2</t>
  </si>
  <si>
    <t>BQ5.1-8 /C</t>
  </si>
  <si>
    <t>For Membrane Air Blowers master and unit on-site HMIs in ILM2</t>
  </si>
  <si>
    <t>BQ5.1-8 /D</t>
  </si>
  <si>
    <t>For Bioreactor Aeration Blowers master and unit on-site HMIs in ILM2</t>
  </si>
  <si>
    <t>BQ5.1-8 /E</t>
  </si>
  <si>
    <t>BQ5.1-9</t>
  </si>
  <si>
    <t>APPLICATION SOFTWARE LICENSE</t>
  </si>
  <si>
    <t>BQ5.1-9 /A</t>
  </si>
  <si>
    <t>Provide application software licenses as specified</t>
  </si>
  <si>
    <t>For ILM2 Grit Blowers master control PLC and on-site HMIs as specified</t>
  </si>
  <si>
    <t>BQ5.1-9 /B</t>
  </si>
  <si>
    <t>For ILM2 Bioreactor Aeration Blowers master control PLC and on-site HMIs as specified</t>
  </si>
  <si>
    <t>BQ5.1-9 /C</t>
  </si>
  <si>
    <t>For ILM2 Membrane Air Blowers master control PLC and on-site HMIs as specified</t>
  </si>
  <si>
    <t>BQ5.1-9 /D</t>
  </si>
  <si>
    <t>For ILM2 Compressed Air system controller at WIL23</t>
  </si>
  <si>
    <t>BQ5.1-10</t>
  </si>
  <si>
    <t>APPLICATION SOFTWARE LICENSE (CONT'D)</t>
  </si>
  <si>
    <t>BQ5.1-10 /A</t>
  </si>
  <si>
    <t>Provide application software licenses as specified (Cont'd)</t>
  </si>
  <si>
    <t>For VMS analysis</t>
  </si>
  <si>
    <t>BQ5.1-10 /B</t>
  </si>
  <si>
    <t>Allow for any other software licenses and tools required for Contractor works not mentioned above but deemed required for the satisfactory completion for this system</t>
  </si>
  <si>
    <t>BQ5.1-11</t>
  </si>
  <si>
    <t>WORKSHOP</t>
  </si>
  <si>
    <t>BQ5.1-11 /A</t>
  </si>
  <si>
    <t>Provide workshop as specified</t>
  </si>
  <si>
    <t>For ILM2 Grit Blowers system PLC platform</t>
  </si>
  <si>
    <t>BQ5.1-11 /B</t>
  </si>
  <si>
    <t>For ILM2 Bioreactor Aeration Blowers system PLC platform</t>
  </si>
  <si>
    <t>BQ5.1-11 /C</t>
  </si>
  <si>
    <t>For ILM2 Membrane Air Blowers system PLC platform</t>
  </si>
  <si>
    <t>BQ5.1-11 /D</t>
  </si>
  <si>
    <t>BQ5.1-11 /E</t>
  </si>
  <si>
    <t>BQ5.1-12</t>
  </si>
  <si>
    <t>BENCH TESTING EQUIPMENT</t>
  </si>
  <si>
    <t>BQ5.1-12 /A**</t>
  </si>
  <si>
    <t>Allow for following item, assembled and enclosed in a manner suitable for use in a bench testing environment</t>
  </si>
  <si>
    <t>ILM2 Grit Blower master PLC, complete with backplane, power supply and communication modules, and loaded with the final version of software complete with one (1) license of the PLC programming software and with flexible power cords and plugs</t>
  </si>
  <si>
    <t>BQ5.1-12 /B**</t>
  </si>
  <si>
    <t>ILM2 Bioreactor Aeration Blower master PLC, complete with backplane, power supply and communication modules, and loaded with the final version of software complete with one (1) license of the PLC programming software and with flexible power cords and plugs</t>
  </si>
  <si>
    <t>BQ5.1-12 /C**</t>
  </si>
  <si>
    <t>ILM2 Membrane Air Blower master PLC, complete with backplane, power supply and communication modules, and loaded with the final version of software complete with one (1) license of the PLC programming software and with flexible power cords and plugs</t>
  </si>
  <si>
    <t>BQ5.1-13</t>
  </si>
  <si>
    <t>BENCH TESTING EQUIPMENT (CONT'D)</t>
  </si>
  <si>
    <t>BQ5.1-13 /A**</t>
  </si>
  <si>
    <t>Allow for following item, assembled and enclosed in a manner suitable for use in a bench testing environment (Cont'd)</t>
  </si>
  <si>
    <t>ILM2 one (1) type of motor starter functional unit with connected dummy motor load and connected LCS, suitably enclosed and complete with flexible power cords and plugs</t>
  </si>
  <si>
    <t>BQ5.1-13 /B**</t>
  </si>
  <si>
    <t>ILM2 one (1) type of soft starter functional unit with connected dummy motor load and connected LCS, suitably enclosed and complete with flexible power cords and plugs</t>
  </si>
  <si>
    <t>BQ5.1-14 /A**</t>
  </si>
  <si>
    <t>ILM2 MCC data concentrator configured and ready for connection of the above motor starter and variable speed drive, suitably enclosed and complete with flexible power cords and plugs</t>
  </si>
  <si>
    <t>BQ5.1-14 /B**</t>
  </si>
  <si>
    <t>ILM2 Power monitoring device, suitably enclosed and complete with flexible power cords and plugs</t>
  </si>
  <si>
    <t>BQ5.1-14 /C**</t>
  </si>
  <si>
    <t>BQ5.1-15</t>
  </si>
  <si>
    <t>CYBERSECURITY COORDINATION WORKS</t>
  </si>
  <si>
    <t>Provide support, liaison and coordination with the existing Cyber Security specialist for integration with existing TWRP's Cyber Security Zone.</t>
  </si>
  <si>
    <t>BQ5.1-15 /A</t>
  </si>
  <si>
    <t>(WSW46: C3B2 Sitewide)</t>
  </si>
  <si>
    <t>Allow for Cyber Security compliance for systems provided in C3B2 and integration with existing TWRP's Cyber Security Zone</t>
  </si>
  <si>
    <t>BQ5.1-15 /B</t>
  </si>
  <si>
    <t>BQ5.1-16</t>
  </si>
  <si>
    <t>BQ5.1-16 /A</t>
  </si>
  <si>
    <t>Allow for each and every expense for complying with the Conditions of Contract, Specifications, Drawings and all other documents forming part of this Contract, not specifically mentioned and allowed for elsewhere for satisfactory completion of the Works specified in this Bill No. 5.1, naming the items below and pricing them separately
(Tenderer shall give a breakdown of the works covered under the item below or on a separate sheet if space provided here is not enough)</t>
  </si>
  <si>
    <t>BQ5.1-16 /B</t>
  </si>
  <si>
    <t>BQ5.1-16 /C</t>
  </si>
  <si>
    <t>BQ5.1-16 /D</t>
  </si>
  <si>
    <t>BQ5.1-16 /E</t>
  </si>
  <si>
    <t>BQ5.1-16 /F</t>
  </si>
  <si>
    <t>BQ5.1-16 /G</t>
  </si>
  <si>
    <t>BQ5.2-1</t>
  </si>
  <si>
    <t>BILL NO. 5.2</t>
  </si>
  <si>
    <t>- ICA PANELS AND CABLING</t>
  </si>
  <si>
    <t>CONTROL EQUIPMENT - CONTROL PANEL (MACHINE/ VENDOR PACKAGE SYSTEM)</t>
  </si>
  <si>
    <t>BQ5.2-1 /A**</t>
  </si>
  <si>
    <t>Provide Control Panels including PLC hardware, PLC code, internal components and equipment, cabling, weather canopies requirement for outdoor panels and equipment in accordance with manufacturers' instruction as required and necessary for a complete and functional  system, as specified</t>
  </si>
  <si>
    <t>For Grit Blowers master control panel (hot-standby PLCs) in ILM2</t>
  </si>
  <si>
    <t>BQ5.2-1 /B**</t>
  </si>
  <si>
    <t>For Grit Blowers unit control panels (standalone PLC) in ILM2</t>
  </si>
  <si>
    <t>BQ5.2-1 /C**</t>
  </si>
  <si>
    <t>For Membrane Air Blowers master control panel (hot-standby PLCs) in ILM2</t>
  </si>
  <si>
    <t>BQ5.2-1 /D**</t>
  </si>
  <si>
    <t>For Membrane Air Blowers unit control panels (standalone PLC) in ILM2</t>
  </si>
  <si>
    <t>BQ5.2-2</t>
  </si>
  <si>
    <t>CONTROL EQUIPMENT - CONTROL PANEL (MACHINE/ VENDOR PACKAGE SYSTEM) (CONT'D)</t>
  </si>
  <si>
    <t>BQ5.2-2 /A**</t>
  </si>
  <si>
    <t>Provide Control Panels including PLC hardware, PLC code, internal components and equipment, cabling, weather canopies requirement for outdoor panels and equipment in accordance with manufacturers' instruction as required and necessary for a complete and functional  system, as specified (Cont'd)</t>
  </si>
  <si>
    <t>For Bioreactor Aeration Blowers master control panel (hot-standby PLCs) in ILM2</t>
  </si>
  <si>
    <t>BQ5.2-2 /B**</t>
  </si>
  <si>
    <t>For Bioreactor Aeration Blowers unit control panels (standalone PLC) in ILM2</t>
  </si>
  <si>
    <t>BQ5.2-2 /C**</t>
  </si>
  <si>
    <t>BQ5.2-3</t>
  </si>
  <si>
    <t>CONTROL EQUIPMENT - AUXILIARY CONTROL (MACHINE/ VENDOR PACKAGE SYSTEM)</t>
  </si>
  <si>
    <t>BQ5.2-3 /A**</t>
  </si>
  <si>
    <t>Provide Control Panels including controller, power supplies, communication modules,  internal components and equipment, and cabling in accordance with manufacturers' instruction as required and necessary for a complete and functional  system, as specified</t>
  </si>
  <si>
    <t>For Compressed Air system master control panel at WIL23</t>
  </si>
  <si>
    <t>BQ5.2-3 /B**</t>
  </si>
  <si>
    <t>BQ5.2-4</t>
  </si>
  <si>
    <t>CONTROL EQUIPMENT - ON-SITE HMI</t>
  </si>
  <si>
    <t>BQ5.2-4 /A**</t>
  </si>
  <si>
    <t>Provide on-site HMI/ OIP including HMI graphics, internal components and equipment and installation at control panels in accordance with manufacturers' instruction as required and necessary for a complete and functional  system, as specified</t>
  </si>
  <si>
    <t>For Grit Blowers master control panel in ILM2</t>
  </si>
  <si>
    <t>BQ5.2-4 /B**</t>
  </si>
  <si>
    <t>For Grit Blowers unit control panels in ILM2</t>
  </si>
  <si>
    <t>BQ5.2-4 /C**</t>
  </si>
  <si>
    <t>For Membrane Air Blowers master control panel in ILM2</t>
  </si>
  <si>
    <t>BQ5.2-4 /D**</t>
  </si>
  <si>
    <t>For Membrane Air Blowers unit control panels in ILM2</t>
  </si>
  <si>
    <t>BQ5.2-5</t>
  </si>
  <si>
    <t>CONTROL EQUIPMENT - ON-SITE HMI (CONT'D)</t>
  </si>
  <si>
    <t>BQ5.2-5 /A**</t>
  </si>
  <si>
    <t>Provide on-site HMI/ OIP including HMI graphics, internal components and equipment and installation at control panels in accordance with manufacturers' instruction as required and necessary for a complete and functional  system, as specified (Cont'd)</t>
  </si>
  <si>
    <t>For Bioreactor Aeration Blowers master control panel in ILM2</t>
  </si>
  <si>
    <t>BQ5.2-5 /B**</t>
  </si>
  <si>
    <t>For Bioreactor Aeration Blowers unit control panels in ILM2</t>
  </si>
  <si>
    <t>BQ5.2-6</t>
  </si>
  <si>
    <t>FIELD CONTROL EQUIPMENT - REMOTE INPUT/OUTPUT (RIO) PANEL</t>
  </si>
  <si>
    <t>BQ5.2-6 /A**</t>
  </si>
  <si>
    <t>Provide RIO panels including internal components in accordance with manufacturers' instruction as required and necessary for a complete and functional  system, as specified</t>
  </si>
  <si>
    <t>For WIL21 - Headworks field and MCC</t>
  </si>
  <si>
    <t>BQ5.2-6 /B**</t>
  </si>
  <si>
    <t>For WIL22 - PST field and MCC</t>
  </si>
  <si>
    <t>BQ5.2-6 /C**</t>
  </si>
  <si>
    <t>For WIL23 - Secondary field and MCC</t>
  </si>
  <si>
    <t>BQ5.2-6 /D**</t>
  </si>
  <si>
    <t>For WIL06 - Chemical Area field</t>
  </si>
  <si>
    <t>BQ5.2-6 /E**</t>
  </si>
  <si>
    <t>BQ5.2-7</t>
  </si>
  <si>
    <t>FIELD CONTROL EQUIPMENT - LOCAL INDICATOR BOARD</t>
  </si>
  <si>
    <t>BQ5.2-7 /A**</t>
  </si>
  <si>
    <t>Provide Local Indicator Board (LIB) including indication displays, necessary cabling and accessories, in accordance with manufacturers instruction as required and necessary for a complete and functional system, as specified</t>
  </si>
  <si>
    <t>For Membrane trains in WIL23</t>
  </si>
  <si>
    <t>BQ5.2-8</t>
  </si>
  <si>
    <t>FIELD CONTROL EQUIPMENT - NETWORK PANELS AND FOBOT</t>
  </si>
  <si>
    <t>BQ5.2-8 /A**</t>
  </si>
  <si>
    <t>Provide network panels including  fibre optic interface panels (FOIPs), fibre optic breakout trays (FOBOTs) and internal components in accordance with manufacturers' instruction as required and necessary for a complete and functional  system, as specified</t>
  </si>
  <si>
    <t>At WIL21 - Headworks LV Switchroom 3</t>
  </si>
  <si>
    <t>BQ5.2-8 /B**</t>
  </si>
  <si>
    <t xml:space="preserve">At WIL22 - PST Process XLV room </t>
  </si>
  <si>
    <t>BQ5.2-8 /C**</t>
  </si>
  <si>
    <t>At WIL23 - Secondary Process XLV room 1 and 2</t>
  </si>
  <si>
    <t>BQ5.2-8 /D**</t>
  </si>
  <si>
    <t>BQ5.2-9</t>
  </si>
  <si>
    <t>FIELD CONTROL EQUIPMENT - JUNCTION BOXES</t>
  </si>
  <si>
    <t>Provide junction boxes including internal components and equipment in accordance with manufacturers' instruction as required and necessary for a complete and functional  system, as specified</t>
  </si>
  <si>
    <t>BQ5.2-9 /A**</t>
  </si>
  <si>
    <t>At WIL00 - Industrial Liquids Common</t>
  </si>
  <si>
    <t>BQ5.2-9 /B**</t>
  </si>
  <si>
    <t>At WIL06 - Chemical area</t>
  </si>
  <si>
    <t>BQ5.2-9 /C**</t>
  </si>
  <si>
    <t>At WIL21 - Headworks</t>
  </si>
  <si>
    <t>BQ5.2-10</t>
  </si>
  <si>
    <t>FIELD CONTROL EQUIPMENT - JUNCTION BOXES (CONT'D)</t>
  </si>
  <si>
    <t>BQ5.2-10 /A**</t>
  </si>
  <si>
    <t>Provide junction boxes including internal components and equipment in accordance with manufacturers' instruction as required and necessary for a complete and functional  system, as specified (Cont'd)</t>
  </si>
  <si>
    <t>At WIL22 - PST</t>
  </si>
  <si>
    <t>BQ5.2-10 /B**</t>
  </si>
  <si>
    <t>At WIL23 - Secondary Treatment</t>
  </si>
  <si>
    <t>BQ5.2-11</t>
  </si>
  <si>
    <t>ICA POWER SUPPLY</t>
  </si>
  <si>
    <t>Provide field distribution boards (DBs) for Uninterruptible Power Supply (UPS) power distribution including internal components in accordance with manufacturers' instruction as required and necessary for a complete and functional system, as specified</t>
  </si>
  <si>
    <t>BQ5.2-12</t>
  </si>
  <si>
    <t>ICA POWER SUPPLY (CONT'D)</t>
  </si>
  <si>
    <t>Provide field distribution boards (DBs) for Uninterruptible Power Supply (UPS) power distribution including internal components in accordance with manufacturers' instruction as required and necessary for a complete and functional system, as specified (Cont'd)</t>
  </si>
  <si>
    <t>BQ5.2-13</t>
  </si>
  <si>
    <t>ICA CABLING - PMN BACKBONE EXTENSION</t>
  </si>
  <si>
    <t>BQ5.2-13 /A**</t>
  </si>
  <si>
    <t>Provide PMN backbone extension F/O cabling, cable support system, fibre optic cable testing and termination as required and necessary for a complete and functional system as specified</t>
  </si>
  <si>
    <t>PMN backbone extension from WIL22 PST Process XLV room to WIL21 Headworks LV switchroom 3 in ILM2</t>
  </si>
  <si>
    <t>BQ5.2-13 /B**</t>
  </si>
  <si>
    <t>PMN backbone extension from WIL22 PST Process XLV room to WIL23 Secondary Process XLV room 1 in ILM2</t>
  </si>
  <si>
    <t>BQ5.2-13 /C**</t>
  </si>
  <si>
    <t>PMN backbone extension from WIL22 PST Process XLV room to WIL23 Secondary Process XLV room 2 in ILM2</t>
  </si>
  <si>
    <t>BQ5.2-14</t>
  </si>
  <si>
    <t>ICA CABLING - PAN BACKBONE EXTENSION</t>
  </si>
  <si>
    <t>BQ5.2-14 /A**</t>
  </si>
  <si>
    <t>Provide PAN backbone extension F/O cabling, cable support system, fibre optic cable testing and termination as required and necessary for a complete and functional system as specified</t>
  </si>
  <si>
    <t>PAN backbone extension from WIL22 PST Process XLV room to WIL21 Headworks LV switchroom 3 in ILM2</t>
  </si>
  <si>
    <t>BQ5.2-15</t>
  </si>
  <si>
    <t>ICA CABLING - PAN NETWORK SUB-RING</t>
  </si>
  <si>
    <t>BQ5.2-15 /A**</t>
  </si>
  <si>
    <t>Provide PAN network sub-ring F/O cabling, cable support system and fibre optic cable testing and termination as required and necessary for a complete and functional system as specified</t>
  </si>
  <si>
    <t>PAN network sub-ring from WIL22 PST Process XLV room to WIL21 and at WIL21 Headworks LV switchroom 3 in ILM2</t>
  </si>
  <si>
    <t>BQ5.2-15 /C**</t>
  </si>
  <si>
    <t>PAN network sub-ring from WIL22 PST Process XLV room to WIL23 Secondary Process XLV room 1 and at WIL23 in ILM2</t>
  </si>
  <si>
    <t>BQ5.2-15 /D**</t>
  </si>
  <si>
    <t>PAN network sub-ring from WIL23 Secondary Process XLV room 1 to WIL23 Secondary Process XLV room 2 and at WIL23 in ILM2</t>
  </si>
  <si>
    <t>BQ5.2-16</t>
  </si>
  <si>
    <t>ICA CABLING - PAN NETWORK SUB-RING (CONT'D)</t>
  </si>
  <si>
    <t>BQ5.2-16 /A**</t>
  </si>
  <si>
    <t>Provide PAN network sub-ring F/O cabling, cable support system and fibre optic cable testing and termination as required and necessary for a complete and functional system as specified (Cont'd)</t>
  </si>
  <si>
    <t>PAN network sub-ring from WIL23 Secondary Process XLV room 2 to WIL22 PST Process XLV room</t>
  </si>
  <si>
    <t>BQ5.2-17</t>
  </si>
  <si>
    <t>ICA CABLING - COPPER NETWORK CABLING</t>
  </si>
  <si>
    <t>Provide CAT6/CAT6A copper network cabling, cable support system and cable testing and termination as required and necessary for a complete and functional system as specified</t>
  </si>
  <si>
    <t>BQ5.2-17 /A**</t>
  </si>
  <si>
    <t>(WIL21: Industrial LM2 Headworks)</t>
  </si>
  <si>
    <t>From WIL21 Headworks PAN sub-ring network to WIL21 Grit Blowers master control PLCs</t>
  </si>
  <si>
    <t>BQ5.2-17 /B**</t>
  </si>
  <si>
    <t>From WIL23 Secondary PAN sub-ring network to WIL23 Membrane Air Blowers master control PLCs</t>
  </si>
  <si>
    <t>BQ5.2-17 /C**</t>
  </si>
  <si>
    <t>From WIL23 Secondary PAN sub-ring network to WIL23 Bioreactor Aeration Blowers master control PLCs</t>
  </si>
  <si>
    <t>BQ5.2-18</t>
  </si>
  <si>
    <t>ICA CABLING - COPPER NETWORK CABLING (CONT'D)</t>
  </si>
  <si>
    <t>BQ5.2-18 /A**</t>
  </si>
  <si>
    <t>Provide CAT6/CAT6A copper network cabling, cable support system and cable testing and termination as required and necessary for a complete and functional system as specified (Cont'd)</t>
  </si>
  <si>
    <t>BQ5.2-19</t>
  </si>
  <si>
    <t>ICA CABLING - MULTIMODE F/O CABLING</t>
  </si>
  <si>
    <t>BQ5.2-19 /A**</t>
  </si>
  <si>
    <t>Provide Multimode F/O cabling, cable support system and fibre optic cable testing and termination as required and necessary for a complete and functional system as specified</t>
  </si>
  <si>
    <t>From WIL21 Headworks LV switchroom 3 to Grit Blower unit control panels</t>
  </si>
  <si>
    <t>BQ5.2-19 /B**</t>
  </si>
  <si>
    <t>From WIL23 Secondary Process XLV room 2 to Bioreactor Aeration Blower unit control panels</t>
  </si>
  <si>
    <t>BQ5.2-19 /C**</t>
  </si>
  <si>
    <t>From WIL23 Secondary Process XLV room 2 to Membrane Air Blower unit control panels</t>
  </si>
  <si>
    <t>BQ5.2-20</t>
  </si>
  <si>
    <t>ICA CABLING - MULTIMODE F/O CABLING (CONT'D)</t>
  </si>
  <si>
    <t>BQ5.2-20 /A**</t>
  </si>
  <si>
    <t>Provide Multimode F/O cabling, cable support system and fibre optic cable testing and termination as required and necessary for a complete and functional system as specified (Cont'd)</t>
  </si>
  <si>
    <t>From WIL22 PST LV Switchroom 1 to Compressed Air system master controller panel</t>
  </si>
  <si>
    <t>BQ5.2-21</t>
  </si>
  <si>
    <t>ICA CABLING - FIELD CONTROL NETWORK</t>
  </si>
  <si>
    <t>BQ5.2-21 /A**</t>
  </si>
  <si>
    <t>Provide field control network F/O cabling connecting RIO panels and other equipment, including cable support system and fibre optic cable testing and termination as required and necessary for a complete and functional system as specified</t>
  </si>
  <si>
    <t>For WIL06 - Chemical area field</t>
  </si>
  <si>
    <t>BQ5.2-21 /B**</t>
  </si>
  <si>
    <t>BQ5.2-21 /C**</t>
  </si>
  <si>
    <t>BQ5.2-22</t>
  </si>
  <si>
    <t>ICA CABLING - FIELD CONTROL NETWORK (CONT'D)</t>
  </si>
  <si>
    <t>BQ5.2-22 /A**</t>
  </si>
  <si>
    <t>Provide field control network F/O cabling connecting RIO panels and other equipment, including cable support system and fibre optic cable testing and termination as required and necessary for a complete and functional system as specified (Cont'd)</t>
  </si>
  <si>
    <t>For WIL23 - Secondary Treatment field and MCC</t>
  </si>
  <si>
    <t>BQ5.2-23</t>
  </si>
  <si>
    <t>ICA CABLING - FIELD CABLING</t>
  </si>
  <si>
    <t>BQ5.2-23 /A**</t>
  </si>
  <si>
    <t>Provide field signal and control cabling from RIO panels/ marshalling panels to field devices including actuators and MCCs/ standalone motor starters, except to instruments and field control network cabling from Local Control Station (LCS) to field devices including actuators, including cable support system as required and necessary for a complete and functional system as specified</t>
  </si>
  <si>
    <t>For WIL23 - HV Switchboards to RIO panels</t>
  </si>
  <si>
    <t>BQ5.2-23 /B**</t>
  </si>
  <si>
    <t>For WIL00 - Industrial Liquids Common</t>
  </si>
  <si>
    <t>BQ5.2-23 /C**</t>
  </si>
  <si>
    <t>BQ5.2-24 /C**</t>
  </si>
  <si>
    <t>ICA CABLING - FIELD CABLING (CONT'D)</t>
  </si>
  <si>
    <t>Provide field signal and control cabling from RIO panels/ marshalling panels to field devices including actuators and MCCs/ standalone motor starters, except to instruments and field control network cabling from Local Control Station (LCS) to field devices including actuators, including cable support system as required and necessary for a complete and functional system as specified (Cont'd)</t>
  </si>
  <si>
    <t>BQ5.2-25</t>
  </si>
  <si>
    <t>UPS CABLING FROM MAIN UPS DB(S)</t>
  </si>
  <si>
    <t>BQ5.2-25 /A**</t>
  </si>
  <si>
    <t>Provide UPS cabling including termination from main UPS DB(s) to field UPS DB(s), to RIO panel(s), to MCP(s) and LCP(s) and cable support system as required and necessary for a complete and functional system as specified</t>
  </si>
  <si>
    <t>For WIL06 - from existing UPS Main DB in WIL13 - ILM1 Headworks Process XLV room 1 to new UPS sub-DB and ICA Panels as specified</t>
  </si>
  <si>
    <t>BQ5.2-25 /B**</t>
  </si>
  <si>
    <t>For WIL21 &amp; WIL22 - from existing UPS Main DB in WIL22 - ILM2 PST Process XLV room to new UPS sub-DBs, ICA Panels and field devices as specified</t>
  </si>
  <si>
    <t>BQ5.2-25 /C**</t>
  </si>
  <si>
    <t>For WIL23 - from existing UPS Main DB in WIL23 - ILM2 Secondary Process XLV room 1 to new UPS sub-DBs, ICA Panels and field devices as specified</t>
  </si>
  <si>
    <t>BQ5.2-26</t>
  </si>
  <si>
    <t>UPS CABLING FROM MAIN UPS DB(S) (CONT'D)</t>
  </si>
  <si>
    <t>BQ5.2-26 /A**</t>
  </si>
  <si>
    <t>Provide UPS cabling including termination from main UPS DB(s) to field UPS DB(s), to RIO panel(s), to MCP(s) and LCP(s) and cable support system as required and necessary for a complete and functional system as specified (Cont'd)</t>
  </si>
  <si>
    <t>For WIL23 - from existing UPS Main DB in WIL23 - ILM2 Secondary Process XLV room 2 to new UPS sub-DB, ICA Panels and field devices as specified</t>
  </si>
  <si>
    <t>BQ5.2-27 /B**</t>
  </si>
  <si>
    <t>UPS CABLING FROM FIELD UPS DB(S)</t>
  </si>
  <si>
    <t>Provide UPS cabling from field UPS DB(s) to RIO panels and other loads and cable support system as required and necessary for a complete and functional system as specified</t>
  </si>
  <si>
    <t>At WIL06 - Chemical Area</t>
  </si>
  <si>
    <t>BQ5.2-27 /C**</t>
  </si>
  <si>
    <t>At WIL21 - Headworks field</t>
  </si>
  <si>
    <t>BQ5.2-28</t>
  </si>
  <si>
    <t>UPS CABLING FROM FIELD UPS DB(S) (CONT'D)</t>
  </si>
  <si>
    <t>BQ5.2-28 /A**</t>
  </si>
  <si>
    <t>Provide UPS cabling from field UPS DB(s) to RIO panels and other loads and cable support system as required and necessary for a complete and functional system as specified (Cont'd)</t>
  </si>
  <si>
    <t>At WIL22 - PST field</t>
  </si>
  <si>
    <t>BQ5.2-28 /B**</t>
  </si>
  <si>
    <t>At WIL23 - Secondary treatment field</t>
  </si>
  <si>
    <t>BQ5.2-29</t>
  </si>
  <si>
    <t>LOADOUT FACILITY CONTROL SYSTEM</t>
  </si>
  <si>
    <t>BQ5.2-29 /A**</t>
  </si>
  <si>
    <t>Provide loadout facility control equipment including local control stations, sensors, traffic directing lights, configuration, cabling and cable support system as required and necessary for a complete and functional  system, as specified</t>
  </si>
  <si>
    <t>At WIL21 - Headworks Grit and Screenings loadout facility</t>
  </si>
  <si>
    <t>BQ5.2-30</t>
  </si>
  <si>
    <t>INSTRUMENT EARTH</t>
  </si>
  <si>
    <t>BQ5.2-30 /A**</t>
  </si>
  <si>
    <t>Provide instrument earthing system and lightning protection system, earthing cables and interconnection, instrument earth bars, surge protection and other accessories as required and necessary for a complete and functional system as specified</t>
  </si>
  <si>
    <t>For system at WIL06</t>
  </si>
  <si>
    <t>BQ5.2-30 /B**</t>
  </si>
  <si>
    <t>For system at WIL21</t>
  </si>
  <si>
    <t>BQ5.2-30 /C**</t>
  </si>
  <si>
    <t>For system at WIL22</t>
  </si>
  <si>
    <t>BQ5.2-30 /D**</t>
  </si>
  <si>
    <t>For system at WIL23</t>
  </si>
  <si>
    <t>BQ5.2-31</t>
  </si>
  <si>
    <t>BQ5.2-31 /A</t>
  </si>
  <si>
    <t>Allow for each and every expense for complying with the Conditions of Contract, Specifications, Drawings and all other documents forming part of this Contract, not specifically mentioned and allowed for elsewhere in Bill No. 5.2 for satisfactory completion of the Works, naming the items below and pricing them separately. (Tenderer shall give a breakdown of the works covered under the item below or on a separate sheet if space provided here is not enough)</t>
  </si>
  <si>
    <t>BQ5.2-31 /B</t>
  </si>
  <si>
    <t>BQ5.2-31 /C</t>
  </si>
  <si>
    <t>BQ5.2-31 /D</t>
  </si>
  <si>
    <t>BQ5.2-31 /E</t>
  </si>
  <si>
    <t>BQ5.2-31 /F</t>
  </si>
  <si>
    <t>BQ5.2-31 /H</t>
  </si>
  <si>
    <t>H</t>
  </si>
  <si>
    <t>BQ5.3-1</t>
  </si>
  <si>
    <t>BILL NO. 5.3</t>
  </si>
  <si>
    <t>- INSTRUMENTATION AND CABLING</t>
  </si>
  <si>
    <t>PROCESS INSTRUMENTATION</t>
  </si>
  <si>
    <t>Provide instruments in accordance with manufacturers' instructions including sensor, transmitter, all power and signal cabling, piping, tubing, analyser panels, cable support system, accessories and others as required and necessary for a complete and functional system, as specified</t>
  </si>
  <si>
    <t>BQ5.3-1 /A**</t>
  </si>
  <si>
    <t>(WIL00: Industrial Liquids Common)</t>
  </si>
  <si>
    <t>Magnetic flowmeters for size 200mm to 300mm</t>
  </si>
  <si>
    <t>BQ5.3-1 /B**</t>
  </si>
  <si>
    <t>Pressure gauges</t>
  </si>
  <si>
    <t>BQ5.3-1 /C**</t>
  </si>
  <si>
    <t>Pressure switches</t>
  </si>
  <si>
    <t>BQ5.3-1 /D**</t>
  </si>
  <si>
    <t>Pressure transmitters</t>
  </si>
  <si>
    <t>BQ5.3-1 /E**</t>
  </si>
  <si>
    <t>Thermal flow switches</t>
  </si>
  <si>
    <t>BQ5.3-2</t>
  </si>
  <si>
    <t>PROCESS INSTRUMENTATION (CONT'D)</t>
  </si>
  <si>
    <t>Provide instruments in accordance with manufacturers' instructions including sensor, transmitter, all power and signal cabling, piping, tubing, analyser panels, cable support system, accessories and others as required and necessary for a complete and functional system, as specified (Cont'd)</t>
  </si>
  <si>
    <t>BQ5.3-2 /A**</t>
  </si>
  <si>
    <t>(WIL06: Industrial Chemical Area)</t>
  </si>
  <si>
    <t>Magnetic flowmeters for size up to 150mm</t>
  </si>
  <si>
    <t>BQ5.3-2 /B**</t>
  </si>
  <si>
    <t>Pressure gauges with diaphragm seals</t>
  </si>
  <si>
    <t>BQ5.3-2 /C**</t>
  </si>
  <si>
    <t>Low point leak detector</t>
  </si>
  <si>
    <t>BQ5.3-2 /D**</t>
  </si>
  <si>
    <t>Limit switches</t>
  </si>
  <si>
    <t>BQ5.3-3 /A**</t>
  </si>
  <si>
    <t>Conductive probe level switches</t>
  </si>
  <si>
    <t>BQ5.3-3 /B**</t>
  </si>
  <si>
    <t>BQ5.3-3 /C**</t>
  </si>
  <si>
    <t>BQ5.3-3 /D**</t>
  </si>
  <si>
    <t>Magnetic flowmeters for size 350mm to 500mm</t>
  </si>
  <si>
    <t>BQ5.3-3 /E**</t>
  </si>
  <si>
    <t>Magnetic flowmeters for size 1300mm to 1500mm</t>
  </si>
  <si>
    <t>BQ5.3-4 /A**</t>
  </si>
  <si>
    <t>(WIL21: Industrial LM2 Headworks) (Cont'd)</t>
  </si>
  <si>
    <t>BQ5.3-4 /B**</t>
  </si>
  <si>
    <t>BQ5.3-4 /C**</t>
  </si>
  <si>
    <t>Motion switches</t>
  </si>
  <si>
    <t>BQ5.3-4 /D**</t>
  </si>
  <si>
    <t>Radar level transmitters</t>
  </si>
  <si>
    <t>BQ5.3-5 /A**</t>
  </si>
  <si>
    <t>VOC analysers</t>
  </si>
  <si>
    <t>BQ5.3-5 /B**</t>
  </si>
  <si>
    <t>Carbon monoxide gas detectors</t>
  </si>
  <si>
    <t>BQ5.3-5 /C**</t>
  </si>
  <si>
    <t>H2S gas detectors</t>
  </si>
  <si>
    <t>BQ5.3-6 /A**</t>
  </si>
  <si>
    <t>LEL (CH4) detectors</t>
  </si>
  <si>
    <t>BQ5.3-6 /B**</t>
  </si>
  <si>
    <t>Local displays</t>
  </si>
  <si>
    <t>BQ5.3-6 /C**</t>
  </si>
  <si>
    <t>Load cells and weight transmitters</t>
  </si>
  <si>
    <t>BQ5.3-7 /A**</t>
  </si>
  <si>
    <t>Open channel ultrasonic flow transmitters</t>
  </si>
  <si>
    <t>BQ5.3-7 /B**</t>
  </si>
  <si>
    <t>pH analysers</t>
  </si>
  <si>
    <t>BQ5.3-7 /C**</t>
  </si>
  <si>
    <t>Pressure transmitters with diaphragm seals</t>
  </si>
  <si>
    <t>BQ5.3-7 /D**</t>
  </si>
  <si>
    <t>BQ5.3-7 /E**</t>
  </si>
  <si>
    <t>BQ5.3-8 /A**</t>
  </si>
  <si>
    <t>BQ5.3-8 /B**</t>
  </si>
  <si>
    <t>Rotameters</t>
  </si>
  <si>
    <t>BQ5.3-8 /C**</t>
  </si>
  <si>
    <t>Temperature transmitters with thermowells</t>
  </si>
  <si>
    <t>BQ5.3-8 /D**</t>
  </si>
  <si>
    <t>Thermal mass flowmeters</t>
  </si>
  <si>
    <t>BQ5.3-8 /E**</t>
  </si>
  <si>
    <t>Flow conditioner for thermal mass flowmeters</t>
  </si>
  <si>
    <t>BQ5.3-9 /A**</t>
  </si>
  <si>
    <t>Toxicity analysers</t>
  </si>
  <si>
    <t>BQ5.3-9 /B**</t>
  </si>
  <si>
    <t>RF admittance level transmitters</t>
  </si>
  <si>
    <t>BQ5.3-9 /C**</t>
  </si>
  <si>
    <t>Autosamplers</t>
  </si>
  <si>
    <t>BQ5.3-10 /A**</t>
  </si>
  <si>
    <t>Temperature sensors for ICA and Electrical rooms ambient temperature monitoring</t>
  </si>
  <si>
    <t>BQ5.3-10 /B**</t>
  </si>
  <si>
    <t>Truck position sensors</t>
  </si>
  <si>
    <t>BQ5.3-10 /C**</t>
  </si>
  <si>
    <t>Inductive loop sensors for common loadout facility</t>
  </si>
  <si>
    <t>BQ5.3-11 /B**</t>
  </si>
  <si>
    <t>(WIL22: Industrial LM2 Primary Treatment)</t>
  </si>
  <si>
    <t>BQ5.3-11 /C**</t>
  </si>
  <si>
    <t>BQ5.3-11 /D**</t>
  </si>
  <si>
    <t>BQ5.3-12 /A**</t>
  </si>
  <si>
    <t>(WIL22: Industrial LM2 Primary Treatment) (Cont'd)</t>
  </si>
  <si>
    <t>BQ5.3-12 /B**</t>
  </si>
  <si>
    <t>BQ5.3-12 /D**</t>
  </si>
  <si>
    <t>BQ5.3-13 /A**</t>
  </si>
  <si>
    <t>Sludge blanket level switches</t>
  </si>
  <si>
    <t>BQ5.3-13 /C**</t>
  </si>
  <si>
    <t>Turbidity analysers</t>
  </si>
  <si>
    <t>BQ5.3-13 /D**</t>
  </si>
  <si>
    <t>Total solids transmitters</t>
  </si>
  <si>
    <t>BQ5.3-13 /E**</t>
  </si>
  <si>
    <t>BQ5.3-14 /B**</t>
  </si>
  <si>
    <t>BQ5.3-14 /C**</t>
  </si>
  <si>
    <t>BQ5.3-15 /A**</t>
  </si>
  <si>
    <t>(WIL23: Industrial LM2 Secondary Treatment) (Cont'd)</t>
  </si>
  <si>
    <t>BQ5.3-15 /B**</t>
  </si>
  <si>
    <t>Ortho-Phosphate analysers</t>
  </si>
  <si>
    <t>BQ5.3-15 /C**</t>
  </si>
  <si>
    <t>BQ5.3-15 /D**</t>
  </si>
  <si>
    <t>DO analysers</t>
  </si>
  <si>
    <t>BQ5.3-16 /C**</t>
  </si>
  <si>
    <t>BQ5.3-16 /D**</t>
  </si>
  <si>
    <t>Magnetic flowmeters for size 600mm to 800mm</t>
  </si>
  <si>
    <t>BQ5.3-17 /A**</t>
  </si>
  <si>
    <t>Nitrite/ Nitrate analysers</t>
  </si>
  <si>
    <t>BQ5.3-17 /B**</t>
  </si>
  <si>
    <t>ORP analysers</t>
  </si>
  <si>
    <t>BQ5.3-17 /C**</t>
  </si>
  <si>
    <t>Rotameters with reed switches</t>
  </si>
  <si>
    <t>BQ5.3-18 /A**</t>
  </si>
  <si>
    <t>BQ5.3-18 /B**</t>
  </si>
  <si>
    <t>BQ5.3-18 /C**</t>
  </si>
  <si>
    <t>BQ5.3-19 /A**</t>
  </si>
  <si>
    <t>TSS (MLSS) analysers</t>
  </si>
  <si>
    <t>BQ5.3-19 /D**</t>
  </si>
  <si>
    <t>BQ5.3-20 /A**</t>
  </si>
  <si>
    <t>BQ5.3-20 /B**</t>
  </si>
  <si>
    <t>Tuning fork level switches</t>
  </si>
  <si>
    <t>BQ5.3-20 /D**</t>
  </si>
  <si>
    <t>BQ5.3-20 /E**</t>
  </si>
  <si>
    <t>Conductivity analysers</t>
  </si>
  <si>
    <t>BQ5.3-21 /A**</t>
  </si>
  <si>
    <t>Float level switches</t>
  </si>
  <si>
    <t>BQ5.3-21 /B**</t>
  </si>
  <si>
    <t>Ammonia analysers (GSE)</t>
  </si>
  <si>
    <t>BQ5.3-21 /D**</t>
  </si>
  <si>
    <t>BQ5.3-22 /A**</t>
  </si>
  <si>
    <t>Portable pH analysers</t>
  </si>
  <si>
    <t>BQ5.3-22 /B**</t>
  </si>
  <si>
    <t>Portable ORP analysers</t>
  </si>
  <si>
    <t>BQ5.3-22 /C**</t>
  </si>
  <si>
    <t>Portable Conductivity analysers</t>
  </si>
  <si>
    <t>BQ5.3-22 /D**</t>
  </si>
  <si>
    <t>Portable Dissolved Oxygen analysers</t>
  </si>
  <si>
    <t>BQ5.3-22 /E**</t>
  </si>
  <si>
    <t>Portable Turbidity (including low and high range) analysers</t>
  </si>
  <si>
    <t>BQ5.3-23 /A**</t>
  </si>
  <si>
    <t>Portable Nitrite/ Nitrate analysers</t>
  </si>
  <si>
    <t>BQ5.3-23 /B**</t>
  </si>
  <si>
    <t>Portable TSS (including lower and higher range) analysers</t>
  </si>
  <si>
    <t>BQ5.3-23 /C**</t>
  </si>
  <si>
    <t>Portable VOC gas (including low and high range) analysers</t>
  </si>
  <si>
    <t>BQ5.3-24 /A**</t>
  </si>
  <si>
    <t>Portable Hydrogen Sulphide gas concentration analysers</t>
  </si>
  <si>
    <t>BQ5.3-24 /B**</t>
  </si>
  <si>
    <t>Portable Ammonia (High Range) analysers</t>
  </si>
  <si>
    <t>BQ5.3-24 /C**</t>
  </si>
  <si>
    <t>Portable Ammonia (Low Range) analysers</t>
  </si>
  <si>
    <t>BQ5.3-25 /A</t>
  </si>
  <si>
    <t>Allow for any other instrumentation not mentioned above but deemed required for satisfactory completion for this system</t>
  </si>
  <si>
    <t>BQ5.3-25 /B</t>
  </si>
  <si>
    <t>Allow for reagents and maintenance consumables for analytical instruments, portable instruments, and specialist instrumentation, calibration certificates, training as specified and analyser technician support during installation, pre-commissioning, process testing &amp; commissioning, plant start-up and performance testing throughout Part 1</t>
  </si>
  <si>
    <t>BQ5.3-26</t>
  </si>
  <si>
    <t>BQ5.3-26 /A</t>
  </si>
  <si>
    <t>Allow for each and every expense for complying with the Conditions of Contract, Specifications, Drawings and all other documents forming part of this Contract, not specifically mentioned and allowed for elsewhere in Bill No. 5.3 for satisfactory completion of the Works, naming the items below and pricing them separately. (Tenderer shall give a breakdown of the works covered under the item below or on a separate sheet if space provided here is not enough)</t>
  </si>
  <si>
    <t>BQ5.3-26 /B</t>
  </si>
  <si>
    <t>BQ5.3-26 /C</t>
  </si>
  <si>
    <t>BQ5.3-26 /D</t>
  </si>
  <si>
    <t>BQ5.3-26 /E</t>
  </si>
  <si>
    <t>BQ5.3-26 /F</t>
  </si>
  <si>
    <t>BQ5.4-1</t>
  </si>
  <si>
    <t>BILL NO. 5.4</t>
  </si>
  <si>
    <t>NON-PROCESS SYSTEMS - BACKBONE CABLING</t>
  </si>
  <si>
    <t>BQ5.4-1 /A**</t>
  </si>
  <si>
    <t>Provide Non-Process backbone cabling and cable support system as required and necessary for a complete and functional system as specified</t>
  </si>
  <si>
    <t>Non-process backbone extension from WIL22 PST Non-process XLV room to WIL21 Headworks LV switchroom 3 in ILM2</t>
  </si>
  <si>
    <t>BQ5.4-1 /B**</t>
  </si>
  <si>
    <t>Non-process backbone extension from WIL22 PST Non-process XLV room to WIL23 Secondary Non-process XLV room 1 and 2 in ILM2</t>
  </si>
  <si>
    <t>BQ5.4-1 /C**</t>
  </si>
  <si>
    <t>BQ5.4-2</t>
  </si>
  <si>
    <t>NON-PROCESS SYSTEMS - INFRASTRUCTURE FOR WIRELESS ACCESS POINT NETWORK</t>
  </si>
  <si>
    <t>BQ5.4-2 /A**</t>
  </si>
  <si>
    <t>Provide infrastructure including Field Fibre Optic Termination Panel (FFOTP), cabling and cable support system for Wireless Access Point Network as required and necessary for a complete and functional system as specified</t>
  </si>
  <si>
    <t>At WIL21 - Headworks indoor location</t>
  </si>
  <si>
    <t>BQ5.4-2 /B**</t>
  </si>
  <si>
    <t>At WIL21 - Headworks outdoor location</t>
  </si>
  <si>
    <t>BQ5.4-2 /C**</t>
  </si>
  <si>
    <t>At WIL22 - PST indoor location</t>
  </si>
  <si>
    <t>BQ5.4-2 /D**</t>
  </si>
  <si>
    <t>At WIL22 - PST outdoor location</t>
  </si>
  <si>
    <t>BQ5.4-3</t>
  </si>
  <si>
    <t>NON-PROCESS SYSTEMS - INFRASTRUCTURE FOR WIRELESS ACCESS POINT NETWORK (CONT'D)</t>
  </si>
  <si>
    <t>BQ5.4-3 /A**</t>
  </si>
  <si>
    <t>Provide infrastructure including Field Fibre Optic Termination Panel (FFOTP), cabling and cable support system for Wireless Access Point Network as required and necessary for a complete and functional system as specified (Cont'd)</t>
  </si>
  <si>
    <t>At WIL23 - Secondary treatment indoor location</t>
  </si>
  <si>
    <t>BQ5.4-3 /B**</t>
  </si>
  <si>
    <t>At WIL23 - Secondary treatment outdoor location</t>
  </si>
  <si>
    <t>BQ5.4-4</t>
  </si>
  <si>
    <t>NON-PROCESS SYSTEMS - POWER MONITORING SYSTEM (PMS)</t>
  </si>
  <si>
    <t>BQ5.4-4 /A**</t>
  </si>
  <si>
    <t>Provide PMS edge switches, modular I/O module for PMS, cabling and cable support system as required and necessary for a complete and functional system as specified</t>
  </si>
  <si>
    <t>BQ5.4-4 /B**</t>
  </si>
  <si>
    <t>BQ5.4-4 /C**</t>
  </si>
  <si>
    <t>BQ5.4-4 /D**</t>
  </si>
  <si>
    <t>BQ5.4-5</t>
  </si>
  <si>
    <t>NON-PROCESS SYSTEMS - CONDITION MONITORING SYSTEM</t>
  </si>
  <si>
    <t>BQ5.4-5 /A**</t>
  </si>
  <si>
    <t>Provide VMS analysis software, Mechanical Condition Module(s) (MCMs), cabling and cable support system for vibration and temperature interlocks as required and necessary for a complete and functional system as specified</t>
  </si>
  <si>
    <t>For Bioreactor Aeration Blowers in ILM2</t>
  </si>
  <si>
    <t>BQ5.4-5 /B**</t>
  </si>
  <si>
    <t>For Membrane Air Blowers in ILM2</t>
  </si>
  <si>
    <t>BQ5.4-6</t>
  </si>
  <si>
    <t>MISCELLANEOUS - CABLE SUPPORT SYSTEM BENEATH RAISED FLOOR</t>
  </si>
  <si>
    <t>BQ5.4-6 /A**</t>
  </si>
  <si>
    <t>Provide cable support system installed in grid pattern beneath raised floor including cross junctions, fittings and etc as specified</t>
  </si>
  <si>
    <t>WIL22 - PST Process XLV/ Non-process XLV/ UPS/ Battery rooms A/B/C/D</t>
  </si>
  <si>
    <t>BQ5.4-6 /B**</t>
  </si>
  <si>
    <t>WIL23 - Secondary Process XLV 1/ Non-process XLV 1/ UPS 1/ Battery rooms 1A/1B/1C/1D</t>
  </si>
  <si>
    <t>BQ5.4-6 /C**</t>
  </si>
  <si>
    <t>WIL23 - Secondary Process XLV 2/ Non-process XLV 2/ UPS 2/ Battery rooms 2A/2B/2C/2D</t>
  </si>
  <si>
    <t>BQ5.4-7</t>
  </si>
  <si>
    <t>BQ5.4-7 /A</t>
  </si>
  <si>
    <t>Allow for each and every expense for complying with the Conditions of Contract, Specifications, Drawings and all other documents forming part of this Contract, not specifically mentioned and allowed for elsewhere in Bill No. 5.4 for satisfactory completion of the Works, naming the items below and pricing them separately. (Tenderer shall give a breakdown of the works covered under the item below or on a separate sheet if space provided here is not enough)</t>
  </si>
  <si>
    <t>BQ5.4-7 /B</t>
  </si>
  <si>
    <t>BQ5.4-7 /C</t>
  </si>
  <si>
    <t>BQ5.4-7 /D</t>
  </si>
  <si>
    <t>BQ5.4-7 /E</t>
  </si>
  <si>
    <t>BQ5.4-7 /F</t>
  </si>
  <si>
    <t>BQ5.5-1</t>
  </si>
  <si>
    <t>BILL NO. 5.5</t>
  </si>
  <si>
    <t>BQ5.5-1 /A</t>
  </si>
  <si>
    <t>For integration with existing WNS03 PLCs and control monitoring system</t>
  </si>
  <si>
    <t>BQ5.5-1 /B</t>
  </si>
  <si>
    <t>BQ5.5-2</t>
  </si>
  <si>
    <t>BQ5.5-2 /A**</t>
  </si>
  <si>
    <t>At WNS03 -Surge Vessel area</t>
  </si>
  <si>
    <t>BQ5.5-2 /B**</t>
  </si>
  <si>
    <t>BQ5.5-3</t>
  </si>
  <si>
    <t>BQ5.5-3 /A**</t>
  </si>
  <si>
    <t>For WNS03 - Surge Vessel area field</t>
  </si>
  <si>
    <t>BQ5.5-4</t>
  </si>
  <si>
    <t>BQ5.5-4 /A**</t>
  </si>
  <si>
    <t>For system at WNS03</t>
  </si>
  <si>
    <t>BQ5.5-5</t>
  </si>
  <si>
    <t>BQ5.5-5 /A**</t>
  </si>
  <si>
    <t>(WNS03: NW/IW Pump Station)</t>
  </si>
  <si>
    <t>Differential pressure transmitters</t>
  </si>
  <si>
    <t>BQ5.5-5 /B**</t>
  </si>
  <si>
    <t>BQ5.5-5 /C**</t>
  </si>
  <si>
    <t>BQ5.5-6</t>
  </si>
  <si>
    <t>BQ5.5-6 /A</t>
  </si>
  <si>
    <t>Allow for each and every expense for complying with the Conditions of Contract, Specifications, Drawings and all other documents forming part of this Contract, not specifically mentioned and allowed for elsewhere in Bill No. 5.5 for satisfactory completion of the Works, naming the items below and pricing them separately. (Tenderer shall give a breakdown of the works covered under the item below or on a separate sheet if space provided here is not enough)</t>
  </si>
  <si>
    <t>BQ5.5-6 /B</t>
  </si>
  <si>
    <t>BQ5.5-6 /C</t>
  </si>
  <si>
    <t>BQ5.5-6 /D</t>
  </si>
  <si>
    <t>BQ5.5-6 /E</t>
  </si>
  <si>
    <t>BQ5.5-6 /F</t>
  </si>
  <si>
    <t>BQ5-1</t>
  </si>
  <si>
    <t>BILL NO. 5</t>
  </si>
  <si>
    <t xml:space="preserve">ICA WORKS </t>
  </si>
  <si>
    <t>ICA PANELS AND CABLING</t>
  </si>
  <si>
    <t>INSTRUMENTATION AND CABLING</t>
  </si>
  <si>
    <t>NON-PROCESS SYSTEM</t>
  </si>
  <si>
    <t>SURGE VESSEL</t>
  </si>
  <si>
    <t>TOTAL OF BILL NO. 5 CARRIED TO GENERAL SUMMARY</t>
  </si>
  <si>
    <t>BQ6.1-1</t>
  </si>
  <si>
    <t>BILL NO. 6.1</t>
  </si>
  <si>
    <t>BUILDING SERVICES</t>
  </si>
  <si>
    <t>- AIR-CONDITIONING AND MECHANICAL VENTILATION (ACMV)</t>
  </si>
  <si>
    <t>MECHANICAL VENTILATION SYSTEMS</t>
  </si>
  <si>
    <t>Provide Mechanical Ventilation System and its associated equipment consisting of local control panels, stainless steel 304 ductwork and fittings, including louvres, grilles, dampers, silencers, sensors, wire mesh, filters, linkage to BMS for monitoring and control, equipment plinths, supporting structures and others as required and necessary for a complete and functional system, as specified</t>
  </si>
  <si>
    <t>Industrial Liquids Module 2 Building</t>
  </si>
  <si>
    <t>BQ6.1-1 /A**</t>
  </si>
  <si>
    <t>Headworks (WIL21)</t>
  </si>
  <si>
    <t>Mechanical ventilation fans complete with local control panels,  silencers, mounting supports, cablings, associated accessories, and linkage to BMS, etc.</t>
  </si>
  <si>
    <t>BQ6.1-1 /B**</t>
  </si>
  <si>
    <t>Stainless steel 304 ductwork and fittings, including flanged joints, louvres, grilles, dampers, wire mesh, filters, duct supports, associated accessories, etc. as a complete system</t>
  </si>
  <si>
    <t>BQ6.1-2</t>
  </si>
  <si>
    <t>MECHANICAL VENTILATION SYSTEMS (CONT'D)</t>
  </si>
  <si>
    <t>Provide Mechanical Ventilation System and its associated equipment consisting of local control panels, stainless steel 304 ductwork and fittings, including louvres, grilles, dampers, silencers, sensors, wire mesh, filters, linkage to BMS for monitoring and control, equipment plinths, supporting structures and others as required and necessary for a complete and functional system, as specified (Cont'd)</t>
  </si>
  <si>
    <t>Industrial Liquids Module 2 Building (Cont'd)</t>
  </si>
  <si>
    <t>Primary Treatment (WIL22)</t>
  </si>
  <si>
    <t>BQ6.1-3</t>
  </si>
  <si>
    <t>Secondary Treatment (WIL23)</t>
  </si>
  <si>
    <t>BQ6.1-4</t>
  </si>
  <si>
    <t>Process, Non Process XLV rooms, and Uninterrupted Power Supply (UPS) rooms</t>
  </si>
  <si>
    <t>BQ6.1-4 /A**</t>
  </si>
  <si>
    <t>Mechanical ventilation air fans complete with local control panels,   silencers, mounting supports, cablings, associated accessories, and linkage to BMS, etc</t>
  </si>
  <si>
    <t>BQ6.1-5</t>
  </si>
  <si>
    <t>Process, Non Process XLV rooms, and Uninterrupted Power Supply (UPS) rooms (Cont'd)</t>
  </si>
  <si>
    <t>Stainless steel 304 ductwork and fittings, including flanged joints, louvres, grilles, dampers, wire mesh, filters, duct supports, associated accessories, etc as a complete system</t>
  </si>
  <si>
    <t>BQ6.1-6</t>
  </si>
  <si>
    <t>Battery rooms</t>
  </si>
  <si>
    <t>BQ6.1-7</t>
  </si>
  <si>
    <t>Battery rooms (Cont'd)</t>
  </si>
  <si>
    <t>BQ6.1-8</t>
  </si>
  <si>
    <t>Male and Female Toilets</t>
  </si>
  <si>
    <t>BQ6.1-9</t>
  </si>
  <si>
    <t>Male and Female Toilets (Cont'd)</t>
  </si>
  <si>
    <t>BQ6.1-10 /A**</t>
  </si>
  <si>
    <t>Gas Cylinder Rooms</t>
  </si>
  <si>
    <t>BQ6.1-11 /A**</t>
  </si>
  <si>
    <t>BQ6.1-12</t>
  </si>
  <si>
    <t>AIR HANDLING SYSTEM</t>
  </si>
  <si>
    <t>BQ6.1-12 /A**</t>
  </si>
  <si>
    <t>Provide Air Handling System and its associated equipment consisting of motor starter, local control panels, stainless steel 304 ductwork and fittings, including louvres, grilles, dampers, silencers, sensors, wire mesh, filters, linkage to BMS for monitoring and control, equipment plinths, supporting structures and others as required and necessary for a complete and functional system, as specified</t>
  </si>
  <si>
    <t>Air Handling Units complete with primary and secondary filters, local control panels, motor starter, sensors, concrete plinths, cablings, and associated accessories, and linkage to BMS, etc.</t>
  </si>
  <si>
    <t>BQ6.1-12 /B**</t>
  </si>
  <si>
    <t>Stainless steel 304 insulated ductwork and fittings, including flanged joints, louvres, grilles, dampers, wire mesh, filters, duct supports, associated accessories, etc. as a complete system</t>
  </si>
  <si>
    <t>BQ6.1-13</t>
  </si>
  <si>
    <t>AIR HANDLING SYSTEM (CONT'D)</t>
  </si>
  <si>
    <t>Provide Air Handling System and its associated equipment consisting of motor starter, local control panels, stainless steel 304 ductwork and fittings, including louvres, grilles, dampers, silencers, sensors, wire mesh, filters, linkage to BMS for monitoring and control, equipment plinths, supporting structures and others as required and necessary for a complete and functional system, as specified (Cont'd)</t>
  </si>
  <si>
    <t>BQ6.1-15</t>
  </si>
  <si>
    <t xml:space="preserve">FAN COIL UNITS </t>
  </si>
  <si>
    <t>BQ6.1-15 /A**</t>
  </si>
  <si>
    <t>Provide Fan Coil Units (FCU) air conditioning system, (ceiling mounted ducted unit) complete with insulated stainless steel 304 ductwork and fittings, including flanged joints, diffusers, grilles, dampers, sensors, wire mesh, filters, local control panel, linkage to BMS for monitoring and control, wirings, associated accessories equipment plinths, supporting structures and others as required and necessary for a complete and functional system, etc. as specified for the following areas</t>
  </si>
  <si>
    <t>Fire Command Centre</t>
  </si>
  <si>
    <t>BQ6.1-15 /B**</t>
  </si>
  <si>
    <t>BQ6.1-16</t>
  </si>
  <si>
    <t>CHILLED WATER SYSTEM</t>
  </si>
  <si>
    <t>Chilled Water System and its associated equipment consisting of  pipework complete with valves, bends, tees, reducers, spool pieces, flanges, flange adaptors, supporting structures, thrust restraint joints, bell mouths, pipe sleeves, embeds, duck foots, fittings, fixing accessories, equipment plinths and others as required and necessary for a complete and functional system, as specified</t>
  </si>
  <si>
    <t>Chilled water expansion tank including supports, aluminum cat ladder externally, high / low level alarm electrodes, overflow, drain pipes, concrete support and associated accessories, etc</t>
  </si>
  <si>
    <t>BQ6.1-17</t>
  </si>
  <si>
    <t>CHILLED WATER SYSTEM (CONT'D)</t>
  </si>
  <si>
    <t>Chilled Water System and its associated equipment consisting of  pipework complete with valves, bends, tees, reducers, spool pieces, flanges, flange adaptors, supporting structures, thrust restraint joints, bell mouths, pipe sleeves, embeds, duck foots, fittings, fixing accessories, equipment plinths and others as required and necessary for a complete and functional system, as specified (Cont'd)</t>
  </si>
  <si>
    <t>Permanent Pre-insulated Condenser Water supply and return pipework complete with valves, fittings, supports and associated accessories, etc</t>
  </si>
  <si>
    <t>BQ6.1-18 /A**</t>
  </si>
  <si>
    <t>Water-cooled Chillers complete with motor starter, valves, fittings, controls, wirings, chiller system optimisation including linkages to BMS for monitoring and control, concrete plinths and associated accessories, etc</t>
  </si>
  <si>
    <t>BQ6.1-18 /B**</t>
  </si>
  <si>
    <t>BQ6.1-19</t>
  </si>
  <si>
    <t>Chilled Water pumps complete with motor starter, valves, fittings, controls, wirings, including linkages to BMS for monitoring and control, concrete plinths and associated accessories, etc</t>
  </si>
  <si>
    <t>BQ6.1-20</t>
  </si>
  <si>
    <t>Chilled water system MCC panels  complete with incoming air-circuit breakers, overcurrent and earth fault protection, bus bar coupler, outgoing MCCBs, cablings, cable tray, trunking and associated accessories etc for connection to chillers, chilled water pumps, motor starters and etc</t>
  </si>
  <si>
    <t>BQ6.1-21</t>
  </si>
  <si>
    <t>Pre-insulated chilled water supply and return pipework complete with valves, fittings, supports,  associated accessories and etc</t>
  </si>
  <si>
    <t>BQ6.1-22</t>
  </si>
  <si>
    <t>BQ6.1-22 /A**</t>
  </si>
  <si>
    <t>ALS including accessories, supporting structures and others as required and necessary for a complete and functional system, as specified</t>
  </si>
  <si>
    <t>Allow for ALS for all equipment that require routine lubrication</t>
  </si>
  <si>
    <t>BQ6.1-23</t>
  </si>
  <si>
    <t>BQ6.1-23 /A</t>
  </si>
  <si>
    <t>Allow for each and every expense for complying with the Conditions of Contract, Specifications, Drawings and all other documents forming part of this Contract, not specifically mentioned and allowed for elsewhere for satisfactory completion of the Works specified in Bill No. 6.1, naming the items below and pricing them separately
(Tenderer shall give a breakdown of the works covered under the item below or on a separate sheet if space provided here is not enough)</t>
  </si>
  <si>
    <t>BQ6.1-23 /B</t>
  </si>
  <si>
    <t>BQ6.1-23 /C</t>
  </si>
  <si>
    <t>BQ6.1-23 /D</t>
  </si>
  <si>
    <t>BQ6.1-23 /E</t>
  </si>
  <si>
    <t>BQ6.1-23 /F</t>
  </si>
  <si>
    <t>BQ6.2-1</t>
  </si>
  <si>
    <t>BILL NO. 6.2</t>
  </si>
  <si>
    <t>- BUILDING MANAGEMENT SYSTEM (BMS)</t>
  </si>
  <si>
    <t>BUILDING MANAGEMENT SYSTEM (BMS)</t>
  </si>
  <si>
    <t>Provide Building Management System (BMS) PLC System and its associated equipment consisting of power supply, CPU, input &amp; output modules, cabling, interfaces, accessories, equipment plinths, supporting structures and others as required and necessary for a complete and functional system to monitor and control the supplied ACMV equipment and monitoring of Fire Protection, Detection and Alarm System, as specified</t>
  </si>
  <si>
    <t xml:space="preserve">(This cost shall include coordination and interfacing work with other contractor under Contract 5A and/or contractors as directed by S.O. to connect the BMS to the Non-Process Backbone for site wide BMS)
(BMS PLC System communication protocol to be either BacNet IP or Modbus TCP/IP shall be open and inter-operable, with non-proprietary PLC's) </t>
  </si>
  <si>
    <t>BQ6.2-1 /A**</t>
  </si>
  <si>
    <t xml:space="preserve">BMS System </t>
  </si>
  <si>
    <t>BQ6.2-2</t>
  </si>
  <si>
    <t>BUILDING MANAGEMENT SYSTEM (BMS) (CONT'D)</t>
  </si>
  <si>
    <t>Provide Building Management System (BMS) PLC System and its associated equipment consisting of power supply, CPU, input &amp; output modules, cabling, interfaces, accessories, equipment plinths, supporting structures and others as required and necessary for a complete and functional system to monitor and control the supplied ACMV equipment and monitoring of Fire Protection, Detection and Alarm System, as specified (Cont'd)</t>
  </si>
  <si>
    <t>BQ6.2-2 /A**</t>
  </si>
  <si>
    <t>BMS hot standby PLC System complete with power supply module, CPU processor, hot swappable input and output module, memory, interface cables, communication module, third parties interface module, logic memory, data storage memory and shall have the necessary data communication facilities to provide correct interfacing with the Building Management System (BMS)</t>
  </si>
  <si>
    <t xml:space="preserve">Allow for any other items not mentioned above but deemed required for the satisfactory completion for this system
</t>
  </si>
  <si>
    <t>BQ6.2-3</t>
  </si>
  <si>
    <t>BQ6.2-3 /A</t>
  </si>
  <si>
    <t>Allow for each and every expense for complying with the Conditions of Contract, Specifications, Drawings and all other documents forming part of this Contract, not specifically mentioned and allowed for elsewhere for satisfactory completion of the Works specified in Bill No. 6.2, naming the items below and pricing them separately
(Tenderer shall give a breakdown of the works covered under the item below or on a separate sheet if space provided here is not enough)</t>
  </si>
  <si>
    <t>BQ6.2-3 /B</t>
  </si>
  <si>
    <t>BQ6.2-3 /C</t>
  </si>
  <si>
    <t>BQ6.2-3 /D</t>
  </si>
  <si>
    <t>BQ6.2-3 /E</t>
  </si>
  <si>
    <t>BQ6.2-3 /F</t>
  </si>
  <si>
    <t>BQ6.3-1</t>
  </si>
  <si>
    <t>BILL NO. 6.3</t>
  </si>
  <si>
    <t>- INTEGRATED SECURITY MANAGEMENT SYSTEM AND PLANT CCTV</t>
  </si>
  <si>
    <t>INTEGRATED SECURITY MANAGEMENT SYSTEM (ACCESS CONTROL SYSTEM, SECURITY CCTV) AND PLANT CCTV</t>
  </si>
  <si>
    <t>Provide cabling for access control system for all specified buildings complete with trunking, cable trays, conduits, junction and knock-out boxes only for the connection and installation by other contractor under Contract 6B for the access control system as specified</t>
  </si>
  <si>
    <t>BQ6.3-1 /A**</t>
  </si>
  <si>
    <t>(This cost shall include coordination with other contractor under Contract 6B and/or contractors as directed by S.O. and includes the minimum specified slack coil for termination of access control accessories by Contract 6B)</t>
  </si>
  <si>
    <t>BQ6.3-1 /B**</t>
  </si>
  <si>
    <t>BQ6.3-2</t>
  </si>
  <si>
    <t>INTEGRATED SECURITY MANAGEMENT SYSTEM (ACCESS CONTROL SYSTEM, SECURITY CCTV) AND PLANT CCTV (CONT'D)</t>
  </si>
  <si>
    <t>Provide cabling for Security CCTV camera locations as shown in the BIM model, complete with trunking, cable trays, conduits, junction and knock-out boxes only for the connection and installation by other contractor under Contract 6B as specified</t>
  </si>
  <si>
    <t>(This cost shall include coordination with other contractor under Contract 6B and/or contractors as directed by S.O. and includes the minimum specified slack coil for termination of cameras by Contract 6B)</t>
  </si>
  <si>
    <t>BQ6.3-3</t>
  </si>
  <si>
    <t>Provide cabling for Plant CCTV camera locations as shown in the BIM model, complete with trunking, cable trays, conduits, junction and knock-out boxes only for the connection and installation by other contractor under Contract 6B as specified</t>
  </si>
  <si>
    <t>(This cost shall include coordination with other contractor under Contract 6B and/or contractors as directed by S.O. and includes the minimum specified slack coil for termination of cameras by Contract 6B) (Cont'd)</t>
  </si>
  <si>
    <t>BQ6.3-4</t>
  </si>
  <si>
    <t>BQ6.3-4 /A</t>
  </si>
  <si>
    <t>Allow for each and every expense for complying with the Conditions of Contract, Specifications, Drawings and all other documents forming part of this Contract, not specifically mentioned and allowed for elsewhere for satisfactory completion of the Works specified in Bill No. 6.3, naming the items below and pricing them separately
(Tenderer shall give a breakdown of the works covered under the item below or on a separate sheet if space provided here is not enough)</t>
  </si>
  <si>
    <t>BQ6.3-4 /B</t>
  </si>
  <si>
    <t>BQ6.3-4 /C</t>
  </si>
  <si>
    <t>BQ6.3-4 /D</t>
  </si>
  <si>
    <t>BQ6.3-4 /E</t>
  </si>
  <si>
    <t>BQ6.3-4 /F</t>
  </si>
  <si>
    <t>BQ6.4-1</t>
  </si>
  <si>
    <t>BILL NO. 6.4</t>
  </si>
  <si>
    <t>- FIRE PROTECTION, DETECTION AND ALARM SYSTEM</t>
  </si>
  <si>
    <t>FIRE PROTECTION, DETECTION AND ALARM SYSTEM</t>
  </si>
  <si>
    <t>Fire Protection, Detection and Alarm System and its associated equipment, accessories, equipment plinths and others as required and necessary for a complete and functional system, as specified</t>
  </si>
  <si>
    <t>Sprinkler pipe system complete with sprinkler control valves, 4-way breeching inlet, earthing, test assembly, flow switch, ductile iron cement lined pipework to flow switches, stainless steel 304 pipework from flow switches to sprinkler heads, drain-out valves, unistrut pipe support system, associated accessories and etc</t>
  </si>
  <si>
    <t>BQ6.4-1 /A**</t>
  </si>
  <si>
    <t>Sprinkler Pipe System to flow switch</t>
  </si>
  <si>
    <t>BQ6.4-2 /B**</t>
  </si>
  <si>
    <t>FIRE PROTECTION, DETECTION AND ALARM SYSTEM (CONT'D)</t>
  </si>
  <si>
    <t>Fire Protection, Detection and Alarm System and its associated equipment, accessories, equipment plinths and others as required and necessary for a complete and functional system, as specified (Cont'd)</t>
  </si>
  <si>
    <t>Sprinkler pipe system complete with sprinkler control valves, 4-way breeching inlet, earthing, test assembly, flow switch, ductile iron cement lined pipework to flow switches, stainless steel 304 pipework from flow switches to sprinkler heads, drain-out valves, unistrut pipe support system, associated accessories and etc (Cont'd)</t>
  </si>
  <si>
    <t>Stainless steel 304 sprinkler heads complete with sprinkler distribution piping from flow switch</t>
  </si>
  <si>
    <t>BQ6.4-3</t>
  </si>
  <si>
    <t>Provide Water Monitor System complete with all the necessary accessories. All components shall be SS304 or other suitable material to resist corrosion in atmosphere inherent in the facility.</t>
  </si>
  <si>
    <t>BQ6.4-4</t>
  </si>
  <si>
    <t>Automatic addressable Fire Alarm system complete with sub-alarm panels, mimic panels, all detectors, circuitry, including fire rated cabling, alarm bells, strobe lights, manual call points, batteries, power supply unit, auxiliary interfacing connection, panels surge arresters against lightning protection, and all necessary electrical components, associated accessories, etc.</t>
  </si>
  <si>
    <t>BQ6.4-5</t>
  </si>
  <si>
    <t xml:space="preserve">IG100 inert gas total flooding suppression system complete with alarm warning systems, fire extinguishing panels, independent smoke detectors system, solenoid valves, piping, nozzles, gas cylinders, steel frame supports, signage, breathing apparatus, accessories and etc 
</t>
  </si>
  <si>
    <t>BQ6.4-6</t>
  </si>
  <si>
    <t xml:space="preserve">Fire hose reel system complete with hose reels, pipework and all associated accessories etc., including but not limited to automatic venting valve, air relief valve, earthing and bonding system, etc
</t>
  </si>
  <si>
    <t>BQ6.4-7</t>
  </si>
  <si>
    <t xml:space="preserve">Dry riser system for above ground complete with 2-way breeching inlets for each dry riser, landing valves, standby fire hoses, cabinets, piping and etc., including but not limited to automatic venting valve, earthing and bonding system, etc
</t>
  </si>
  <si>
    <t>BQ6.4-8</t>
  </si>
  <si>
    <t>Two Way Emergency Voice Communication System complete with fireman intercom main panel with handset, supervisory termination panel, handset, cabling and associated accessories</t>
  </si>
  <si>
    <t>BQ6.4-9</t>
  </si>
  <si>
    <t>One Way Emergency Voice Communication System complete with amplifiers, pre-amplifiers, IP network audio adaptor, IP network switch, box speakers, cabling and associated accessories</t>
  </si>
  <si>
    <t>BQ6.4-10</t>
  </si>
  <si>
    <t>BQ6.4-10 /A</t>
  </si>
  <si>
    <t>Allow for each and every expense for complying with the Conditions of Contract, Specifications, Drawings and all other documents forming part of this Contract, not specifically mentioned and allowed for elsewhere for satisfactory completion of the Works specified in Bill No. 6.4, naming the items below and pricing them separately
(Tenderer shall give a breakdown of the works covered under the item below or on a separate sheet if space provided here is not enough)</t>
  </si>
  <si>
    <t>BQ6.4-10 /B</t>
  </si>
  <si>
    <t>BQ6.4-10 /C</t>
  </si>
  <si>
    <t>BQ6.4-10 /D</t>
  </si>
  <si>
    <t>BQ6.4-10 /E</t>
  </si>
  <si>
    <t>BQ6.4-10 /F</t>
  </si>
  <si>
    <t>BQ6.5-1</t>
  </si>
  <si>
    <t>BILL NO. 6.5</t>
  </si>
  <si>
    <t>- VoIP TELEPHONE INFRASTRUCTURE</t>
  </si>
  <si>
    <t>VoIP TELEPHONE INFRASTRUCTURE</t>
  </si>
  <si>
    <t>Cabling for VoIP telephone infrastructure for all specified buildings complete with trunking, cable trays, conduits, junction and knock-out boxes only for the connection and installation by other contractor under Contract 6A for the VoIP telephone system as specified</t>
  </si>
  <si>
    <t>BQ6.5-1 /A**</t>
  </si>
  <si>
    <t>(This cost shall include coordination with other contractor under Contract 6A and/or other contractors as directed by S.O. and includes the minimum specified slack coil for termination of VoIP telephone accessories by Contract 6A)</t>
  </si>
  <si>
    <t>BQ6.5-1 /B**</t>
  </si>
  <si>
    <t>BQ6.5-2</t>
  </si>
  <si>
    <t>BQ6.5-2 /A</t>
  </si>
  <si>
    <t>Allow for each and every expense for complying with the Conditions of Contract, Specifications, Drawings and all other documents forming part of this Contract, not specifically mentioned and allowed for elsewhere for satisfactory completion of the Works specified in Bill No. 6.5, naming the items below and pricing them separately
(Tenderer shall give a breakdown of the works covered under the item below or on a separate sheet if space provided here is not enough)</t>
  </si>
  <si>
    <t>BQ6.5-2 /B</t>
  </si>
  <si>
    <t>BQ6.5-2 /C</t>
  </si>
  <si>
    <t>BQ6.5-2 /D</t>
  </si>
  <si>
    <t>BQ6.5-2 /E</t>
  </si>
  <si>
    <t>BQ6.5-2 /F</t>
  </si>
  <si>
    <t>BQ6.6-1</t>
  </si>
  <si>
    <t>BILL NO. 6.6</t>
  </si>
  <si>
    <t>- ELECTRIC TRACTION ELEVATORS (LIFTS)</t>
  </si>
  <si>
    <t>ELECTRIC TRACTION ELEVATORS (LIFTS)</t>
  </si>
  <si>
    <t>BQ6.6-1 /A**</t>
  </si>
  <si>
    <t xml:space="preserve">Electric Traction Elevators including its associated equipment, intercom system, accessories, and others as required and necessary for a complete and functional system, as specified
</t>
  </si>
  <si>
    <t>Service lift (WIL22)</t>
  </si>
  <si>
    <t>BQ6.6-1 /B**</t>
  </si>
  <si>
    <t>BQ6.6-2</t>
  </si>
  <si>
    <t>BQ6.6-2 /A</t>
  </si>
  <si>
    <t>Allow for each and every expense for complying with the Conditions of Contract, Specifications, Drawings and all other documents forming part of this Contract, not specifically mentioned and allowed for elsewhere for satisfactory completion of the Works specified in Bill No. 6.6, naming the items below and pricing them separately
(Tenderer shall give a breakdown of the works covered under the item below or on a separate sheet if space provided here is not enough)</t>
  </si>
  <si>
    <t>BQ6.6-2 /B</t>
  </si>
  <si>
    <t>BQ6.6-2 /C</t>
  </si>
  <si>
    <t>BQ6.6-2 /D</t>
  </si>
  <si>
    <t>BQ6.6-2 /E</t>
  </si>
  <si>
    <t>BQ6.6-2 /F</t>
  </si>
  <si>
    <t>BQ6-1</t>
  </si>
  <si>
    <t>BILL NO. 6</t>
  </si>
  <si>
    <t>AIR-CONDITIONING AND MECHANICAL VENTILATION (ACMV)</t>
  </si>
  <si>
    <t>INTEGRATED SECURITY MANAGEMENT SYSTEM AND PLANT CCTV</t>
  </si>
  <si>
    <t>TOTAL OF BILL NO. 6 CARRIED TO GENERAL SUMMARY</t>
  </si>
  <si>
    <t>BQ7-1</t>
  </si>
  <si>
    <t>BILL NO. 7</t>
  </si>
  <si>
    <t>ASSET MANAGEMENT SYSTEM</t>
  </si>
  <si>
    <t>Note:
The description of any items herein are not intended to be exhaustive. The Contractor's rates and prices shall be deemed to have allowed for compliance with the Specifications including but not limited to Particular Specifications P2, P6, P13, Drawings and Preamble to Bills of Quantities.</t>
  </si>
  <si>
    <t>BQ7-1 /A</t>
  </si>
  <si>
    <t>INDUSTRIAL LIQUIDS COMMON (WIL00)</t>
  </si>
  <si>
    <t>Allow for the provision of equipment O&amp;M information to interface with the Board’s TWRP Operation &amp; Maintenance Management System (OMMS), Asset Management System (AMS) and inventory system</t>
  </si>
  <si>
    <t>BQ7-1 /B</t>
  </si>
  <si>
    <t>Allow for the provision of equipment O&amp;M information to interface with Contractor's computerised asset listing</t>
  </si>
  <si>
    <t>BQ7-2 /A</t>
  </si>
  <si>
    <t>INDUSTRIAL CHEMICAL AREA (WIL06)</t>
  </si>
  <si>
    <t>BQ7-2 /B</t>
  </si>
  <si>
    <t>BQ7-3 /A</t>
  </si>
  <si>
    <t>INDUSTRIAL LM2 HEADWORKS (WIL21)</t>
  </si>
  <si>
    <t>BQ7-3 /B</t>
  </si>
  <si>
    <t>BQ7-4 /A</t>
  </si>
  <si>
    <t>INDUSTRIAL LM2 PRIMARY TREATMENT (WIL22)</t>
  </si>
  <si>
    <t>BQ7-4 /B</t>
  </si>
  <si>
    <t>BQ7-5 /A</t>
  </si>
  <si>
    <t>INDUSTRIAL LM2 SECONDARY TREATMENT (WIL23)</t>
  </si>
  <si>
    <t>BQ7-5 /B</t>
  </si>
  <si>
    <t>BQ7-6 /A</t>
  </si>
  <si>
    <t>NW/IW PUMP STATION (WNS03)</t>
  </si>
  <si>
    <t>BQ7-6 /B</t>
  </si>
  <si>
    <t>BQ7-7</t>
  </si>
  <si>
    <t>BQ7-7 /A</t>
  </si>
  <si>
    <t>Allow for each and every expense for complying with the Conditions of Contract, Specifications, Drawings and all other documents forming part of this Contract, not specifically mentioned and allowed for elsewhere for satisfactory completion of the Works, specified in Bill No. 7 naming the items below and pricing them separately
(Tenderer shall give a breakdown of the works covered under the item below or on a separate sheet if space provided here is not enough)</t>
  </si>
  <si>
    <t>BQ7-7 /B</t>
  </si>
  <si>
    <t>BQ7-7 /C</t>
  </si>
  <si>
    <t>BQ7-7 /D</t>
  </si>
  <si>
    <t>BQ7-7 /E</t>
  </si>
  <si>
    <t>BQ7-7 /F</t>
  </si>
  <si>
    <t>BQ7-7 /G</t>
  </si>
  <si>
    <t>BQ7-7 /H</t>
  </si>
  <si>
    <t>BQ8-1</t>
  </si>
  <si>
    <t>BILL NO. 8</t>
  </si>
  <si>
    <t>SPARE PARTS, SPECIAL TOOLS AND CONSUMABLE ITEMS</t>
  </si>
  <si>
    <t>Note:</t>
  </si>
  <si>
    <t>The Contractor shall price for the spare parts, special tools and consumables listed in this Bill of Quantities in supplement to the  manufacturer’s recommended spare parts and special tools and list out separately in the spaces provided below</t>
  </si>
  <si>
    <t>BQ8-1 /A</t>
  </si>
  <si>
    <t>ILM Influent Flowmeter Chamber Sump Pump</t>
  </si>
  <si>
    <t>One (1) sump pump complete with motor</t>
  </si>
  <si>
    <t>BQ8-2</t>
  </si>
  <si>
    <t>ILM Headworks Intermediate Screens</t>
  </si>
  <si>
    <t>BQ8-2 /A</t>
  </si>
  <si>
    <t>(One set means the spare parts and associated apparatus required for the equipment)</t>
  </si>
  <si>
    <t>One (1) complete set of bearings for main axle</t>
  </si>
  <si>
    <t>BQ8-2 /B</t>
  </si>
  <si>
    <t>One (1) complete set of bearings for gearbox</t>
  </si>
  <si>
    <t>BQ8-2 /C</t>
  </si>
  <si>
    <t>One (1) complete set of seals for gearbox</t>
  </si>
  <si>
    <t>BQ8-3</t>
  </si>
  <si>
    <t>BQ8-3 /A</t>
  </si>
  <si>
    <t>ILM Headworks Fine Screens</t>
  </si>
  <si>
    <t>BQ8-3 /B</t>
  </si>
  <si>
    <t>BQ8-3 /C</t>
  </si>
  <si>
    <t>BQ8-4 /A</t>
  </si>
  <si>
    <t>ILM Headworks Dewatering Press for Intermediate Screens</t>
  </si>
  <si>
    <t>BQ8-4 /B</t>
  </si>
  <si>
    <t>BQ8-4 /C</t>
  </si>
  <si>
    <t>BQ8-5 /A</t>
  </si>
  <si>
    <t>ILM Cross-Conveyor for Intermediate Screen Screenings</t>
  </si>
  <si>
    <t>Internal wear liners for a complete length of trough</t>
  </si>
  <si>
    <t>BQ8-5 /B</t>
  </si>
  <si>
    <t>Spiral segments including couplings for a complete length of trough</t>
  </si>
  <si>
    <t>BQ8-6 /A</t>
  </si>
  <si>
    <t>ILM Loadout Conveyor for Intermediate Screen Screenings</t>
  </si>
  <si>
    <t>BQ8-6 /B</t>
  </si>
  <si>
    <t>BQ8-7 /A</t>
  </si>
  <si>
    <t>ILM Headworks Dewatering Press for Fine Screens</t>
  </si>
  <si>
    <t>BQ8-7 /B</t>
  </si>
  <si>
    <t>BQ8-7 /C</t>
  </si>
  <si>
    <t>BQ8-8 /A</t>
  </si>
  <si>
    <t>ILM Cross-Conveyor for Fine Screen Screenings</t>
  </si>
  <si>
    <t>BQ8-8 /B</t>
  </si>
  <si>
    <t>BQ8-9 /A</t>
  </si>
  <si>
    <t>ILM Loadout Conveyor for Fine Screen Screenings</t>
  </si>
  <si>
    <t>BQ8-9 /B</t>
  </si>
  <si>
    <t>BQ8-10 /A</t>
  </si>
  <si>
    <t>Manufacturer's recommended spare parts for Used Water Screens and Screenings Treatment for continuous operation of two (2) years
(Tenderer to provide one (1) set of each type of manufacturer's recommended spare parts for the Used Water Screens and Screenings Treatment. Tenderer to list out the spare parts in the spaces provided below)</t>
  </si>
  <si>
    <t>Part:_________________________</t>
  </si>
  <si>
    <t>BQ8-10 /B</t>
  </si>
  <si>
    <t>BQ8-10 /C</t>
  </si>
  <si>
    <t>BQ8-10 /D</t>
  </si>
  <si>
    <t>BQ8-11 /A</t>
  </si>
  <si>
    <t>Manufacturer's recommended spare parts for Used Water Screens and Screenings Treatment for continuous operation of two (2) years
(Tenderer to provide one (1) set of each type of manufacturer's recommended spare parts for the Used Water Screens and Screenings Treatment. Tenderer to list out the spare parts in the spaces provided below) (Cont'd)</t>
  </si>
  <si>
    <t>BQ8-11 /B</t>
  </si>
  <si>
    <t>BQ8-11 /C</t>
  </si>
  <si>
    <t>Allow for any other spares recommended for the operation of the system.(Tenderer shall list out the name and price of each item on a separate sheet if space provided here is not enough)</t>
  </si>
  <si>
    <t>BQ8-12 /A</t>
  </si>
  <si>
    <t xml:space="preserve">Manufacturer's recommended special tools for Used Water Screens and Screenings Treatment
(Tenderer to provide one (1) set of each type of manufacturer's recommended special tools for the Used Water Screens and Screenings Treatment. Tenderer to list out the special tools in the spaces provided below)
</t>
  </si>
  <si>
    <t>BQ8-12 /B</t>
  </si>
  <si>
    <t>BQ8-12 /C</t>
  </si>
  <si>
    <t>BQ8-12 /D</t>
  </si>
  <si>
    <t>BQ8-13 /A</t>
  </si>
  <si>
    <t>Manufacturer's recommended special tools for Used Water Screens and Screenings Treatment
(Tenderer to provide one (1) set of each type of manufacturer's recommended special tools for the Used Water Screens and Screenings Treatment. Tenderer to list out the special tools in the spaces provided below)
 (Cont'd)</t>
  </si>
  <si>
    <t>BQ8-13 /B</t>
  </si>
  <si>
    <t>BQ8-13 /C</t>
  </si>
  <si>
    <t>Allow for any other tools recommended for the operation of the system.(Tenderer shall list out the name and price of each item on a separate sheet if space provided here is not enough)</t>
  </si>
  <si>
    <t>BQ8-14</t>
  </si>
  <si>
    <t>ILM Submerged Grit Screw Conveyor</t>
  </si>
  <si>
    <t>BQ8-14 /A</t>
  </si>
  <si>
    <t>(One set means the spare parts and associated apparatus required for one conveyor and motor)</t>
  </si>
  <si>
    <t>Spiral segments for a complete length of trough for the conveyor including segment with welded coupling plate</t>
  </si>
  <si>
    <t>BQ8-14 /B</t>
  </si>
  <si>
    <t>BQ8-15</t>
  </si>
  <si>
    <t>BQ8-15 /A</t>
  </si>
  <si>
    <t>ILM Coarse Bubble Diffusers</t>
  </si>
  <si>
    <t>Coarse bubble diffuser</t>
  </si>
  <si>
    <t>BQ8-15 /B</t>
  </si>
  <si>
    <t>Couplings and clamps repair kit</t>
  </si>
  <si>
    <t>BQ8-15 /C</t>
  </si>
  <si>
    <t>Connection fittings</t>
  </si>
  <si>
    <t>BQ8-16</t>
  </si>
  <si>
    <t>ILM Grit Aeration Blowers</t>
  </si>
  <si>
    <t>BQ8-16 /A</t>
  </si>
  <si>
    <t>Manufacturer's recommended spare parts for ILM Grit Aeration Blowers for continuous operation of two (2) years
(Tenderer to provide one (1) set of manufacturer's recommended spare parts for the Grit Aeration Blowers, where one set means the spare parts and associated apparatus required for one blower and motor. Tenderer to list out the spare parts in the spaces provided below)</t>
  </si>
  <si>
    <t>BQ8-16 /B</t>
  </si>
  <si>
    <t>BQ8-16 /C</t>
  </si>
  <si>
    <t>BQ8-16 /D</t>
  </si>
  <si>
    <t>BQ8-17</t>
  </si>
  <si>
    <t>ILM Grit Aeration Blowers (Cont'd)</t>
  </si>
  <si>
    <t>BQ8-17 /A</t>
  </si>
  <si>
    <t>Manufacturer's recommended spare parts for ILM Grit Aeration Blowers for continuous operation of two (2) years
(Tenderer to provide one (1) set of manufacturer's recommended spare parts for the Grit Aeration Blowers, where one set means the spare parts and associated apparatus required for one blower and motor. Tenderer to list out the spare parts in the spaces provided below) (Cont'd)</t>
  </si>
  <si>
    <t>BQ8-17 /B</t>
  </si>
  <si>
    <t>BQ8-17 /C</t>
  </si>
  <si>
    <t>BQ8-18</t>
  </si>
  <si>
    <t>Grit Tank Scum and Grease Collector</t>
  </si>
  <si>
    <t>BQ8-18 /A</t>
  </si>
  <si>
    <t xml:space="preserve">Manufacturer's recommended spare parts for ILM Grit Tank Scum and Grease Collector for continuous operation of two (2) years
(Tenderer to provide one (1) set of each type of manufacturer's recommended spare parts for the Grit Tank Scum and Grease Collector. Tenderer to list out the spare parts in the spaces provided below)
</t>
  </si>
  <si>
    <t>BQ8-18 /B</t>
  </si>
  <si>
    <t>BQ8-18 /C</t>
  </si>
  <si>
    <t>BQ8-18 /D</t>
  </si>
  <si>
    <t>BQ8-19</t>
  </si>
  <si>
    <t>Grit Tank Scum and Grease Collector (Cont'd)</t>
  </si>
  <si>
    <t>BQ8-19 /A</t>
  </si>
  <si>
    <t>Manufacturer's recommended spare parts for ILM Grit Tank Scum and Grease Collector for continuous operation of two (2) years
(Tenderer to provide one (1) set of each type of manufacturer's recommended spare parts for the Grit Tank Scum and Grease Collector. Tenderer to list out the spare parts in the spaces provided below)
 (Cont'd)</t>
  </si>
  <si>
    <t>BQ8-19 /B</t>
  </si>
  <si>
    <t>BQ8-19 /C</t>
  </si>
  <si>
    <t>BQ8-20</t>
  </si>
  <si>
    <t>ILM Grease and Scum Wet Well Pump</t>
  </si>
  <si>
    <t>BQ8-20 /A</t>
  </si>
  <si>
    <t>(One (1) set means the spare parts and associated apparatus required for one pump and motor)</t>
  </si>
  <si>
    <t>One (1) complete set of bearings</t>
  </si>
  <si>
    <t>BQ8-20 /B</t>
  </si>
  <si>
    <t>One (1) complete set of o-rings</t>
  </si>
  <si>
    <t>BQ8-20 /C</t>
  </si>
  <si>
    <t>One (1) complete set of gaskets</t>
  </si>
  <si>
    <t>BQ8-20 /D</t>
  </si>
  <si>
    <t>One (1) complete set of mechanical seals</t>
  </si>
  <si>
    <t>BQ8-21</t>
  </si>
  <si>
    <t>ILM Grit Pump</t>
  </si>
  <si>
    <t>BQ8-21 /A</t>
  </si>
  <si>
    <t>(One (1) set means the spare parts and associated apparatus required for one pump and motor) (Cont'd)</t>
  </si>
  <si>
    <t>One (1) complete set of rotating wear ring/ plate</t>
  </si>
  <si>
    <t>BQ8-21 /B</t>
  </si>
  <si>
    <t>BQ8-21 /C</t>
  </si>
  <si>
    <t>BQ8-21 /D</t>
  </si>
  <si>
    <t>BQ8-21 /E</t>
  </si>
  <si>
    <t>BQ8-21 /F</t>
  </si>
  <si>
    <t>One (1) complete set of impeller</t>
  </si>
  <si>
    <t>BQ8-22 /A</t>
  </si>
  <si>
    <t>ILM Grit Loadout Conveyor</t>
  </si>
  <si>
    <t>BQ8-22 /B</t>
  </si>
  <si>
    <t>BQ8-23 /A</t>
  </si>
  <si>
    <t>ILM Grit Classifier</t>
  </si>
  <si>
    <t>One (1) complete set of bearings for main axle and stirrer</t>
  </si>
  <si>
    <t>BQ8-23 /B</t>
  </si>
  <si>
    <t>BQ8-23 /C</t>
  </si>
  <si>
    <t>BQ8-24 /A</t>
  </si>
  <si>
    <t>ILM Grit Tank Channel Sampling Pump</t>
  </si>
  <si>
    <t>Sampling pump complete with motor</t>
  </si>
  <si>
    <t>BQ8-25 /A</t>
  </si>
  <si>
    <t>Manufacturer's recommended spare parts for Grit, Grease and Scum Removal System for continuous operation of two (2) years
(Tenderer to provide one (1) set of each type of manufacturer's recommended spare parts for the Grit, Grease and Scum Removal System. Tenderer to list out the spare parts in the spaces provided below)</t>
  </si>
  <si>
    <t>BQ8-25 /B</t>
  </si>
  <si>
    <t>BQ8-25 /C</t>
  </si>
  <si>
    <t>BQ8-25 /D</t>
  </si>
  <si>
    <t>BQ8-26 /A</t>
  </si>
  <si>
    <t>Manufacturer's recommended spare parts for Grit, Grease and Scum Removal System for continuous operation of two (2) years
(Tenderer to provide one (1) set of each type of manufacturer's recommended spare parts for the Grit, Grease and Scum Removal System. Tenderer to list out the spare parts in the spaces provided below) (Cont'd)</t>
  </si>
  <si>
    <t>BQ8-26 /B</t>
  </si>
  <si>
    <t>BQ8-26 /C</t>
  </si>
  <si>
    <t>BQ8-27 /A</t>
  </si>
  <si>
    <t>Manufacturer's recommended special tools for Grit, Grease and Scum Removal
(Tenderer to provide one (1) set of each type of manufacturer's recommended special tools for the Grit, Grease and Scum Removal. Tenderer to list out the special tools in the spaces provided below)</t>
  </si>
  <si>
    <t>BQ8-27 /B</t>
  </si>
  <si>
    <t>BQ8-27 /C</t>
  </si>
  <si>
    <t>BQ8-27 /D</t>
  </si>
  <si>
    <t>BQ8-28 /A</t>
  </si>
  <si>
    <t>Manufacturer's recommended special tools for Grit, Grease and Scum Removal
(Tenderer to provide one (1) set of each type of manufacturer's recommended special tools for the Grit, Grease and Scum Removal. Tenderer to list out the special tools in the spaces provided below) (Cont'd)</t>
  </si>
  <si>
    <t>BQ8-28 /B</t>
  </si>
  <si>
    <t>BQ8-28 /C</t>
  </si>
  <si>
    <t>BQ8-29</t>
  </si>
  <si>
    <t>BQ8-29 /A</t>
  </si>
  <si>
    <t>ILM Primary Sedimentation Tank Primary Sludge Transfer Pump</t>
  </si>
  <si>
    <t>One (1) complete set of wear ring</t>
  </si>
  <si>
    <t>BQ8-29 /B</t>
  </si>
  <si>
    <t>BQ8-29 /C</t>
  </si>
  <si>
    <t>BQ8-29 /D</t>
  </si>
  <si>
    <t>BQ8-29 /E</t>
  </si>
  <si>
    <t>BQ8-30</t>
  </si>
  <si>
    <t>BQ8-30 /A</t>
  </si>
  <si>
    <t>ILM Primary Sedimentation Tank Scraper System</t>
  </si>
  <si>
    <t>One (1) set of scraper blade wearing strip</t>
  </si>
  <si>
    <t>BQ8-31 /A</t>
  </si>
  <si>
    <t>ILM Primary Scum Wet Well Pump</t>
  </si>
  <si>
    <t>BQ8-31 /B</t>
  </si>
  <si>
    <t>BQ8-31 /C</t>
  </si>
  <si>
    <t>BQ8-31 /D</t>
  </si>
  <si>
    <t>BQ8-32 /A</t>
  </si>
  <si>
    <t>ILM Primary Sludge Industrial Tank Primary Sludge Transfer Pump</t>
  </si>
  <si>
    <t>One (1) complete set of rotating wear ring</t>
  </si>
  <si>
    <t>BQ8-32 /B</t>
  </si>
  <si>
    <t>BQ8-32 /C</t>
  </si>
  <si>
    <t>BQ8-32 /D</t>
  </si>
  <si>
    <t>BQ8-32 /E</t>
  </si>
  <si>
    <t>BQ8-32 /F</t>
  </si>
  <si>
    <t>One (1) complete set of pump stator</t>
  </si>
  <si>
    <t>BQ8-33 /A</t>
  </si>
  <si>
    <t>Manufacturer's recommended spare parts for Primary Sedimentation, Scum and Sludge Removal System for continuous operation of two (2) years
(Tenderer to provide one (1) set of each type of manufacturer's recommended spare parts for the Primary Sedimentation, Scum and Sludge Removal System. Tenderer to list out the spare parts in the spaces provided below)</t>
  </si>
  <si>
    <t>BQ8-33 /B</t>
  </si>
  <si>
    <t>BQ8-33 /C</t>
  </si>
  <si>
    <t>BQ8-33 /D</t>
  </si>
  <si>
    <t>BQ8-34 /A</t>
  </si>
  <si>
    <t>Manufacturer's recommended spare parts for Primary Sedimentation, Scum and Sludge Removal System for continuous operation of two (2) years
(Tenderer to provide one (1) set of each type of manufacturer's recommended spare parts for the Primary Sedimentation, Scum and Sludge Removal System. Tenderer to list out the spare parts in the spaces provided below) (Cont'd)</t>
  </si>
  <si>
    <t>BQ8-34 /B</t>
  </si>
  <si>
    <t>BQ8-34 /C</t>
  </si>
  <si>
    <t>BQ8-35 /A</t>
  </si>
  <si>
    <t>Manufacturer's recommended special tools for Primary Sedimentation, Scum and Sludge Removal System. 
(Tenderer to provide one (1) set of each type of manufacturer's recommended special tools for the Primary Sedimentation, Scum and Sludge Removal System. Tenderer to list out the special tools in the spaces provided below)</t>
  </si>
  <si>
    <t>BQ8-35 /B</t>
  </si>
  <si>
    <t>BQ8-35 /C</t>
  </si>
  <si>
    <t>BQ8-35 /D</t>
  </si>
  <si>
    <t>BQ8-36 /A</t>
  </si>
  <si>
    <t>Manufacturer's recommended special tools for Primary Sedimentation, Scum and Sludge Removal System. 
(Tenderer to provide one (1) set of each type of manufacturer's recommended special tools for the Primary Sedimentation, Scum and Sludge Removal System. Tenderer to list out the special tools in the spaces provided below) (Cont'd)</t>
  </si>
  <si>
    <t>BQ8-36 /B</t>
  </si>
  <si>
    <t>BQ8-36 /C</t>
  </si>
  <si>
    <t>BQ8-37</t>
  </si>
  <si>
    <t>BQ8-37 /A</t>
  </si>
  <si>
    <t>ILM MBR Fine Screen</t>
  </si>
  <si>
    <t>BQ8-37 /B</t>
  </si>
  <si>
    <t>BQ8-37 /C</t>
  </si>
  <si>
    <t>BQ8-38</t>
  </si>
  <si>
    <t>BQ8-38 /A</t>
  </si>
  <si>
    <t>ILM MBR Fine Screens Dewatering Press</t>
  </si>
  <si>
    <t>BQ8-38 /B</t>
  </si>
  <si>
    <t>BQ8-38 /C</t>
  </si>
  <si>
    <t>BQ8-39 /A</t>
  </si>
  <si>
    <t>Manufacturer's recommended spare parts for Membrane Bioreactor (MBR) Screening for continuous operation of two (2) years
(Tenderer to provide one (1) set of manufacturer's recommended spare parts for Membrane Bioreactor (MBR) Screening. Tenderer to list out the spare parts in the spaces provided below)</t>
  </si>
  <si>
    <t>BQ8-39 /B</t>
  </si>
  <si>
    <t>BQ8-39 /C</t>
  </si>
  <si>
    <t>BQ8-39 /D</t>
  </si>
  <si>
    <t>BQ8-40 /A</t>
  </si>
  <si>
    <t>Manufacturer's recommended spare parts for Membrane Bioreactor (MBR) Screening for continuous operation of two (2) years
(Tenderer to provide one (1) set of manufacturer's recommended spare parts for Membrane Bioreactor (MBR) Screening. Tenderer to list out the spare parts in the spaces provided below) (Cont'd)</t>
  </si>
  <si>
    <t>BQ8-40 /B</t>
  </si>
  <si>
    <t>BQ8-40 /C</t>
  </si>
  <si>
    <t>BQ8-41 /A</t>
  </si>
  <si>
    <t xml:space="preserve">Manufacturer's recommended special tools for Membrane Bioreactor (MBR) Screening
(Tenderer to provide one (1) set of manufacturer's recommended special tools for each type of Membrane Bioreactor (MBR) Screening. Tenderer to list out the special tools in the spaces provided below)
</t>
  </si>
  <si>
    <t>BQ8-41 /B</t>
  </si>
  <si>
    <t>BQ8-41 /C</t>
  </si>
  <si>
    <t>BQ8-41 /D</t>
  </si>
  <si>
    <t>BQ8-42 /A</t>
  </si>
  <si>
    <t>Manufacturer's recommended special tools for Membrane Bioreactor (MBR) Screening
(Tenderer to provide one (1) set of manufacturer's recommended special tools for each type of Membrane Bioreactor (MBR) Screening. Tenderer to list out the special tools in the spaces provided below)
 (Cont'd)</t>
  </si>
  <si>
    <t>BQ8-42 /B</t>
  </si>
  <si>
    <t>BQ8-42 /C</t>
  </si>
  <si>
    <t>BQ8-43</t>
  </si>
  <si>
    <t>BIOREACTORS SYSTEM</t>
  </si>
  <si>
    <t>ILM Anoxic Zone Hyperboloid Mixer</t>
  </si>
  <si>
    <t>BQ8-43 /A</t>
  </si>
  <si>
    <t>(One (1) set means the spare parts and associated apparatus required for one mixer and motor)</t>
  </si>
  <si>
    <t>BQ8-43 /B</t>
  </si>
  <si>
    <t>BQ8-43 /C</t>
  </si>
  <si>
    <t>BQ8-44</t>
  </si>
  <si>
    <t>BIOREACTORS SYSTEM (CONT'D)</t>
  </si>
  <si>
    <t>ILM Bioreactor Process Aeration Blowers</t>
  </si>
  <si>
    <t>BQ8-44 /A</t>
  </si>
  <si>
    <t>Manufacturer's recommended spare parts for ILM Bioreactor Process Aeration Blowers for continuous operation of two (2) years
(Tenderer to provide one (1) set of manufacturer's recommended spare parts for the Bioreactor Process Aeration Blowers, where one set means the spare parts and associated apparatus required for one blower and motor. Tenderer to list out the spare parts in the spaces provided below)</t>
  </si>
  <si>
    <t>BQ8-44 /B</t>
  </si>
  <si>
    <t>BQ8-44 /C</t>
  </si>
  <si>
    <t>BQ8-44 /D</t>
  </si>
  <si>
    <t>BQ8-45</t>
  </si>
  <si>
    <t>ILM Bioreactor Process Aeration Blowers (Cont'd)</t>
  </si>
  <si>
    <t>BQ8-45 /A</t>
  </si>
  <si>
    <t>Manufacturer's recommended spare parts for ILM Bioreactor Process Aeration Blowers for continuous operation of two (2) years
(Tenderer to provide one (1) set of manufacturer's recommended spare parts for the Bioreactor Process Aeration Blowers, where one set means the spare parts and associated apparatus required for one blower and motor. Tenderer to list out the spare parts in the spaces provided below) (Cont'd)</t>
  </si>
  <si>
    <t>BQ8-45 /B</t>
  </si>
  <si>
    <t>BQ8-45 /C</t>
  </si>
  <si>
    <t>BQ8-46 /A</t>
  </si>
  <si>
    <t>ILM Bioreactor Diffusers</t>
  </si>
  <si>
    <t>Membrane diffuser (1% of total diffusers)</t>
  </si>
  <si>
    <t>BQ8-46 /B</t>
  </si>
  <si>
    <t>Diffuser assembly (1% of total diffusers)</t>
  </si>
  <si>
    <t>BQ8-46 /C</t>
  </si>
  <si>
    <t>BQ8-46 /D</t>
  </si>
  <si>
    <t>BQ8-47</t>
  </si>
  <si>
    <t>ILM Bioreactor Sampling Pump</t>
  </si>
  <si>
    <t>BQ8-47 /A</t>
  </si>
  <si>
    <t>(One (1) set means the spare parts and associated, apparatus required for one pump and motor)</t>
  </si>
  <si>
    <t>Two (2) complete set of sampling pumps</t>
  </si>
  <si>
    <t>BQ8-48 /A</t>
  </si>
  <si>
    <t>ILM DeOx/RAS Tank RAS Pump</t>
  </si>
  <si>
    <t>BQ8-48 /B</t>
  </si>
  <si>
    <t>BQ8-48 /C</t>
  </si>
  <si>
    <t>BQ8-48 /D</t>
  </si>
  <si>
    <t>BQ8-48 /E</t>
  </si>
  <si>
    <t>BQ8-49 /A</t>
  </si>
  <si>
    <t>ILM WAS Pump</t>
  </si>
  <si>
    <t>BQ8-49 /B</t>
  </si>
  <si>
    <t>BQ8-49 /C</t>
  </si>
  <si>
    <t>BQ8-49 /D</t>
  </si>
  <si>
    <t>BQ8-49 /E</t>
  </si>
  <si>
    <t>BQ8-50 /A</t>
  </si>
  <si>
    <t>Manufacturer's recommended spare parts for Bioreactor System for continuous operation of two (2) years
(Tenderer to provide one (1) set of manufacturer's recommended spare parts for the Bioreactor System. Tenderer to list out the spare parts in the spaces provided below)</t>
  </si>
  <si>
    <t>BQ8-50 /B</t>
  </si>
  <si>
    <t>BQ8-50 /C</t>
  </si>
  <si>
    <t>BQ8-50 /D</t>
  </si>
  <si>
    <t>BQ8-51 /A</t>
  </si>
  <si>
    <t>Manufacturer's recommended spare parts for Bioreactor System for continuous operation of two (2) years
(Tenderer to provide one (1) set of manufacturer's recommended spare parts for the Bioreactor System. Tenderer to list out the spare parts in the spaces provided below) (Cont'd)</t>
  </si>
  <si>
    <t>BQ8-51 /B</t>
  </si>
  <si>
    <t>BQ8-51 /C</t>
  </si>
  <si>
    <t>BQ8-52 /A</t>
  </si>
  <si>
    <t>Manufacturer's recommended special tools for Bioreactor System
(Tenderer to provide one (1) set of manufacturer's recommended special tools for the Bioreactor System. Tenderer to list out the spare parts in the spaces provided below)</t>
  </si>
  <si>
    <t>BQ8-52 /B</t>
  </si>
  <si>
    <t>BQ8-52 /C</t>
  </si>
  <si>
    <t>BQ8-52 /D</t>
  </si>
  <si>
    <t>BQ8-53 /A</t>
  </si>
  <si>
    <t>Manufacturer's recommended special tools for Bioreactor System
(Tenderer to provide one (1) set of manufacturer's recommended special tools for the Bioreactor System. Tenderer to list out the spare parts in the spaces provided below) (Cont'd)</t>
  </si>
  <si>
    <t>BQ8-53 /B</t>
  </si>
  <si>
    <t>BQ8-53 /C</t>
  </si>
  <si>
    <t>BQ8-54</t>
  </si>
  <si>
    <t>BQ8-54 /A</t>
  </si>
  <si>
    <t>ILM Mixed Liquor Return Pump</t>
  </si>
  <si>
    <t>BQ8-54 /B</t>
  </si>
  <si>
    <t>BQ8-54 /C</t>
  </si>
  <si>
    <t>BQ8-54 /D</t>
  </si>
  <si>
    <t>BQ8-54 /E</t>
  </si>
  <si>
    <t>BQ8-55</t>
  </si>
  <si>
    <t>BQ8-55 /A</t>
  </si>
  <si>
    <t>ILM Filtrate Pump</t>
  </si>
  <si>
    <t>BQ8-55 /B</t>
  </si>
  <si>
    <t>BQ8-55 /C</t>
  </si>
  <si>
    <t>BQ8-55 /D</t>
  </si>
  <si>
    <t>BQ8-55 /E</t>
  </si>
  <si>
    <t>BQ8-56 /A</t>
  </si>
  <si>
    <t>ILM Membrane Cleaning Pump</t>
  </si>
  <si>
    <t>BQ8-56 /B</t>
  </si>
  <si>
    <t>BQ8-56 /C</t>
  </si>
  <si>
    <t>BQ8-56 /D</t>
  </si>
  <si>
    <t>BQ8-56 /E</t>
  </si>
  <si>
    <t>BQ8-57</t>
  </si>
  <si>
    <t>ILM Membrane Air Scour Blowers</t>
  </si>
  <si>
    <t>BQ8-57 /A</t>
  </si>
  <si>
    <t>Manufacturer's recommended spare parts for ILM Membrane Air Scour Blowers System for continuous operation of two (2) years 
(Tenderer to provide one (1) set of manufacturer's recommended spare parts for the ILM Membrane Air Scour Blowers, where one set means the spare parts and associated apparatus required for one blower and motor. Tenderer to list out the spare parts in the spaces provided below)</t>
  </si>
  <si>
    <t>BQ8-57 /B</t>
  </si>
  <si>
    <t>BQ8-57 /C</t>
  </si>
  <si>
    <t>BQ8-57 /D</t>
  </si>
  <si>
    <t>BQ8-58</t>
  </si>
  <si>
    <t>ILM Membrane Air Scour Blowers (Cont'd)</t>
  </si>
  <si>
    <t>BQ8-58 /A</t>
  </si>
  <si>
    <t>Manufacturer's recommended spare parts for ILM Membrane Air Scour Blowers System for continuous operation of two (2) years 
(Tenderer to provide one (1) set of manufacturer's recommended spare parts for the ILM Membrane Air Scour Blowers, where one set means the spare parts and associated apparatus required for one blower and motor. Tenderer to list out the spare parts in the spaces provided below) (Cont'd)</t>
  </si>
  <si>
    <t>BQ8-58 /B</t>
  </si>
  <si>
    <t>BQ8-58 /C</t>
  </si>
  <si>
    <t>BQ8-59 /A</t>
  </si>
  <si>
    <t>Manufacturer's recommended spare parts for Membrane Filtration System for continuous operation of two (2) years
(Tenderer to provide one (1) set of manufacturer's recommended spare parts for the Membrane Filtration System. Tenderer to list out the spare parts in the spaces provided below)</t>
  </si>
  <si>
    <t>BQ8-59 /B</t>
  </si>
  <si>
    <t>BQ8-59 /C</t>
  </si>
  <si>
    <t>BQ8-59 /D</t>
  </si>
  <si>
    <t>BQ8-60 /A</t>
  </si>
  <si>
    <t>Manufacturer's recommended spare parts for Membrane Filtration System for continuous operation of two (2) years
(Tenderer to provide one (1) set of manufacturer's recommended spare parts for the Membrane Filtration System. Tenderer to list out the spare parts in the spaces provided below) (Cont'd)</t>
  </si>
  <si>
    <t>BQ8-60 /B</t>
  </si>
  <si>
    <t>BQ8-60 /C</t>
  </si>
  <si>
    <t>BQ8-61 /A</t>
  </si>
  <si>
    <t>Manufacturer's recommended special tools for Membrane Filtration System
(Tenderer to provide one (1) set of manufacturer's recommended special tools for the Membrane Filtration System. Tenderer to list out the spare parts in the spaces provided below)</t>
  </si>
  <si>
    <t>BQ8-61 /B</t>
  </si>
  <si>
    <t>BQ8-61 /C</t>
  </si>
  <si>
    <t>BQ8-61 /D</t>
  </si>
  <si>
    <t>BQ8-62 /A</t>
  </si>
  <si>
    <t>Manufacturer's recommended special tools for Membrane Filtration System
(Tenderer to provide one (1) set of manufacturer's recommended special tools for the Membrane Filtration System. Tenderer to list out the spare parts in the spaces provided below) (Cont'd)</t>
  </si>
  <si>
    <t>BQ8-62 /B</t>
  </si>
  <si>
    <t>BQ8-62 /C</t>
  </si>
  <si>
    <t>BQ8-63</t>
  </si>
  <si>
    <t>BQ8-63 /A</t>
  </si>
  <si>
    <t>ILM Membrane Scum Pump</t>
  </si>
  <si>
    <t>BQ8-63 /B</t>
  </si>
  <si>
    <t>BQ8-63 /C</t>
  </si>
  <si>
    <t>BQ8-63 /D</t>
  </si>
  <si>
    <t>BQ8-64</t>
  </si>
  <si>
    <t>BQ8-64 /A</t>
  </si>
  <si>
    <t>Manufacturer's recommended spare parts for Membrane Area Scum Removal System for continuous operation of two (2) years
(Tenderer to provide one (1) set of manufacturer's recommended spare parts for the Membrane Area Scum Removal System. Tenderer to list out the spare parts in the spaces provided below)</t>
  </si>
  <si>
    <t>BQ8-64 /B</t>
  </si>
  <si>
    <t>BQ8-64 /C</t>
  </si>
  <si>
    <t>BQ8-64 /D</t>
  </si>
  <si>
    <t>BQ8-65 /A</t>
  </si>
  <si>
    <t>Manufacturer's recommended spare parts for Membrane Area Scum Removal System for continuous operation of two (2) years
(Tenderer to provide one (1) set of manufacturer's recommended spare parts for the Membrane Area Scum Removal System. Tenderer to list out the spare parts in the spaces provided below) (Cont'd)</t>
  </si>
  <si>
    <t>BQ8-65 /B</t>
  </si>
  <si>
    <t>BQ8-65 /C</t>
  </si>
  <si>
    <t>BQ8-66 /A</t>
  </si>
  <si>
    <t>Manufacturer's recommended special tools for Membrane Area Scum Removal System
(Tenderer to provide one (1) set of manufacturer's recommended special tools for the Membrane Area Scum Removal System. Tenderer to list out the spare parts in the spaces provided below)</t>
  </si>
  <si>
    <t>BQ8-66 /B</t>
  </si>
  <si>
    <t>BQ8-66 /C</t>
  </si>
  <si>
    <t>BQ8-66 /D</t>
  </si>
  <si>
    <t>BQ8-67 /A</t>
  </si>
  <si>
    <t>Manufacturer's recommended special tools for Membrane Area Scum Removal System
(Tenderer to provide one (1) set of manufacturer's recommended special tools for the Membrane Area Scum Removal System. Tenderer to list out the spare parts in the spaces provided below) (Cont'd)</t>
  </si>
  <si>
    <t>BQ8-67 /B</t>
  </si>
  <si>
    <t>BQ8-67 /C</t>
  </si>
  <si>
    <t>BQ8-68</t>
  </si>
  <si>
    <t>BQ8-68 /A</t>
  </si>
  <si>
    <t>ILM Membrane Filtrate Tank Sampling Pump</t>
  </si>
  <si>
    <t>One (1) complete set of sampling pump</t>
  </si>
  <si>
    <t>BQ8-69</t>
  </si>
  <si>
    <t>BQ8-69 /A</t>
  </si>
  <si>
    <t>ILM Membrane Tank Priming System</t>
  </si>
  <si>
    <t>One (1) complete set of eductor</t>
  </si>
  <si>
    <t>BQ8-70 /A</t>
  </si>
  <si>
    <t>Manufacturer's recommended spare parts for MBR Filtrate Tank and Pumping System for continuous operation of two (2) years
(Tenderer to provide one (1) set of manufacturer's recommended spare parts for the MBR Filtrate Tank and Pumping System. Tenderer to list out the spare parts in the spaces provided below)</t>
  </si>
  <si>
    <t>BQ8-70 /B</t>
  </si>
  <si>
    <t>BQ8-70 /C</t>
  </si>
  <si>
    <t>BQ8-70 /D</t>
  </si>
  <si>
    <t>BQ8-71 /A</t>
  </si>
  <si>
    <t>Manufacturer's recommended spare parts for MBR Filtrate Tank and Pumping System for continuous operation of two (2) years
(Tenderer to provide one (1) set of manufacturer's recommended spare parts for the MBR Filtrate Tank and Pumping System. Tenderer to list out the spare parts in the spaces provided below) (Cont'd)</t>
  </si>
  <si>
    <t>BQ8-71 /B</t>
  </si>
  <si>
    <t>BQ8-71 /C</t>
  </si>
  <si>
    <t>BQ8-72 /A</t>
  </si>
  <si>
    <t>Manufacturer's recommended special tools for MBR Filtrate Tank and Pumping System
(Tenderer to provide one (1) set of manufacturer's recommended special tools for the MBR Filtrate Tank and Pumping System. Tenderer to list out the spare parts in the spaces provided below)</t>
  </si>
  <si>
    <t>BQ8-72 /B</t>
  </si>
  <si>
    <t>BQ8-72 /C</t>
  </si>
  <si>
    <t>BQ8-72 /D</t>
  </si>
  <si>
    <t>BQ8-73 /A</t>
  </si>
  <si>
    <t>Manufacturer's recommended special tools for MBR Filtrate Tank and Pumping System
(Tenderer to provide one (1) set of manufacturer's recommended special tools for the MBR Filtrate Tank and Pumping System. Tenderer to list out the spare parts in the spaces provided below) (Cont'd)</t>
  </si>
  <si>
    <t>BQ8-73 /B</t>
  </si>
  <si>
    <t>BQ8-73 /C</t>
  </si>
  <si>
    <t>BQ8-74</t>
  </si>
  <si>
    <t>BQ8-74 /A</t>
  </si>
  <si>
    <t>Manufacturer's recommended spare parts for Compressed Air System for continuous operation of two (2) years
(Tenderer to provide one (1) set of manufacturer's recommended spare parts for Compressed Air System. Tenderer to list out the spare parts in the spaces provided below)</t>
  </si>
  <si>
    <t>BQ8-74 /B</t>
  </si>
  <si>
    <t>BQ8-74 /C</t>
  </si>
  <si>
    <t>BQ8-74 /D</t>
  </si>
  <si>
    <t>BQ8-75</t>
  </si>
  <si>
    <t>BQ8-75 /A</t>
  </si>
  <si>
    <t>Manufacturer's recommended spare parts for Compressed Air System for continuous operation of two (2) years
(Tenderer to provide one (1) set of manufacturer's recommended spare parts for Compressed Air System. Tenderer to list out the spare parts in the spaces provided below) (Cont'd)</t>
  </si>
  <si>
    <t>BQ8-75 /B</t>
  </si>
  <si>
    <t>BQ8-75 /C</t>
  </si>
  <si>
    <t>BQ8-76 /A</t>
  </si>
  <si>
    <t>Manufacturer's recommended special tools for Compressed Air System
(Tenderer to provide one (1) set of manufacturer's recommended special tools for Compressed Air System. Tenderer to list out the special tools in the spaces provided below)</t>
  </si>
  <si>
    <t>BQ8-76 /B</t>
  </si>
  <si>
    <t>BQ8-76 /C</t>
  </si>
  <si>
    <t>BQ8-76 /D</t>
  </si>
  <si>
    <t>BQ8-77 /A</t>
  </si>
  <si>
    <t>Manufacturer's recommended special tools for Compressed Air System
(Tenderer to provide one (1) set of manufacturer's recommended special tools for Compressed Air System. Tenderer to list out the special tools in the spaces provided below) (Cont'd)</t>
  </si>
  <si>
    <t>BQ8-77 /B</t>
  </si>
  <si>
    <t>BQ8-77 /C</t>
  </si>
  <si>
    <t>Allow for any other special tools recommended for the operation of the system.(Tenderer shall list out the name and price of each item on a separate sheet if space provided here is not enough)</t>
  </si>
  <si>
    <t>BQ8-78</t>
  </si>
  <si>
    <t>CHEMICAL  DOSING SYSTEM</t>
  </si>
  <si>
    <t>BQ8-78 /A</t>
  </si>
  <si>
    <t>Citric Acid Dosing Pump</t>
  </si>
  <si>
    <t>One (1) complete set of dosing pump</t>
  </si>
  <si>
    <t>BQ8-79</t>
  </si>
  <si>
    <t>CHEMICAL  DOSING SYSTEM (CONT'D)</t>
  </si>
  <si>
    <t>BQ8-79 /A</t>
  </si>
  <si>
    <t>Sodium Hypochlorite Dosing Pump</t>
  </si>
  <si>
    <t>BQ8-80 /A</t>
  </si>
  <si>
    <t>Manufacturer's recommended spare parts for Chemical Dosing System for continuous operation of two (2) years
(Tenderer to provide one (1) set of manufacturer's recommended spare parts for Chemical Dosing System. Tenderer to list out the spare parts in the spaces provided below)</t>
  </si>
  <si>
    <t>BQ8-80 /B</t>
  </si>
  <si>
    <t>BQ8-80 /C</t>
  </si>
  <si>
    <t>BQ8-80 /D</t>
  </si>
  <si>
    <t>BQ8-81 /A</t>
  </si>
  <si>
    <t>Manufacturer's recommended spare parts for Chemical Dosing System for continuous operation of two (2) years
(Tenderer to provide one (1) set of manufacturer's recommended spare parts for Chemical Dosing System. Tenderer to list out the spare parts in the spaces provided below) (Cont'd)</t>
  </si>
  <si>
    <t>BQ8-81 /B</t>
  </si>
  <si>
    <t>BQ8-81 /C</t>
  </si>
  <si>
    <t>BQ8-82 /A</t>
  </si>
  <si>
    <t>Manufacturer's recommended special tools for Chemical Dosing System
(Tenderer to provide one (1) set of manufacturer's recommended special tools for Chemical Dosing System. Tenderer to list out the special tools in the spaces provided below)</t>
  </si>
  <si>
    <t>BQ8-82 /B</t>
  </si>
  <si>
    <t>BQ8-82 /C</t>
  </si>
  <si>
    <t>BQ8-82 /D</t>
  </si>
  <si>
    <t>BQ8-83 /A</t>
  </si>
  <si>
    <t>Manufacturer's recommended special tools for Chemical Dosing System
(Tenderer to provide one (1) set of manufacturer's recommended special tools for Chemical Dosing System. Tenderer to list out the special tools in the spaces provided below) (Cont'd)</t>
  </si>
  <si>
    <t>BQ8-83 /B</t>
  </si>
  <si>
    <t>BQ8-83 /C</t>
  </si>
  <si>
    <t>BQ8-84</t>
  </si>
  <si>
    <t xml:space="preserve">PLANT DRAINAGE </t>
  </si>
  <si>
    <t>BQ8-84 /A</t>
  </si>
  <si>
    <t>ILM Plant Drainage Pumps</t>
  </si>
  <si>
    <t>Submersible Drainage Pump (complete pump unit)</t>
  </si>
  <si>
    <t>BQ8-85</t>
  </si>
  <si>
    <t>PLANT DRAINAGE  (CONT'D)</t>
  </si>
  <si>
    <t>BQ8-85 /A</t>
  </si>
  <si>
    <t>Manufacturer's recommended spare parts for Plant Drainage for continuous operation of two (2) years
(Tenderer to provide one (1) set of manufacturer's recommended spare parts for Plant Drainage. Tenderer to list out the spare parts in the spaces provided below)</t>
  </si>
  <si>
    <t>BQ8-85 /B</t>
  </si>
  <si>
    <t>BQ8-85 /C</t>
  </si>
  <si>
    <t>BQ8-85 /D</t>
  </si>
  <si>
    <t>BQ8-86 /A</t>
  </si>
  <si>
    <t>Manufacturer's recommended spare parts for Plant Drainage for continuous operation of two (2) years
(Tenderer to provide one (1) set of manufacturer's recommended spare parts for Plant Drainage. Tenderer to list out the spare parts in the spaces provided below) (Cont'd)</t>
  </si>
  <si>
    <t>BQ8-86 /B</t>
  </si>
  <si>
    <t>BQ8-86 /C</t>
  </si>
  <si>
    <t>BQ8-87 /A</t>
  </si>
  <si>
    <t>Manufacturer's recommended special tools for Plant Drainage 
(Tenderer to provide one (1) set of manufacturer's recommended special tools for Plant Drainage . Tenderer to list out the special tools in the spaces provided below)</t>
  </si>
  <si>
    <t>BQ8-87 /B</t>
  </si>
  <si>
    <t>BQ8-87 /C</t>
  </si>
  <si>
    <t>BQ8-87 /D</t>
  </si>
  <si>
    <t>BQ8-88 /A</t>
  </si>
  <si>
    <t>Manufacturer's recommended special tools for Plant Drainage 
(Tenderer to provide one (1) set of manufacturer's recommended special tools for Plant Drainage . Tenderer to list out the special tools in the spaces provided below) (Cont'd)</t>
  </si>
  <si>
    <t>BQ8-88 /B</t>
  </si>
  <si>
    <t>BQ8-88 /C</t>
  </si>
  <si>
    <t>BQ8-89</t>
  </si>
  <si>
    <t>BQ8-89 /A</t>
  </si>
  <si>
    <t>ILM G2I Pumps</t>
  </si>
  <si>
    <t>BQ8-89 /B</t>
  </si>
  <si>
    <t>BQ8-89 /C</t>
  </si>
  <si>
    <t>BQ8-89 /D</t>
  </si>
  <si>
    <t>BQ8-89 /E</t>
  </si>
  <si>
    <t>BQ8-90</t>
  </si>
  <si>
    <t>BQ8-90 /A</t>
  </si>
  <si>
    <t>ILM G2HP Pumps</t>
  </si>
  <si>
    <t>BQ8-90 /B</t>
  </si>
  <si>
    <t>BQ8-90 /C</t>
  </si>
  <si>
    <t>BQ8-90 /D</t>
  </si>
  <si>
    <t>BQ8-90 /E</t>
  </si>
  <si>
    <t>BQ8-91 /A</t>
  </si>
  <si>
    <t>Manufacturer's recommended spare parts for Plant Water System for continuous operation of two (2) years
(Tenderer to provide one (1) set of manufacturer's recommended spare parts for Plant Water System. Tenderer to list out the spare parts in the spaces provided below)</t>
  </si>
  <si>
    <t>BQ8-91 /B</t>
  </si>
  <si>
    <t>BQ8-91 /C</t>
  </si>
  <si>
    <t>BQ8-91 /D</t>
  </si>
  <si>
    <t>BQ8-92 /A</t>
  </si>
  <si>
    <t>Manufacturer's recommended spare parts for Plant Water System for continuous operation of two (2) years
(Tenderer to provide one (1) set of manufacturer's recommended spare parts for Plant Water System. Tenderer to list out the spare parts in the spaces provided below) (Cont'd)</t>
  </si>
  <si>
    <t>BQ8-92 /B</t>
  </si>
  <si>
    <t>BQ8-92 /C</t>
  </si>
  <si>
    <t>BQ8-93 /A</t>
  </si>
  <si>
    <t>Manufacturer's recommended special tools for Plant Water System
(Tenderer to provide one (1) set of manufacturer's recommended special tools for Plant Water System. Tenderer to list out the special tools in the spaces provided below)</t>
  </si>
  <si>
    <t>BQ8-93 /B</t>
  </si>
  <si>
    <t>BQ8-93 /C</t>
  </si>
  <si>
    <t>BQ8-93 /D</t>
  </si>
  <si>
    <t>BQ8-94 /A</t>
  </si>
  <si>
    <t>Manufacturer's recommended special tools for Plant Water System
(Tenderer to provide one (1) set of manufacturer's recommended special tools for Plant Water System. Tenderer to list out the special tools in the spaces provided below) (Cont'd)</t>
  </si>
  <si>
    <t>BQ8-94 /B</t>
  </si>
  <si>
    <t>BQ8-94 /C</t>
  </si>
  <si>
    <t>BQ8-95</t>
  </si>
  <si>
    <t>BQ8-95 /A</t>
  </si>
  <si>
    <t>Manufacturer's recommended spare parts for Automatic Lubrication System (ALS) for continuous operation of two (2) years
(Tenderer to provide one (1) set of manufacturer's recommended spare parts per system. Tenderer to list out the spare parts in the spaces provided below)</t>
  </si>
  <si>
    <t>BQ8-95 /B</t>
  </si>
  <si>
    <t>BQ8-95 /C</t>
  </si>
  <si>
    <t>BQ8-95 /D</t>
  </si>
  <si>
    <t>BQ8-96</t>
  </si>
  <si>
    <t>AUTOMATIC LUBRICATION SYSTEM (ALS) (CONT'D)</t>
  </si>
  <si>
    <t>BQ8-96 /A</t>
  </si>
  <si>
    <t>Manufacturer's recommended spare parts for Automatic Lubrication System (ALS) for continuous operation of two (2) years
(Tenderer to provide one (1) set of manufacturer's recommended spare parts per system. Tenderer to list out the spare parts in the spaces provided below) (Cont'd)</t>
  </si>
  <si>
    <t>BQ8-96 /B</t>
  </si>
  <si>
    <t>BQ8-96 /C</t>
  </si>
  <si>
    <t>BQ8-97 /A</t>
  </si>
  <si>
    <t>Manufacturer's recommended special tools for Automatic Lubrication System (ALS)</t>
  </si>
  <si>
    <t>BQ8-97 /B</t>
  </si>
  <si>
    <t>BQ8-97 /C</t>
  </si>
  <si>
    <t>BQ8-97 /D</t>
  </si>
  <si>
    <t>BQ8-98 /A</t>
  </si>
  <si>
    <t>Manufacturer's recommended special tools for Automatic Lubrication System (ALS) (Cont'd)</t>
  </si>
  <si>
    <t>BQ8-98 /B</t>
  </si>
  <si>
    <t>BQ8-98 /C</t>
  </si>
  <si>
    <t>BQ8-99</t>
  </si>
  <si>
    <t>ELECTRICAL SYSTEMS</t>
  </si>
  <si>
    <t>BQ8-99 /A</t>
  </si>
  <si>
    <t>Manufacturer’s recommended spare parts for Electrical Systems for continuous operation of two (2) years
(Tenderer to provide one (1) set of manufacturer's recommended spares parts per Electrical Systems.  Tenderer to list out the spare parts and quantities in the spaces provided below)</t>
  </si>
  <si>
    <t>Part:__________________________</t>
  </si>
  <si>
    <t>BQ8-99 /B</t>
  </si>
  <si>
    <t>BQ8-99 /C</t>
  </si>
  <si>
    <t>BQ8-99 /D</t>
  </si>
  <si>
    <t>BQ8-99 /E</t>
  </si>
  <si>
    <t>BQ8-99 /F</t>
  </si>
  <si>
    <t>BQ8-99 /G</t>
  </si>
  <si>
    <t>Allow for any other spares recommended for the operation of the system. (Tenderer shall give a breakdown of the works covered under the item below or on a separate sheet if space provided here is not enough)</t>
  </si>
  <si>
    <t>BQ8-100</t>
  </si>
  <si>
    <t>ELECTRICAL SYSTEMS (CONT'D)</t>
  </si>
  <si>
    <t>BQ8-100 /A</t>
  </si>
  <si>
    <t>Manufacturer’s recommended special tools for Electrical Systems
(Tenderer to provide one (1) set of manufacturer's recommended special tools for each of Electrical Systems.  Tenderer to list out the special tools and quantities in the spaces provided below)</t>
  </si>
  <si>
    <t>BQ8-100 /B</t>
  </si>
  <si>
    <t>BQ8-100 /C</t>
  </si>
  <si>
    <t>BQ8-100 /D</t>
  </si>
  <si>
    <t>BQ8-100 /E</t>
  </si>
  <si>
    <t>BQ8-100 /F</t>
  </si>
  <si>
    <t>BQ8-100 /G</t>
  </si>
  <si>
    <t>Allow for any other tools recommended for the operation of the system. (Tenderer shall give a breakdown of the works covered under the item below or on a separate sheet if space provided here is not enough)</t>
  </si>
  <si>
    <t>BQ8-101</t>
  </si>
  <si>
    <t>Air Conditioning System</t>
  </si>
  <si>
    <t>BQ8-101 /A</t>
  </si>
  <si>
    <t>To provide spare parts per AHU as per the list provided below</t>
  </si>
  <si>
    <t>Disposable panel type primary filter with average arrestance exceeding 90%, dust spot efficiency not less than 40% and initial pressure drop not more than 25% Pa at 0.25 Pa at 0.25 m/s face velocity.</t>
  </si>
  <si>
    <t>BQ8-101 /B</t>
  </si>
  <si>
    <t>High capacity, high efficiency, V-style secondary filter in an all plastic enclosing frame in accordance to EN 779:2002 filter class F9. Initial pressure drop not more than 170 Pa at 2.5 m/s face velocity.</t>
  </si>
  <si>
    <t>BQ8-101 /C</t>
  </si>
  <si>
    <t>Fan blower belt for each type of AHU (One set of belts per type of AHU)</t>
  </si>
  <si>
    <t>BQ8-102</t>
  </si>
  <si>
    <t>BUILDING SERVICES (CONT'D)</t>
  </si>
  <si>
    <t>BQ8-102 /A</t>
  </si>
  <si>
    <t>Air Conditioning System (Cont'd)</t>
  </si>
  <si>
    <t>Set of bearing for each type of AHU fan blower shaft</t>
  </si>
  <si>
    <t>BQ8-102 /B</t>
  </si>
  <si>
    <t>To provide spare parts per fan coil unit as per the list provided below</t>
  </si>
  <si>
    <t>Disposable panel type filter with average arrestance efficiency of 90% in accordance to BS EN779:2012 Class F8. Initial pressure drop less than 40 Pa at 2.5 m/s face velocity. Rating of min. efficiency reporting value MERV 14 is required.</t>
  </si>
  <si>
    <t>BQ8-103</t>
  </si>
  <si>
    <t>Manufacturer’s recommended spare parts for Air Conditioning System</t>
  </si>
  <si>
    <t>BQ8-103 /A</t>
  </si>
  <si>
    <t>(Tenderer to provide two (2) sets of manufacturer's recommended spares parts. Tenderer to list out the spare parts in the spaces provided below)</t>
  </si>
  <si>
    <t>BQ8-103 /B</t>
  </si>
  <si>
    <t>BQ8-103 /C</t>
  </si>
  <si>
    <t>BQ8-103 /D</t>
  </si>
  <si>
    <t>BQ8-103 /E</t>
  </si>
  <si>
    <t>BQ8-103 /F</t>
  </si>
  <si>
    <t>BQ8-104 /A</t>
  </si>
  <si>
    <t>Mechanical Ventilation System</t>
  </si>
  <si>
    <t>Special tools to dismantle fan casings for removal of large components</t>
  </si>
  <si>
    <t>BQ8-104 /B</t>
  </si>
  <si>
    <t>Air damper fusible links</t>
  </si>
  <si>
    <t>BQ8-105</t>
  </si>
  <si>
    <t>Mechanical Ventilation System (Cont'd)</t>
  </si>
  <si>
    <t>BQ8-105 /A</t>
  </si>
  <si>
    <t>Manufacturer’s recommended spare parts for Mechanical Ventilation System</t>
  </si>
  <si>
    <t>BQ8-105 /B</t>
  </si>
  <si>
    <t>BQ8-105 /C</t>
  </si>
  <si>
    <t>BQ8-105 /D</t>
  </si>
  <si>
    <t>BQ8-105 /E</t>
  </si>
  <si>
    <t>BQ8-105 /F</t>
  </si>
  <si>
    <t>BQ8-106 /A</t>
  </si>
  <si>
    <t>Fire Alarm System</t>
  </si>
  <si>
    <t>Special tools for dismantling of smoke detector</t>
  </si>
  <si>
    <t>BQ8-106 /B</t>
  </si>
  <si>
    <t>Smoke detectors: conventional type</t>
  </si>
  <si>
    <t>BQ8-106 /C</t>
  </si>
  <si>
    <t>Smoke detectors: optical beam type</t>
  </si>
  <si>
    <t>BQ8-107</t>
  </si>
  <si>
    <t>Manufacturer’s recommended spare parts for Fire Alarm System</t>
  </si>
  <si>
    <t>BQ8-107 /A</t>
  </si>
  <si>
    <t xml:space="preserve">(Tenderer to provide two (2) sets of manufacturer's recommended spares parts.  Tenderer to list out the spare parts in the spaces provided below)
</t>
  </si>
  <si>
    <t>BQ8-107 /B</t>
  </si>
  <si>
    <t>BQ8-107 /C</t>
  </si>
  <si>
    <t>BQ8-107 /D</t>
  </si>
  <si>
    <t>BQ8-107 /E</t>
  </si>
  <si>
    <t>BQ8-107 /F</t>
  </si>
  <si>
    <t>BQ8-107 /G</t>
  </si>
  <si>
    <t>BQ8-108 /A</t>
  </si>
  <si>
    <t>Fire Sprinkler System</t>
  </si>
  <si>
    <t>Special tools for dismantling of sprinkler head</t>
  </si>
  <si>
    <t>BQ8-108 /B</t>
  </si>
  <si>
    <t>Manufacturer’s recommended spare parts for Fire Sprinkler System</t>
  </si>
  <si>
    <t>(Tenderer to provide one (1) sets of manufacturer's recommended spares parts. Tenderer to list out the spare parts in the spaces provided below)</t>
  </si>
  <si>
    <t>BQ8-108 /C</t>
  </si>
  <si>
    <t>BQ8-108 /D</t>
  </si>
  <si>
    <t>BQ8-108 /E</t>
  </si>
  <si>
    <t>BQ8-108 /F</t>
  </si>
  <si>
    <t>BQ8-108 /G</t>
  </si>
  <si>
    <t>BQ8-109</t>
  </si>
  <si>
    <t>Building Management System</t>
  </si>
  <si>
    <t>BQ8-109 /A</t>
  </si>
  <si>
    <t>Building Management System (BMS) PLC for one of each sub-item / module</t>
  </si>
  <si>
    <t>CPU Module:_____________________</t>
  </si>
  <si>
    <t>BQ8-109 /B</t>
  </si>
  <si>
    <t>Communication Module:____________</t>
  </si>
  <si>
    <t>BQ8-109 /C</t>
  </si>
  <si>
    <t>DI Module:______________________</t>
  </si>
  <si>
    <t>BQ8-109 /D</t>
  </si>
  <si>
    <t>DO Module:_____________________</t>
  </si>
  <si>
    <t>BQ8-109 /E</t>
  </si>
  <si>
    <t>AI Module:______________________</t>
  </si>
  <si>
    <t>BQ8-109 /F</t>
  </si>
  <si>
    <t>AO Module:_____________________</t>
  </si>
  <si>
    <t>BQ8-110</t>
  </si>
  <si>
    <t>Building Management System (Cont'd)</t>
  </si>
  <si>
    <t>BQ8-110 /A</t>
  </si>
  <si>
    <t>Building Management System (BMS) PLC for one of each sub-item / module (Cont'd)</t>
  </si>
  <si>
    <t>Panel power supply unit</t>
  </si>
  <si>
    <t>BQ8-110 /B</t>
  </si>
  <si>
    <t>Panel power supply unit and diode module, for PLC panel</t>
  </si>
  <si>
    <t>BQ8-110 /C</t>
  </si>
  <si>
    <t>Surge protection device for BMS I/O circuits</t>
  </si>
  <si>
    <t>BQ8-110 /D</t>
  </si>
  <si>
    <t>Surge protection device for power circuits</t>
  </si>
  <si>
    <t>BQ8-110 /E</t>
  </si>
  <si>
    <t>Intrinsically safe signal barrier</t>
  </si>
  <si>
    <t>BQ8-111 /A</t>
  </si>
  <si>
    <t>(Tenderer to provide two (2) sets of manufacturer's recommended spares parts for Building Management System. Tenderer to list out the spare parts in the spaces provided below)</t>
  </si>
  <si>
    <t>BQ8-111 /B</t>
  </si>
  <si>
    <t>BQ8-111 /C</t>
  </si>
  <si>
    <t>BQ8-111 /D</t>
  </si>
  <si>
    <t>BQ8-111 /E</t>
  </si>
  <si>
    <t>BQ8-111 /F</t>
  </si>
  <si>
    <t>BQ8-111 /G</t>
  </si>
  <si>
    <t>BQ8-112 /A</t>
  </si>
  <si>
    <t>(Tenderer to provide one (1) set of manufacturer's recommended special tools for Building Management System. Tenderer to list out the special tools in the spaces provided below)</t>
  </si>
  <si>
    <t>BQ8-112 /B</t>
  </si>
  <si>
    <t>BQ8-112 /C</t>
  </si>
  <si>
    <t>BQ8-113</t>
  </si>
  <si>
    <t>INSTRUMENTATION CONTROL AND AUTOMATION</t>
  </si>
  <si>
    <t>BQ8-113 /A</t>
  </si>
  <si>
    <t>ILM2 Grit Blower System Master PLC for one of each-sub-item / module</t>
  </si>
  <si>
    <t>BQ8-113 /B</t>
  </si>
  <si>
    <t>BQ8-113 /C</t>
  </si>
  <si>
    <t>BQ8-113 /D</t>
  </si>
  <si>
    <t>BQ8-113 /E</t>
  </si>
  <si>
    <t>BQ8-113 /F</t>
  </si>
  <si>
    <t>BQ8-114</t>
  </si>
  <si>
    <t>INSTRUMENTATION CONTROL AND AUTOMATION (CONT'D)</t>
  </si>
  <si>
    <t>BQ8-114 /A</t>
  </si>
  <si>
    <t>ILM2 Grit Blower System Unit PLC for each-sub-item / module</t>
  </si>
  <si>
    <t>BQ8-114 /B</t>
  </si>
  <si>
    <t>BQ8-114 /C</t>
  </si>
  <si>
    <t>BQ8-114 /D</t>
  </si>
  <si>
    <t>BQ8-114 /E</t>
  </si>
  <si>
    <t>BQ8-114 /F</t>
  </si>
  <si>
    <t>BQ8-115 /A</t>
  </si>
  <si>
    <t>ILM2 Bioreactor Aeration Blower Master PLC for each-sub-item / module</t>
  </si>
  <si>
    <t>BQ8-115 /B</t>
  </si>
  <si>
    <t>BQ8-115 /C</t>
  </si>
  <si>
    <t>DI Module:_______________________</t>
  </si>
  <si>
    <t>BQ8-115 /D</t>
  </si>
  <si>
    <t>BQ8-115 /E</t>
  </si>
  <si>
    <t>BQ8-115 /F</t>
  </si>
  <si>
    <t>BQ8-116 /A</t>
  </si>
  <si>
    <t>ILM2 Bioreactor Aeration Blower Unit PLC for each-sub-item / module</t>
  </si>
  <si>
    <t>BQ8-116 /B</t>
  </si>
  <si>
    <t>BQ8-116 /C</t>
  </si>
  <si>
    <t>BQ8-116 /D</t>
  </si>
  <si>
    <t>BQ8-116 /E</t>
  </si>
  <si>
    <t>BQ8-116 /F</t>
  </si>
  <si>
    <t>BQ8-117 /A</t>
  </si>
  <si>
    <t>ILM2 Membrane Air Blower Master PLC for each-sub-item / module</t>
  </si>
  <si>
    <t>BQ8-117 /B</t>
  </si>
  <si>
    <t>BQ8-117 /C</t>
  </si>
  <si>
    <t>BQ8-117 /D</t>
  </si>
  <si>
    <t>BQ8-117 /E</t>
  </si>
  <si>
    <t>BQ8-117 /F</t>
  </si>
  <si>
    <t>BQ8-118 /A</t>
  </si>
  <si>
    <t>ILM2 Membrane Air Blower Unit PLC for each-sub-item / module</t>
  </si>
  <si>
    <t>BQ8-118 /B</t>
  </si>
  <si>
    <t>BQ8-118 /C</t>
  </si>
  <si>
    <t>BQ8-118 /D</t>
  </si>
  <si>
    <t>BQ8-118 /E</t>
  </si>
  <si>
    <t>BQ8-118 /F</t>
  </si>
  <si>
    <t>BQ8-119 /A</t>
  </si>
  <si>
    <t>Miscellaneous</t>
  </si>
  <si>
    <t>Panel power supply unit and diode module for RIO Panel</t>
  </si>
  <si>
    <t>BQ8-119 /B</t>
  </si>
  <si>
    <t>Panel power supply unit and diode module, for blower PLC panel</t>
  </si>
  <si>
    <t>BQ8-119 /C</t>
  </si>
  <si>
    <t>Surge protection device for I/O circuits</t>
  </si>
  <si>
    <t>BQ8-119 /D</t>
  </si>
  <si>
    <t>BQ8-119 /E</t>
  </si>
  <si>
    <t>BQ8-120 /A</t>
  </si>
  <si>
    <t>Manufacturer’s recommended spare parts for Instrumentation Control and Automation for continuous operation of two (2) years.
(Tenderer to provide one (1) set of manufacturer's recommended spares parts for Instrumentation Control and Automation. Tenderer to list out the spare parts in the spaces provided below)</t>
  </si>
  <si>
    <t>BQ8-120 /B</t>
  </si>
  <si>
    <t>BQ8-120 /C</t>
  </si>
  <si>
    <t>BQ8-120 /D</t>
  </si>
  <si>
    <t>BQ8-121 /A</t>
  </si>
  <si>
    <t>Manufacturer’s recommended spare parts for Instrumentation Control and Automation for continuous operation of two (2) years.
(Tenderer to provide one (1) set of manufacturer's recommended spares parts for Instrumentation Control and Automation. Tenderer to list out the spare parts in the spaces provided below) (Cont'd)</t>
  </si>
  <si>
    <t>BQ8-121 /B</t>
  </si>
  <si>
    <t>BQ8-121 /C</t>
  </si>
  <si>
    <t>BQ8-122 /A</t>
  </si>
  <si>
    <t>Manufacturer’s recommended special tools for Instrumentation Control and Automation 
(Tenderer to provide one (1) set of manufacturer's recommended special tools for Instrumentation Control and Automation. Tenderer to list out the special tools in the spaces provided below)</t>
  </si>
  <si>
    <t>BQ8-122 /B</t>
  </si>
  <si>
    <t>BQ8-122 /C</t>
  </si>
  <si>
    <t>BQ8-122 /D</t>
  </si>
  <si>
    <t>BQ8-123 /A</t>
  </si>
  <si>
    <t>Manufacturer’s recommended special tools for Instrumentation Control and Automation 
(Tenderer to provide one (1) set of manufacturer's recommended special tools for Instrumentation Control and Automation. Tenderer to list out the special tools in the spaces provided below) (Cont'd)</t>
  </si>
  <si>
    <t>BQ8-123 /B</t>
  </si>
  <si>
    <t>BQ8-123 /C</t>
  </si>
  <si>
    <t>BQ8-124</t>
  </si>
  <si>
    <t>BQ8-124 /A</t>
  </si>
  <si>
    <t>Allow for each and every expense for complying with the Conditions of Contract, Specifications, Drawings and all other documents forming part of this Contract, not specifically mentioned and allowed for elsewhere for satisfactory completion of the Works specified in Bill No. 8, naming the items below and pricing them separately. (Tenderer shall give a breakdown of the works covered under the item below or on a separate sheet if space provide here is not enough)</t>
  </si>
  <si>
    <t>_______________________________</t>
  </si>
  <si>
    <t>BQ8-124 /B</t>
  </si>
  <si>
    <t>BQ8-124 /C</t>
  </si>
  <si>
    <t>BQ8-124 /D</t>
  </si>
  <si>
    <t>BQ8-124 /E</t>
  </si>
  <si>
    <t>BQ8-124 /F</t>
  </si>
  <si>
    <t>BQ9-1</t>
  </si>
  <si>
    <t>BILL NO. 9</t>
  </si>
  <si>
    <t>PROVISIONAL SUM</t>
  </si>
  <si>
    <t>PROVISIONAL SUMS</t>
  </si>
  <si>
    <t>BQ9-1 /A</t>
  </si>
  <si>
    <t>Notes:
All Provisional Sums Items shall be expended at the discretion and instruction of the Superintending Officer or deducted in whole or in part if not used. No claim or compensation shall be entertained, if the specific Provisional Sum Items is not executed in whole or in part.
Should the Contractor, subject to the approval of the Superintending Officer, elect to tender for any items listed hereunder, his price shall be deemed to include profit and attendance. Where the Contractor's tender has been accepted, the relevant Provisional Sum together with any sums by way of profit, overheads and others and/or attendance priced by the Contractor shall be deducted in full and be substituted with the amount of the Contractor's accepted price.
The sum entered by the Contractor shall be adjusted based on the percentage and value of the Provisional Sum expended.</t>
  </si>
  <si>
    <t>Allow for a Provisional Sum for incentive payment to the Contractor under DTSS 2 Contractor Health &amp; Safety, Environmental and Security (HSES) Performance Incentive and Disincentive Scheme.</t>
  </si>
  <si>
    <t>BQ9-2 /A</t>
  </si>
  <si>
    <t>PROVISIONAL SUMS (CONT'D)</t>
  </si>
  <si>
    <t>Allow for a Provisional Sum for additional signages as instructed by the S.O.</t>
  </si>
  <si>
    <t>BQ9-2 /B</t>
  </si>
  <si>
    <t>1) Allow % for profit, overheads and others of item A</t>
  </si>
  <si>
    <t>2) Allow % for attendance of item A</t>
  </si>
  <si>
    <t>Allow a Provisional Sum for testing of materials and systems as a result of testing over and above the requirements identified in the Specifications</t>
  </si>
  <si>
    <t>BQ9-2</t>
  </si>
  <si>
    <t>1) Allow % for profit, overheads and others of item B</t>
  </si>
  <si>
    <t>2) Allow % for attendance of item B</t>
  </si>
  <si>
    <t>BQ9-3 /A</t>
  </si>
  <si>
    <t>Allow a Provisional Sum for mitigation equipment (surge relief, baffles, etc.) for cross-contract pumping systems or networks as a result of studies/analysis in the Contract and/or by Other contractors</t>
  </si>
  <si>
    <t>BQ9-4 /A</t>
  </si>
  <si>
    <t>Note: 
The following item shall be reimbursed at cost.</t>
  </si>
  <si>
    <t>Allow for a Provisional Sum for additional known cost items anticipated due to pandemic, as at the time of this tender, e.g. Polymerase Chain Reaction ("PCR") tests and Antigen Rapid Test ("ART"), arising from the current pandemic, in the event that the government subsidies are no longer made available (Refer to Preambles to Schedule of Prices)</t>
  </si>
  <si>
    <t>BQ10-1</t>
  </si>
  <si>
    <t>BILL NO. 10</t>
  </si>
  <si>
    <t>OPERATIONS &amp; MAINTENANCE SERVICES</t>
  </si>
  <si>
    <t>Notes:
1. The quantities in this bill are provisional which may be expended in whole, in part or not at all at the discretion of the Board as specified in Clause 10 of the Preamble to Bills of Quantities. 
2. In the event that the Board so decides not to expend in full, the Contractor shall be notified by the Board in writing within a reasonable period.  
3. The items described herein is to provide as a general breakdown of the entire system. The Contractor shall price in all necessary items to complete the Works and deliver a full operational and functional system. The "SUM" so priced shall also deemed to have included for all associated costs for supervision, labours, machinery, hoists, fixing accessories, etc. necessary to bring the whole of the Works to a satisfactory completion certified by the Board.</t>
  </si>
  <si>
    <t>PRELIMINARIES AND GENERAL (CONT'D)</t>
  </si>
  <si>
    <t>Insurance for OM3</t>
  </si>
  <si>
    <t>BQ10-1 /A</t>
  </si>
  <si>
    <t>Insurances to be arranged by the Contractor under Clause B16 of Conditions of Contract for Goods and Services</t>
  </si>
  <si>
    <t>Allow for cost to take out Public Liability Insurance Policy</t>
  </si>
  <si>
    <t>BQ10-1 /B</t>
  </si>
  <si>
    <t>Allow for cost to take out Work Injury Compensation Insurance Policy</t>
  </si>
  <si>
    <t>BQ10-1 /C</t>
  </si>
  <si>
    <t>Allow for any cost necessary to take out any additional insurances deemed appropriate in accordance with Clause B16 of the Conditions of Contract for Goods and Services and Authorities' requirements.</t>
  </si>
  <si>
    <t>BQ10-2 /A</t>
  </si>
  <si>
    <t>Health and Safety Management</t>
  </si>
  <si>
    <t>BQ10-2 /B</t>
  </si>
  <si>
    <t>Statutory Testing and Certification</t>
  </si>
  <si>
    <t>Allow for annual certification for all statutory testing and certification for OM 3</t>
  </si>
  <si>
    <t>BQ10-3</t>
  </si>
  <si>
    <t>Operations and Maintenance Team</t>
  </si>
  <si>
    <t>The Contractor shall allow for engagement of the following qualified and experienced key site personnel for the Operations and Maintenance Periods of the Contract as specified:</t>
  </si>
  <si>
    <t>BQ10-3 /A</t>
  </si>
  <si>
    <t>For OM3</t>
  </si>
  <si>
    <t>Operations and Maintenance Manager</t>
  </si>
  <si>
    <t>BQ10-3 /B</t>
  </si>
  <si>
    <t>Supervisor</t>
  </si>
  <si>
    <t>BQ10-3 /C</t>
  </si>
  <si>
    <t>Registered WSH coordinator</t>
  </si>
  <si>
    <t>BQ10-3 /D</t>
  </si>
  <si>
    <t>Membrane Control System Programmer</t>
  </si>
  <si>
    <t>BQ10-3 /E</t>
  </si>
  <si>
    <t>Day shift operations technician</t>
  </si>
  <si>
    <t>BQ10-4</t>
  </si>
  <si>
    <t>OPERATIONS &amp; MAINTENANCE SERVICES (CONT'D)</t>
  </si>
  <si>
    <t>BQ10-4 /A</t>
  </si>
  <si>
    <t>Operation services (24 hours/ 7 days a week) for the facilities as described in P12</t>
  </si>
  <si>
    <t>Operators</t>
  </si>
  <si>
    <t>BQ10-4 /B</t>
  </si>
  <si>
    <t>Maintenance services as described in P12</t>
  </si>
  <si>
    <t>Technicians</t>
  </si>
  <si>
    <t>BQ10-4 /C</t>
  </si>
  <si>
    <t>Environmental control including but not limited to site pest control, grass cutting, sanitation, daily housekeeping</t>
  </si>
  <si>
    <t>BQ10-5 /A</t>
  </si>
  <si>
    <t>Adhoc Service on Non-Working Day</t>
  </si>
  <si>
    <t>Mobilisation fee for ad-hoc service</t>
  </si>
  <si>
    <t>BQ10-5 /B</t>
  </si>
  <si>
    <t>Technician working from 5:30pm to 8:00am on weekdays or Saturdays</t>
  </si>
  <si>
    <t>BQ10-5 /C</t>
  </si>
  <si>
    <t>Technician working from 8:00am to 8:00am on Sundays or Public Holidays</t>
  </si>
  <si>
    <t>BQ10-6</t>
  </si>
  <si>
    <t>Consumables</t>
  </si>
  <si>
    <t>Note: The Contractor shall be deemed to have included labour, transportation and all associated costs to perform the services as mentioned below:</t>
  </si>
  <si>
    <t>BQ10-6 /A</t>
  </si>
  <si>
    <t>Consumables for maintenance (grease, lubricating oil, diesel, spare parts, etc.)</t>
  </si>
  <si>
    <t>BQ10-7 /A</t>
  </si>
  <si>
    <t>Allow for screenings transportation to IWMF</t>
  </si>
  <si>
    <t>BQ10-7 /B</t>
  </si>
  <si>
    <t>Allow for grit transportation to IWMF</t>
  </si>
  <si>
    <t>BQ10-8</t>
  </si>
  <si>
    <t>Miscellaneous (Cont'd)</t>
  </si>
  <si>
    <t>BQ10-8 /A</t>
  </si>
  <si>
    <t>Sampling and laboratory analysis during Part 2 Services</t>
  </si>
  <si>
    <t>BQ10-9 /A</t>
  </si>
  <si>
    <t>Allow for training sessions on Operation and Maintenance of the facilities for OM3</t>
  </si>
  <si>
    <t>BQ10-9 /B</t>
  </si>
  <si>
    <t>Allow for development of a Handover Management plan as specified in P12</t>
  </si>
  <si>
    <t>BQ10-10</t>
  </si>
  <si>
    <t>BQ10-10 /A</t>
  </si>
  <si>
    <t>Allow for each and every expense for complying with the Conditions of Contract, Specifications, Drawings and all other documents forming part of this Contract, not specifically mentioned and allowed for elsewhere for satisfactory completion of the Works specified in Bill No. 10, naming the items below and pricing them separately
(Tenderer shall give a breakdown of the works covered under the item below or on a separate sheet if space provided here is not enough)</t>
  </si>
  <si>
    <t>BQ10-10 /B</t>
  </si>
  <si>
    <t>BQ10-10 /C</t>
  </si>
  <si>
    <t>BQ10-10 /D</t>
  </si>
  <si>
    <t>BQ10-10 /E</t>
  </si>
  <si>
    <t>BQ10-10 /F</t>
  </si>
  <si>
    <t>BQ11-1</t>
  </si>
  <si>
    <t>BILL NO. 11</t>
  </si>
  <si>
    <t>PROVISIONAL SUMS (PART 2)</t>
  </si>
  <si>
    <t>OPERATION AND MAINTENANCE SERVICES PROVISIONAL SUMS</t>
  </si>
  <si>
    <t>BQ11-1 /A</t>
  </si>
  <si>
    <t>OPERATION AND MAINTENANCE SERVICES PROVISIONAL SUMS (CONT'D)</t>
  </si>
  <si>
    <t>Allow a Provisional Sum for additional 3rd party sampling, verification and analysis as instructed by the Board</t>
  </si>
  <si>
    <t>Instructions:
1. This worksheet will search and list related document per input fields at the left. Matched document will be listed below. If new discipline document list work sheet is added, update formula in C8.
2. Leave blank to include all values from this field.
3. Duplicate document number will be highlighted in pink background. Use this function to validate if a new document is unique.
4. Always make sure that no blank values for those fields are in discipline document list worksheets. Blank cells will return &lt;Blank&gt;.</t>
  </si>
  <si>
    <t>xxxx</t>
  </si>
  <si>
    <t>NO</t>
  </si>
  <si>
    <t>Vendor Approval</t>
  </si>
  <si>
    <t>0001</t>
  </si>
  <si>
    <t>Vendor Approval of ALMOP &amp; HAZOP Facilities studies and Workshops (Puri-Teq)</t>
  </si>
  <si>
    <t>0010</t>
  </si>
  <si>
    <t>Preliminary design and Vendor Approval for Spray Nozzles</t>
  </si>
  <si>
    <t>2001</t>
  </si>
  <si>
    <t>Preliminary design and Vendor Approval - Air Release Valve</t>
  </si>
  <si>
    <t>Preliminary design and Vendor Approval - Flow Control Valve</t>
  </si>
  <si>
    <t>2003</t>
  </si>
  <si>
    <t>Preliminary design and Vendor Approval for Safety Relief Vavle</t>
  </si>
  <si>
    <t>2004</t>
  </si>
  <si>
    <t>Preliminary design and Vendor Approval for Pressure Reducing Valve</t>
  </si>
  <si>
    <t>2005</t>
  </si>
  <si>
    <t>Preliminary design and Vendor Approval for Air flow Control Valve</t>
  </si>
  <si>
    <t>2007</t>
  </si>
  <si>
    <t>Preliminary design and Vendor Approval -  Automatic Condensate Drain</t>
  </si>
  <si>
    <t>Preliminary design and Vendor Approval for Pressure Reducing Valve (Instrument Air)</t>
  </si>
  <si>
    <t>2008</t>
  </si>
  <si>
    <t>Preliminary design and Vendor Approval for Solenoid Valve</t>
  </si>
  <si>
    <t>Preliminary design and Vendor Approval for Mixing Nozzle for Sludge compartment</t>
  </si>
  <si>
    <t>T&amp;C</t>
  </si>
  <si>
    <t>Vendor Inspection Test Plan (ITP) for Motorized Valve</t>
  </si>
  <si>
    <t>Vendor Inspection Test Plan (ITP) for Control Valve</t>
  </si>
  <si>
    <t>Vendor FAT Procedure for Motorized Valve</t>
  </si>
  <si>
    <t>Vendor FAT Procedure for Control Valve</t>
  </si>
  <si>
    <t>Vendor FAT Report for Motorized Valve</t>
  </si>
  <si>
    <t>Vendor FAT Report for Control Valve</t>
  </si>
  <si>
    <t>Line List - Sitewide Pipe Rack</t>
  </si>
  <si>
    <t>P</t>
  </si>
  <si>
    <t>P&amp;ID - Sitewide Piperack</t>
  </si>
  <si>
    <t>YES</t>
  </si>
  <si>
    <t>Side Wide Piperack Design Report</t>
  </si>
  <si>
    <t>Preliminary design and Vendor Approval for SSN Package</t>
  </si>
  <si>
    <t>Design Report</t>
  </si>
  <si>
    <t>Basis of Design Report - SSN</t>
  </si>
  <si>
    <t>0002</t>
  </si>
  <si>
    <t>Details of Design Report - SSN</t>
  </si>
  <si>
    <t>0003</t>
  </si>
  <si>
    <t>HAZOP Study Report for SSN</t>
  </si>
  <si>
    <t>ALMOP Study Report for SSN</t>
  </si>
  <si>
    <t>SSN FUNCTIONAL DESIGN SPECIFICATION WORKSHOP</t>
  </si>
  <si>
    <t>Design Basis, Spec, and Caculation</t>
  </si>
  <si>
    <t>PROCESS DESIGN BASIS</t>
  </si>
  <si>
    <t>PROCESS FUNCTIONAL DESCRIPTION</t>
  </si>
  <si>
    <t>SSN FUNCTION CHECKLIST</t>
  </si>
  <si>
    <t>SSN FUCTION CHECK PUNCHLIST</t>
  </si>
  <si>
    <t>Process Control Philosophy</t>
  </si>
  <si>
    <t>SSN - PROCESS HYDRAULIC PROFILE</t>
  </si>
  <si>
    <t>SSN - PLANT DRAIN HYDRAULIC PROFILE</t>
  </si>
  <si>
    <t>SSN Aeration Blower Control Philosophy</t>
  </si>
  <si>
    <t xml:space="preserve">SSN - PLANT DRAIN HYDRAULIC CALCULATION </t>
  </si>
  <si>
    <t>PRELIMINARY SIZING CALCULATION FOR SSN FUTURE OCF SYSTEM</t>
  </si>
  <si>
    <t>PROCESS DESIGN CALCULATION</t>
  </si>
  <si>
    <t>0004</t>
  </si>
  <si>
    <t>SSN - CHEMICAL CONSUMPTION CALCULATION</t>
  </si>
  <si>
    <t>0005</t>
  </si>
  <si>
    <t>SSN - PROCESS HYDRAULIC CALCULATION</t>
  </si>
  <si>
    <t>0006</t>
  </si>
  <si>
    <t>SSN EQUIPMENT SIZING CALCULATION</t>
  </si>
  <si>
    <t>0007</t>
  </si>
  <si>
    <t>Diffuser Performance Design Calculation</t>
  </si>
  <si>
    <t>0008</t>
  </si>
  <si>
    <t>Diffuser Heat Loss Calculation</t>
  </si>
  <si>
    <t>0009</t>
  </si>
  <si>
    <t>SSN Energy Consumption computation</t>
  </si>
  <si>
    <t>BLOWER PRESSURE LOSS CALCULATION</t>
  </si>
  <si>
    <t>0011</t>
  </si>
  <si>
    <t>INSTRUMENT AIR PRESSURE LOSS CALCULATION</t>
  </si>
  <si>
    <t>0012</t>
  </si>
  <si>
    <t xml:space="preserve">PLANT WATER (G2D) PRESSURE LOSS CALCULAITON </t>
  </si>
  <si>
    <t>5701</t>
  </si>
  <si>
    <t>SSN TCI INLET FLOW CONTROL VALVEN SIZING CALCULATION</t>
  </si>
  <si>
    <t>SSN LAMELLA CLARIFIER 1/2/3/4/5 INLET FLOW CONTROL VALVE SIZING CALCULATION</t>
  </si>
  <si>
    <t>5702</t>
  </si>
  <si>
    <t>SSN DC PARTIAL BYPASS LINE INLET FLOW CONTROL VALVE SIZING CALCULATION</t>
  </si>
  <si>
    <t>SSN Aeration Flow Control Sizing Calculation</t>
  </si>
  <si>
    <t>Piperack PD ARV sizing calculation</t>
  </si>
  <si>
    <t>Piperack PSI ARV sizing calculation</t>
  </si>
  <si>
    <t>Piperack WASI ARV sizing calculation</t>
  </si>
  <si>
    <t>Piperack DC ARV sizing calculation</t>
  </si>
  <si>
    <t>SSN DC outgoing pipe ARV Sizing Calculation</t>
  </si>
  <si>
    <t>SSN EQ TANK TRANSFER PUMP SIZING CALCULATION</t>
  </si>
  <si>
    <t>SSN DISCHARGE TRANSFER PUMP SIZING CALCULATION</t>
  </si>
  <si>
    <t>SSN WASTE SLUDGE PUMP A/B SIZING CALCULATION</t>
  </si>
  <si>
    <t>SSN WASTE SLUDGE PUMP C/D SIZING CALCULATION</t>
  </si>
  <si>
    <t>SSN GRANULAR SLUDGE PUMP SIZING CALCULATION</t>
  </si>
  <si>
    <t>SSN SLUDGE TRANSFER PUMP SIZING CALCULATION</t>
  </si>
  <si>
    <t>SSN SAMPLING PUMP SIZING CALCULATION</t>
  </si>
  <si>
    <t>SSN CATCHPOT SIZING CALCULATION</t>
  </si>
  <si>
    <t>PROCESS EQUIPMENT CALCULATION - HYPERBOLIC MIXER CFD</t>
  </si>
  <si>
    <t>SSN FERRIC CHLORIDE DOSING PUMP SIZING CALCULATION</t>
  </si>
  <si>
    <t>SSN EQ TANK SODIUM HYDROXIDE DOSING PUMP SIZING CALCULATION</t>
  </si>
  <si>
    <t>SSN ANAMMOX REACTOR SODIUM HYDROXIDE DOSING PUMP SIZING CALCULATION</t>
  </si>
  <si>
    <t>SSN ANTIFOAM DOSING PUMP SIZING CALCULATION</t>
  </si>
  <si>
    <t>SSN MICRONUTRIENTS DOSING PUMP SIZING CALCULATION</t>
  </si>
  <si>
    <t>SSN ANTISCALANT DOSING PUMP SIZING CALCULATION</t>
  </si>
  <si>
    <t>SSN G2D PRV SIZING CALCULATION</t>
  </si>
  <si>
    <t>5752</t>
  </si>
  <si>
    <t>SSN IA PRV SIZING CALCULATION</t>
  </si>
  <si>
    <t>5731</t>
  </si>
  <si>
    <t>SSN SAMPLING PUMP DISCHARGE SRV SIZING CALCULATION</t>
  </si>
  <si>
    <t>5732</t>
  </si>
  <si>
    <t>SSN WASTE SLUDGE PUMP A/B DISCHARGE SRV SIZING CALCULATION</t>
  </si>
  <si>
    <t>5733</t>
  </si>
  <si>
    <t>SSN WASTE SLUDGE PUMP C/D DISCHARGE SRV SIZING CALCULATION</t>
  </si>
  <si>
    <t>5734</t>
  </si>
  <si>
    <t>SSN GRANULAR SLUDGE PUMP DISCHARGE SRV SIZING CALCULATION</t>
  </si>
  <si>
    <t>5735</t>
  </si>
  <si>
    <t>SSN SLUDGE TRANSFER PUMP DISCHARGE SRV SIZING CALCULATION</t>
  </si>
  <si>
    <t>Utility Consumption</t>
  </si>
  <si>
    <t xml:space="preserve">Sampling Philosophy </t>
  </si>
  <si>
    <t>Isolation and Control Philosophy</t>
  </si>
  <si>
    <t>Hydraulic Analysis Line Sizing Calculation</t>
  </si>
  <si>
    <t>SSN BLOWER PLANT CONTROL NARRATIVE</t>
  </si>
  <si>
    <t>SSN 80% ALMOP</t>
  </si>
  <si>
    <t>HAZOP and ALMOP Procedure</t>
  </si>
  <si>
    <t>Lists</t>
  </si>
  <si>
    <t>C4B SIDESTREAM NITROGEN REMOVAL PROCESS EQUIPMENT LIST</t>
  </si>
  <si>
    <t>C4B SIDESTREAM NITROGEN REMOVAL MANUAL VALVE LIST</t>
  </si>
  <si>
    <t>C4B SIDESTREAM NITROGEN REMOVAL CONTROL VALVE LIST</t>
  </si>
  <si>
    <t>Line List - SSN &amp; Sitewide Pipe Rack</t>
  </si>
  <si>
    <t>Line List - SSN Inter Piperack</t>
  </si>
  <si>
    <t>Line List - SSN EQ Tank and Solid Seperation</t>
  </si>
  <si>
    <t>Line List - SSN Anammox Reactor</t>
  </si>
  <si>
    <t>Line List - SSN Areation System</t>
  </si>
  <si>
    <t>Line List - SSN Sludge Wasting System</t>
  </si>
  <si>
    <t>Line List - SSN Chemical Dosing</t>
  </si>
  <si>
    <t>Line List - SSN Safety Shower</t>
  </si>
  <si>
    <t>Alarm and Trip List</t>
  </si>
  <si>
    <t xml:space="preserve">Process Cause and Effect </t>
  </si>
  <si>
    <t xml:space="preserve">Chemical Handling and Storage Report </t>
  </si>
  <si>
    <t xml:space="preserve">Drainage Philosophy </t>
  </si>
  <si>
    <t>Termination Point List</t>
  </si>
  <si>
    <t>PFD and PID</t>
  </si>
  <si>
    <t>PROCESS FLOW DIAGRAM WITH MASS BALANCE</t>
  </si>
  <si>
    <t>P&amp;ID - SIDESTREAM - N REMOVAL EQUALIZATION TANKS</t>
  </si>
  <si>
    <t>6001</t>
  </si>
  <si>
    <t>P&amp;ID - SIDESTREAM - N REMOVAL EQ TANK TRANSFER PUMPS</t>
  </si>
  <si>
    <t>6002</t>
  </si>
  <si>
    <t>P&amp;ID - SIDESTREAM - N REMOVAL LAMELLA CLARIFIERS PART 1</t>
  </si>
  <si>
    <t>6003</t>
  </si>
  <si>
    <t>P&amp;ID - SIDESTREAM - N REMOVAL LAMELLA CLARIFIERS PART 2</t>
  </si>
  <si>
    <t>6004</t>
  </si>
  <si>
    <t>P&amp;ID - SIDESTREAM - N REMOVAL WASTE SLUDGE PUMPS</t>
  </si>
  <si>
    <t>6005</t>
  </si>
  <si>
    <t>P&amp;ID - SIDESTREAM - N REMOVAL ANAMMOX REACTOR 1</t>
  </si>
  <si>
    <t>6006</t>
  </si>
  <si>
    <t>P&amp;ID - SIDESTREAM - N REMOVAL ANAMMOX REACTOR 2</t>
  </si>
  <si>
    <t>6007</t>
  </si>
  <si>
    <t>P&amp;ID - SIDESTREAM - N REMOVAL ANAMMOX REACTOR 3</t>
  </si>
  <si>
    <t>6008</t>
  </si>
  <si>
    <t>P&amp;ID - SIDESTREAM - N REMOVAL ANAMMOX REACTOR 4</t>
  </si>
  <si>
    <t>6009</t>
  </si>
  <si>
    <t>P&amp;ID - SIDESTREAM - N REMOVAL AERATION BLOWERS PART 1</t>
  </si>
  <si>
    <t>6010</t>
  </si>
  <si>
    <t>P&amp;ID - SIDESTREAM - N REMOVAL AERATION BLOWERS PART 2</t>
  </si>
  <si>
    <t>6011</t>
  </si>
  <si>
    <t>P&amp;ID - SIDESTREAM - N REMOVAL DISCHARGE WET WELL AND PARABOLIC SCREENS</t>
  </si>
  <si>
    <t>6012</t>
  </si>
  <si>
    <t>P&amp;ID - SIDESTREAM - N REMOVAL DISCHARGE TRANSFER PUMPS</t>
  </si>
  <si>
    <t>6013</t>
  </si>
  <si>
    <t>P&amp;ID - SIDESTREAM - N REMOVAL GRANULAR SLUDGE TANK AND GRANULAR SLUDGE PUMPS</t>
  </si>
  <si>
    <t>6014</t>
  </si>
  <si>
    <t>P&amp;ID - SIDESTREAM - N REMOVAL SLUDGE TRANSFER PUMPS</t>
  </si>
  <si>
    <t>6015</t>
  </si>
  <si>
    <t>P&amp;ID - SIDESTREAM - N REMOVAL FERRIC STORAGE AND DOSING  PUMPS</t>
  </si>
  <si>
    <t>6016</t>
  </si>
  <si>
    <t>P&amp;ID - SIDESTREAM - N REMOVAL SODIUM HYDROXIDE  STORAGE TANKS AND DOSING PUMPS</t>
  </si>
  <si>
    <t>6017</t>
  </si>
  <si>
    <t>P&amp;ID - SIDESTREAM - N REMOVAL SODIUM HYDROXIDE DOSING PUMPS</t>
  </si>
  <si>
    <t>6018</t>
  </si>
  <si>
    <t>P&amp;ID - SIDESTREAM - N REMOVAL ANTIFORM DOSING TANK AND DOSING PUMPS</t>
  </si>
  <si>
    <t>6019</t>
  </si>
  <si>
    <t>P&amp;ID - SIDESTREAM - N REMOVAL MICRONUTRIENTS DOSING TANK AND DOSING PUMPS</t>
  </si>
  <si>
    <t>6020</t>
  </si>
  <si>
    <t>P&amp;ID - SIDESTREAM - N REMOVAL ANTISCALANT DOSING TANK AND DOSING PUMPS</t>
  </si>
  <si>
    <t>6300</t>
  </si>
  <si>
    <t>P&amp;ID - SIDESTREAM - N REMOVAL PLANT DRAIN NETWORK</t>
  </si>
  <si>
    <t>6301</t>
  </si>
  <si>
    <t>P&amp;ID - SIDESTREAM - N REMOVAL SAFETY SHOWER NETWORK</t>
  </si>
  <si>
    <t>P&amp;ID - SIDESTREAM - N G2D NETWORK</t>
  </si>
  <si>
    <t>P&amp;ID - SIDESTREAM - N INSTRUMENT AIR NETWORK</t>
  </si>
  <si>
    <t>P&amp;ID - SSN blower (Not required to submit vendor P&amp;ID)</t>
  </si>
  <si>
    <t xml:space="preserve">Aeration Blower Vendor P&amp;ID </t>
  </si>
  <si>
    <t>GAs</t>
  </si>
  <si>
    <t>SSN Atex Zone Drawing</t>
  </si>
  <si>
    <t>5911</t>
  </si>
  <si>
    <t>Equipment GA Drawing - Lamella Clarifier Sheet 1</t>
  </si>
  <si>
    <t>5912</t>
  </si>
  <si>
    <t>Equipment GA Drawing - Lamella Clarifier Sheet 2</t>
  </si>
  <si>
    <t>Equipment GA Drawing - Lamella Clarifier Sheet 3</t>
  </si>
  <si>
    <t>59xx</t>
  </si>
  <si>
    <t>Equipment GA Drawing - Lamella Clarifier Handrail</t>
  </si>
  <si>
    <t>5901</t>
  </si>
  <si>
    <t>Equipment GA Drawing - Biomass Separator A/B</t>
  </si>
  <si>
    <t>5902</t>
  </si>
  <si>
    <t>Equipment GA Drawing - Biomass Separator C</t>
  </si>
  <si>
    <t>Diffuser Overall Drawing</t>
  </si>
  <si>
    <t>1201</t>
  </si>
  <si>
    <t>Diffuser GA Overall Plan View (Anammox Reactor 1 &amp; 3)</t>
  </si>
  <si>
    <t>1202</t>
  </si>
  <si>
    <t>Diffuser GA Overall Plan View (Anammox Reactor 2 &amp; 4)</t>
  </si>
  <si>
    <t xml:space="preserve">Diffuser Fine Bubble 3D Model </t>
  </si>
  <si>
    <t>5021</t>
  </si>
  <si>
    <t>Fine Bubble Diffuser Detailed Drawing</t>
  </si>
  <si>
    <t>5022</t>
  </si>
  <si>
    <t>FIne Bubble Diffuser Purge Detailed Drawing</t>
  </si>
  <si>
    <t>1203</t>
  </si>
  <si>
    <t xml:space="preserve">PLAN VIEW SIDESTREAM -N REMOVAL ANAMMOX REACTOR GRID 1-1, 3-1 </t>
  </si>
  <si>
    <t>1204</t>
  </si>
  <si>
    <t xml:space="preserve">PLAN VIEW SIDESTREAM -N REMOVAL ANAMMOX REACTOR GRID 1-2, 3-2 </t>
  </si>
  <si>
    <t>1205</t>
  </si>
  <si>
    <t>PLAN VIEW SIDESTREAM -N REMOVAL ANAMMOX REACTOR GRID 1-3, 3-3</t>
  </si>
  <si>
    <t>1206</t>
  </si>
  <si>
    <t>PLAN VIEW SIDESTREAM -N REMOVAL ANAMMOX REACTOR GRID 1-4, 3-4</t>
  </si>
  <si>
    <t>1207</t>
  </si>
  <si>
    <t>PLAN VIEW SIDESTREAM -N REMOVAL ANAMMOX REACTOR GRID 2-1, 4-1</t>
  </si>
  <si>
    <t>1208</t>
  </si>
  <si>
    <t>PLAN VIEW SIDESTREAM -N REMOVAL ANAMMOX REACTOR GRID 2-2, 4-2</t>
  </si>
  <si>
    <t>1209</t>
  </si>
  <si>
    <t>PLAN VIEW SIDESTREAM -N REMOVAL ANAMMOX REACTOR GRID 2-3, 4-3</t>
  </si>
  <si>
    <t>1210</t>
  </si>
  <si>
    <t>PLAN VIEW SIDESTREAM -N REMOVAL ANAMMOX REACTOR GRID 2-4, 4-4</t>
  </si>
  <si>
    <t>3203</t>
  </si>
  <si>
    <t xml:space="preserve">Section VIEW SIDESTREAM -N REMOVAL ANAMMOX REACTOR GRID 1-1, 3-1 </t>
  </si>
  <si>
    <t>3204</t>
  </si>
  <si>
    <t xml:space="preserve">Section VIEW SIDESTREAM -N REMOVAL ANAMMOX REACTOR GRID 1-2, 3-2 </t>
  </si>
  <si>
    <t>3205</t>
  </si>
  <si>
    <t>Section VIEW SIDESTREAM -N REMOVAL ANAMMOX REACTOR GRID 1-3, 3-3</t>
  </si>
  <si>
    <t>3206</t>
  </si>
  <si>
    <t>Section VIEW SIDESTREAM -N REMOVAL ANAMMOX REACTOR GRID 1-4, 3-4</t>
  </si>
  <si>
    <t>3207</t>
  </si>
  <si>
    <t>Section VIEW SIDESTREAM -N REMOVAL ANAMMOX REACTOR GRID 2-1, 4-1</t>
  </si>
  <si>
    <t>3208</t>
  </si>
  <si>
    <t>Section VIEW SIDESTREAM -N REMOVAL ANAMMOX REACTOR GRID 2-2, 4-2</t>
  </si>
  <si>
    <t>3209</t>
  </si>
  <si>
    <t>Section VIEW SIDESTREAM -N REMOVAL ANAMMOX REACTOR GRID 2-3, 4-3</t>
  </si>
  <si>
    <t>3210</t>
  </si>
  <si>
    <t>Section VIEW SIDESTREAM -N REMOVAL ANAMMOX REACTOR GRID 2-4, 4-4</t>
  </si>
  <si>
    <t xml:space="preserve">VALVE GA DRAWING - TCI INLET FLOW CONTROL VALVE </t>
  </si>
  <si>
    <t>VALVE GA DRAWING - DC PARTIAL BYPASS LINE INLET FLOW CONTROL VALVE</t>
  </si>
  <si>
    <t>VALVE GA DRAWING - LAMELLA CLARIFIER 1/2/3/4/5 INLET FLOW CONTROL VALVE</t>
  </si>
  <si>
    <t>5711</t>
  </si>
  <si>
    <t xml:space="preserve">VALVE GA DRAWING - AIR FCV </t>
  </si>
  <si>
    <t>5721</t>
  </si>
  <si>
    <t xml:space="preserve">VALVE GA DRAWING - ARV 2" </t>
  </si>
  <si>
    <t>5722</t>
  </si>
  <si>
    <t>VALVE GA DRAWING - ARV 3"</t>
  </si>
  <si>
    <t>VALVE GA DRAWING - SSN SAMPLING PUMP DISCHARGE SRV</t>
  </si>
  <si>
    <t>VALVE GA DRAWING - SSN WASTE SLUDGE PUMP A/B DISCHARGE SRV</t>
  </si>
  <si>
    <t xml:space="preserve">VALVE GA DRAWING - SSN WASTE SLUDGE PUMP C/D DISCHARGE SRV </t>
  </si>
  <si>
    <t xml:space="preserve">VALVE GA DRAWING - SSN GRANULAR SLUDGE PUMP DISCHARGE SRV </t>
  </si>
  <si>
    <t xml:space="preserve">VALVE GA DRAWING - SSN SLUDGE TRANSFER PUMP DISCHARGE SRV </t>
  </si>
  <si>
    <t>5751</t>
  </si>
  <si>
    <t>VALVE GA DRAWING - SSN G2D PRV</t>
  </si>
  <si>
    <t>VALVE GA DRAWING - SSN IA PRV</t>
  </si>
  <si>
    <t>5741</t>
  </si>
  <si>
    <t>VALVE GA DRAWING - SSN SOLENOID VALVE</t>
  </si>
  <si>
    <t>5761</t>
  </si>
  <si>
    <t>VALVE GA DRAWING - SSN AUTOMATIC CONDENSATE DRAIN VALVE</t>
  </si>
  <si>
    <t>5810</t>
  </si>
  <si>
    <t>SSN SLUDGE COMPARTMENT MIXING NOZZLE DETAILED DRAWING</t>
  </si>
  <si>
    <t>SSN SPRAY NOZZLE DRAWING</t>
  </si>
  <si>
    <t>PLAN VIEW SSN SLUDGE COMPARTMENT MIXING NOZZLE</t>
  </si>
  <si>
    <t>0015</t>
  </si>
  <si>
    <t>0016</t>
  </si>
  <si>
    <t>0017</t>
  </si>
  <si>
    <t>0018</t>
  </si>
  <si>
    <t>0025</t>
  </si>
  <si>
    <t>0026</t>
  </si>
  <si>
    <t>Civil Condition drawing for EQ tanks, ANAMMOX tanks, sludge tanks and effluent tanks</t>
  </si>
  <si>
    <t>General Layout Plant</t>
  </si>
  <si>
    <t>ON-OFF VALVE DATASHEET - EQ TANK 1/2 DC INLET VALVE</t>
  </si>
  <si>
    <t>ON-OFF VALVE DATASHEET - DC INLET ISOLATION VALVE</t>
  </si>
  <si>
    <t>ON-OFF VALVE DATASHEET - DC BYPASS LINE ISOLATION VALVE</t>
  </si>
  <si>
    <t>ON-OFF VALVE DATASHEET - EQ TANK 1/2 OUTLET VALVE</t>
  </si>
  <si>
    <t>ON-OFF VALVE DATASHEET - DC PARTIAL BYPASS LINE ISOLATION VALVE</t>
  </si>
  <si>
    <t>ON-OFF VALVE DATASHEET - EQ TANK 1/2 TCI INLET VALVE</t>
  </si>
  <si>
    <t>ON-OFF VALVE DATASHEET - TCI INLET ISOLATION VALVE</t>
  </si>
  <si>
    <t>ON-OFF VALVE DATASHEET - DISCHARGE TRANSFER PUMP OUTLET VALVE</t>
  </si>
  <si>
    <t>ON-OFF VALVE DATASHEET - LAMELLA CLARIFIER 1/2/3/4/5 SLUDGE HOPPER 1/2/3 OUTLET VALVE</t>
  </si>
  <si>
    <t>ANNAMOX REACTOR 1/2/3/4 AERATION FLOW CONTROL VALVE</t>
  </si>
  <si>
    <t>ON-OFF VALVE DATASHEET - WASTE SLUDGE PUMP DISCHARGE VALVE</t>
  </si>
  <si>
    <t>ON-OFF VALVE DATASHEET - DISCHARGE WET WELL 1/2 INLET ISOLATION VALVE</t>
  </si>
  <si>
    <t>ON-OFF VALVE DATASHEET - DISCHARGE WET WELL 1/2 OUTLET VALVE</t>
  </si>
  <si>
    <t>ON-OFF VALVE DATASHEET - SLUDGE COMPARTMENT OUTLET VALVE</t>
  </si>
  <si>
    <t>ON-OFF VALVE DATASHEET - EFFLUENT TO SLUDGE COMPARTMENT ISOLATION</t>
  </si>
  <si>
    <t>ON-OFF VALVE DATASHEET - AERATION BLOWER DISCHARGE VALVE</t>
  </si>
  <si>
    <t>ON-OFF VALVE DATASHEET - ANAMMOX REACTOR G2D SPRAY WATER ISOLATION VALVE</t>
  </si>
  <si>
    <t>CONTROL VALVE DATASHEET - TCI INLET FLOW CONTROL VALVE</t>
  </si>
  <si>
    <t>CONTROL VALVE DATASHEET - DC PARTIAL BYPASS LINE INLET FLOW CONTROL VALVE</t>
  </si>
  <si>
    <t>CONTROL VALVE DATASHEET - LAMELLA CLARIFIER 1/2/3/4/5 INLET FLOW CONTROL VALVE</t>
  </si>
  <si>
    <t>CONTROL VALVE DATASHEET - AERATION AIR FLOW CONTROL VALVE</t>
  </si>
  <si>
    <t>AIR RELEASE VALVE DATASHEET - PD PIPE AIR RELEASE VALVE</t>
  </si>
  <si>
    <t>AIR RELEASE VALVE DATASHEET - PSI PIPE LINE AIR RELEASE VALVE</t>
  </si>
  <si>
    <t>AIR RELEASE VALVE DATASHEET - WASI PIPELINE AIR RELEASE VALVE</t>
  </si>
  <si>
    <t>AIR RELEASE VALVE DATASHEET - DC PIPELINE AIR RELEASE VALVE</t>
  </si>
  <si>
    <t>AIR RELEASE VALVE DATASHEET - SSN OUTGOING DISCHARGE AIR RELEASE VALVE</t>
  </si>
  <si>
    <t>SAFETY RELIEF VALVE DATASHEET - SSN WASTE SLUDGE PUMP A/B DISCHARGE SRV</t>
  </si>
  <si>
    <t xml:space="preserve">SAFETY RELIEF VALVE DATASHEET - SSN WASTE SLUDGE PUMP C/D DISCHARGE SRV </t>
  </si>
  <si>
    <t xml:space="preserve">SAFETY RELIEF VALVE DATASHEET - SSN GRANULAR SLUDGE PUMP DISCHARGE SRV </t>
  </si>
  <si>
    <t>SAFETY RELIEF VALVE DATASHEET - SSN SAMPLING PUMP DISCHARGE SRV</t>
  </si>
  <si>
    <t xml:space="preserve">SAFETY RELIEF VALVE DATASHEET - SSN SLUDGE TRANSFER PUMP DISCHARGE SRV </t>
  </si>
  <si>
    <t>5560</t>
  </si>
  <si>
    <t>SOLENOID VALVE DATASHEET - ANALYZER AIR AIR FLUSHING</t>
  </si>
  <si>
    <t>Diffuser Purging Solenoid Valve Datasheet</t>
  </si>
  <si>
    <t>PRESSURE REDUCING VALVE DATASHEET - G2D PRV</t>
  </si>
  <si>
    <t>C4B SSN Pressure Reducing Valve GA Drawing</t>
  </si>
  <si>
    <t>PRESSURE REDUCING VALVE DATASHEET - IA PRV</t>
  </si>
  <si>
    <t>SSN SPRAY NOZZLE DATASHEET</t>
  </si>
  <si>
    <t>SSN SLUDGE COMPARTMENT MIXING NOZZLE DATASHEET</t>
  </si>
  <si>
    <t>SSN AUTOMATIC CONDENSATE DRAIN VALVE DATASHEET</t>
  </si>
  <si>
    <t>0020</t>
  </si>
  <si>
    <t xml:space="preserve">CASCADE COUPLING DATASHEET </t>
  </si>
  <si>
    <t>Performance Test Procedure</t>
  </si>
  <si>
    <t>Commissioning Procedure</t>
  </si>
  <si>
    <t>O&amp;M Manual</t>
  </si>
  <si>
    <t>Training Manual</t>
  </si>
  <si>
    <t>Diffuser O&amp;M Manual</t>
  </si>
  <si>
    <t>Preliminary design and Vendor Approval for THP Package</t>
  </si>
  <si>
    <t>PRELIMINARY DESIGN AND VENDOR APPROVAL DOCUMENT- THP SYSTEM VALVE PACKAGE (CAMBI SUPPLY)</t>
  </si>
  <si>
    <t>PRELIMINARY DESIGN AND VENDOR APPROVAL DOCUMENT- G1 AND G2D BOOSTER PUMPS (CAMBI SUPPLY)</t>
  </si>
  <si>
    <t>PRELIMINARY DESIGN AND VENDOR APPROVAL DOCUMENT- STEAM EQUIPTMENT PACKAGE</t>
  </si>
  <si>
    <t>Basis of Design Report - THP</t>
  </si>
  <si>
    <t>THP Detailed Design Report</t>
  </si>
  <si>
    <t>THERMAL HYDROLYSIS PROCESS PRESENTATION</t>
  </si>
  <si>
    <t>HAZOP Study Report - THP</t>
  </si>
  <si>
    <t>30% ALMOP Study Report for THP</t>
  </si>
  <si>
    <t>PROCESS CONTROL NARRATIVE - THP</t>
  </si>
  <si>
    <t>C4B COMPRESSED AIR CALCULATION SHEET</t>
  </si>
  <si>
    <t>Steam Sparger Calculation</t>
  </si>
  <si>
    <t>0014</t>
  </si>
  <si>
    <t>THP Steam Pressure Loss Calculation</t>
  </si>
  <si>
    <t>C4B THP EQUIPMENT SIZING CALCULATION SHEET</t>
  </si>
  <si>
    <t>Plant Drain Hydraulic Calculation</t>
  </si>
  <si>
    <t>THP Feed Pump Pressure Loss Calculation</t>
  </si>
  <si>
    <t>Air Compressor Pressure Loss Calculation</t>
  </si>
  <si>
    <t>Desuperheater Calculation</t>
  </si>
  <si>
    <t xml:space="preserve">Flash Tank Discharge Pump Pressure Loss Calculation </t>
  </si>
  <si>
    <t xml:space="preserve">Precooler S2 Circ Pump Pressure Loss Calculation </t>
  </si>
  <si>
    <t>THP Plant Process Water Hydraulic in C4B Courtyard</t>
  </si>
  <si>
    <t>Steam Supply to THP System: Steam Trap and Condensate Header Calculation</t>
  </si>
  <si>
    <t>0013</t>
  </si>
  <si>
    <t xml:space="preserve">THP Plant Hydraulics Calculation </t>
  </si>
  <si>
    <t>HWR BYPASS CONTROL VAVLE SIZING CALCULATION IN C4B COURTYARD</t>
  </si>
  <si>
    <t>G1 BOOSTER PUMP HYDRAULICS</t>
  </si>
  <si>
    <t>G2D BOOSTER PUMP HYDRAULICS</t>
  </si>
  <si>
    <t>0028</t>
  </si>
  <si>
    <t>DIGESTER FEED PUMP &amp; RING CIRCULATION PUMP PRESSURE LOSS CALCULATION</t>
  </si>
  <si>
    <t>PROCESS WATER HYDRAULIC CALCULATION</t>
  </si>
  <si>
    <t>Functional Design Specification - THP</t>
  </si>
  <si>
    <t>PROCESS EQUIPMENT SIZING CALCULATION - STATIC EQUIPMENT</t>
  </si>
  <si>
    <t>PROCESS EQUIPMENT SIZING CALCULATION - ROTATING EQUIPMENT</t>
  </si>
  <si>
    <t>PROCESS EQUIPMENT CALCULATION - THP FFED PUMP</t>
  </si>
  <si>
    <t>PROCESS EQUIPMENT CALCULATION - PULPER</t>
  </si>
  <si>
    <t>PROCESS EQUIPMENT CALCULATION - REACTOR FEED PUMP</t>
  </si>
  <si>
    <t>PROCESS EQUIPMENT CALCULATION - REACTOR</t>
  </si>
  <si>
    <t>PROCESS EQUIPMENT CALCULATION - FLASHTANK</t>
  </si>
  <si>
    <t>PROCESS EQUIPMENT CALCULATION - FLASHTANK DISCHARGE PUMP</t>
  </si>
  <si>
    <t>PROCESS EQUIPMENT CALCULATION - PROCESS GAS COOLER</t>
  </si>
  <si>
    <t>PROCESS EQUIPMENT CALCULATION - COMPRESSED PROCESS GAS DRUM</t>
  </si>
  <si>
    <t>PROCESS EQUIPMENT CALCULATION - PSG WATER PUMP</t>
  </si>
  <si>
    <t>PROCESS EQUIPMENT CALCULATION - PRESS GAS EJECTOR</t>
  </si>
  <si>
    <t>PROCESS EQUIPMENT CALCULATION - COOLER STAGE 1</t>
  </si>
  <si>
    <t>PROCESS EQUIPMENT CALCULATION - COOLER STAGE 2</t>
  </si>
  <si>
    <t>PROCESS EQUIPMENT CALCULATION - COOLER STAGE 2 RECIRCULATION PUMP</t>
  </si>
  <si>
    <t>PROCESS EQUIPMENT CALCULATION - DIGESTER FEED PUMP</t>
  </si>
  <si>
    <t>PROCESS EQUIPMENT CALCULATION - RING CIRCULATION PUMP</t>
  </si>
  <si>
    <t>PROCESS EQUIPMENT CALCULATION - STREAM DESUPERHEATER</t>
  </si>
  <si>
    <t xml:space="preserve">PROCESS EQUIPMENT CALCULATION - STREAM SPARGER </t>
  </si>
  <si>
    <t>System Description</t>
  </si>
  <si>
    <t xml:space="preserve">Heat Exchanger Calculation </t>
  </si>
  <si>
    <t xml:space="preserve">Process Control Narrative  </t>
  </si>
  <si>
    <t xml:space="preserve">HWR Bypass Control Valve </t>
  </si>
  <si>
    <t xml:space="preserve">G1 Pump Hydraulic </t>
  </si>
  <si>
    <t xml:space="preserve">G2D Booster Pump Hydraulic </t>
  </si>
  <si>
    <t xml:space="preserve">H2S Dispersion Report </t>
  </si>
  <si>
    <t>7001</t>
  </si>
  <si>
    <t>Process Flow Diagram with Mass Balance (THP)</t>
  </si>
  <si>
    <t>7002</t>
  </si>
  <si>
    <t>P&amp;ID - THP PULPER FEED PUMPS</t>
  </si>
  <si>
    <t>P&amp;ID - THP TRAIN 1 PULPER</t>
  </si>
  <si>
    <t>P&amp;ID - THP TRAIN 1 REACTOR FEED PUMPS</t>
  </si>
  <si>
    <t>P&amp;ID - THP TRAIN 1 REACTOR A</t>
  </si>
  <si>
    <t>P&amp;ID - THP TRAIN 1 REACTOR B</t>
  </si>
  <si>
    <t>P&amp;ID - THP TRAIN 1 REACTOR C</t>
  </si>
  <si>
    <t>P&amp;ID - THP TRAIN 1 REACTOR D</t>
  </si>
  <si>
    <t>P&amp;ID - THP TRAIN 1 FLASHTANK</t>
  </si>
  <si>
    <t>P&amp;ID - THP TRAIN 1 FLASHTANK DISCHARGE PUMPS</t>
  </si>
  <si>
    <t>P&amp;ID - THP TRAIN 1 PROCESS GAS COOLER</t>
  </si>
  <si>
    <t>P&amp;ID - THP TRAIN 1 PROCESS GAS SKID</t>
  </si>
  <si>
    <t>P&amp;ID - THP TRAIN 1 STEAM HEADER</t>
  </si>
  <si>
    <t>P&amp;ID - THP TRAIN 1 PRESSURIZED AIR</t>
  </si>
  <si>
    <t>P&amp;ID - THP TRAIN 1 WATER DISTRIBUTION</t>
  </si>
  <si>
    <t>P&amp;ID - THP TRAIN 1 CAISSON</t>
  </si>
  <si>
    <t>P&amp;ID - THP TRAIN 1 SLUDGE PRECOOLER STAGE 1</t>
  </si>
  <si>
    <t>P&amp;ID - THP TRAIN 1 SLUDGE PRECOOLER STAGE 2 RECIRCULATION PUMPS</t>
  </si>
  <si>
    <t xml:space="preserve">P&amp;ID - THP TRAIN 1 SLUDGE PRECOOLER STAGE 2 </t>
  </si>
  <si>
    <t>P&amp;ID - THP TRAIN 1 DIGESTER FEED PUMPS</t>
  </si>
  <si>
    <t>P&amp;ID - THP TRAIN 2 PULPER</t>
  </si>
  <si>
    <t>P&amp;ID - THP TRAIN 2 REACTOR FEED PUMPS</t>
  </si>
  <si>
    <t>P&amp;ID - THP TRAIN 2 REACTOR A</t>
  </si>
  <si>
    <t>P&amp;ID - THP TRAIN 2 REACTOR B</t>
  </si>
  <si>
    <t>P&amp;ID - THP TRAIN 2 REACTOR C</t>
  </si>
  <si>
    <t>P&amp;ID - THP TRAIN 2 REACTOR D</t>
  </si>
  <si>
    <t>P&amp;ID - THP TRAIN 2 FLASHTANK</t>
  </si>
  <si>
    <t>P&amp;ID - THP TRAIN 2 FLASHTANK DISCHARGE PUMPS</t>
  </si>
  <si>
    <t>P&amp;ID - THP TRAIN 2 PROCESS GAS COOLER</t>
  </si>
  <si>
    <t>P&amp;ID - THP TRAIN 2 PROCESS GAS SKID</t>
  </si>
  <si>
    <t>P&amp;ID - THP TRAIN 2 STEAM HEADER</t>
  </si>
  <si>
    <t>P&amp;ID - THP TRAIN 2 PRESSURIZED AIR</t>
  </si>
  <si>
    <t>P&amp;ID - THP TRAIN 2 WATER DISTRIBUTION</t>
  </si>
  <si>
    <t>P&amp;ID - THP TRAIN 2 CAISSON</t>
  </si>
  <si>
    <t>P&amp;ID - THP TRAIN 2 SLUDGE PRECOOLER STAGE 1</t>
  </si>
  <si>
    <t>P&amp;ID - THP TRAIN 2 SLUDGE PRECOOLER STAGE 2 RECIRCULATION PUMPS</t>
  </si>
  <si>
    <t xml:space="preserve">P&amp;ID - THP TRAIN 2 SLUDGE PRECOOLER STAGE 2 </t>
  </si>
  <si>
    <t>P&amp;ID - THP TRAIN 2 DIGESTER FEED PUMPS</t>
  </si>
  <si>
    <t>P&amp;ID - THP PLANT 3</t>
  </si>
  <si>
    <t>P&amp;ID - THP PLANT 4</t>
  </si>
  <si>
    <t>P&amp;ID - THP COMPRESSED AIR SYSTEM</t>
  </si>
  <si>
    <t>P&amp;ID - THP STHP DISTRIBUTION</t>
  </si>
  <si>
    <t>P&amp;ID - THP PROCESS GAS HEADER</t>
  </si>
  <si>
    <t>P&amp;ID - THP AREA G2D NETWORK</t>
  </si>
  <si>
    <t>P&amp;ID - THP PLANT DRAIN NETWORK</t>
  </si>
  <si>
    <t>P&amp;ID - THP STEAM SPARGERS</t>
  </si>
  <si>
    <t>6070</t>
  </si>
  <si>
    <t>P&amp;ID - THP HYDROLYSED SLUDGE RECIRCULATOIN PUMPS</t>
  </si>
  <si>
    <t>Process &amp; Instrumentation Diagram</t>
  </si>
  <si>
    <t>THP ATEX Zone Drawing</t>
  </si>
  <si>
    <t>THP FDS WORKSHOP PRESENTATION</t>
  </si>
  <si>
    <t>MASTER CONTROL</t>
  </si>
  <si>
    <t>80% THP ALMOP</t>
  </si>
  <si>
    <t>Line List - THP</t>
  </si>
  <si>
    <t>C4B THERMAL HYDROLYSIS PROCESS EQUIPMENT LIST</t>
  </si>
  <si>
    <t>C4B THP Valve List</t>
  </si>
  <si>
    <t>Equipment List</t>
  </si>
  <si>
    <t>Line List - THP Inter Piperack</t>
  </si>
  <si>
    <t>Line List - THP Feed Pump</t>
  </si>
  <si>
    <t>Line List - THP Foul Air</t>
  </si>
  <si>
    <t>Line List - THP COMPRESSED AIR</t>
  </si>
  <si>
    <t>Line List - THP G2D NETWORK</t>
  </si>
  <si>
    <t>Line List - THP STEAM SYSTEM</t>
  </si>
  <si>
    <t>Line List - THP PROCESS DRAIN</t>
  </si>
  <si>
    <t>Line List - THP HOT WATER NETWORK</t>
  </si>
  <si>
    <t>Line List - THP COOLING WATER NETWORK</t>
  </si>
  <si>
    <t>Pipe Line List</t>
  </si>
  <si>
    <t>Instrument List</t>
  </si>
  <si>
    <t>Alarm List</t>
  </si>
  <si>
    <t>Safety Valve Datasheet</t>
  </si>
  <si>
    <t>0047</t>
  </si>
  <si>
    <t>PRESSURE REDUCING VALVE DATASHEET - INSTRUMENT AIR FOR THP TRAIN 1/2 AREA,STEAM SPARGER AREA, THP FEED PUMP AREA</t>
  </si>
  <si>
    <t>PRESSURE REDUCING VALVE DATASHEET - INSTRUMENT AIR FOR COMPRESSED AIR SYSTEM</t>
  </si>
  <si>
    <t>0040</t>
  </si>
  <si>
    <t>THP HWR BYPASS CONTROL VALVE</t>
  </si>
  <si>
    <t>Control Valve Datasheet</t>
  </si>
  <si>
    <t>Ball Valve Datasheet</t>
  </si>
  <si>
    <t>Check Valve Datasheet</t>
  </si>
  <si>
    <t>Gate Valve Datasheet</t>
  </si>
  <si>
    <t>ste</t>
  </si>
  <si>
    <t>V-28</t>
  </si>
  <si>
    <t>Any Planned/Forecast/Actual 1st-issue date (S/T/U) earlier than the project start date (Code!B6) — document still counted/plotted on the Issue-Progress curve; flag for review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</si>
</sst>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 #,##0.00_-;_-* &quot;-&quot;??_-;_-@_-"/>
    <numFmt numFmtId="164" formatCode="[$-14809]d\ mmm\ yyyy;@"/>
    <numFmt numFmtId="165" formatCode="000000;"/>
  </numFmts>
  <fonts count="11"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b/>
      <sz val="11"/>
      <color rgb="FF000000"/>
      <name val="Calibri"/>
      <family val="2"/>
      <scheme val="minor"/>
    </font>
    <font>
      <sz val="11"/>
      <color rgb="FF000000"/>
      <name val="Calibri"/>
      <family val="2"/>
      <scheme val="minor"/>
    </font>
    <font>
      <sz val="11"/>
      <color rgb="FF0070C0"/>
      <name val="Calibri"/>
      <family val="2"/>
      <scheme val="minor"/>
    </font>
    <font>
      <sz val="11"/>
      <name val="Calibri"/>
      <family val="2"/>
      <scheme val="minor"/>
    </font>
    <font>
      <sz val="8"/>
      <name val="Calibri"/>
      <family val="2"/>
      <scheme val="minor"/>
    </font>
    <font>
      <sz val="10"/>
      <color rgb="FF000000"/>
      <name val="Arial"/>
      <family val="2"/>
    </font>
    <font>
      <b/>
      <sz val="11"/>
      <name val="Calibri"/>
      <family val="2"/>
      <scheme val="minor"/>
    </font>
  </fonts>
  <fills count="5">
    <fill>
      <patternFill patternType="none"/>
    </fill>
    <fill>
      <patternFill patternType="gray125"/>
    </fill>
    <fill>
      <patternFill patternType="solid">
        <fgColor rgb="FFFFFFFF"/>
        <bgColor rgb="FF000000"/>
      </patternFill>
    </fill>
    <fill>
      <patternFill patternType="solid">
        <fgColor theme="8" tint="0.79998168889431442"/>
        <bgColor indexed="64"/>
      </patternFill>
    </fill>
    <fill>
      <patternFill patternType="solid">
        <fgColor theme="7"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s>
  <cellStyleXfs count="14">
    <xf numFmtId="0" fontId="0" fillId="0" borderId="0"/>
    <xf numFmtId="43" fontId="1" fillId="0" borderId="0" applyFont="0" applyFill="0" applyBorder="0" applyAlignment="0" applyProtection="0"/>
    <xf numFmtId="0" fontId="1" fillId="0" borderId="0"/>
    <xf numFmtId="43" fontId="1" fillId="0" borderId="0" applyFont="0" applyFill="0" applyBorder="0" applyAlignment="0" applyProtection="0"/>
    <xf numFmtId="0" fontId="9" fillId="0" borderId="0"/>
    <xf numFmtId="0" fontId="5" fillId="2" borderId="1">
      <alignment horizontal="center" vertical="center"/>
    </xf>
    <xf numFmtId="0" fontId="5" fillId="2" borderId="1">
      <alignment horizontal="center" vertical="center"/>
    </xf>
    <xf numFmtId="0" fontId="5" fillId="2" borderId="1">
      <alignment horizontal="center" vertical="center"/>
    </xf>
    <xf numFmtId="0" fontId="5" fillId="2" borderId="1">
      <alignment vertical="center" wrapText="1"/>
    </xf>
    <xf numFmtId="0" fontId="5" fillId="2" borderId="1">
      <alignment horizontal="center" vertical="center"/>
    </xf>
    <xf numFmtId="0" fontId="5" fillId="2" borderId="1">
      <alignment horizontal="center" vertical="center"/>
    </xf>
    <xf numFmtId="0" fontId="5" fillId="2" borderId="1">
      <alignment horizontal="center" vertical="center"/>
    </xf>
    <xf numFmtId="43" fontId="1" fillId="0" borderId="0" applyFont="0" applyFill="0" applyBorder="0" applyAlignment="0" applyProtection="0"/>
    <xf numFmtId="43" fontId="1" fillId="0" borderId="0" applyFont="0" applyFill="0" applyBorder="0" applyAlignment="0" applyProtection="0"/>
  </cellStyleXfs>
  <cellXfs count="67">
    <xf numFmtId="0" fontId="0" fillId="0" borderId="0" xfId="0"/>
    <xf numFmtId="0" fontId="0" fillId="0" borderId="1" xfId="0" applyBorder="1"/>
    <xf numFmtId="0" fontId="5" fillId="0" borderId="0" xfId="0" applyFont="1"/>
    <xf numFmtId="0" fontId="5" fillId="0" borderId="1" xfId="0" applyFont="1" applyBorder="1"/>
    <xf numFmtId="0" fontId="5" fillId="0" borderId="1" xfId="0" applyFont="1" applyBorder="1" applyAlignment="1">
      <alignment horizontal="left"/>
    </xf>
    <xf numFmtId="0" fontId="5" fillId="0" borderId="1" xfId="0" applyFont="1" applyBorder="1" applyAlignment="1">
      <alignment wrapText="1"/>
    </xf>
    <xf numFmtId="0" fontId="6" fillId="0" borderId="1" xfId="0" applyFont="1" applyBorder="1" applyAlignment="1">
      <alignment horizontal="left"/>
    </xf>
    <xf numFmtId="0" fontId="6" fillId="2" borderId="1" xfId="0" applyFont="1" applyFill="1" applyBorder="1"/>
    <xf numFmtId="0" fontId="5" fillId="0" borderId="0" xfId="0" applyFont="1" applyAlignment="1">
      <alignment wrapText="1"/>
    </xf>
    <xf numFmtId="0" fontId="5" fillId="0" borderId="2" xfId="0" applyFont="1" applyBorder="1"/>
    <xf numFmtId="0" fontId="6" fillId="2" borderId="0" xfId="0" applyFont="1" applyFill="1"/>
    <xf numFmtId="0" fontId="0" fillId="0" borderId="0" xfId="0" applyAlignment="1">
      <alignment horizontal="center"/>
    </xf>
    <xf numFmtId="0" fontId="3" fillId="0" borderId="0" xfId="0" applyFont="1" applyAlignment="1">
      <alignment horizontal="center"/>
    </xf>
    <xf numFmtId="0" fontId="3" fillId="3" borderId="0" xfId="0" applyFont="1" applyFill="1" applyAlignment="1">
      <alignment horizontal="center"/>
    </xf>
    <xf numFmtId="0" fontId="3" fillId="4" borderId="0" xfId="0" applyFont="1" applyFill="1" applyAlignment="1">
      <alignment horizontal="center"/>
    </xf>
    <xf numFmtId="0" fontId="0" fillId="0" borderId="0" xfId="0" applyAlignment="1">
      <alignment horizontal="left"/>
    </xf>
    <xf numFmtId="164" fontId="3" fillId="4" borderId="0" xfId="0" applyNumberFormat="1" applyFont="1" applyFill="1" applyAlignment="1">
      <alignment horizontal="center"/>
    </xf>
    <xf numFmtId="164" fontId="0" fillId="0" borderId="0" xfId="0" applyNumberFormat="1" applyAlignment="1">
      <alignment horizontal="center"/>
    </xf>
    <xf numFmtId="0" fontId="7" fillId="0" borderId="1" xfId="0" applyFont="1" applyBorder="1"/>
    <xf numFmtId="15" fontId="7" fillId="0" borderId="1" xfId="0" applyNumberFormat="1" applyFont="1" applyBorder="1" applyAlignment="1">
      <alignment horizontal="left"/>
    </xf>
    <xf numFmtId="0" fontId="7" fillId="0" borderId="1" xfId="0" applyFont="1" applyBorder="1" applyAlignment="1">
      <alignment horizontal="left"/>
    </xf>
    <xf numFmtId="164" fontId="2" fillId="0" borderId="0" xfId="0" applyNumberFormat="1" applyFont="1" applyAlignment="1">
      <alignment horizontal="center"/>
    </xf>
    <xf numFmtId="0" fontId="3" fillId="0" borderId="0" xfId="0" applyFont="1" applyAlignment="1">
      <alignment vertical="top" wrapText="1"/>
    </xf>
    <xf numFmtId="0" fontId="0" fillId="0" borderId="0" xfId="0" applyAlignment="1">
      <alignment vertical="top"/>
    </xf>
    <xf numFmtId="0" fontId="0" fillId="0" borderId="0" xfId="0" applyAlignment="1">
      <alignment vertical="top" wrapText="1"/>
    </xf>
    <xf numFmtId="0" fontId="3" fillId="0" borderId="0" xfId="0" applyFont="1" applyAlignment="1">
      <alignment horizontal="left" vertical="top" wrapText="1"/>
    </xf>
    <xf numFmtId="0" fontId="0" fillId="0" borderId="0" xfId="0" applyAlignment="1">
      <alignment horizontal="left" vertical="top" wrapText="1"/>
    </xf>
    <xf numFmtId="164" fontId="3" fillId="3" borderId="0" xfId="0" applyNumberFormat="1" applyFont="1" applyFill="1" applyAlignment="1">
      <alignment horizontal="center"/>
    </xf>
    <xf numFmtId="0" fontId="3" fillId="0" borderId="1" xfId="0" applyFont="1" applyBorder="1" applyAlignment="1">
      <alignment horizontal="center"/>
    </xf>
    <xf numFmtId="0" fontId="3" fillId="3" borderId="0" xfId="0" applyFont="1" applyFill="1" applyAlignment="1">
      <alignment horizontal="center" vertical="top"/>
    </xf>
    <xf numFmtId="0" fontId="3" fillId="4" borderId="0" xfId="0" applyFont="1" applyFill="1" applyAlignment="1">
      <alignment horizontal="center" vertical="top"/>
    </xf>
    <xf numFmtId="164" fontId="3" fillId="3" borderId="0" xfId="0" applyNumberFormat="1" applyFont="1" applyFill="1" applyAlignment="1">
      <alignment horizontal="center" vertical="top"/>
    </xf>
    <xf numFmtId="0" fontId="3" fillId="0" borderId="0" xfId="0" applyFont="1" applyAlignment="1">
      <alignment horizontal="center" vertical="top"/>
    </xf>
    <xf numFmtId="0" fontId="0" fillId="0" borderId="0" xfId="0" applyAlignment="1">
      <alignment horizontal="center" vertical="top"/>
    </xf>
    <xf numFmtId="0" fontId="0" fillId="0" borderId="0" xfId="0" applyAlignment="1">
      <alignment horizontal="left" vertical="top"/>
    </xf>
    <xf numFmtId="164" fontId="0" fillId="0" borderId="0" xfId="0" applyNumberFormat="1" applyAlignment="1">
      <alignment horizontal="center" vertical="top"/>
    </xf>
    <xf numFmtId="164" fontId="10" fillId="3" borderId="0" xfId="0" applyNumberFormat="1" applyFont="1" applyFill="1" applyAlignment="1">
      <alignment horizontal="center" vertical="top"/>
    </xf>
    <xf numFmtId="0" fontId="10" fillId="4" borderId="0" xfId="0" applyFont="1" applyFill="1" applyAlignment="1">
      <alignment horizontal="center" vertical="top"/>
    </xf>
    <xf numFmtId="164" fontId="10" fillId="4" borderId="0" xfId="0" applyNumberFormat="1" applyFont="1" applyFill="1" applyAlignment="1">
      <alignment horizontal="center" vertical="top"/>
    </xf>
    <xf numFmtId="164" fontId="7" fillId="0" borderId="0" xfId="0" applyNumberFormat="1" applyFont="1" applyAlignment="1">
      <alignment horizontal="center" vertical="top"/>
    </xf>
    <xf numFmtId="0" fontId="7" fillId="0" borderId="0" xfId="0" applyFont="1" applyAlignment="1">
      <alignment horizontal="center" vertical="top"/>
    </xf>
    <xf numFmtId="0" fontId="0" fillId="0" borderId="1" xfId="0" applyBorder="1" applyAlignment="1">
      <alignment wrapText="1"/>
    </xf>
    <xf numFmtId="0" fontId="0" fillId="0" borderId="0" xfId="0" applyAlignment="1">
      <alignment wrapText="1"/>
    </xf>
    <xf numFmtId="0" fontId="4" fillId="0" borderId="1" xfId="0" applyFont="1" applyBorder="1" applyAlignment="1">
      <alignment vertical="center"/>
    </xf>
    <xf numFmtId="0" fontId="5" fillId="0" borderId="0" xfId="0" applyFont="1" applyAlignment="1">
      <alignment vertical="center"/>
    </xf>
    <xf numFmtId="0" fontId="4" fillId="0" borderId="0" xfId="0" applyFont="1" applyAlignment="1">
      <alignment vertical="center"/>
    </xf>
    <xf numFmtId="0" fontId="4" fillId="0" borderId="1" xfId="0" applyFont="1" applyBorder="1" applyAlignment="1">
      <alignment horizontal="left" vertical="center"/>
    </xf>
    <xf numFmtId="0" fontId="4" fillId="0" borderId="1" xfId="0" applyFont="1" applyBorder="1" applyAlignment="1">
      <alignment vertical="center" wrapText="1"/>
    </xf>
    <xf numFmtId="0" fontId="3" fillId="0" borderId="1" xfId="0" applyFont="1" applyBorder="1" applyAlignment="1">
      <alignment vertical="center" wrapText="1"/>
    </xf>
    <xf numFmtId="0" fontId="0" fillId="0" borderId="0" xfId="0" applyAlignment="1">
      <alignment vertical="center"/>
    </xf>
    <xf numFmtId="49" fontId="3" fillId="3" borderId="0" xfId="0" applyNumberFormat="1" applyFont="1" applyFill="1" applyAlignment="1">
      <alignment horizontal="center" vertical="top"/>
    </xf>
    <xf numFmtId="49" fontId="0" fillId="0" borderId="0" xfId="0" applyNumberFormat="1" applyAlignment="1">
      <alignment horizontal="center" vertical="top"/>
    </xf>
    <xf numFmtId="0" fontId="0" fillId="0" borderId="0" xfId="0" applyAlignment="1">
      <alignment horizontal="center" vertical="center"/>
    </xf>
    <xf numFmtId="0" fontId="0" fillId="0" borderId="0" xfId="0" applyAlignment="1">
      <alignment horizontal="left" vertical="center"/>
    </xf>
    <xf numFmtId="0" fontId="3" fillId="0" borderId="0" xfId="0" applyFont="1" applyAlignment="1">
      <alignment horizontal="center" vertical="center"/>
    </xf>
    <xf numFmtId="49" fontId="3" fillId="0" borderId="0" xfId="0" applyNumberFormat="1" applyFont="1" applyAlignment="1">
      <alignment horizontal="center" vertical="center"/>
    </xf>
    <xf numFmtId="0" fontId="3" fillId="3" borderId="0" xfId="0" applyFont="1" applyFill="1" applyAlignment="1">
      <alignment horizontal="center" vertical="center"/>
    </xf>
    <xf numFmtId="49" fontId="3" fillId="3" borderId="0" xfId="0" applyNumberFormat="1" applyFont="1" applyFill="1" applyAlignment="1">
      <alignment horizontal="center" vertical="center"/>
    </xf>
    <xf numFmtId="0" fontId="3" fillId="3" borderId="1" xfId="0" applyFont="1" applyFill="1" applyBorder="1" applyAlignment="1">
      <alignment horizontal="left" vertical="center"/>
    </xf>
    <xf numFmtId="0" fontId="0" fillId="0" borderId="1" xfId="0" applyBorder="1" applyAlignment="1">
      <alignment horizontal="center"/>
    </xf>
    <xf numFmtId="49" fontId="3" fillId="3" borderId="1" xfId="0" applyNumberFormat="1" applyFont="1" applyFill="1" applyBorder="1" applyAlignment="1">
      <alignment horizontal="left" vertical="center"/>
    </xf>
    <xf numFmtId="0" fontId="0" fillId="0" borderId="1" xfId="0" applyBorder="1" applyAlignment="1">
      <alignment horizontal="center" vertical="top"/>
    </xf>
    <xf numFmtId="165" fontId="10" fillId="4" borderId="0" xfId="0" applyNumberFormat="1" applyFont="1" applyFill="1" applyAlignment="1">
      <alignment horizontal="center" vertical="top"/>
    </xf>
    <xf numFmtId="165" fontId="7" fillId="0" borderId="0" xfId="0" applyNumberFormat="1" applyFont="1" applyAlignment="1">
      <alignment horizontal="center" vertical="top"/>
    </xf>
    <xf numFmtId="164" fontId="7" fillId="0" borderId="0" xfId="0" applyNumberFormat="1" applyFont="1" applyAlignment="1">
      <alignment horizontal="center"/>
    </xf>
    <xf numFmtId="0" fontId="3" fillId="0" borderId="0" xfId="0" applyFont="1" applyAlignment="1">
      <alignment horizontal="left"/>
    </xf>
    <xf numFmtId="0" fontId="0" fillId="0" borderId="1" xfId="0" applyBorder="1" applyAlignment="1">
      <alignment horizontal="left" vertical="top" wrapText="1"/>
    </xf>
  </cellXfs>
  <cellStyles count="14">
    <cellStyle name="ColStyle1" xfId="5" xr:uid="{BCCAE00C-9715-4742-BFAF-9D88D6DF1994}"/>
    <cellStyle name="ColStyle2" xfId="6" xr:uid="{845B4B9C-C424-4434-BCFE-9BB9152BF9B2}"/>
    <cellStyle name="ColStyle3" xfId="7" xr:uid="{5387593D-5A33-4F96-A53F-C4784C90963C}"/>
    <cellStyle name="ColStyle4" xfId="8" xr:uid="{2B7BFDDF-481A-463E-ADB4-308FC1420554}"/>
    <cellStyle name="ColStyle5" xfId="9" xr:uid="{BC65D482-49DC-4D3A-B22A-D295C8B8E0BA}"/>
    <cellStyle name="ColStyle6" xfId="10" xr:uid="{98B533BC-C093-4955-A1F4-5166A4687342}"/>
    <cellStyle name="ColStyle7" xfId="11" xr:uid="{9B031900-8213-4B7E-88AE-DC8FDB19AAD5}"/>
    <cellStyle name="Comma 2" xfId="3" xr:uid="{461EB827-83B3-4F3B-BB1D-EA9239678333}"/>
    <cellStyle name="Comma 2 2" xfId="13" xr:uid="{2EC00DCC-A409-481C-898A-7425D9D58A78}"/>
    <cellStyle name="Comma 3" xfId="1" xr:uid="{D87BB2DC-18DA-4A2E-A037-D3A333A467C9}"/>
    <cellStyle name="Comma 3 2" xfId="12" xr:uid="{0A6CB008-B227-4027-8C69-E2D996DED42B}"/>
    <cellStyle name="Normal" xfId="0" builtinId="0"/>
    <cellStyle name="Normal 2" xfId="4" xr:uid="{892884B1-46B9-4661-9C0E-8F39469C5C5B}"/>
    <cellStyle name="Normal 3 2" xfId="2" xr:uid="{29785472-E1C1-40D1-BCD0-B48AFAEABDAF}"/>
  </cellStyles>
  <dxfs count="12">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1" defaultTableStyle="TableStyleMedium2" defaultPivotStyle="PivotStyleMedium9">
    <tableStyle name="Invisible" pivot="0" table="0" count="0" xr9:uid="{6578F918-F140-4709-8BA2-C6A88FD20C8D}"/>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uesholdings.sharepoint.com/sites/c3b2/Shared%20Documents/06-DC/01-MDL/TWRP%20C3B2%20-%20Document%20Submittal%20Log.xlsx" TargetMode="External"/><Relationship Id="rId1" Type="http://schemas.openxmlformats.org/officeDocument/2006/relationships/externalLinkPath" Target="TWRP%20C3B2%20-%20Document%20Submittal%20Lo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otes"/>
      <sheetName val="SubmittalLog"/>
      <sheetName val="Code"/>
    </sheetNames>
    <sheetDataSet>
      <sheetData sheetId="0"/>
      <sheetData sheetId="1">
        <row r="1">
          <cell r="B1" t="str">
            <v>Prolog No.</v>
          </cell>
          <cell r="E1" t="str">
            <v>Document No.</v>
          </cell>
          <cell r="H1" t="str">
            <v>Submission Date</v>
          </cell>
          <cell r="N1" t="str">
            <v>Submission Status</v>
          </cell>
          <cell r="O1" t="str">
            <v>Approval Status</v>
          </cell>
        </row>
        <row r="2">
          <cell r="B2">
            <v>90</v>
          </cell>
          <cell r="E2" t="str">
            <v>131236-WIL21-VI-D-0001</v>
          </cell>
          <cell r="H2">
            <v>45176</v>
          </cell>
          <cell r="N2" t="str">
            <v>SUR</v>
          </cell>
          <cell r="O2" t="str">
            <v>APP</v>
          </cell>
        </row>
        <row r="3">
          <cell r="B3">
            <v>777</v>
          </cell>
          <cell r="E3" t="str">
            <v>131236-WIL21-VI-M-0010</v>
          </cell>
          <cell r="H3">
            <v>45590</v>
          </cell>
          <cell r="N3" t="str">
            <v>RTR</v>
          </cell>
          <cell r="O3" t="str">
            <v>AWC</v>
          </cell>
        </row>
        <row r="4">
          <cell r="B4">
            <v>799</v>
          </cell>
          <cell r="E4" t="str">
            <v>131236-WIL21-VI-M-2001</v>
          </cell>
          <cell r="H4">
            <v>45601</v>
          </cell>
          <cell r="N4" t="str">
            <v>RTR</v>
          </cell>
          <cell r="O4" t="str">
            <v>APP</v>
          </cell>
        </row>
        <row r="5">
          <cell r="B5">
            <v>989</v>
          </cell>
          <cell r="E5" t="str">
            <v>131236-WIL21-VI-M-2002</v>
          </cell>
          <cell r="H5">
            <v>45677</v>
          </cell>
          <cell r="N5" t="str">
            <v>RTR</v>
          </cell>
          <cell r="O5" t="str">
            <v>APP</v>
          </cell>
        </row>
        <row r="6">
          <cell r="B6">
            <v>1125</v>
          </cell>
          <cell r="E6" t="str">
            <v>131236-WIL21-VI-M-2003</v>
          </cell>
          <cell r="H6">
            <v>45730</v>
          </cell>
          <cell r="N6" t="str">
            <v>RTR</v>
          </cell>
          <cell r="O6" t="str">
            <v>AWC</v>
          </cell>
        </row>
        <row r="7">
          <cell r="B7">
            <v>921</v>
          </cell>
          <cell r="E7" t="str">
            <v>131236-WIL21-VI-M-2004</v>
          </cell>
          <cell r="H7">
            <v>45645</v>
          </cell>
          <cell r="N7" t="str">
            <v>RTR</v>
          </cell>
          <cell r="O7" t="str">
            <v>APP</v>
          </cell>
        </row>
        <row r="8">
          <cell r="B8">
            <v>988</v>
          </cell>
          <cell r="E8" t="str">
            <v>131236-WIL21-VI-M-2005</v>
          </cell>
          <cell r="H8">
            <v>45677</v>
          </cell>
          <cell r="N8" t="str">
            <v>RTR</v>
          </cell>
          <cell r="O8" t="str">
            <v>AWC</v>
          </cell>
        </row>
        <row r="9">
          <cell r="B9">
            <v>1118</v>
          </cell>
          <cell r="E9" t="str">
            <v>131236-WIL21-VI-M-2007</v>
          </cell>
          <cell r="H9">
            <v>45728</v>
          </cell>
          <cell r="N9" t="str">
            <v>RTR</v>
          </cell>
          <cell r="O9" t="str">
            <v>AWC</v>
          </cell>
        </row>
        <row r="10">
          <cell r="B10">
            <v>1139</v>
          </cell>
          <cell r="E10" t="str">
            <v>131236-WIL21-VI-M-2006</v>
          </cell>
          <cell r="H10">
            <v>45736</v>
          </cell>
          <cell r="N10" t="str">
            <v>RTR</v>
          </cell>
          <cell r="O10" t="str">
            <v>APP</v>
          </cell>
        </row>
        <row r="11">
          <cell r="B11">
            <v>1314</v>
          </cell>
          <cell r="E11" t="str">
            <v>131236-WIL21-VI-M-2008</v>
          </cell>
          <cell r="H11">
            <v>45797</v>
          </cell>
          <cell r="N11" t="str">
            <v>RTR</v>
          </cell>
          <cell r="O11" t="str">
            <v>AWC</v>
          </cell>
        </row>
        <row r="12">
          <cell r="B12">
            <v>445</v>
          </cell>
          <cell r="E12" t="str">
            <v>131236-WIL21-SH-M-0001</v>
          </cell>
          <cell r="H12">
            <v>45399</v>
          </cell>
          <cell r="N12" t="str">
            <v>RTR</v>
          </cell>
          <cell r="O12" t="str">
            <v>AWC</v>
          </cell>
        </row>
        <row r="13">
          <cell r="B13">
            <v>93</v>
          </cell>
          <cell r="E13" t="str">
            <v>131236-WIL21-DR-P-6000</v>
          </cell>
          <cell r="H13">
            <v>45177</v>
          </cell>
          <cell r="N13" t="str">
            <v>RTR</v>
          </cell>
          <cell r="O13" t="str">
            <v>AWC</v>
          </cell>
        </row>
        <row r="14">
          <cell r="B14">
            <v>93</v>
          </cell>
          <cell r="E14" t="str">
            <v>131236-WIL21-DR-P-6001</v>
          </cell>
          <cell r="H14">
            <v>45177</v>
          </cell>
          <cell r="N14" t="str">
            <v>RTR</v>
          </cell>
          <cell r="O14" t="str">
            <v>AWC</v>
          </cell>
        </row>
        <row r="15">
          <cell r="B15">
            <v>88</v>
          </cell>
          <cell r="E15" t="str">
            <v>131236-WIL21-VI-M-0001</v>
          </cell>
          <cell r="H15">
            <v>45174</v>
          </cell>
          <cell r="N15" t="str">
            <v>RTR</v>
          </cell>
          <cell r="O15" t="str">
            <v>AWC</v>
          </cell>
        </row>
        <row r="16">
          <cell r="B16">
            <v>407</v>
          </cell>
          <cell r="E16" t="str">
            <v>131236-WIL21-RT-P-0001</v>
          </cell>
          <cell r="H16">
            <v>45379</v>
          </cell>
          <cell r="N16" t="str">
            <v>RTR</v>
          </cell>
          <cell r="O16" t="str">
            <v>AWC</v>
          </cell>
        </row>
        <row r="17">
          <cell r="B17">
            <v>723</v>
          </cell>
          <cell r="E17" t="str">
            <v>131236-WIL21-RT-P-0002</v>
          </cell>
          <cell r="H17">
            <v>45547</v>
          </cell>
          <cell r="N17" t="str">
            <v>RTR</v>
          </cell>
          <cell r="O17" t="str">
            <v>AWC</v>
          </cell>
        </row>
        <row r="18">
          <cell r="B18">
            <v>752</v>
          </cell>
          <cell r="E18" t="str">
            <v>131236-WIL21-RT-P-0003</v>
          </cell>
          <cell r="H18">
            <v>45574</v>
          </cell>
          <cell r="N18" t="str">
            <v>RTR</v>
          </cell>
          <cell r="O18" t="str">
            <v>AWC</v>
          </cell>
        </row>
        <row r="19">
          <cell r="B19">
            <v>673</v>
          </cell>
          <cell r="E19" t="str">
            <v>131236-WIL21-RT-Z-0001</v>
          </cell>
          <cell r="H19">
            <v>45527</v>
          </cell>
          <cell r="N19" t="str">
            <v>RTR</v>
          </cell>
          <cell r="O19" t="str">
            <v>AWC</v>
          </cell>
        </row>
        <row r="20">
          <cell r="B20">
            <v>1778</v>
          </cell>
          <cell r="E20" t="str">
            <v>131236-WIL21-PS-P-0001</v>
          </cell>
          <cell r="H20">
            <v>45953</v>
          </cell>
          <cell r="N20" t="str">
            <v>RTR</v>
          </cell>
          <cell r="O20" t="str">
            <v>APP</v>
          </cell>
        </row>
        <row r="21">
          <cell r="B21">
            <v>385</v>
          </cell>
          <cell r="E21" t="str">
            <v>131236-WIL21-CH-P-0001</v>
          </cell>
          <cell r="H21">
            <v>45371</v>
          </cell>
          <cell r="N21" t="str">
            <v>RTR</v>
          </cell>
          <cell r="O21" t="str">
            <v>AWC</v>
          </cell>
        </row>
        <row r="22">
          <cell r="B22">
            <v>322</v>
          </cell>
          <cell r="E22" t="str">
            <v>131236-WIL21-CH-P-0002</v>
          </cell>
          <cell r="H22">
            <v>45345</v>
          </cell>
          <cell r="N22" t="str">
            <v>RTR</v>
          </cell>
          <cell r="O22" t="str">
            <v>AWC</v>
          </cell>
        </row>
        <row r="23">
          <cell r="B23">
            <v>2089</v>
          </cell>
          <cell r="E23" t="str">
            <v>131236-WIL21-CH-P-0003</v>
          </cell>
          <cell r="H23">
            <v>46153</v>
          </cell>
          <cell r="N23" t="str">
            <v>RTR</v>
          </cell>
          <cell r="O23" t="str">
            <v>AWC</v>
          </cell>
        </row>
        <row r="24">
          <cell r="B24">
            <v>2089</v>
          </cell>
          <cell r="E24" t="str">
            <v>131236-WIL21-SN-P-0001</v>
          </cell>
          <cell r="H24">
            <v>46153</v>
          </cell>
          <cell r="N24" t="str">
            <v>RTR</v>
          </cell>
          <cell r="O24" t="str">
            <v>AWC</v>
          </cell>
        </row>
        <row r="25">
          <cell r="B25">
            <v>403</v>
          </cell>
          <cell r="E25" t="str">
            <v>131236-WIL21-SP-P-0001</v>
          </cell>
          <cell r="H25">
            <v>45378</v>
          </cell>
          <cell r="N25" t="str">
            <v>RTR</v>
          </cell>
          <cell r="O25" t="str">
            <v>AWC</v>
          </cell>
        </row>
        <row r="26">
          <cell r="B26">
            <v>416</v>
          </cell>
          <cell r="E26" t="str">
            <v>131236-WIL21-DR-P-7010</v>
          </cell>
          <cell r="H26">
            <v>45385</v>
          </cell>
          <cell r="N26" t="str">
            <v>RTR</v>
          </cell>
          <cell r="O26" t="str">
            <v>APP</v>
          </cell>
        </row>
        <row r="27">
          <cell r="B27">
            <v>173</v>
          </cell>
          <cell r="E27" t="str">
            <v>131236-WIL21-DR-P-7011</v>
          </cell>
          <cell r="H27">
            <v>45238</v>
          </cell>
          <cell r="N27" t="str">
            <v>RTR</v>
          </cell>
          <cell r="O27" t="str">
            <v>APP</v>
          </cell>
        </row>
        <row r="28">
          <cell r="B28">
            <v>1032</v>
          </cell>
          <cell r="E28" t="str">
            <v>131236-WIL21-SP-P-0002</v>
          </cell>
          <cell r="H28">
            <v>45695</v>
          </cell>
          <cell r="N28" t="str">
            <v>RTR</v>
          </cell>
          <cell r="O28" t="str">
            <v>AWC</v>
          </cell>
        </row>
        <row r="29">
          <cell r="B29">
            <v>173</v>
          </cell>
          <cell r="E29" t="str">
            <v>131236-WIL21-CL-P-0001</v>
          </cell>
          <cell r="H29">
            <v>45238</v>
          </cell>
          <cell r="N29" t="str">
            <v>RTR</v>
          </cell>
          <cell r="O29" t="str">
            <v>APP</v>
          </cell>
        </row>
        <row r="30">
          <cell r="B30">
            <v>206</v>
          </cell>
          <cell r="E30" t="str">
            <v>131236-WIL21-CL-P-0002</v>
          </cell>
          <cell r="H30">
            <v>45252</v>
          </cell>
          <cell r="N30" t="str">
            <v>RTR</v>
          </cell>
          <cell r="O30" t="str">
            <v>APP</v>
          </cell>
        </row>
        <row r="31">
          <cell r="B31">
            <v>384</v>
          </cell>
          <cell r="E31" t="str">
            <v>131236-WIL21-CL-P-0003</v>
          </cell>
          <cell r="H31">
            <v>45371</v>
          </cell>
          <cell r="N31" t="str">
            <v>RTR</v>
          </cell>
          <cell r="O31" t="str">
            <v>AWC</v>
          </cell>
        </row>
        <row r="32">
          <cell r="B32">
            <v>404</v>
          </cell>
          <cell r="E32" t="str">
            <v>131236-WIL21-CL-P-0004</v>
          </cell>
          <cell r="H32">
            <v>45379</v>
          </cell>
          <cell r="N32" t="str">
            <v>RTR</v>
          </cell>
          <cell r="O32" t="str">
            <v>APP</v>
          </cell>
        </row>
        <row r="33">
          <cell r="B33">
            <v>416</v>
          </cell>
          <cell r="E33" t="str">
            <v>131236-WIL21-CL-P-0005</v>
          </cell>
          <cell r="H33">
            <v>45385</v>
          </cell>
          <cell r="N33" t="str">
            <v>RTR</v>
          </cell>
          <cell r="O33" t="str">
            <v>APP</v>
          </cell>
        </row>
        <row r="34">
          <cell r="B34">
            <v>415</v>
          </cell>
          <cell r="E34" t="str">
            <v>131236-WIL21-CL-P-0006</v>
          </cell>
          <cell r="H34">
            <v>45385</v>
          </cell>
          <cell r="N34" t="str">
            <v>RTR</v>
          </cell>
          <cell r="O34" t="str">
            <v>AWC</v>
          </cell>
        </row>
        <row r="35">
          <cell r="B35">
            <v>553</v>
          </cell>
          <cell r="E35" t="str">
            <v>131236-WIL21-CL-P-0007</v>
          </cell>
          <cell r="H35">
            <v>45482</v>
          </cell>
          <cell r="N35" t="str">
            <v>RTR</v>
          </cell>
          <cell r="O35" t="str">
            <v>AWC</v>
          </cell>
        </row>
        <row r="36">
          <cell r="B36">
            <v>553</v>
          </cell>
          <cell r="E36" t="str">
            <v>131236-WIL21-CL-P-0008</v>
          </cell>
          <cell r="H36">
            <v>45722</v>
          </cell>
          <cell r="N36" t="str">
            <v>RTR</v>
          </cell>
          <cell r="O36" t="str">
            <v>AWC</v>
          </cell>
        </row>
        <row r="37">
          <cell r="B37">
            <v>1031</v>
          </cell>
          <cell r="E37" t="str">
            <v>131236-WIL21-CL-P-0009</v>
          </cell>
          <cell r="H37">
            <v>45695</v>
          </cell>
          <cell r="N37" t="str">
            <v>RTR</v>
          </cell>
          <cell r="O37" t="str">
            <v>APP</v>
          </cell>
        </row>
        <row r="38">
          <cell r="B38">
            <v>507</v>
          </cell>
          <cell r="E38" t="str">
            <v>131236-WIL21-CL-P-0010</v>
          </cell>
          <cell r="H38">
            <v>45446</v>
          </cell>
          <cell r="N38" t="str">
            <v>RTR</v>
          </cell>
          <cell r="O38" t="str">
            <v>AWC</v>
          </cell>
        </row>
        <row r="39">
          <cell r="B39">
            <v>991</v>
          </cell>
          <cell r="E39" t="str">
            <v>131236-WIL21-CL-P-0011</v>
          </cell>
          <cell r="H39">
            <v>45677</v>
          </cell>
          <cell r="N39" t="str">
            <v>RTR</v>
          </cell>
          <cell r="O39" t="str">
            <v>APP</v>
          </cell>
        </row>
        <row r="40">
          <cell r="B40">
            <v>1610</v>
          </cell>
          <cell r="E40" t="str">
            <v>131236-WIL21-CL-P-0012</v>
          </cell>
          <cell r="H40">
            <v>45891</v>
          </cell>
          <cell r="N40" t="str">
            <v>RTR</v>
          </cell>
          <cell r="O40" t="str">
            <v>AWC</v>
          </cell>
        </row>
        <row r="41">
          <cell r="B41">
            <v>1170</v>
          </cell>
          <cell r="E41" t="str">
            <v>131236-WIL21-CL-P-5701</v>
          </cell>
          <cell r="H41">
            <v>45743</v>
          </cell>
          <cell r="N41" t="str">
            <v>RTR</v>
          </cell>
          <cell r="O41" t="str">
            <v>AWC</v>
          </cell>
        </row>
        <row r="42">
          <cell r="B42">
            <v>1170</v>
          </cell>
          <cell r="E42" t="str">
            <v>131236-WIL21-CL-P-5703</v>
          </cell>
          <cell r="H42">
            <v>45743</v>
          </cell>
          <cell r="N42" t="str">
            <v>RTR</v>
          </cell>
          <cell r="O42" t="str">
            <v>AWC</v>
          </cell>
        </row>
        <row r="43">
          <cell r="B43">
            <v>1170</v>
          </cell>
          <cell r="E43" t="str">
            <v>131236-WIL21-CL-P-5702</v>
          </cell>
          <cell r="H43">
            <v>45743</v>
          </cell>
          <cell r="N43" t="str">
            <v>RTR</v>
          </cell>
          <cell r="O43" t="str">
            <v>AWC</v>
          </cell>
        </row>
        <row r="44">
          <cell r="B44">
            <v>729</v>
          </cell>
          <cell r="E44" t="str">
            <v>131236-WIL21-CL-P-5301</v>
          </cell>
          <cell r="H44">
            <v>45553</v>
          </cell>
          <cell r="N44" t="str">
            <v>RTR</v>
          </cell>
          <cell r="O44" t="str">
            <v>AWC</v>
          </cell>
        </row>
        <row r="45">
          <cell r="B45">
            <v>729</v>
          </cell>
          <cell r="E45" t="str">
            <v>131236-WIL21-CL-P-5311</v>
          </cell>
          <cell r="H45">
            <v>45553</v>
          </cell>
          <cell r="N45" t="str">
            <v>RTR</v>
          </cell>
          <cell r="O45" t="str">
            <v>AWC</v>
          </cell>
        </row>
        <row r="46">
          <cell r="B46">
            <v>725</v>
          </cell>
          <cell r="E46" t="str">
            <v>131236-WIL21-CL-P-5351</v>
          </cell>
          <cell r="H46">
            <v>45551</v>
          </cell>
          <cell r="N46" t="str">
            <v>RTR</v>
          </cell>
          <cell r="O46" t="str">
            <v>AWC</v>
          </cell>
        </row>
        <row r="47">
          <cell r="B47">
            <v>725</v>
          </cell>
          <cell r="E47" t="str">
            <v>131236-WIL21-CL-P-5361</v>
          </cell>
          <cell r="H47">
            <v>45551</v>
          </cell>
          <cell r="N47" t="str">
            <v>RTR</v>
          </cell>
          <cell r="O47" t="str">
            <v>AWC</v>
          </cell>
        </row>
        <row r="48">
          <cell r="B48">
            <v>725</v>
          </cell>
          <cell r="E48" t="str">
            <v>131236-WIL21-CL-P-5371</v>
          </cell>
          <cell r="H48">
            <v>45551</v>
          </cell>
          <cell r="N48" t="str">
            <v>RTR</v>
          </cell>
          <cell r="O48" t="str">
            <v>AWC</v>
          </cell>
        </row>
        <row r="49">
          <cell r="B49">
            <v>725</v>
          </cell>
          <cell r="E49" t="str">
            <v>131236-WIL21-CL-P-5381</v>
          </cell>
          <cell r="H49">
            <v>45551</v>
          </cell>
          <cell r="N49" t="str">
            <v>RTR</v>
          </cell>
          <cell r="O49" t="str">
            <v>AWC</v>
          </cell>
        </row>
        <row r="50">
          <cell r="B50">
            <v>880</v>
          </cell>
          <cell r="E50" t="str">
            <v>131236-WIL21-CL-P-5391</v>
          </cell>
          <cell r="H50">
            <v>45636</v>
          </cell>
          <cell r="N50" t="str">
            <v>RTR</v>
          </cell>
          <cell r="O50" t="str">
            <v>APP</v>
          </cell>
        </row>
        <row r="51">
          <cell r="B51">
            <v>874</v>
          </cell>
          <cell r="E51" t="str">
            <v>131236-WIL21-CL-P-5431</v>
          </cell>
          <cell r="H51">
            <v>45630</v>
          </cell>
          <cell r="N51" t="str">
            <v>RTR</v>
          </cell>
          <cell r="O51" t="str">
            <v>AWC</v>
          </cell>
        </row>
        <row r="52">
          <cell r="B52">
            <v>847</v>
          </cell>
          <cell r="E52" t="str">
            <v>131236-WIL21-CL-P-5481</v>
          </cell>
          <cell r="H52">
            <v>45624</v>
          </cell>
          <cell r="N52" t="str">
            <v>RTR</v>
          </cell>
          <cell r="O52" t="str">
            <v>REJ</v>
          </cell>
        </row>
        <row r="53">
          <cell r="B53">
            <v>769</v>
          </cell>
          <cell r="E53" t="str">
            <v>131236-WIL21-CL-P-5501</v>
          </cell>
          <cell r="H53">
            <v>45586</v>
          </cell>
          <cell r="N53" t="str">
            <v>RTR</v>
          </cell>
          <cell r="O53" t="str">
            <v>AWC</v>
          </cell>
        </row>
        <row r="54">
          <cell r="B54">
            <v>769</v>
          </cell>
          <cell r="E54" t="str">
            <v>131236-WIL21-CL-P-5511</v>
          </cell>
          <cell r="H54">
            <v>45586</v>
          </cell>
          <cell r="N54" t="str">
            <v>RTR</v>
          </cell>
          <cell r="O54" t="str">
            <v>AWC</v>
          </cell>
        </row>
        <row r="55">
          <cell r="B55">
            <v>769</v>
          </cell>
          <cell r="E55" t="str">
            <v>131236-WIL21-CL-P-5521</v>
          </cell>
          <cell r="H55">
            <v>45586</v>
          </cell>
          <cell r="N55" t="str">
            <v>RTR</v>
          </cell>
          <cell r="O55" t="str">
            <v>AWC</v>
          </cell>
        </row>
        <row r="56">
          <cell r="B56">
            <v>769</v>
          </cell>
          <cell r="E56" t="str">
            <v>131236-WIL21-CL-P-5531</v>
          </cell>
          <cell r="H56">
            <v>45586</v>
          </cell>
          <cell r="N56" t="str">
            <v>RTR</v>
          </cell>
          <cell r="O56" t="str">
            <v>AWC</v>
          </cell>
        </row>
        <row r="57">
          <cell r="B57">
            <v>769</v>
          </cell>
          <cell r="E57" t="str">
            <v>131236-WIL21-CL-P-5541</v>
          </cell>
          <cell r="H57">
            <v>45586</v>
          </cell>
          <cell r="N57" t="str">
            <v>RTR</v>
          </cell>
          <cell r="O57" t="str">
            <v>AWC</v>
          </cell>
        </row>
        <row r="58">
          <cell r="B58">
            <v>769</v>
          </cell>
          <cell r="E58" t="str">
            <v>131236-WIL21-CL-P-5551</v>
          </cell>
          <cell r="H58">
            <v>45586</v>
          </cell>
          <cell r="N58" t="str">
            <v>RTR</v>
          </cell>
          <cell r="O58" t="str">
            <v>AWC</v>
          </cell>
        </row>
        <row r="59">
          <cell r="B59">
            <v>1079</v>
          </cell>
          <cell r="E59" t="str">
            <v>131236-WIL21-CL-P-5751</v>
          </cell>
          <cell r="H59">
            <v>45716</v>
          </cell>
          <cell r="N59" t="str">
            <v>RTR</v>
          </cell>
          <cell r="O59" t="str">
            <v>APP</v>
          </cell>
        </row>
        <row r="60">
          <cell r="B60">
            <v>1925</v>
          </cell>
          <cell r="E60" t="str">
            <v>131236-WIL21-SP-P-0004</v>
          </cell>
          <cell r="H60">
            <v>46013</v>
          </cell>
          <cell r="N60" t="str">
            <v>RTR</v>
          </cell>
          <cell r="O60" t="str">
            <v>AWC</v>
          </cell>
        </row>
        <row r="61">
          <cell r="B61">
            <v>1676</v>
          </cell>
          <cell r="E61" t="str">
            <v>131236-WIL21-RT-Z-0002</v>
          </cell>
          <cell r="H61">
            <v>45911</v>
          </cell>
          <cell r="N61" t="str">
            <v>RTR</v>
          </cell>
          <cell r="O61" t="str">
            <v>AWC</v>
          </cell>
        </row>
        <row r="62">
          <cell r="B62">
            <v>358</v>
          </cell>
          <cell r="E62" t="str">
            <v>131236-WIL21-BQ-P-0001</v>
          </cell>
          <cell r="H62">
            <v>45363</v>
          </cell>
          <cell r="N62" t="str">
            <v>RTR</v>
          </cell>
          <cell r="O62" t="str">
            <v>APP</v>
          </cell>
        </row>
        <row r="63">
          <cell r="B63">
            <v>360</v>
          </cell>
          <cell r="E63" t="str">
            <v>131236-WIL21-DR-P-7001</v>
          </cell>
          <cell r="H63">
            <v>45365</v>
          </cell>
          <cell r="N63" t="str">
            <v>RTR</v>
          </cell>
          <cell r="O63" t="str">
            <v>AWC</v>
          </cell>
        </row>
        <row r="64">
          <cell r="B64">
            <v>360</v>
          </cell>
          <cell r="E64" t="str">
            <v>131236-WIL21-DR-P-7002</v>
          </cell>
          <cell r="H64">
            <v>45365</v>
          </cell>
          <cell r="N64" t="str">
            <v>RTR</v>
          </cell>
          <cell r="O64" t="str">
            <v>AWC</v>
          </cell>
        </row>
        <row r="65">
          <cell r="B65">
            <v>398</v>
          </cell>
          <cell r="E65" t="str">
            <v>131236-WIL21-DR-P-6000</v>
          </cell>
          <cell r="H65">
            <v>45377</v>
          </cell>
          <cell r="N65" t="str">
            <v>RTR</v>
          </cell>
          <cell r="O65" t="str">
            <v>AWC</v>
          </cell>
        </row>
        <row r="66">
          <cell r="B66">
            <v>398</v>
          </cell>
          <cell r="E66" t="str">
            <v>131236-WIL21-DR-P-6001</v>
          </cell>
          <cell r="H66">
            <v>45377</v>
          </cell>
          <cell r="N66" t="str">
            <v>RTR</v>
          </cell>
          <cell r="O66" t="str">
            <v>AWC</v>
          </cell>
        </row>
        <row r="67">
          <cell r="B67">
            <v>398</v>
          </cell>
          <cell r="E67" t="str">
            <v>131236-WIL21-DR-P-6002</v>
          </cell>
          <cell r="H67">
            <v>45377</v>
          </cell>
          <cell r="N67" t="str">
            <v>RTR</v>
          </cell>
          <cell r="O67" t="str">
            <v>AWC</v>
          </cell>
        </row>
        <row r="68">
          <cell r="B68">
            <v>398</v>
          </cell>
          <cell r="E68" t="str">
            <v>131236-WIL21-DR-P-6003</v>
          </cell>
          <cell r="H68">
            <v>45377</v>
          </cell>
          <cell r="N68" t="str">
            <v>RTR</v>
          </cell>
          <cell r="O68" t="str">
            <v>AWC</v>
          </cell>
        </row>
        <row r="69">
          <cell r="B69">
            <v>398</v>
          </cell>
          <cell r="E69" t="str">
            <v>131236-WIL21-DR-P-6004</v>
          </cell>
          <cell r="H69">
            <v>45377</v>
          </cell>
          <cell r="N69" t="str">
            <v>RTR</v>
          </cell>
          <cell r="O69" t="str">
            <v>AWC</v>
          </cell>
        </row>
        <row r="70">
          <cell r="B70">
            <v>398</v>
          </cell>
          <cell r="E70" t="str">
            <v>131236-WIL21-DR-P-6005</v>
          </cell>
          <cell r="H70">
            <v>45377</v>
          </cell>
          <cell r="N70" t="str">
            <v>RTR</v>
          </cell>
          <cell r="O70" t="str">
            <v>AWC</v>
          </cell>
        </row>
        <row r="71">
          <cell r="B71">
            <v>398</v>
          </cell>
          <cell r="E71" t="str">
            <v>131236-WIL21-DR-P-6006</v>
          </cell>
          <cell r="H71">
            <v>45377</v>
          </cell>
          <cell r="N71" t="str">
            <v>RTR</v>
          </cell>
          <cell r="O71" t="str">
            <v>AWC</v>
          </cell>
        </row>
        <row r="72">
          <cell r="B72">
            <v>398</v>
          </cell>
          <cell r="E72" t="str">
            <v>131236-WIL21-DR-P-6007</v>
          </cell>
          <cell r="H72">
            <v>45377</v>
          </cell>
          <cell r="N72" t="str">
            <v>RTR</v>
          </cell>
          <cell r="O72" t="str">
            <v>AWC</v>
          </cell>
        </row>
        <row r="73">
          <cell r="B73">
            <v>398</v>
          </cell>
          <cell r="E73" t="str">
            <v>131236-WIL21-DR-P-6008</v>
          </cell>
          <cell r="H73">
            <v>45377</v>
          </cell>
          <cell r="N73" t="str">
            <v>RTR</v>
          </cell>
          <cell r="O73" t="str">
            <v>AWC</v>
          </cell>
        </row>
        <row r="74">
          <cell r="B74">
            <v>398</v>
          </cell>
          <cell r="E74" t="str">
            <v>131236-WIL21-DR-P-6009</v>
          </cell>
          <cell r="H74">
            <v>45377</v>
          </cell>
          <cell r="N74" t="str">
            <v>RTR</v>
          </cell>
          <cell r="O74" t="str">
            <v>AWC</v>
          </cell>
        </row>
        <row r="75">
          <cell r="B75">
            <v>398</v>
          </cell>
          <cell r="E75" t="str">
            <v>131236-WIL21-DR-P-6010</v>
          </cell>
          <cell r="H75">
            <v>45377</v>
          </cell>
          <cell r="N75" t="str">
            <v>RTR</v>
          </cell>
          <cell r="O75" t="str">
            <v>AWC</v>
          </cell>
        </row>
        <row r="76">
          <cell r="B76">
            <v>398</v>
          </cell>
          <cell r="E76" t="str">
            <v>131236-WIL21-DR-P-6011</v>
          </cell>
          <cell r="H76">
            <v>45377</v>
          </cell>
          <cell r="N76" t="str">
            <v>RTR</v>
          </cell>
          <cell r="O76" t="str">
            <v>AWC</v>
          </cell>
        </row>
        <row r="77">
          <cell r="B77">
            <v>398</v>
          </cell>
          <cell r="E77" t="str">
            <v>131236-WIL21-DR-P-6012</v>
          </cell>
          <cell r="H77">
            <v>45377</v>
          </cell>
          <cell r="N77" t="str">
            <v>RTR</v>
          </cell>
          <cell r="O77" t="str">
            <v>AWC</v>
          </cell>
        </row>
        <row r="78">
          <cell r="B78">
            <v>398</v>
          </cell>
          <cell r="E78" t="str">
            <v>131236-WIL21-DR-P-6013</v>
          </cell>
          <cell r="H78">
            <v>45377</v>
          </cell>
          <cell r="N78" t="str">
            <v>RTR</v>
          </cell>
          <cell r="O78" t="str">
            <v>AWC</v>
          </cell>
        </row>
        <row r="79">
          <cell r="B79">
            <v>398</v>
          </cell>
          <cell r="E79" t="str">
            <v>131236-WIL21-DR-P-6014</v>
          </cell>
          <cell r="H79">
            <v>45377</v>
          </cell>
          <cell r="N79" t="str">
            <v>RTR</v>
          </cell>
          <cell r="O79" t="str">
            <v>AWC</v>
          </cell>
        </row>
        <row r="80">
          <cell r="B80">
            <v>399</v>
          </cell>
          <cell r="E80" t="str">
            <v>131236-WIL21-DR-P-6015</v>
          </cell>
          <cell r="H80">
            <v>45377</v>
          </cell>
          <cell r="N80" t="str">
            <v>RTR</v>
          </cell>
          <cell r="O80" t="str">
            <v>AWC</v>
          </cell>
        </row>
        <row r="81">
          <cell r="B81">
            <v>399</v>
          </cell>
          <cell r="E81" t="str">
            <v>131236-WIL21-DR-P-6016</v>
          </cell>
          <cell r="H81">
            <v>45377</v>
          </cell>
          <cell r="N81" t="str">
            <v>RTR</v>
          </cell>
          <cell r="O81" t="str">
            <v>AWC</v>
          </cell>
        </row>
        <row r="82">
          <cell r="B82">
            <v>399</v>
          </cell>
          <cell r="E82" t="str">
            <v>131236-WIL21-DR-P-6017</v>
          </cell>
          <cell r="H82">
            <v>45377</v>
          </cell>
          <cell r="N82" t="str">
            <v>RTR</v>
          </cell>
          <cell r="O82" t="str">
            <v>AWC</v>
          </cell>
        </row>
        <row r="83">
          <cell r="B83">
            <v>399</v>
          </cell>
          <cell r="E83" t="str">
            <v>131236-WIL21-DR-P-6018</v>
          </cell>
          <cell r="H83">
            <v>45377</v>
          </cell>
          <cell r="N83" t="str">
            <v>RTR</v>
          </cell>
          <cell r="O83" t="str">
            <v>AWC</v>
          </cell>
        </row>
        <row r="84">
          <cell r="B84">
            <v>399</v>
          </cell>
          <cell r="E84" t="str">
            <v>131236-WIL21-DR-P-6019</v>
          </cell>
          <cell r="H84">
            <v>45377</v>
          </cell>
          <cell r="N84" t="str">
            <v>RTR</v>
          </cell>
          <cell r="O84" t="str">
            <v>AWC</v>
          </cell>
        </row>
        <row r="85">
          <cell r="B85">
            <v>399</v>
          </cell>
          <cell r="E85" t="str">
            <v>131236-WIL21-DR-P-6020</v>
          </cell>
          <cell r="H85">
            <v>45377</v>
          </cell>
          <cell r="N85" t="str">
            <v>RTR</v>
          </cell>
          <cell r="O85" t="str">
            <v>AWC</v>
          </cell>
        </row>
        <row r="86">
          <cell r="B86">
            <v>187</v>
          </cell>
          <cell r="E86" t="str">
            <v>131236-WIL21-DR-P-6300</v>
          </cell>
          <cell r="H86">
            <v>45245</v>
          </cell>
          <cell r="N86" t="str">
            <v>RTR</v>
          </cell>
          <cell r="O86" t="str">
            <v>AWC</v>
          </cell>
        </row>
        <row r="87">
          <cell r="B87">
            <v>187</v>
          </cell>
          <cell r="E87" t="str">
            <v>131236-WIL21-DR-P-6301</v>
          </cell>
          <cell r="H87">
            <v>45245</v>
          </cell>
          <cell r="N87" t="str">
            <v>RTR</v>
          </cell>
          <cell r="O87" t="str">
            <v>AWC</v>
          </cell>
        </row>
        <row r="88">
          <cell r="B88">
            <v>187</v>
          </cell>
          <cell r="E88" t="str">
            <v>131236-WIL21-DR-P-6500</v>
          </cell>
          <cell r="H88">
            <v>45245</v>
          </cell>
          <cell r="N88" t="str">
            <v>RTR</v>
          </cell>
          <cell r="O88" t="str">
            <v>AWC</v>
          </cell>
        </row>
        <row r="89">
          <cell r="B89">
            <v>400</v>
          </cell>
          <cell r="E89" t="str">
            <v>131236-WIL21-DR-P-6200</v>
          </cell>
          <cell r="H89">
            <v>45377</v>
          </cell>
          <cell r="N89" t="str">
            <v>RTR</v>
          </cell>
          <cell r="O89" t="str">
            <v>AWC</v>
          </cell>
        </row>
        <row r="90">
          <cell r="B90">
            <v>400</v>
          </cell>
          <cell r="E90" t="str">
            <v>131236-WIL21-DR-P-6600</v>
          </cell>
          <cell r="H90">
            <v>45377</v>
          </cell>
          <cell r="N90" t="str">
            <v>RTR</v>
          </cell>
          <cell r="O90" t="str">
            <v>AWC</v>
          </cell>
        </row>
        <row r="91">
          <cell r="B91">
            <v>534</v>
          </cell>
          <cell r="E91" t="str">
            <v>131236-WIL21-DR-P-6601</v>
          </cell>
          <cell r="H91">
            <v>45469</v>
          </cell>
          <cell r="N91" t="str">
            <v>RTR</v>
          </cell>
          <cell r="O91" t="str">
            <v>REJ</v>
          </cell>
        </row>
        <row r="92">
          <cell r="B92">
            <v>772</v>
          </cell>
          <cell r="E92" t="str">
            <v>131236-WIL21-DR-E-8001</v>
          </cell>
          <cell r="H92">
            <v>45588</v>
          </cell>
          <cell r="N92" t="str">
            <v>RTR</v>
          </cell>
          <cell r="O92" t="str">
            <v>AWC</v>
          </cell>
        </row>
        <row r="93">
          <cell r="B93">
            <v>553</v>
          </cell>
          <cell r="E93" t="str">
            <v>131236-WIL21-DR-M-1200</v>
          </cell>
          <cell r="H93">
            <v>45722</v>
          </cell>
          <cell r="N93" t="str">
            <v>RTR</v>
          </cell>
          <cell r="O93" t="str">
            <v>AWC</v>
          </cell>
        </row>
        <row r="94">
          <cell r="B94">
            <v>553</v>
          </cell>
          <cell r="E94" t="str">
            <v>131236-WIL21-DR-M-1201</v>
          </cell>
          <cell r="H94">
            <v>45722</v>
          </cell>
          <cell r="N94" t="str">
            <v>RTR</v>
          </cell>
          <cell r="O94" t="str">
            <v>AWC</v>
          </cell>
        </row>
        <row r="95">
          <cell r="B95">
            <v>553</v>
          </cell>
          <cell r="E95" t="str">
            <v>131236-WIL21-DR-M-1202</v>
          </cell>
          <cell r="H95">
            <v>45722</v>
          </cell>
          <cell r="N95" t="str">
            <v>RTR</v>
          </cell>
          <cell r="O95" t="str">
            <v>AWC</v>
          </cell>
        </row>
        <row r="96">
          <cell r="B96">
            <v>553</v>
          </cell>
          <cell r="E96" t="str">
            <v>131236-WIL21-DR-M-5021</v>
          </cell>
          <cell r="H96">
            <v>45482</v>
          </cell>
          <cell r="N96" t="str">
            <v>RTR</v>
          </cell>
          <cell r="O96" t="str">
            <v>AWC</v>
          </cell>
        </row>
        <row r="97">
          <cell r="B97">
            <v>553</v>
          </cell>
          <cell r="E97" t="str">
            <v>131236-WIL21-DR-M-5022</v>
          </cell>
          <cell r="H97">
            <v>45722</v>
          </cell>
          <cell r="N97" t="str">
            <v>RTR</v>
          </cell>
          <cell r="O97" t="str">
            <v>AWC</v>
          </cell>
        </row>
        <row r="98">
          <cell r="B98">
            <v>553</v>
          </cell>
          <cell r="E98" t="str">
            <v>131236-WIL21-DR-M-1203</v>
          </cell>
          <cell r="H98">
            <v>45722</v>
          </cell>
          <cell r="N98" t="str">
            <v>RTR</v>
          </cell>
          <cell r="O98" t="str">
            <v>AWC</v>
          </cell>
        </row>
        <row r="99">
          <cell r="B99">
            <v>553</v>
          </cell>
          <cell r="E99" t="str">
            <v>131236-WIL21-DR-M-1204</v>
          </cell>
          <cell r="H99">
            <v>45722</v>
          </cell>
          <cell r="N99" t="str">
            <v>RTR</v>
          </cell>
          <cell r="O99" t="str">
            <v>AWC</v>
          </cell>
        </row>
        <row r="100">
          <cell r="B100">
            <v>553</v>
          </cell>
          <cell r="E100" t="str">
            <v>131236-WIL21-DR-M-1205</v>
          </cell>
          <cell r="H100">
            <v>45722</v>
          </cell>
          <cell r="N100" t="str">
            <v>RTR</v>
          </cell>
          <cell r="O100" t="str">
            <v>AWC</v>
          </cell>
        </row>
        <row r="101">
          <cell r="B101">
            <v>553</v>
          </cell>
          <cell r="E101" t="str">
            <v>131236-WIL21-DR-M-1206</v>
          </cell>
          <cell r="H101">
            <v>45722</v>
          </cell>
          <cell r="N101" t="str">
            <v>RTR</v>
          </cell>
          <cell r="O101" t="str">
            <v>AWC</v>
          </cell>
        </row>
        <row r="102">
          <cell r="B102">
            <v>553</v>
          </cell>
          <cell r="E102" t="str">
            <v>131236-WIL21-DR-M-1207</v>
          </cell>
          <cell r="H102">
            <v>45722</v>
          </cell>
          <cell r="N102" t="str">
            <v>RTR</v>
          </cell>
          <cell r="O102" t="str">
            <v>AWC</v>
          </cell>
        </row>
        <row r="103">
          <cell r="B103">
            <v>553</v>
          </cell>
          <cell r="E103" t="str">
            <v>131236-WIL21-DR-M-1208</v>
          </cell>
          <cell r="H103">
            <v>45722</v>
          </cell>
          <cell r="N103" t="str">
            <v>RTR</v>
          </cell>
          <cell r="O103" t="str">
            <v>AWC</v>
          </cell>
        </row>
        <row r="104">
          <cell r="B104">
            <v>553</v>
          </cell>
          <cell r="E104" t="str">
            <v>131236-WIL21-DR-M-1209</v>
          </cell>
          <cell r="H104">
            <v>45722</v>
          </cell>
          <cell r="N104" t="str">
            <v>RTR</v>
          </cell>
          <cell r="O104" t="str">
            <v>AWC</v>
          </cell>
        </row>
        <row r="105">
          <cell r="B105">
            <v>553</v>
          </cell>
          <cell r="E105" t="str">
            <v>131236-WIL21-DR-M-1210</v>
          </cell>
          <cell r="H105">
            <v>45722</v>
          </cell>
          <cell r="N105" t="str">
            <v>RTR</v>
          </cell>
          <cell r="O105" t="str">
            <v>AWC</v>
          </cell>
        </row>
        <row r="106">
          <cell r="B106">
            <v>553</v>
          </cell>
          <cell r="E106" t="str">
            <v>131236-WIL21-DR-M-3203</v>
          </cell>
          <cell r="H106">
            <v>45722</v>
          </cell>
          <cell r="N106" t="str">
            <v>RTR</v>
          </cell>
          <cell r="O106" t="str">
            <v>AWC</v>
          </cell>
        </row>
        <row r="107">
          <cell r="B107">
            <v>553</v>
          </cell>
          <cell r="E107" t="str">
            <v>131236-WIL21-DR-M-3204</v>
          </cell>
          <cell r="H107">
            <v>45722</v>
          </cell>
          <cell r="N107" t="str">
            <v>RTR</v>
          </cell>
          <cell r="O107" t="str">
            <v>AWC</v>
          </cell>
        </row>
        <row r="108">
          <cell r="B108">
            <v>553</v>
          </cell>
          <cell r="E108" t="str">
            <v>131236-WIL21-DR-M-3205</v>
          </cell>
          <cell r="H108">
            <v>45722</v>
          </cell>
          <cell r="N108" t="str">
            <v>RTR</v>
          </cell>
          <cell r="O108" t="str">
            <v>AWC</v>
          </cell>
        </row>
        <row r="109">
          <cell r="B109">
            <v>553</v>
          </cell>
          <cell r="E109" t="str">
            <v>131236-WIL21-DR-M-3206</v>
          </cell>
          <cell r="H109">
            <v>45722</v>
          </cell>
          <cell r="N109" t="str">
            <v>RTR</v>
          </cell>
          <cell r="O109" t="str">
            <v>AWC</v>
          </cell>
        </row>
        <row r="110">
          <cell r="B110">
            <v>553</v>
          </cell>
          <cell r="E110" t="str">
            <v>131236-WIL21-DR-M-3207</v>
          </cell>
          <cell r="H110">
            <v>45722</v>
          </cell>
          <cell r="N110" t="str">
            <v>RTR</v>
          </cell>
          <cell r="O110" t="str">
            <v>AWC</v>
          </cell>
        </row>
        <row r="111">
          <cell r="B111">
            <v>553</v>
          </cell>
          <cell r="E111" t="str">
            <v>131236-WIL21-DR-M-3208</v>
          </cell>
          <cell r="H111">
            <v>45722</v>
          </cell>
          <cell r="N111" t="str">
            <v>RTR</v>
          </cell>
          <cell r="O111" t="str">
            <v>AWC</v>
          </cell>
        </row>
        <row r="112">
          <cell r="B112">
            <v>553</v>
          </cell>
          <cell r="E112" t="str">
            <v>131236-WIL21-DR-M-3209</v>
          </cell>
          <cell r="H112">
            <v>45722</v>
          </cell>
          <cell r="N112" t="str">
            <v>RTR</v>
          </cell>
          <cell r="O112" t="str">
            <v>AWC</v>
          </cell>
        </row>
        <row r="113">
          <cell r="B113">
            <v>553</v>
          </cell>
          <cell r="E113" t="str">
            <v>131236-WIL21-DR-M-3210</v>
          </cell>
          <cell r="H113">
            <v>45722</v>
          </cell>
          <cell r="N113" t="str">
            <v>RTR</v>
          </cell>
          <cell r="O113" t="str">
            <v>AWC</v>
          </cell>
        </row>
        <row r="114">
          <cell r="B114">
            <v>1370</v>
          </cell>
          <cell r="E114" t="str">
            <v>131236-WIL21-DR-M-5701</v>
          </cell>
          <cell r="H114">
            <v>45820</v>
          </cell>
          <cell r="N114" t="str">
            <v>RTR</v>
          </cell>
          <cell r="O114" t="str">
            <v>AWC</v>
          </cell>
        </row>
        <row r="115">
          <cell r="B115">
            <v>1371</v>
          </cell>
          <cell r="E115" t="str">
            <v>131236-WIL21-DR-M-5702</v>
          </cell>
          <cell r="H115">
            <v>45820</v>
          </cell>
          <cell r="N115" t="str">
            <v>RTR</v>
          </cell>
          <cell r="O115" t="str">
            <v>AWC</v>
          </cell>
        </row>
        <row r="116">
          <cell r="B116">
            <v>1372</v>
          </cell>
          <cell r="E116" t="str">
            <v>131236-WIL21-DR-M-5703</v>
          </cell>
          <cell r="H116">
            <v>45820</v>
          </cell>
          <cell r="N116" t="str">
            <v>RTR</v>
          </cell>
          <cell r="O116" t="str">
            <v>AWC</v>
          </cell>
        </row>
        <row r="117">
          <cell r="B117">
            <v>1373</v>
          </cell>
          <cell r="E117" t="str">
            <v>131236-WIL21-DR-M-5711</v>
          </cell>
          <cell r="H117">
            <v>45820</v>
          </cell>
          <cell r="N117" t="str">
            <v>RTR</v>
          </cell>
          <cell r="O117" t="str">
            <v>AWC</v>
          </cell>
        </row>
        <row r="118">
          <cell r="B118">
            <v>1376</v>
          </cell>
          <cell r="E118" t="str">
            <v>131236-WIL21-DR-M-5751</v>
          </cell>
          <cell r="H118">
            <v>45824</v>
          </cell>
          <cell r="N118" t="str">
            <v>RTR</v>
          </cell>
          <cell r="O118" t="str">
            <v>AWC</v>
          </cell>
        </row>
        <row r="119">
          <cell r="B119">
            <v>1135</v>
          </cell>
          <cell r="E119" t="str">
            <v>131236-WIL21-DR-M-5801</v>
          </cell>
          <cell r="H119">
            <v>45736</v>
          </cell>
          <cell r="N119" t="str">
            <v>RTR</v>
          </cell>
          <cell r="O119" t="str">
            <v>AWC</v>
          </cell>
        </row>
        <row r="120">
          <cell r="B120">
            <v>408</v>
          </cell>
          <cell r="E120" t="str">
            <v>131236-WIL21-DR-M-0015</v>
          </cell>
          <cell r="H120">
            <v>45379</v>
          </cell>
          <cell r="N120" t="str">
            <v>RTR</v>
          </cell>
          <cell r="O120" t="str">
            <v>AWC</v>
          </cell>
        </row>
        <row r="121">
          <cell r="B121">
            <v>408</v>
          </cell>
          <cell r="E121" t="str">
            <v>131236-WIL21-DR-M-0016</v>
          </cell>
          <cell r="H121">
            <v>45379</v>
          </cell>
          <cell r="N121" t="str">
            <v>RTR</v>
          </cell>
          <cell r="O121" t="str">
            <v>AWC</v>
          </cell>
        </row>
        <row r="122">
          <cell r="B122">
            <v>409</v>
          </cell>
          <cell r="E122" t="str">
            <v>131236-WIL21-DR-M-0017</v>
          </cell>
          <cell r="H122">
            <v>45379</v>
          </cell>
          <cell r="N122" t="str">
            <v>RTR</v>
          </cell>
          <cell r="O122" t="str">
            <v>AWC</v>
          </cell>
        </row>
        <row r="123">
          <cell r="B123">
            <v>409</v>
          </cell>
          <cell r="E123" t="str">
            <v>131236-WIL21-DR-M-0018</v>
          </cell>
          <cell r="H123">
            <v>45478</v>
          </cell>
          <cell r="N123" t="str">
            <v>RTR</v>
          </cell>
          <cell r="O123" t="str">
            <v>AWC</v>
          </cell>
        </row>
        <row r="124">
          <cell r="B124">
            <v>553</v>
          </cell>
          <cell r="E124" t="str">
            <v>131236-WIL21-DR-M-0025</v>
          </cell>
          <cell r="H124">
            <v>45598</v>
          </cell>
          <cell r="N124" t="str">
            <v>RTR</v>
          </cell>
          <cell r="O124" t="str">
            <v>AWC</v>
          </cell>
        </row>
        <row r="125">
          <cell r="B125">
            <v>553</v>
          </cell>
          <cell r="E125" t="str">
            <v>131236-WIL21-DR-M-0026</v>
          </cell>
          <cell r="H125">
            <v>45598</v>
          </cell>
          <cell r="N125" t="str">
            <v>RTR</v>
          </cell>
          <cell r="O125" t="str">
            <v>AWC</v>
          </cell>
        </row>
        <row r="126">
          <cell r="B126">
            <v>1310</v>
          </cell>
          <cell r="E126" t="str">
            <v>131236-WIL21-DS-M-5711</v>
          </cell>
          <cell r="H126">
            <v>45796</v>
          </cell>
          <cell r="N126" t="str">
            <v>RTR</v>
          </cell>
          <cell r="O126" t="str">
            <v>AWC</v>
          </cell>
        </row>
        <row r="127">
          <cell r="B127">
            <v>1170</v>
          </cell>
          <cell r="E127" t="str">
            <v>131236-WIL21-DS-M-5701</v>
          </cell>
          <cell r="H127">
            <v>45743</v>
          </cell>
          <cell r="N127" t="str">
            <v>RTR</v>
          </cell>
          <cell r="O127" t="str">
            <v>AWC</v>
          </cell>
        </row>
        <row r="128">
          <cell r="B128">
            <v>1170</v>
          </cell>
          <cell r="E128" t="str">
            <v>131236-WIL21-DS-M-5702</v>
          </cell>
          <cell r="H128">
            <v>45743</v>
          </cell>
          <cell r="N128" t="str">
            <v>RTR</v>
          </cell>
          <cell r="O128" t="str">
            <v>AWC</v>
          </cell>
        </row>
        <row r="129">
          <cell r="B129">
            <v>1170</v>
          </cell>
          <cell r="E129" t="str">
            <v>131236-WIL21-DS-M-5703</v>
          </cell>
          <cell r="H129">
            <v>45743</v>
          </cell>
          <cell r="N129" t="str">
            <v>RTR</v>
          </cell>
          <cell r="O129" t="str">
            <v>AWC</v>
          </cell>
        </row>
        <row r="130">
          <cell r="B130">
            <v>1277</v>
          </cell>
          <cell r="E130" t="str">
            <v>131236-WIL21-DS-M-5721</v>
          </cell>
          <cell r="H130">
            <v>45787</v>
          </cell>
          <cell r="N130" t="str">
            <v>RTR</v>
          </cell>
          <cell r="O130" t="str">
            <v>AWC</v>
          </cell>
        </row>
        <row r="131">
          <cell r="B131">
            <v>1277</v>
          </cell>
          <cell r="E131" t="str">
            <v>131236-WIL21-DS-M-5722</v>
          </cell>
          <cell r="H131">
            <v>45787</v>
          </cell>
          <cell r="N131" t="str">
            <v>RTR</v>
          </cell>
          <cell r="O131" t="str">
            <v>AWC</v>
          </cell>
        </row>
        <row r="132">
          <cell r="B132">
            <v>1277</v>
          </cell>
          <cell r="E132" t="str">
            <v>131236-WIL21-DS-M-5723</v>
          </cell>
          <cell r="H132">
            <v>45787</v>
          </cell>
          <cell r="N132" t="str">
            <v>RTR</v>
          </cell>
          <cell r="O132" t="str">
            <v>AWC</v>
          </cell>
        </row>
        <row r="133">
          <cell r="B133">
            <v>1277</v>
          </cell>
          <cell r="E133" t="str">
            <v>131236-WIL21-DS-M-5724</v>
          </cell>
          <cell r="H133">
            <v>45787</v>
          </cell>
          <cell r="N133" t="str">
            <v>RTR</v>
          </cell>
          <cell r="O133" t="str">
            <v>AWC</v>
          </cell>
        </row>
        <row r="134">
          <cell r="B134">
            <v>1277</v>
          </cell>
          <cell r="E134" t="str">
            <v>131236-WIL21-DS-M-5725</v>
          </cell>
          <cell r="H134">
            <v>45787</v>
          </cell>
          <cell r="N134" t="str">
            <v>RTR</v>
          </cell>
          <cell r="O134" t="str">
            <v>AWC</v>
          </cell>
        </row>
        <row r="135">
          <cell r="B135">
            <v>1259</v>
          </cell>
          <cell r="E135" t="str">
            <v>131236-WIL21-DS-M-5732</v>
          </cell>
          <cell r="H135">
            <v>45776</v>
          </cell>
          <cell r="N135" t="str">
            <v>RTR</v>
          </cell>
          <cell r="O135" t="str">
            <v>AWC</v>
          </cell>
        </row>
        <row r="136">
          <cell r="B136">
            <v>1259</v>
          </cell>
          <cell r="E136" t="str">
            <v>131236-WIL21-DS-M-5733</v>
          </cell>
          <cell r="H136">
            <v>45776</v>
          </cell>
          <cell r="N136" t="str">
            <v>RTR</v>
          </cell>
          <cell r="O136" t="str">
            <v>AWC</v>
          </cell>
        </row>
        <row r="137">
          <cell r="B137">
            <v>1259</v>
          </cell>
          <cell r="E137" t="str">
            <v>131236-WIL21-DS-M-5734</v>
          </cell>
          <cell r="H137">
            <v>45776</v>
          </cell>
          <cell r="N137" t="str">
            <v>RTR</v>
          </cell>
          <cell r="O137" t="str">
            <v>AWC</v>
          </cell>
        </row>
        <row r="138">
          <cell r="B138">
            <v>1259</v>
          </cell>
          <cell r="E138" t="str">
            <v>131236-WIL21-DS-M-5731</v>
          </cell>
          <cell r="H138">
            <v>45776</v>
          </cell>
          <cell r="N138" t="str">
            <v>RTR</v>
          </cell>
          <cell r="O138" t="str">
            <v>AWC</v>
          </cell>
        </row>
        <row r="139">
          <cell r="B139">
            <v>1259</v>
          </cell>
          <cell r="E139" t="str">
            <v>131236-WIL21-DS-M-5735</v>
          </cell>
          <cell r="H139">
            <v>45776</v>
          </cell>
          <cell r="N139" t="str">
            <v>RTR</v>
          </cell>
          <cell r="O139" t="str">
            <v>AWC</v>
          </cell>
        </row>
        <row r="140">
          <cell r="B140">
            <v>1649</v>
          </cell>
          <cell r="E140" t="str">
            <v>131236-WIL21-DS-M-5560</v>
          </cell>
          <cell r="H140">
            <v>45904</v>
          </cell>
          <cell r="N140" t="str">
            <v>RTR</v>
          </cell>
          <cell r="O140" t="str">
            <v>REJ</v>
          </cell>
        </row>
        <row r="141">
          <cell r="B141">
            <v>1080</v>
          </cell>
          <cell r="E141" t="str">
            <v>131236-WIL21-DS-M-5751</v>
          </cell>
          <cell r="H141">
            <v>45716</v>
          </cell>
          <cell r="N141" t="str">
            <v>RTR</v>
          </cell>
          <cell r="O141" t="str">
            <v>APP</v>
          </cell>
        </row>
        <row r="142">
          <cell r="B142">
            <v>1820</v>
          </cell>
          <cell r="E142" t="str">
            <v>131236-WIL21-DS-M-5752</v>
          </cell>
          <cell r="H142">
            <v>45966</v>
          </cell>
          <cell r="N142" t="str">
            <v>RTR</v>
          </cell>
          <cell r="O142" t="str">
            <v>AWC</v>
          </cell>
        </row>
        <row r="143">
          <cell r="B143">
            <v>1135</v>
          </cell>
          <cell r="E143" t="str">
            <v>131236-WIL21-DS-M-5801</v>
          </cell>
          <cell r="H143">
            <v>45736</v>
          </cell>
          <cell r="N143" t="str">
            <v>RTR</v>
          </cell>
          <cell r="O143" t="str">
            <v>AWC</v>
          </cell>
        </row>
        <row r="144">
          <cell r="B144">
            <v>1713</v>
          </cell>
          <cell r="E144" t="str">
            <v>131236-WIL21-DS-M-5753</v>
          </cell>
          <cell r="H144">
            <v>45930</v>
          </cell>
          <cell r="N144" t="str">
            <v>RTR</v>
          </cell>
          <cell r="O144" t="str">
            <v>AWC</v>
          </cell>
        </row>
        <row r="145">
          <cell r="B145">
            <v>1578</v>
          </cell>
          <cell r="E145" t="str">
            <v>131236-WIL21-DS-M-5761</v>
          </cell>
          <cell r="H145">
            <v>45881</v>
          </cell>
          <cell r="N145" t="str">
            <v>RTR</v>
          </cell>
          <cell r="O145" t="str">
            <v>AWC</v>
          </cell>
        </row>
        <row r="146">
          <cell r="B146">
            <v>553</v>
          </cell>
          <cell r="E146" t="str">
            <v>131236-WIL21-DS-M-0020</v>
          </cell>
          <cell r="H146">
            <v>45891</v>
          </cell>
          <cell r="N146" t="str">
            <v>RTR</v>
          </cell>
          <cell r="O146" t="str">
            <v>AWC</v>
          </cell>
        </row>
        <row r="147">
          <cell r="B147">
            <v>28</v>
          </cell>
          <cell r="E147" t="str">
            <v>131236-WIL21-VI-M-0001</v>
          </cell>
          <cell r="H147">
            <v>45091</v>
          </cell>
          <cell r="N147" t="str">
            <v>RTR</v>
          </cell>
          <cell r="O147" t="str">
            <v>AWC</v>
          </cell>
        </row>
        <row r="148">
          <cell r="B148">
            <v>499</v>
          </cell>
          <cell r="E148" t="str">
            <v>131236-WIL21-VI-M-0002</v>
          </cell>
          <cell r="H148">
            <v>45442</v>
          </cell>
          <cell r="N148" t="str">
            <v>RTR</v>
          </cell>
          <cell r="O148" t="str">
            <v>AWC</v>
          </cell>
        </row>
        <row r="149">
          <cell r="B149">
            <v>1081</v>
          </cell>
          <cell r="E149" t="str">
            <v>131236-WIL21-VI-M-0003</v>
          </cell>
          <cell r="H149">
            <v>45719</v>
          </cell>
          <cell r="N149" t="str">
            <v>RTR</v>
          </cell>
          <cell r="O149" t="str">
            <v>AWC</v>
          </cell>
        </row>
        <row r="150">
          <cell r="B150">
            <v>1274</v>
          </cell>
          <cell r="E150" t="str">
            <v>131236-WIL21-VI-M-0004</v>
          </cell>
          <cell r="H150">
            <v>45787</v>
          </cell>
          <cell r="N150" t="str">
            <v>RTR</v>
          </cell>
          <cell r="O150" t="str">
            <v>AWC</v>
          </cell>
        </row>
        <row r="151">
          <cell r="B151">
            <v>278</v>
          </cell>
          <cell r="E151" t="str">
            <v>131236-WIL21-RT-P-0001</v>
          </cell>
          <cell r="H151">
            <v>45308</v>
          </cell>
          <cell r="N151" t="str">
            <v>RTR</v>
          </cell>
          <cell r="O151" t="str">
            <v>AWC</v>
          </cell>
        </row>
        <row r="152">
          <cell r="B152">
            <v>405</v>
          </cell>
          <cell r="E152" t="str">
            <v>131236-WIL21-RT-P-0002</v>
          </cell>
          <cell r="H152">
            <v>45379</v>
          </cell>
          <cell r="N152" t="str">
            <v>RTR</v>
          </cell>
          <cell r="O152" t="str">
            <v>AWC</v>
          </cell>
        </row>
        <row r="153">
          <cell r="B153">
            <v>140</v>
          </cell>
          <cell r="E153" t="str">
            <v>131236-WIL21-PS-P-0001</v>
          </cell>
          <cell r="H153">
            <v>45224</v>
          </cell>
          <cell r="N153" t="str">
            <v>RTR</v>
          </cell>
          <cell r="O153" t="str">
            <v>APP</v>
          </cell>
        </row>
        <row r="154">
          <cell r="B154">
            <v>678</v>
          </cell>
          <cell r="E154" t="str">
            <v>131236-WIL21-RT-P-0003</v>
          </cell>
          <cell r="H154">
            <v>45530</v>
          </cell>
          <cell r="N154" t="str">
            <v>RTR</v>
          </cell>
          <cell r="O154" t="str">
            <v>AWC</v>
          </cell>
        </row>
        <row r="155">
          <cell r="B155">
            <v>687</v>
          </cell>
          <cell r="E155" t="str">
            <v>131236-WIL21-RT-Z-0001</v>
          </cell>
          <cell r="H155">
            <v>45533</v>
          </cell>
          <cell r="N155" t="str">
            <v>RTR</v>
          </cell>
          <cell r="O155" t="str">
            <v>AWC</v>
          </cell>
        </row>
        <row r="156">
          <cell r="B156">
            <v>142</v>
          </cell>
          <cell r="E156" t="str">
            <v>131236-WIL21-CH-P-0002</v>
          </cell>
          <cell r="H156">
            <v>45224</v>
          </cell>
          <cell r="N156" t="str">
            <v>RTR</v>
          </cell>
          <cell r="O156" t="str">
            <v>AWC</v>
          </cell>
        </row>
        <row r="157">
          <cell r="B157">
            <v>224</v>
          </cell>
          <cell r="E157" t="str">
            <v>131236-WIL21-SP-P-0001</v>
          </cell>
          <cell r="H157">
            <v>45261</v>
          </cell>
          <cell r="N157" t="str">
            <v>RTR</v>
          </cell>
          <cell r="O157" t="str">
            <v>AWC</v>
          </cell>
        </row>
        <row r="158">
          <cell r="B158">
            <v>141</v>
          </cell>
          <cell r="E158" t="str">
            <v>131236-WIL21-CH-P-0001</v>
          </cell>
          <cell r="H158">
            <v>45224</v>
          </cell>
          <cell r="N158" t="str">
            <v>RTR</v>
          </cell>
          <cell r="O158" t="str">
            <v>AWC</v>
          </cell>
        </row>
        <row r="159">
          <cell r="B159">
            <v>172</v>
          </cell>
          <cell r="E159" t="str">
            <v>131236-WIL21-CL-P-0001</v>
          </cell>
          <cell r="H159">
            <v>45238</v>
          </cell>
          <cell r="N159" t="str">
            <v>RTR</v>
          </cell>
          <cell r="O159" t="str">
            <v>AWC</v>
          </cell>
        </row>
        <row r="160">
          <cell r="B160">
            <v>664</v>
          </cell>
          <cell r="E160" t="str">
            <v>131236-WIL21-CL-P-0007</v>
          </cell>
          <cell r="H160">
            <v>45524</v>
          </cell>
          <cell r="N160" t="str">
            <v>RTR</v>
          </cell>
          <cell r="O160" t="str">
            <v>APP</v>
          </cell>
        </row>
        <row r="161">
          <cell r="B161">
            <v>990</v>
          </cell>
          <cell r="E161" t="str">
            <v>131236-WIL21-CL-P-0014</v>
          </cell>
          <cell r="H161">
            <v>45677</v>
          </cell>
          <cell r="N161" t="str">
            <v>RTR</v>
          </cell>
          <cell r="O161" t="str">
            <v>APP</v>
          </cell>
        </row>
        <row r="162">
          <cell r="B162">
            <v>207</v>
          </cell>
          <cell r="E162" t="str">
            <v>131236-WIL21-CL-P-0002</v>
          </cell>
          <cell r="H162">
            <v>45252</v>
          </cell>
          <cell r="N162" t="str">
            <v>RTR</v>
          </cell>
          <cell r="O162" t="str">
            <v>VOID</v>
          </cell>
        </row>
        <row r="163">
          <cell r="B163">
            <v>591</v>
          </cell>
          <cell r="E163" t="str">
            <v>131236-WIL21-CL-P-0003</v>
          </cell>
          <cell r="H163">
            <v>45501</v>
          </cell>
          <cell r="N163" t="str">
            <v>RTR</v>
          </cell>
          <cell r="O163" t="str">
            <v>APP</v>
          </cell>
        </row>
        <row r="164">
          <cell r="B164">
            <v>649</v>
          </cell>
          <cell r="E164" t="str">
            <v>131236-WIL21-CL-P-0004</v>
          </cell>
          <cell r="H164">
            <v>45519</v>
          </cell>
          <cell r="N164" t="str">
            <v>RTR</v>
          </cell>
          <cell r="O164" t="str">
            <v>AWC</v>
          </cell>
        </row>
        <row r="165">
          <cell r="B165">
            <v>597</v>
          </cell>
          <cell r="E165" t="str">
            <v>131236-WIL21-CL-P-0006</v>
          </cell>
          <cell r="H165">
            <v>45503</v>
          </cell>
          <cell r="N165" t="str">
            <v>RTR</v>
          </cell>
          <cell r="O165" t="str">
            <v>AWC</v>
          </cell>
        </row>
        <row r="166">
          <cell r="B166">
            <v>650</v>
          </cell>
          <cell r="E166" t="str">
            <v>131236-WIL21-CL-P-0008</v>
          </cell>
          <cell r="H166">
            <v>45519</v>
          </cell>
          <cell r="N166" t="str">
            <v>RTR</v>
          </cell>
          <cell r="O166" t="str">
            <v>AWC</v>
          </cell>
        </row>
        <row r="167">
          <cell r="B167">
            <v>662</v>
          </cell>
          <cell r="E167" t="str">
            <v>131236-WIL21-CL-P-0009</v>
          </cell>
          <cell r="H167">
            <v>45524</v>
          </cell>
          <cell r="N167" t="str">
            <v>RTR</v>
          </cell>
          <cell r="O167" t="str">
            <v>AWC</v>
          </cell>
        </row>
        <row r="168">
          <cell r="B168">
            <v>663</v>
          </cell>
          <cell r="E168" t="str">
            <v>131236-WIL21-CL-P-0010</v>
          </cell>
          <cell r="H168">
            <v>45524</v>
          </cell>
          <cell r="N168" t="str">
            <v>RTR</v>
          </cell>
          <cell r="O168" t="str">
            <v>AWC</v>
          </cell>
        </row>
        <row r="169">
          <cell r="B169">
            <v>916</v>
          </cell>
          <cell r="E169" t="str">
            <v>131236-WIL21-CL-P-0013</v>
          </cell>
          <cell r="H169">
            <v>45644</v>
          </cell>
          <cell r="N169" t="str">
            <v>RTR</v>
          </cell>
          <cell r="O169" t="str">
            <v>AWC</v>
          </cell>
        </row>
        <row r="170">
          <cell r="B170">
            <v>1275</v>
          </cell>
          <cell r="E170" t="str">
            <v>131236-WIL21-CL-P-0016</v>
          </cell>
          <cell r="H170">
            <v>45787</v>
          </cell>
          <cell r="N170" t="str">
            <v>RTR</v>
          </cell>
          <cell r="O170" t="str">
            <v>APP</v>
          </cell>
        </row>
        <row r="171">
          <cell r="B171">
            <v>1308</v>
          </cell>
          <cell r="E171" t="str">
            <v>131236-WIL21-CL-P-0017</v>
          </cell>
          <cell r="H171">
            <v>45796</v>
          </cell>
          <cell r="N171" t="str">
            <v>RTR</v>
          </cell>
          <cell r="O171" t="str">
            <v>AWC</v>
          </cell>
        </row>
        <row r="172">
          <cell r="B172">
            <v>1309</v>
          </cell>
          <cell r="E172" t="str">
            <v>131236-WIL21-CL-P-0018</v>
          </cell>
          <cell r="H172">
            <v>45796</v>
          </cell>
          <cell r="N172" t="str">
            <v>RTR</v>
          </cell>
          <cell r="O172" t="str">
            <v>AWC</v>
          </cell>
        </row>
        <row r="173">
          <cell r="B173">
            <v>1084</v>
          </cell>
          <cell r="E173" t="str">
            <v>131236-WIL21-CL-P-0028</v>
          </cell>
          <cell r="H173">
            <v>45720</v>
          </cell>
          <cell r="N173" t="str">
            <v>RTR</v>
          </cell>
          <cell r="O173" t="str">
            <v>AWC</v>
          </cell>
        </row>
        <row r="174">
          <cell r="B174">
            <v>1311</v>
          </cell>
          <cell r="E174" t="str">
            <v>131236-WIL21-RT-P-0004</v>
          </cell>
          <cell r="H174">
            <v>45796</v>
          </cell>
          <cell r="N174" t="str">
            <v>RTR</v>
          </cell>
          <cell r="O174" t="str">
            <v>AWC</v>
          </cell>
        </row>
        <row r="175">
          <cell r="B175">
            <v>143</v>
          </cell>
          <cell r="E175" t="str">
            <v>131236-WIL21-DR-P-7001</v>
          </cell>
          <cell r="H175">
            <v>45225</v>
          </cell>
          <cell r="N175" t="str">
            <v>RTR</v>
          </cell>
          <cell r="O175" t="str">
            <v>AWC</v>
          </cell>
        </row>
        <row r="176">
          <cell r="B176">
            <v>143</v>
          </cell>
          <cell r="E176" t="str">
            <v>131236-WIL21-DR-P-7002</v>
          </cell>
          <cell r="H176">
            <v>45369</v>
          </cell>
          <cell r="N176" t="str">
            <v>RTR</v>
          </cell>
          <cell r="O176" t="str">
            <v>AWC</v>
          </cell>
        </row>
        <row r="177">
          <cell r="B177">
            <v>230</v>
          </cell>
          <cell r="E177" t="str">
            <v>131236-WIL21-DR-P-6000</v>
          </cell>
          <cell r="H177">
            <v>45266</v>
          </cell>
          <cell r="N177" t="str">
            <v>RTR</v>
          </cell>
          <cell r="O177" t="str">
            <v>AWC</v>
          </cell>
        </row>
        <row r="178">
          <cell r="B178">
            <v>230</v>
          </cell>
          <cell r="E178" t="str">
            <v>131236-WIL21-DR-P-6001</v>
          </cell>
          <cell r="H178">
            <v>45266</v>
          </cell>
          <cell r="N178" t="str">
            <v>RTR</v>
          </cell>
          <cell r="O178" t="str">
            <v>AWC</v>
          </cell>
        </row>
        <row r="179">
          <cell r="B179">
            <v>230</v>
          </cell>
          <cell r="E179" t="str">
            <v>131236-WIL21-DR-P-6002</v>
          </cell>
          <cell r="H179">
            <v>45266</v>
          </cell>
          <cell r="N179" t="str">
            <v>RTR</v>
          </cell>
          <cell r="O179" t="str">
            <v>AWC</v>
          </cell>
        </row>
        <row r="180">
          <cell r="B180">
            <v>230</v>
          </cell>
          <cell r="E180" t="str">
            <v>131236-WIL21-DR-P-6003</v>
          </cell>
          <cell r="H180">
            <v>45266</v>
          </cell>
          <cell r="N180" t="str">
            <v>RTR</v>
          </cell>
          <cell r="O180" t="str">
            <v>AWC</v>
          </cell>
        </row>
        <row r="181">
          <cell r="B181">
            <v>230</v>
          </cell>
          <cell r="E181" t="str">
            <v>131236-WIL21-DR-P-6004</v>
          </cell>
          <cell r="H181">
            <v>45266</v>
          </cell>
          <cell r="N181" t="str">
            <v>RTR</v>
          </cell>
          <cell r="O181" t="str">
            <v>AWC</v>
          </cell>
        </row>
        <row r="182">
          <cell r="B182">
            <v>230</v>
          </cell>
          <cell r="E182" t="str">
            <v>131236-WIL21-DR-P-6005</v>
          </cell>
          <cell r="H182">
            <v>45266</v>
          </cell>
          <cell r="N182" t="str">
            <v>RTR</v>
          </cell>
          <cell r="O182" t="str">
            <v>AWC</v>
          </cell>
        </row>
        <row r="183">
          <cell r="B183">
            <v>230</v>
          </cell>
          <cell r="E183" t="str">
            <v>131236-WIL21-DR-P-6006</v>
          </cell>
          <cell r="H183">
            <v>45266</v>
          </cell>
          <cell r="N183" t="str">
            <v>RTR</v>
          </cell>
          <cell r="O183" t="str">
            <v>AWC</v>
          </cell>
        </row>
        <row r="184">
          <cell r="B184">
            <v>230</v>
          </cell>
          <cell r="E184" t="str">
            <v>131236-WIL21-DR-P-6007</v>
          </cell>
          <cell r="H184">
            <v>45266</v>
          </cell>
          <cell r="N184" t="str">
            <v>RTR</v>
          </cell>
          <cell r="O184" t="str">
            <v>AWC</v>
          </cell>
        </row>
        <row r="185">
          <cell r="B185">
            <v>230</v>
          </cell>
          <cell r="E185" t="str">
            <v>131236-WIL21-DR-P-6008</v>
          </cell>
          <cell r="H185">
            <v>45266</v>
          </cell>
          <cell r="N185" t="str">
            <v>RTR</v>
          </cell>
          <cell r="O185" t="str">
            <v>AWC</v>
          </cell>
        </row>
        <row r="186">
          <cell r="B186">
            <v>230</v>
          </cell>
          <cell r="E186" t="str">
            <v>131236-WIL21-DR-P-6009</v>
          </cell>
          <cell r="H186">
            <v>45266</v>
          </cell>
          <cell r="N186" t="str">
            <v>RTR</v>
          </cell>
          <cell r="O186" t="str">
            <v>AWC</v>
          </cell>
        </row>
        <row r="187">
          <cell r="B187">
            <v>230</v>
          </cell>
          <cell r="E187" t="str">
            <v>131236-WIL21-DR-P-6010</v>
          </cell>
          <cell r="H187">
            <v>45266</v>
          </cell>
          <cell r="N187" t="str">
            <v>RTR</v>
          </cell>
          <cell r="O187" t="str">
            <v>AWC</v>
          </cell>
        </row>
        <row r="188">
          <cell r="B188">
            <v>230</v>
          </cell>
          <cell r="E188" t="str">
            <v>131236-WIL21-DR-P-6011</v>
          </cell>
          <cell r="H188">
            <v>45266</v>
          </cell>
          <cell r="N188" t="str">
            <v>RTR</v>
          </cell>
          <cell r="O188" t="str">
            <v>AWC</v>
          </cell>
        </row>
        <row r="189">
          <cell r="B189">
            <v>230</v>
          </cell>
          <cell r="E189" t="str">
            <v>131236-WIL21-DR-P-6012</v>
          </cell>
          <cell r="H189">
            <v>45266</v>
          </cell>
          <cell r="N189" t="str">
            <v>RTR</v>
          </cell>
          <cell r="O189" t="str">
            <v>AWC</v>
          </cell>
        </row>
        <row r="190">
          <cell r="B190">
            <v>230</v>
          </cell>
          <cell r="E190" t="str">
            <v>131236-WIL21-DR-P-6013</v>
          </cell>
          <cell r="H190">
            <v>45266</v>
          </cell>
          <cell r="N190" t="str">
            <v>RTR</v>
          </cell>
          <cell r="O190" t="str">
            <v>AWC</v>
          </cell>
        </row>
        <row r="191">
          <cell r="B191">
            <v>230</v>
          </cell>
          <cell r="E191" t="str">
            <v>131236-WIL21-DR-P-6014</v>
          </cell>
          <cell r="H191">
            <v>45266</v>
          </cell>
          <cell r="N191" t="str">
            <v>RTR</v>
          </cell>
          <cell r="O191" t="str">
            <v>AWC</v>
          </cell>
        </row>
        <row r="192">
          <cell r="B192">
            <v>230</v>
          </cell>
          <cell r="E192" t="str">
            <v>131236-WIL21-DR-P-6015</v>
          </cell>
          <cell r="H192">
            <v>45266</v>
          </cell>
          <cell r="N192" t="str">
            <v>RTR</v>
          </cell>
          <cell r="O192" t="str">
            <v>AWC</v>
          </cell>
        </row>
        <row r="193">
          <cell r="B193">
            <v>230</v>
          </cell>
          <cell r="E193" t="str">
            <v>131236-WIL21-DR-P-6016</v>
          </cell>
          <cell r="H193">
            <v>45266</v>
          </cell>
          <cell r="N193" t="str">
            <v>RTR</v>
          </cell>
          <cell r="O193" t="str">
            <v>AWC</v>
          </cell>
        </row>
        <row r="194">
          <cell r="B194">
            <v>230</v>
          </cell>
          <cell r="E194" t="str">
            <v>131236-WIL21-DR-P-6017</v>
          </cell>
          <cell r="H194">
            <v>45266</v>
          </cell>
          <cell r="N194" t="str">
            <v>RTR</v>
          </cell>
          <cell r="O194" t="str">
            <v>AWC</v>
          </cell>
        </row>
        <row r="195">
          <cell r="B195">
            <v>230</v>
          </cell>
          <cell r="E195" t="str">
            <v>131236-WIL21-DR-P-6018</v>
          </cell>
          <cell r="H195">
            <v>45266</v>
          </cell>
          <cell r="N195" t="str">
            <v>RTR</v>
          </cell>
          <cell r="O195" t="str">
            <v>AWC</v>
          </cell>
        </row>
        <row r="196">
          <cell r="B196">
            <v>230</v>
          </cell>
          <cell r="E196" t="str">
            <v>131236-WIL21-DR-P-6019</v>
          </cell>
          <cell r="H196">
            <v>45301</v>
          </cell>
          <cell r="N196" t="str">
            <v>RTR</v>
          </cell>
          <cell r="O196" t="str">
            <v>AWC</v>
          </cell>
        </row>
        <row r="197">
          <cell r="B197">
            <v>230</v>
          </cell>
          <cell r="E197" t="str">
            <v>131236-WIL21-DR-P-6020</v>
          </cell>
          <cell r="H197">
            <v>45301</v>
          </cell>
          <cell r="N197" t="str">
            <v>RTR</v>
          </cell>
          <cell r="O197" t="str">
            <v>AWC</v>
          </cell>
        </row>
        <row r="198">
          <cell r="B198">
            <v>230</v>
          </cell>
          <cell r="E198" t="str">
            <v>131236-WIL21-DR-P-6021</v>
          </cell>
          <cell r="H198">
            <v>45301</v>
          </cell>
          <cell r="N198" t="str">
            <v>RTR</v>
          </cell>
          <cell r="O198" t="str">
            <v>AWC</v>
          </cell>
        </row>
        <row r="199">
          <cell r="B199">
            <v>230</v>
          </cell>
          <cell r="E199" t="str">
            <v>131236-WIL21-DR-P-6022</v>
          </cell>
          <cell r="H199">
            <v>45301</v>
          </cell>
          <cell r="N199" t="str">
            <v>RTR</v>
          </cell>
          <cell r="O199" t="str">
            <v>AWC</v>
          </cell>
        </row>
        <row r="200">
          <cell r="B200">
            <v>230</v>
          </cell>
          <cell r="E200" t="str">
            <v>131236-WIL21-DR-P-6023</v>
          </cell>
          <cell r="H200">
            <v>45301</v>
          </cell>
          <cell r="N200" t="str">
            <v>RTR</v>
          </cell>
          <cell r="O200" t="str">
            <v>AWC</v>
          </cell>
        </row>
        <row r="201">
          <cell r="B201">
            <v>230</v>
          </cell>
          <cell r="E201" t="str">
            <v>131236-WIL21-DR-P-6024</v>
          </cell>
          <cell r="H201">
            <v>45301</v>
          </cell>
          <cell r="N201" t="str">
            <v>RTR</v>
          </cell>
          <cell r="O201" t="str">
            <v>AWC</v>
          </cell>
        </row>
        <row r="202">
          <cell r="B202">
            <v>230</v>
          </cell>
          <cell r="E202" t="str">
            <v>131236-WIL21-DR-P-6025</v>
          </cell>
          <cell r="H202">
            <v>45301</v>
          </cell>
          <cell r="N202" t="str">
            <v>RTR</v>
          </cell>
          <cell r="O202" t="str">
            <v>AWC</v>
          </cell>
        </row>
        <row r="203">
          <cell r="B203">
            <v>230</v>
          </cell>
          <cell r="E203" t="str">
            <v>131236-WIL21-DR-P-6026</v>
          </cell>
          <cell r="H203">
            <v>45301</v>
          </cell>
          <cell r="N203" t="str">
            <v>RTR</v>
          </cell>
          <cell r="O203" t="str">
            <v>AWC</v>
          </cell>
        </row>
        <row r="204">
          <cell r="B204">
            <v>230</v>
          </cell>
          <cell r="E204" t="str">
            <v>131236-WIL21-DR-P-6027</v>
          </cell>
          <cell r="H204">
            <v>45301</v>
          </cell>
          <cell r="N204" t="str">
            <v>RTR</v>
          </cell>
          <cell r="O204" t="str">
            <v>AWC</v>
          </cell>
        </row>
        <row r="205">
          <cell r="B205">
            <v>230</v>
          </cell>
          <cell r="E205" t="str">
            <v>131236-WIL21-DR-P-6028</v>
          </cell>
          <cell r="H205">
            <v>45301</v>
          </cell>
          <cell r="N205" t="str">
            <v>RTR</v>
          </cell>
          <cell r="O205" t="str">
            <v>AWC</v>
          </cell>
        </row>
        <row r="206">
          <cell r="B206">
            <v>230</v>
          </cell>
          <cell r="E206" t="str">
            <v>131236-WIL21-DR-P-6029</v>
          </cell>
          <cell r="H206">
            <v>45301</v>
          </cell>
          <cell r="N206" t="str">
            <v>RTR</v>
          </cell>
          <cell r="O206" t="str">
            <v>AWC</v>
          </cell>
        </row>
        <row r="207">
          <cell r="B207">
            <v>230</v>
          </cell>
          <cell r="E207" t="str">
            <v>131236-WIL21-DR-P-6030</v>
          </cell>
          <cell r="H207">
            <v>45301</v>
          </cell>
          <cell r="N207" t="str">
            <v>RTR</v>
          </cell>
          <cell r="O207" t="str">
            <v>AWC</v>
          </cell>
        </row>
        <row r="208">
          <cell r="B208">
            <v>230</v>
          </cell>
          <cell r="E208" t="str">
            <v>131236-WIL21-DR-P-6031</v>
          </cell>
          <cell r="H208">
            <v>45301</v>
          </cell>
          <cell r="N208" t="str">
            <v>RTR</v>
          </cell>
          <cell r="O208" t="str">
            <v>AWC</v>
          </cell>
        </row>
        <row r="209">
          <cell r="B209">
            <v>230</v>
          </cell>
          <cell r="E209" t="str">
            <v>131236-WIL21-DR-P-6032</v>
          </cell>
          <cell r="H209">
            <v>45301</v>
          </cell>
          <cell r="N209" t="str">
            <v>RTR</v>
          </cell>
          <cell r="O209" t="str">
            <v>AWC</v>
          </cell>
        </row>
        <row r="210">
          <cell r="B210">
            <v>230</v>
          </cell>
          <cell r="E210" t="str">
            <v>131236-WIL21-DR-P-6033</v>
          </cell>
          <cell r="H210">
            <v>45301</v>
          </cell>
          <cell r="N210" t="str">
            <v>RTR</v>
          </cell>
          <cell r="O210" t="str">
            <v>AWC</v>
          </cell>
        </row>
        <row r="211">
          <cell r="B211">
            <v>230</v>
          </cell>
          <cell r="E211" t="str">
            <v>131236-WIL21-DR-P-6034</v>
          </cell>
          <cell r="H211">
            <v>45301</v>
          </cell>
          <cell r="N211" t="str">
            <v>RTR</v>
          </cell>
          <cell r="O211" t="str">
            <v>AWC</v>
          </cell>
        </row>
        <row r="212">
          <cell r="B212">
            <v>230</v>
          </cell>
          <cell r="E212" t="str">
            <v>131236-WIL21-DR-P-6035</v>
          </cell>
          <cell r="H212">
            <v>45301</v>
          </cell>
          <cell r="N212" t="str">
            <v>RTR</v>
          </cell>
          <cell r="O212" t="str">
            <v>AWC</v>
          </cell>
        </row>
        <row r="213">
          <cell r="B213">
            <v>230</v>
          </cell>
          <cell r="E213" t="str">
            <v>131236-WIL21-DR-P-6036</v>
          </cell>
          <cell r="H213">
            <v>45301</v>
          </cell>
          <cell r="N213" t="str">
            <v>RTR</v>
          </cell>
          <cell r="O213" t="str">
            <v>AWC</v>
          </cell>
        </row>
        <row r="214">
          <cell r="B214">
            <v>230</v>
          </cell>
          <cell r="E214" t="str">
            <v>131236-WIL21-DR-P-6101</v>
          </cell>
          <cell r="H214">
            <v>45370</v>
          </cell>
          <cell r="N214" t="str">
            <v>RTR</v>
          </cell>
          <cell r="O214" t="str">
            <v>AWC</v>
          </cell>
        </row>
        <row r="215">
          <cell r="B215">
            <v>230</v>
          </cell>
          <cell r="E215" t="str">
            <v>131236-WIL21-DR-P-6121</v>
          </cell>
          <cell r="H215">
            <v>45370</v>
          </cell>
          <cell r="N215" t="str">
            <v>RTR</v>
          </cell>
          <cell r="O215" t="str">
            <v>AWC</v>
          </cell>
        </row>
        <row r="216">
          <cell r="B216">
            <v>230</v>
          </cell>
          <cell r="E216" t="str">
            <v>131236-WIL21-DR-P-6600</v>
          </cell>
          <cell r="H216">
            <v>45288</v>
          </cell>
          <cell r="N216" t="str">
            <v>RTR</v>
          </cell>
          <cell r="O216" t="str">
            <v>AWC</v>
          </cell>
        </row>
        <row r="217">
          <cell r="B217">
            <v>230</v>
          </cell>
          <cell r="E217" t="str">
            <v>131236-WIL21-DR-P-6601</v>
          </cell>
          <cell r="H217">
            <v>45288</v>
          </cell>
          <cell r="N217" t="str">
            <v>RTR</v>
          </cell>
          <cell r="O217" t="str">
            <v>AWC</v>
          </cell>
        </row>
        <row r="218">
          <cell r="B218">
            <v>230</v>
          </cell>
          <cell r="E218" t="str">
            <v>131236-WIL21-DR-P-6050</v>
          </cell>
          <cell r="H218">
            <v>45301</v>
          </cell>
          <cell r="N218" t="str">
            <v>RTR</v>
          </cell>
          <cell r="O218" t="str">
            <v>AWC</v>
          </cell>
        </row>
        <row r="219">
          <cell r="B219">
            <v>230</v>
          </cell>
          <cell r="E219" t="str">
            <v>131236-WIL21-DR-P-6400</v>
          </cell>
          <cell r="H219">
            <v>45288</v>
          </cell>
          <cell r="N219" t="str">
            <v>RTR</v>
          </cell>
          <cell r="O219" t="str">
            <v>AWC</v>
          </cell>
        </row>
        <row r="220">
          <cell r="B220">
            <v>230</v>
          </cell>
          <cell r="E220" t="str">
            <v>131236-WIL21-DR-P-6200</v>
          </cell>
          <cell r="H220">
            <v>45288</v>
          </cell>
          <cell r="N220" t="str">
            <v>RTR</v>
          </cell>
          <cell r="O220" t="str">
            <v>AWC</v>
          </cell>
        </row>
        <row r="221">
          <cell r="B221">
            <v>230</v>
          </cell>
          <cell r="E221" t="str">
            <v>131236-WIL21-DR-P-6300</v>
          </cell>
          <cell r="H221">
            <v>45288</v>
          </cell>
          <cell r="N221" t="str">
            <v>RTR</v>
          </cell>
          <cell r="O221" t="str">
            <v>AWC</v>
          </cell>
        </row>
        <row r="222">
          <cell r="B222">
            <v>230</v>
          </cell>
          <cell r="E222" t="str">
            <v>131236-WIL21-DR-P-6063</v>
          </cell>
          <cell r="H222">
            <v>45301</v>
          </cell>
          <cell r="N222" t="str">
            <v>RTR</v>
          </cell>
          <cell r="O222" t="str">
            <v>AWC</v>
          </cell>
        </row>
        <row r="223">
          <cell r="B223">
            <v>230</v>
          </cell>
          <cell r="E223" t="str">
            <v>131236-WIL21-DR-P-6070</v>
          </cell>
          <cell r="H223">
            <v>45301</v>
          </cell>
          <cell r="N223" t="str">
            <v>RTR</v>
          </cell>
          <cell r="O223" t="str">
            <v>AWC</v>
          </cell>
        </row>
        <row r="224">
          <cell r="B224">
            <v>230</v>
          </cell>
          <cell r="E224" t="str">
            <v>131236-WIL21-DR-P-6051</v>
          </cell>
          <cell r="H224">
            <v>45825</v>
          </cell>
          <cell r="N224" t="str">
            <v>RTR</v>
          </cell>
          <cell r="O224" t="str">
            <v>AWC</v>
          </cell>
        </row>
        <row r="225">
          <cell r="B225">
            <v>1804</v>
          </cell>
          <cell r="E225" t="str">
            <v>131236-WIL21-PS-P-0002</v>
          </cell>
          <cell r="H225">
            <v>45961</v>
          </cell>
          <cell r="N225" t="str">
            <v>RTR</v>
          </cell>
          <cell r="O225" t="str">
            <v>APP</v>
          </cell>
        </row>
        <row r="226">
          <cell r="B226">
            <v>1668</v>
          </cell>
          <cell r="E226" t="str">
            <v>131236-WIL21-SP-I-0005</v>
          </cell>
          <cell r="H226">
            <v>45910</v>
          </cell>
          <cell r="N226" t="str">
            <v>RTR</v>
          </cell>
          <cell r="O226" t="str">
            <v>REJ</v>
          </cell>
        </row>
        <row r="227">
          <cell r="B227">
            <v>1591</v>
          </cell>
          <cell r="E227" t="str">
            <v>131236-WIL21-RT-Z-0003</v>
          </cell>
          <cell r="H227">
            <v>45883</v>
          </cell>
          <cell r="N227" t="str">
            <v>RTR</v>
          </cell>
          <cell r="O227" t="str">
            <v>AWC</v>
          </cell>
        </row>
        <row r="228">
          <cell r="B228">
            <v>535</v>
          </cell>
          <cell r="E228" t="str">
            <v>131236-WIL21-BQ-P-0003</v>
          </cell>
          <cell r="H228">
            <v>45469</v>
          </cell>
          <cell r="N228" t="str">
            <v>RTR</v>
          </cell>
          <cell r="O228" t="str">
            <v>AWC</v>
          </cell>
        </row>
        <row r="229">
          <cell r="B229">
            <v>133</v>
          </cell>
          <cell r="E229" t="str">
            <v>131236-WIL21-BQ-P-0001</v>
          </cell>
          <cell r="H229">
            <v>45219</v>
          </cell>
          <cell r="N229" t="str">
            <v>RTR</v>
          </cell>
          <cell r="O229" t="str">
            <v>APP</v>
          </cell>
        </row>
        <row r="230">
          <cell r="B230">
            <v>432</v>
          </cell>
          <cell r="E230" t="str">
            <v>131236-WIL21-BQ-P-0002</v>
          </cell>
          <cell r="H230">
            <v>45394</v>
          </cell>
          <cell r="N230" t="str">
            <v>RTR</v>
          </cell>
          <cell r="O230" t="str">
            <v>APP</v>
          </cell>
        </row>
        <row r="231">
          <cell r="B231">
            <v>177</v>
          </cell>
          <cell r="E231" t="str">
            <v>131236-WIL21-DS-M-0001</v>
          </cell>
          <cell r="H231">
            <v>45239</v>
          </cell>
          <cell r="N231" t="str">
            <v>RTR</v>
          </cell>
          <cell r="O231" t="str">
            <v>APP</v>
          </cell>
        </row>
        <row r="232">
          <cell r="B232">
            <v>1715</v>
          </cell>
          <cell r="E232" t="str">
            <v>131236-WIL21-DS-M-0047</v>
          </cell>
          <cell r="H232">
            <v>45930</v>
          </cell>
          <cell r="N232" t="str">
            <v>RTR</v>
          </cell>
          <cell r="O232" t="str">
            <v>APP</v>
          </cell>
        </row>
        <row r="233">
          <cell r="B233">
            <v>1276</v>
          </cell>
          <cell r="E233" t="str">
            <v>131236-WIL21-DS-M-0040</v>
          </cell>
          <cell r="H233">
            <v>45787</v>
          </cell>
          <cell r="N233" t="str">
            <v>RTR</v>
          </cell>
          <cell r="O233" t="str">
            <v>AWC</v>
          </cell>
        </row>
      </sheetData>
      <sheetData sheetId="2"/>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9C7D3-708E-44D2-A97C-C74D31AF5D3D}">
  <dimension ref="A1:B20"/>
  <sheetViews>
    <sheetView workbookViewId="0">
      <selection activeCell="B25" sqref="B25"/>
    </sheetView>
  </sheetViews>
  <sheetFormatPr defaultRowHeight="14.5" x14ac:dyDescent="0.35"/>
  <cols>
    <col min="1" max="1" width="5.453125" style="11" customWidth="1"/>
    <col min="2" max="2" width="121.81640625" customWidth="1"/>
  </cols>
  <sheetData>
    <row r="1" spans="1:2" x14ac:dyDescent="0.35">
      <c r="A1" s="65" t="s">
        <v>0</v>
      </c>
      <c r="B1" s="65"/>
    </row>
    <row r="2" spans="1:2" x14ac:dyDescent="0.35">
      <c r="A2" s="11" t="s">
        <v>1</v>
      </c>
      <c r="B2" t="s">
        <v>2</v>
      </c>
    </row>
    <row r="3" spans="1:2" x14ac:dyDescent="0.35">
      <c r="A3" s="11" t="s">
        <v>3</v>
      </c>
      <c r="B3" t="s">
        <v>4</v>
      </c>
    </row>
    <row r="4" spans="1:2" x14ac:dyDescent="0.35">
      <c r="A4" s="11" t="s">
        <v>5</v>
      </c>
      <c r="B4" t="s">
        <v>6</v>
      </c>
    </row>
    <row r="5" spans="1:2" x14ac:dyDescent="0.35">
      <c r="A5" s="11" t="s">
        <v>7</v>
      </c>
      <c r="B5" t="s">
        <v>8</v>
      </c>
    </row>
    <row r="6" spans="1:2" x14ac:dyDescent="0.35">
      <c r="A6" s="11" t="s">
        <v>9</v>
      </c>
      <c r="B6" t="s">
        <v>10</v>
      </c>
    </row>
    <row r="7" spans="1:2" x14ac:dyDescent="0.35">
      <c r="A7" s="11" t="s">
        <v>11</v>
      </c>
      <c r="B7" t="s">
        <v>12</v>
      </c>
    </row>
    <row r="8" spans="1:2" x14ac:dyDescent="0.35">
      <c r="A8" s="11" t="s">
        <v>13</v>
      </c>
      <c r="B8" t="s">
        <v>14</v>
      </c>
    </row>
    <row r="9" spans="1:2" x14ac:dyDescent="0.35">
      <c r="A9" s="11" t="s">
        <v>15</v>
      </c>
      <c r="B9" t="s">
        <v>16</v>
      </c>
    </row>
    <row r="10" spans="1:2" x14ac:dyDescent="0.35">
      <c r="A10" s="11" t="s">
        <v>17</v>
      </c>
      <c r="B10" t="s">
        <v>18</v>
      </c>
    </row>
    <row r="11" spans="1:2" x14ac:dyDescent="0.35">
      <c r="A11" s="11" t="s">
        <v>19</v>
      </c>
      <c r="B11" t="s">
        <v>20</v>
      </c>
    </row>
    <row r="12" spans="1:2" x14ac:dyDescent="0.35">
      <c r="A12" s="11" t="s">
        <v>21</v>
      </c>
      <c r="B12" t="s">
        <v>22</v>
      </c>
    </row>
    <row r="18" spans="1:2" x14ac:dyDescent="0.35">
      <c r="A18" s="65" t="s">
        <v>23</v>
      </c>
      <c r="B18" s="65"/>
    </row>
    <row r="19" spans="1:2" x14ac:dyDescent="0.35">
      <c r="A19" s="11">
        <v>1</v>
      </c>
    </row>
    <row r="20" spans="1:2" x14ac:dyDescent="0.35">
      <c r="A20" s="11">
        <v>2</v>
      </c>
    </row>
  </sheetData>
  <mergeCells count="2">
    <mergeCell ref="A1:B1"/>
    <mergeCell ref="A18:B18"/>
  </mergeCells>
  <phoneticPr fontId="8"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
  <sheetViews>
    <sheetView workbookViewId="0">
      <selection activeCell="A2" sqref="A2"/>
    </sheetView>
  </sheetViews>
  <sheetFormatPr defaultRowHeight="14.5" x14ac:dyDescent="0.35"/>
  <sheetData>
    <row r="1" spans="1:1" x14ac:dyDescent="0.35">
      <c r="A1" t="s">
        <v>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1EE5E-5783-4997-BFBC-233576CBB564}">
  <sheetPr>
    <tabColor rgb="FF00B050"/>
  </sheetPr>
  <dimension ref="A1:AL16395"/>
  <sheetViews>
    <sheetView tabSelected="1" topLeftCell="AC19" zoomScale="85" zoomScaleNormal="85" workbookViewId="0">
      <selection activeCell="AI29" sqref="AI29:AL30"/>
    </sheetView>
  </sheetViews>
  <sheetFormatPr defaultRowHeight="14.5" x14ac:dyDescent="0.35"/>
  <cols>
    <col min="1" max="1" width="28.1796875" customWidth="1"/>
    <col min="2" max="2" width="22.1796875" bestFit="1" customWidth="1"/>
    <col min="3" max="3" width="24.81640625" bestFit="1" customWidth="1"/>
    <col min="5" max="5" width="10.81640625" bestFit="1" customWidth="1"/>
    <col min="6" max="6" width="64.54296875" bestFit="1" customWidth="1"/>
    <col min="8" max="8" width="19.1796875" bestFit="1" customWidth="1"/>
    <col min="9" max="9" width="28.453125" bestFit="1" customWidth="1"/>
    <col min="10" max="10" width="10.1796875" customWidth="1"/>
    <col min="11" max="11" width="21" customWidth="1"/>
    <col min="12" max="12" width="28.453125" customWidth="1"/>
    <col min="14" max="14" width="14.453125" bestFit="1" customWidth="1"/>
    <col min="15" max="15" width="31.81640625" bestFit="1" customWidth="1"/>
    <col min="17" max="17" width="13.81640625" bestFit="1" customWidth="1"/>
    <col min="18" max="18" width="35.453125" bestFit="1" customWidth="1"/>
    <col min="20" max="20" width="14.1796875" bestFit="1" customWidth="1"/>
    <col min="21" max="21" width="36" bestFit="1" customWidth="1"/>
    <col min="22" max="22" width="9.453125" customWidth="1"/>
    <col min="23" max="23" width="10.1796875" bestFit="1" customWidth="1"/>
    <col min="24" max="24" width="61.7265625" bestFit="1" customWidth="1"/>
    <col min="25" max="25" width="11.1796875" customWidth="1"/>
    <col min="26" max="26" width="13.81640625" bestFit="1" customWidth="1"/>
    <col min="27" max="27" width="22.81640625" customWidth="1"/>
    <col min="28" max="28" width="8.1796875" customWidth="1"/>
    <col min="29" max="29" width="21.54296875" bestFit="1" customWidth="1"/>
    <col min="30" max="30" width="32.453125" bestFit="1" customWidth="1"/>
    <col min="31" max="31" width="8" customWidth="1"/>
    <col min="32" max="32" width="13.453125" bestFit="1" customWidth="1"/>
    <col min="33" max="33" width="26.453125" bestFit="1" customWidth="1"/>
    <col min="34" max="34" width="8.54296875" customWidth="1"/>
    <col min="35" max="35" width="9.81640625" style="42" bestFit="1" customWidth="1"/>
    <col min="36" max="36" width="6.26953125" style="42" bestFit="1" customWidth="1"/>
    <col min="37" max="37" width="62.7265625" style="42" customWidth="1"/>
    <col min="38" max="38" width="8.453125" style="42" bestFit="1" customWidth="1"/>
  </cols>
  <sheetData>
    <row r="1" spans="1:38" s="49" customFormat="1" x14ac:dyDescent="0.35">
      <c r="A1" s="43" t="s">
        <v>25</v>
      </c>
      <c r="B1" s="43" t="s">
        <v>26</v>
      </c>
      <c r="C1" s="43" t="s">
        <v>27</v>
      </c>
      <c r="D1" s="44"/>
      <c r="E1" s="43" t="s">
        <v>28</v>
      </c>
      <c r="F1" s="43" t="s">
        <v>29</v>
      </c>
      <c r="G1" s="44"/>
      <c r="H1" s="43" t="s">
        <v>30</v>
      </c>
      <c r="I1" s="43" t="s">
        <v>31</v>
      </c>
      <c r="J1" s="45"/>
      <c r="K1" s="43" t="s">
        <v>32</v>
      </c>
      <c r="L1" s="43" t="s">
        <v>33</v>
      </c>
      <c r="M1" s="44"/>
      <c r="N1" s="43" t="s">
        <v>34</v>
      </c>
      <c r="O1" s="43" t="s">
        <v>35</v>
      </c>
      <c r="P1" s="44"/>
      <c r="Q1" s="46" t="s">
        <v>36</v>
      </c>
      <c r="R1" s="46" t="s">
        <v>37</v>
      </c>
      <c r="S1" s="44"/>
      <c r="T1" s="43" t="s">
        <v>38</v>
      </c>
      <c r="U1" s="43" t="s">
        <v>39</v>
      </c>
      <c r="V1" s="45"/>
      <c r="W1" s="43" t="s">
        <v>40</v>
      </c>
      <c r="X1" s="43" t="s">
        <v>29</v>
      </c>
      <c r="Y1" s="45"/>
      <c r="Z1" s="43" t="s">
        <v>41</v>
      </c>
      <c r="AA1" s="43" t="s">
        <v>42</v>
      </c>
      <c r="AB1" s="45"/>
      <c r="AC1" s="43" t="s">
        <v>43</v>
      </c>
      <c r="AD1" s="43" t="s">
        <v>44</v>
      </c>
      <c r="AE1" s="45"/>
      <c r="AF1" s="43" t="s">
        <v>45</v>
      </c>
      <c r="AG1" s="43" t="s">
        <v>46</v>
      </c>
      <c r="AH1" s="45"/>
      <c r="AI1" s="47" t="s">
        <v>47</v>
      </c>
      <c r="AJ1" s="47" t="s">
        <v>48</v>
      </c>
      <c r="AK1" s="47" t="s">
        <v>49</v>
      </c>
      <c r="AL1" s="48" t="s">
        <v>50</v>
      </c>
    </row>
    <row r="2" spans="1:38" x14ac:dyDescent="0.35">
      <c r="A2" s="18" t="s">
        <v>51</v>
      </c>
      <c r="B2" s="18" t="s">
        <v>52</v>
      </c>
      <c r="C2" s="18" t="s">
        <v>53</v>
      </c>
      <c r="D2" s="2"/>
      <c r="E2" s="3" t="s">
        <v>54</v>
      </c>
      <c r="F2" s="3" t="s">
        <v>55</v>
      </c>
      <c r="G2" s="2"/>
      <c r="H2" s="3" t="s">
        <v>56</v>
      </c>
      <c r="I2" s="3" t="s">
        <v>57</v>
      </c>
      <c r="J2" s="2"/>
      <c r="K2" s="4">
        <v>131236</v>
      </c>
      <c r="L2" s="3" t="s">
        <v>58</v>
      </c>
      <c r="M2" s="2"/>
      <c r="N2" s="3" t="s">
        <v>59</v>
      </c>
      <c r="O2" s="3" t="s">
        <v>60</v>
      </c>
      <c r="P2" s="2"/>
      <c r="Q2" s="4" t="s">
        <v>61</v>
      </c>
      <c r="R2" s="4" t="s">
        <v>62</v>
      </c>
      <c r="S2" s="2"/>
      <c r="T2" s="3" t="s">
        <v>63</v>
      </c>
      <c r="U2" s="3" t="s">
        <v>64</v>
      </c>
      <c r="V2" s="2"/>
      <c r="W2" s="3" t="s">
        <v>65</v>
      </c>
      <c r="X2" s="3" t="s">
        <v>66</v>
      </c>
      <c r="Y2" s="2"/>
      <c r="Z2" s="3" t="s">
        <v>67</v>
      </c>
      <c r="AA2" s="3" t="s">
        <v>67</v>
      </c>
      <c r="AB2" s="2"/>
      <c r="AC2" s="3" t="s">
        <v>68</v>
      </c>
      <c r="AD2" s="3" t="s">
        <v>69</v>
      </c>
      <c r="AE2" s="2"/>
      <c r="AF2" s="3" t="s">
        <v>70</v>
      </c>
      <c r="AG2" s="3" t="s">
        <v>71</v>
      </c>
      <c r="AH2" s="2"/>
      <c r="AI2" s="5" t="s">
        <v>72</v>
      </c>
      <c r="AJ2" s="5" t="s">
        <v>63</v>
      </c>
      <c r="AK2" s="41" t="s">
        <v>73</v>
      </c>
      <c r="AL2" s="41" t="s">
        <v>74</v>
      </c>
    </row>
    <row r="3" spans="1:38" x14ac:dyDescent="0.35">
      <c r="A3" s="18" t="s">
        <v>75</v>
      </c>
      <c r="B3" s="18" t="s">
        <v>76</v>
      </c>
      <c r="C3" s="18" t="s">
        <v>53</v>
      </c>
      <c r="D3" s="2"/>
      <c r="E3" s="3" t="s">
        <v>77</v>
      </c>
      <c r="F3" s="3" t="s">
        <v>78</v>
      </c>
      <c r="G3" s="2"/>
      <c r="H3" s="3" t="s">
        <v>79</v>
      </c>
      <c r="I3" s="3" t="s">
        <v>80</v>
      </c>
      <c r="J3" s="2"/>
      <c r="K3" s="3"/>
      <c r="L3" s="3"/>
      <c r="M3" s="2"/>
      <c r="N3" s="3" t="s">
        <v>81</v>
      </c>
      <c r="O3" s="3" t="s">
        <v>82</v>
      </c>
      <c r="P3" s="2"/>
      <c r="Q3" s="4" t="s">
        <v>83</v>
      </c>
      <c r="R3" s="4" t="s">
        <v>84</v>
      </c>
      <c r="S3" s="2"/>
      <c r="T3" s="3" t="s">
        <v>85</v>
      </c>
      <c r="U3" s="3" t="s">
        <v>86</v>
      </c>
      <c r="V3" s="2"/>
      <c r="W3" s="3" t="s">
        <v>87</v>
      </c>
      <c r="X3" s="3" t="s">
        <v>88</v>
      </c>
      <c r="Y3" s="2"/>
      <c r="Z3" s="3" t="s">
        <v>89</v>
      </c>
      <c r="AA3" s="3" t="s">
        <v>89</v>
      </c>
      <c r="AB3" s="2"/>
      <c r="AC3" s="3" t="s">
        <v>90</v>
      </c>
      <c r="AD3" s="3" t="s">
        <v>91</v>
      </c>
      <c r="AE3" s="2"/>
      <c r="AF3" s="3" t="s">
        <v>92</v>
      </c>
      <c r="AG3" s="3" t="s">
        <v>93</v>
      </c>
      <c r="AH3" s="2"/>
      <c r="AI3" s="5" t="s">
        <v>94</v>
      </c>
      <c r="AJ3" s="5" t="s">
        <v>63</v>
      </c>
      <c r="AK3" s="41" t="s">
        <v>95</v>
      </c>
      <c r="AL3" s="41" t="s">
        <v>96</v>
      </c>
    </row>
    <row r="4" spans="1:38" x14ac:dyDescent="0.35">
      <c r="A4" s="18" t="s">
        <v>97</v>
      </c>
      <c r="B4" s="18" t="s">
        <v>98</v>
      </c>
      <c r="C4" s="18" t="s">
        <v>53</v>
      </c>
      <c r="D4" s="2"/>
      <c r="E4" s="3" t="s">
        <v>99</v>
      </c>
      <c r="F4" s="3" t="s">
        <v>100</v>
      </c>
      <c r="G4" s="2"/>
      <c r="H4" s="3" t="s">
        <v>101</v>
      </c>
      <c r="I4" s="3" t="s">
        <v>102</v>
      </c>
      <c r="J4" s="2"/>
      <c r="K4" s="2"/>
      <c r="L4" s="2"/>
      <c r="M4" s="2"/>
      <c r="N4" s="3" t="s">
        <v>103</v>
      </c>
      <c r="O4" s="3" t="s">
        <v>104</v>
      </c>
      <c r="P4" s="2"/>
      <c r="Q4" s="4" t="s">
        <v>105</v>
      </c>
      <c r="R4" s="4" t="s">
        <v>106</v>
      </c>
      <c r="S4" s="2"/>
      <c r="T4" s="3" t="s">
        <v>107</v>
      </c>
      <c r="U4" s="3" t="s">
        <v>108</v>
      </c>
      <c r="V4" s="2"/>
      <c r="W4" s="3" t="s">
        <v>109</v>
      </c>
      <c r="X4" s="3" t="s">
        <v>110</v>
      </c>
      <c r="Y4" s="2"/>
      <c r="Z4" s="3" t="s">
        <v>111</v>
      </c>
      <c r="AA4" s="3" t="s">
        <v>111</v>
      </c>
      <c r="AB4" s="2"/>
      <c r="AC4" s="3" t="s">
        <v>112</v>
      </c>
      <c r="AD4" s="3" t="s">
        <v>113</v>
      </c>
      <c r="AE4" s="2"/>
      <c r="AF4" s="3" t="s">
        <v>114</v>
      </c>
      <c r="AG4" s="3" t="s">
        <v>115</v>
      </c>
      <c r="AH4" s="2"/>
      <c r="AI4" s="5" t="s">
        <v>116</v>
      </c>
      <c r="AJ4" s="5" t="s">
        <v>63</v>
      </c>
      <c r="AK4" s="41" t="s">
        <v>117</v>
      </c>
      <c r="AL4" s="41" t="s">
        <v>96</v>
      </c>
    </row>
    <row r="5" spans="1:38" x14ac:dyDescent="0.35">
      <c r="A5" s="18" t="s">
        <v>118</v>
      </c>
      <c r="B5" s="18" t="s">
        <v>119</v>
      </c>
      <c r="C5" s="18" t="s">
        <v>53</v>
      </c>
      <c r="D5" s="2"/>
      <c r="E5" s="3" t="s">
        <v>120</v>
      </c>
      <c r="F5" s="3" t="s">
        <v>121</v>
      </c>
      <c r="G5" s="2"/>
      <c r="H5" s="3" t="s">
        <v>122</v>
      </c>
      <c r="I5" s="3" t="s">
        <v>123</v>
      </c>
      <c r="J5" s="2"/>
      <c r="K5" s="2"/>
      <c r="L5" s="2"/>
      <c r="M5" s="2"/>
      <c r="N5" s="3" t="s">
        <v>124</v>
      </c>
      <c r="O5" s="3" t="s">
        <v>125</v>
      </c>
      <c r="P5" s="2"/>
      <c r="Q5" s="4" t="s">
        <v>126</v>
      </c>
      <c r="R5" s="4" t="s">
        <v>127</v>
      </c>
      <c r="S5" s="2"/>
      <c r="T5" s="3" t="s">
        <v>128</v>
      </c>
      <c r="U5" s="3" t="s">
        <v>129</v>
      </c>
      <c r="V5" s="2"/>
      <c r="W5" s="3" t="s">
        <v>130</v>
      </c>
      <c r="X5" s="3" t="s">
        <v>131</v>
      </c>
      <c r="Y5" s="2"/>
      <c r="Z5" s="3" t="s">
        <v>132</v>
      </c>
      <c r="AA5" s="3" t="s">
        <v>132</v>
      </c>
      <c r="AB5" s="2"/>
      <c r="AC5" s="3" t="s">
        <v>133</v>
      </c>
      <c r="AD5" s="3" t="s">
        <v>134</v>
      </c>
      <c r="AE5" s="2"/>
      <c r="AF5" s="3" t="s">
        <v>135</v>
      </c>
      <c r="AG5" s="3" t="s">
        <v>136</v>
      </c>
      <c r="AH5" s="2"/>
      <c r="AI5" s="5" t="s">
        <v>137</v>
      </c>
      <c r="AJ5" s="5" t="s">
        <v>63</v>
      </c>
      <c r="AK5" s="41" t="s">
        <v>138</v>
      </c>
      <c r="AL5" s="41" t="s">
        <v>74</v>
      </c>
    </row>
    <row r="6" spans="1:38" x14ac:dyDescent="0.35">
      <c r="A6" s="18" t="s">
        <v>139</v>
      </c>
      <c r="B6" s="19">
        <v>46096</v>
      </c>
      <c r="C6" s="20" t="s">
        <v>140</v>
      </c>
      <c r="D6" s="2"/>
      <c r="E6" s="3" t="s">
        <v>141</v>
      </c>
      <c r="F6" s="3" t="s">
        <v>142</v>
      </c>
      <c r="G6" s="2"/>
      <c r="H6" s="3" t="s">
        <v>143</v>
      </c>
      <c r="I6" s="3" t="s">
        <v>144</v>
      </c>
      <c r="J6" s="2"/>
      <c r="K6" s="2"/>
      <c r="L6" s="2"/>
      <c r="M6" s="2"/>
      <c r="N6" s="3" t="s">
        <v>145</v>
      </c>
      <c r="O6" s="3" t="s">
        <v>146</v>
      </c>
      <c r="P6" s="2"/>
      <c r="Q6" s="4" t="s">
        <v>147</v>
      </c>
      <c r="R6" s="4" t="s">
        <v>148</v>
      </c>
      <c r="S6" s="2"/>
      <c r="T6" s="3" t="s">
        <v>149</v>
      </c>
      <c r="U6" s="3" t="s">
        <v>150</v>
      </c>
      <c r="V6" s="2"/>
      <c r="W6" s="3" t="s">
        <v>151</v>
      </c>
      <c r="X6" s="3" t="s">
        <v>152</v>
      </c>
      <c r="Y6" s="2"/>
      <c r="Z6" s="3" t="s">
        <v>153</v>
      </c>
      <c r="AA6" s="3" t="s">
        <v>153</v>
      </c>
      <c r="AB6" s="2"/>
      <c r="AC6" s="3"/>
      <c r="AD6" s="3"/>
      <c r="AE6" s="2"/>
      <c r="AF6" s="3"/>
      <c r="AG6" s="3"/>
      <c r="AH6" s="2"/>
      <c r="AI6" s="5" t="s">
        <v>154</v>
      </c>
      <c r="AJ6" s="5" t="s">
        <v>63</v>
      </c>
      <c r="AK6" s="41" t="s">
        <v>155</v>
      </c>
      <c r="AL6" s="41" t="s">
        <v>74</v>
      </c>
    </row>
    <row r="7" spans="1:38" x14ac:dyDescent="0.35">
      <c r="A7" s="18" t="s">
        <v>156</v>
      </c>
      <c r="B7" s="20">
        <v>1</v>
      </c>
      <c r="C7" s="20" t="s">
        <v>157</v>
      </c>
      <c r="D7" s="2"/>
      <c r="E7" s="3" t="s">
        <v>158</v>
      </c>
      <c r="F7" s="3" t="s">
        <v>159</v>
      </c>
      <c r="G7" s="2"/>
      <c r="H7" s="3" t="s">
        <v>160</v>
      </c>
      <c r="I7" s="3" t="s">
        <v>161</v>
      </c>
      <c r="J7" s="2"/>
      <c r="K7" s="2"/>
      <c r="L7" s="2"/>
      <c r="M7" s="2"/>
      <c r="N7" s="3" t="s">
        <v>162</v>
      </c>
      <c r="O7" s="3" t="s">
        <v>163</v>
      </c>
      <c r="P7" s="2"/>
      <c r="Q7" s="4" t="s">
        <v>164</v>
      </c>
      <c r="R7" s="6" t="s">
        <v>165</v>
      </c>
      <c r="S7" s="2"/>
      <c r="T7" s="3" t="s">
        <v>166</v>
      </c>
      <c r="U7" s="3" t="s">
        <v>167</v>
      </c>
      <c r="V7" s="2"/>
      <c r="W7" s="3" t="s">
        <v>168</v>
      </c>
      <c r="X7" s="3" t="s">
        <v>169</v>
      </c>
      <c r="Y7" s="2"/>
      <c r="Z7" s="3" t="s">
        <v>170</v>
      </c>
      <c r="AA7" s="3" t="s">
        <v>170</v>
      </c>
      <c r="AB7" s="2"/>
      <c r="AC7" s="2"/>
      <c r="AD7" s="2"/>
      <c r="AE7" s="2"/>
      <c r="AF7" s="2"/>
      <c r="AG7" s="2"/>
      <c r="AH7" s="2"/>
      <c r="AI7" s="5" t="s">
        <v>171</v>
      </c>
      <c r="AJ7" s="5" t="s">
        <v>63</v>
      </c>
      <c r="AK7" s="41" t="s">
        <v>172</v>
      </c>
      <c r="AL7" s="41" t="s">
        <v>74</v>
      </c>
    </row>
    <row r="8" spans="1:38" x14ac:dyDescent="0.35">
      <c r="A8" s="18" t="s">
        <v>173</v>
      </c>
      <c r="B8" s="20">
        <v>4000</v>
      </c>
      <c r="C8" s="20" t="s">
        <v>157</v>
      </c>
      <c r="D8" s="2"/>
      <c r="E8" s="3" t="s">
        <v>174</v>
      </c>
      <c r="F8" s="3" t="s">
        <v>175</v>
      </c>
      <c r="G8" s="2"/>
      <c r="H8" s="3" t="s">
        <v>176</v>
      </c>
      <c r="I8" s="3" t="s">
        <v>177</v>
      </c>
      <c r="J8" s="2"/>
      <c r="K8" s="2"/>
      <c r="L8" s="2"/>
      <c r="M8" s="2"/>
      <c r="N8" s="3"/>
      <c r="O8" s="3"/>
      <c r="P8" s="9"/>
      <c r="Q8" s="3" t="s">
        <v>178</v>
      </c>
      <c r="R8" s="4" t="s">
        <v>179</v>
      </c>
      <c r="S8" s="2"/>
      <c r="T8" s="3" t="s">
        <v>180</v>
      </c>
      <c r="U8" s="3" t="s">
        <v>181</v>
      </c>
      <c r="V8" s="2"/>
      <c r="W8" s="3" t="s">
        <v>182</v>
      </c>
      <c r="X8" s="3" t="s">
        <v>183</v>
      </c>
      <c r="Y8" s="2"/>
      <c r="Z8" s="3"/>
      <c r="AA8" s="3"/>
      <c r="AB8" s="2"/>
      <c r="AC8" s="2"/>
      <c r="AD8" s="2"/>
      <c r="AE8" s="2"/>
      <c r="AF8" s="2"/>
      <c r="AG8" s="2"/>
      <c r="AH8" s="2"/>
      <c r="AI8" s="5" t="s">
        <v>184</v>
      </c>
      <c r="AJ8" s="5" t="s">
        <v>63</v>
      </c>
      <c r="AK8" s="41" t="s">
        <v>185</v>
      </c>
      <c r="AL8" s="41" t="s">
        <v>74</v>
      </c>
    </row>
    <row r="9" spans="1:38" ht="29" x14ac:dyDescent="0.35">
      <c r="A9" t="s">
        <v>186</v>
      </c>
      <c r="B9" s="20">
        <v>20</v>
      </c>
      <c r="C9" s="20" t="s">
        <v>157</v>
      </c>
      <c r="D9" s="2"/>
      <c r="E9" s="3" t="s">
        <v>187</v>
      </c>
      <c r="F9" s="3" t="s">
        <v>188</v>
      </c>
      <c r="G9" s="2"/>
      <c r="H9" s="3" t="s">
        <v>189</v>
      </c>
      <c r="I9" s="3" t="s">
        <v>190</v>
      </c>
      <c r="J9" s="2"/>
      <c r="K9" s="2"/>
      <c r="L9" s="2"/>
      <c r="M9" s="2"/>
      <c r="N9" s="2"/>
      <c r="O9" s="2"/>
      <c r="P9" s="2"/>
      <c r="Q9" s="3" t="s">
        <v>191</v>
      </c>
      <c r="R9" s="4" t="s">
        <v>192</v>
      </c>
      <c r="S9" s="2"/>
      <c r="T9" s="3" t="s">
        <v>193</v>
      </c>
      <c r="U9" s="3" t="s">
        <v>194</v>
      </c>
      <c r="V9" s="2"/>
      <c r="W9" s="3" t="s">
        <v>195</v>
      </c>
      <c r="X9" s="3" t="s">
        <v>196</v>
      </c>
      <c r="Y9" s="2"/>
      <c r="Z9" s="2"/>
      <c r="AA9" s="2"/>
      <c r="AB9" s="2"/>
      <c r="AC9" s="2"/>
      <c r="AD9" s="2"/>
      <c r="AE9" s="2"/>
      <c r="AF9" s="2"/>
      <c r="AG9" s="2"/>
      <c r="AH9" s="2"/>
      <c r="AI9" s="5" t="s">
        <v>197</v>
      </c>
      <c r="AJ9" s="5" t="s">
        <v>63</v>
      </c>
      <c r="AK9" s="41" t="s">
        <v>198</v>
      </c>
      <c r="AL9" s="41" t="s">
        <v>96</v>
      </c>
    </row>
    <row r="10" spans="1:38" x14ac:dyDescent="0.35">
      <c r="A10" s="18" t="s">
        <v>199</v>
      </c>
      <c r="B10" s="20">
        <v>14</v>
      </c>
      <c r="C10" s="20" t="s">
        <v>157</v>
      </c>
      <c r="D10" s="2"/>
      <c r="E10" s="3" t="s">
        <v>200</v>
      </c>
      <c r="F10" s="3" t="s">
        <v>201</v>
      </c>
      <c r="G10" s="2"/>
      <c r="H10" s="3" t="s">
        <v>202</v>
      </c>
      <c r="I10" s="3" t="s">
        <v>203</v>
      </c>
      <c r="J10" s="2"/>
      <c r="K10" s="2"/>
      <c r="L10" s="2"/>
      <c r="M10" s="2"/>
      <c r="N10" s="2"/>
      <c r="O10" s="2"/>
      <c r="P10" s="2"/>
      <c r="Q10" s="3" t="s">
        <v>204</v>
      </c>
      <c r="R10" s="4" t="s">
        <v>205</v>
      </c>
      <c r="S10" s="2"/>
      <c r="T10" s="3" t="s">
        <v>206</v>
      </c>
      <c r="U10" s="3" t="s">
        <v>207</v>
      </c>
      <c r="V10" s="2"/>
      <c r="W10" s="3" t="s">
        <v>208</v>
      </c>
      <c r="X10" s="3" t="s">
        <v>209</v>
      </c>
      <c r="Y10" s="2"/>
      <c r="Z10" s="2"/>
      <c r="AA10" s="2"/>
      <c r="AB10" s="2"/>
      <c r="AC10" s="2"/>
      <c r="AD10" s="2"/>
      <c r="AE10" s="2"/>
      <c r="AF10" s="2"/>
      <c r="AG10" s="2"/>
      <c r="AH10" s="2"/>
      <c r="AI10" s="5" t="s">
        <v>210</v>
      </c>
      <c r="AJ10" s="5" t="s">
        <v>63</v>
      </c>
      <c r="AK10" s="41" t="s">
        <v>211</v>
      </c>
      <c r="AL10" s="41" t="s">
        <v>74</v>
      </c>
    </row>
    <row r="11" spans="1:38" ht="29" x14ac:dyDescent="0.35">
      <c r="A11" s="18" t="s">
        <v>212</v>
      </c>
      <c r="B11" s="20">
        <v>14</v>
      </c>
      <c r="C11" s="20" t="s">
        <v>157</v>
      </c>
      <c r="D11" s="2"/>
      <c r="E11" s="3" t="s">
        <v>213</v>
      </c>
      <c r="F11" s="3" t="s">
        <v>214</v>
      </c>
      <c r="G11" s="2"/>
      <c r="H11" s="3" t="s">
        <v>215</v>
      </c>
      <c r="I11" s="3" t="s">
        <v>216</v>
      </c>
      <c r="J11" s="2"/>
      <c r="K11" s="2"/>
      <c r="L11" s="2"/>
      <c r="M11" s="2"/>
      <c r="N11" s="2"/>
      <c r="O11" s="2"/>
      <c r="P11" s="2"/>
      <c r="Q11" s="3" t="s">
        <v>217</v>
      </c>
      <c r="R11" s="4" t="s">
        <v>218</v>
      </c>
      <c r="S11" s="2"/>
      <c r="T11" s="3" t="s">
        <v>219</v>
      </c>
      <c r="U11" s="3" t="s">
        <v>144</v>
      </c>
      <c r="V11" s="2"/>
      <c r="W11" s="3" t="s">
        <v>220</v>
      </c>
      <c r="X11" s="3" t="s">
        <v>221</v>
      </c>
      <c r="Y11" s="2"/>
      <c r="Z11" s="2"/>
      <c r="AA11" s="2"/>
      <c r="AB11" s="2"/>
      <c r="AC11" s="2"/>
      <c r="AD11" s="2"/>
      <c r="AE11" s="2"/>
      <c r="AF11" s="2"/>
      <c r="AG11" s="2"/>
      <c r="AH11" s="2"/>
      <c r="AI11" s="5" t="s">
        <v>222</v>
      </c>
      <c r="AJ11" s="5" t="s">
        <v>63</v>
      </c>
      <c r="AK11" s="41" t="s">
        <v>223</v>
      </c>
      <c r="AL11" s="41" t="s">
        <v>224</v>
      </c>
    </row>
    <row r="12" spans="1:38" ht="29" x14ac:dyDescent="0.35">
      <c r="A12" s="18" t="s">
        <v>225</v>
      </c>
      <c r="B12" s="20" t="s">
        <v>226</v>
      </c>
      <c r="C12" s="20" t="s">
        <v>157</v>
      </c>
      <c r="D12" s="2"/>
      <c r="E12" s="3" t="s">
        <v>227</v>
      </c>
      <c r="F12" s="3" t="s">
        <v>228</v>
      </c>
      <c r="G12" s="2"/>
      <c r="H12" s="3" t="s">
        <v>229</v>
      </c>
      <c r="I12" s="3" t="s">
        <v>230</v>
      </c>
      <c r="J12" s="2"/>
      <c r="K12" s="2"/>
      <c r="L12" s="2"/>
      <c r="M12" s="2"/>
      <c r="N12" s="2"/>
      <c r="O12" s="2"/>
      <c r="P12" s="2"/>
      <c r="Q12" s="3" t="s">
        <v>231</v>
      </c>
      <c r="R12" s="4" t="s">
        <v>232</v>
      </c>
      <c r="S12" s="2"/>
      <c r="T12" s="3" t="s">
        <v>233</v>
      </c>
      <c r="U12" s="3" t="s">
        <v>234</v>
      </c>
      <c r="V12" s="2"/>
      <c r="W12" s="3"/>
      <c r="X12" s="3"/>
      <c r="Y12" s="2"/>
      <c r="Z12" s="2"/>
      <c r="AA12" s="2"/>
      <c r="AB12" s="2"/>
      <c r="AC12" s="2"/>
      <c r="AD12" s="2"/>
      <c r="AE12" s="2"/>
      <c r="AF12" s="2"/>
      <c r="AG12" s="2"/>
      <c r="AH12" s="2"/>
      <c r="AI12" s="5" t="s">
        <v>235</v>
      </c>
      <c r="AJ12" s="5" t="s">
        <v>63</v>
      </c>
      <c r="AK12" s="41" t="s">
        <v>236</v>
      </c>
      <c r="AL12" s="41" t="s">
        <v>74</v>
      </c>
    </row>
    <row r="13" spans="1:38" x14ac:dyDescent="0.35">
      <c r="A13" s="18" t="s">
        <v>237</v>
      </c>
      <c r="B13" s="20" t="s">
        <v>238</v>
      </c>
      <c r="C13" s="20" t="s">
        <v>53</v>
      </c>
      <c r="D13" s="2"/>
      <c r="E13" s="3" t="s">
        <v>239</v>
      </c>
      <c r="F13" s="3" t="s">
        <v>240</v>
      </c>
      <c r="G13" s="2"/>
      <c r="H13" s="3" t="s">
        <v>241</v>
      </c>
      <c r="I13" s="3" t="s">
        <v>242</v>
      </c>
      <c r="J13" s="2"/>
      <c r="K13" s="2"/>
      <c r="L13" s="2"/>
      <c r="M13" s="2"/>
      <c r="N13" s="2"/>
      <c r="O13" s="2"/>
      <c r="P13" s="2"/>
      <c r="Q13" s="3" t="s">
        <v>243</v>
      </c>
      <c r="R13" s="4" t="s">
        <v>244</v>
      </c>
      <c r="S13" s="2"/>
      <c r="T13" s="3" t="s">
        <v>245</v>
      </c>
      <c r="U13" s="3" t="s">
        <v>246</v>
      </c>
      <c r="V13" s="2"/>
      <c r="W13" s="2"/>
      <c r="X13" s="2"/>
      <c r="Y13" s="2"/>
      <c r="Z13" s="2"/>
      <c r="AA13" s="2"/>
      <c r="AB13" s="2"/>
      <c r="AC13" s="2"/>
      <c r="AD13" s="2"/>
      <c r="AE13" s="2"/>
      <c r="AF13" s="2"/>
      <c r="AG13" s="2"/>
      <c r="AH13" s="2"/>
      <c r="AI13" s="5" t="s">
        <v>247</v>
      </c>
      <c r="AJ13" s="5" t="s">
        <v>63</v>
      </c>
      <c r="AK13" s="41" t="s">
        <v>248</v>
      </c>
      <c r="AL13" s="41" t="s">
        <v>74</v>
      </c>
    </row>
    <row r="14" spans="1:38" ht="43.5" x14ac:dyDescent="0.35">
      <c r="A14" s="18" t="s">
        <v>30</v>
      </c>
      <c r="B14" s="20" t="s">
        <v>249</v>
      </c>
      <c r="C14" s="20" t="s">
        <v>53</v>
      </c>
      <c r="D14" s="2"/>
      <c r="E14" s="3" t="s">
        <v>250</v>
      </c>
      <c r="F14" s="3" t="s">
        <v>251</v>
      </c>
      <c r="G14" s="2"/>
      <c r="H14" s="3" t="s">
        <v>252</v>
      </c>
      <c r="I14" s="3" t="s">
        <v>253</v>
      </c>
      <c r="J14" s="2"/>
      <c r="K14" s="2"/>
      <c r="L14" s="2"/>
      <c r="M14" s="2"/>
      <c r="N14" s="2"/>
      <c r="O14" s="2"/>
      <c r="P14" s="2"/>
      <c r="Q14" s="3" t="s">
        <v>254</v>
      </c>
      <c r="R14" s="4" t="s">
        <v>255</v>
      </c>
      <c r="S14" s="2"/>
      <c r="T14" s="3" t="s">
        <v>256</v>
      </c>
      <c r="U14" s="3" t="s">
        <v>257</v>
      </c>
      <c r="V14" s="2"/>
      <c r="W14" s="2"/>
      <c r="X14" s="2"/>
      <c r="Y14" s="2"/>
      <c r="Z14" s="2"/>
      <c r="AA14" s="2"/>
      <c r="AB14" s="2"/>
      <c r="AC14" s="2"/>
      <c r="AD14" s="2"/>
      <c r="AE14" s="2"/>
      <c r="AF14" s="2"/>
      <c r="AG14" s="2"/>
      <c r="AH14" s="2"/>
      <c r="AI14" s="5" t="s">
        <v>258</v>
      </c>
      <c r="AJ14" s="5" t="s">
        <v>63</v>
      </c>
      <c r="AK14" s="41" t="s">
        <v>259</v>
      </c>
      <c r="AL14" s="41" t="s">
        <v>74</v>
      </c>
    </row>
    <row r="15" spans="1:38" ht="58" x14ac:dyDescent="0.35">
      <c r="A15" s="18" t="s">
        <v>260</v>
      </c>
      <c r="B15" s="20" t="s">
        <v>261</v>
      </c>
      <c r="C15" s="20" t="s">
        <v>53</v>
      </c>
      <c r="D15" s="2"/>
      <c r="E15" s="3" t="s">
        <v>262</v>
      </c>
      <c r="F15" s="3" t="s">
        <v>263</v>
      </c>
      <c r="G15" s="2"/>
      <c r="H15" s="3" t="s">
        <v>257</v>
      </c>
      <c r="I15" s="3" t="s">
        <v>264</v>
      </c>
      <c r="J15" s="2"/>
      <c r="K15" s="2"/>
      <c r="L15" s="2"/>
      <c r="M15" s="2"/>
      <c r="N15" s="2"/>
      <c r="O15" s="2"/>
      <c r="P15" s="2"/>
      <c r="Q15" s="3" t="s">
        <v>265</v>
      </c>
      <c r="R15" s="4" t="s">
        <v>266</v>
      </c>
      <c r="S15" s="2"/>
      <c r="T15" s="3" t="s">
        <v>215</v>
      </c>
      <c r="U15" s="3" t="s">
        <v>267</v>
      </c>
      <c r="V15" s="2"/>
      <c r="W15" s="2"/>
      <c r="X15" s="2"/>
      <c r="Y15" s="2"/>
      <c r="Z15" s="2"/>
      <c r="AA15" s="2"/>
      <c r="AB15" s="2"/>
      <c r="AC15" s="2"/>
      <c r="AD15" s="2"/>
      <c r="AE15" s="2"/>
      <c r="AF15" s="2"/>
      <c r="AG15" s="2"/>
      <c r="AH15" s="2"/>
      <c r="AI15" s="5" t="s">
        <v>268</v>
      </c>
      <c r="AJ15" s="5" t="s">
        <v>85</v>
      </c>
      <c r="AK15" s="41" t="s">
        <v>269</v>
      </c>
      <c r="AL15" s="41" t="s">
        <v>96</v>
      </c>
    </row>
    <row r="16" spans="1:38" ht="29" x14ac:dyDescent="0.35">
      <c r="A16" s="18" t="s">
        <v>270</v>
      </c>
      <c r="B16" s="20" t="s">
        <v>271</v>
      </c>
      <c r="C16" s="20" t="s">
        <v>53</v>
      </c>
      <c r="D16" s="2"/>
      <c r="E16" s="3" t="s">
        <v>272</v>
      </c>
      <c r="F16" s="3" t="s">
        <v>273</v>
      </c>
      <c r="G16" s="2"/>
      <c r="H16" s="3" t="s">
        <v>274</v>
      </c>
      <c r="I16" s="3" t="s">
        <v>275</v>
      </c>
      <c r="J16" s="2"/>
      <c r="K16" s="2"/>
      <c r="L16" s="2"/>
      <c r="M16" s="2"/>
      <c r="N16" s="2"/>
      <c r="O16" s="2"/>
      <c r="P16" s="2"/>
      <c r="Q16" s="3" t="s">
        <v>276</v>
      </c>
      <c r="R16" s="4" t="s">
        <v>277</v>
      </c>
      <c r="S16" s="2"/>
      <c r="T16" s="3" t="s">
        <v>278</v>
      </c>
      <c r="U16" s="3" t="s">
        <v>80</v>
      </c>
      <c r="V16" s="2"/>
      <c r="W16" s="2"/>
      <c r="X16" s="2"/>
      <c r="Y16" s="2"/>
      <c r="Z16" s="2"/>
      <c r="AA16" s="2"/>
      <c r="AB16" s="2"/>
      <c r="AC16" s="2"/>
      <c r="AD16" s="2"/>
      <c r="AE16" s="2"/>
      <c r="AF16" s="2"/>
      <c r="AG16" s="2"/>
      <c r="AH16" s="2"/>
      <c r="AI16" s="5" t="s">
        <v>279</v>
      </c>
      <c r="AJ16" s="5" t="s">
        <v>85</v>
      </c>
      <c r="AK16" s="41" t="s">
        <v>280</v>
      </c>
      <c r="AL16" s="41" t="s">
        <v>74</v>
      </c>
    </row>
    <row r="17" spans="1:38" ht="43.5" x14ac:dyDescent="0.35">
      <c r="A17" s="18" t="s">
        <v>281</v>
      </c>
      <c r="B17" s="20" t="s">
        <v>282</v>
      </c>
      <c r="C17" s="20" t="s">
        <v>53</v>
      </c>
      <c r="D17" s="2"/>
      <c r="E17" s="3" t="s">
        <v>283</v>
      </c>
      <c r="F17" s="3" t="s">
        <v>284</v>
      </c>
      <c r="G17" s="2"/>
      <c r="H17" s="3" t="s">
        <v>246</v>
      </c>
      <c r="I17" s="3" t="s">
        <v>285</v>
      </c>
      <c r="J17" s="2"/>
      <c r="K17" s="2"/>
      <c r="L17" s="2"/>
      <c r="M17" s="2"/>
      <c r="N17" s="2"/>
      <c r="O17" s="2"/>
      <c r="P17" s="2"/>
      <c r="Q17" s="3" t="s">
        <v>286</v>
      </c>
      <c r="R17" s="4" t="s">
        <v>287</v>
      </c>
      <c r="S17" s="2"/>
      <c r="T17" s="3" t="s">
        <v>288</v>
      </c>
      <c r="U17" s="3" t="s">
        <v>289</v>
      </c>
      <c r="V17" s="2"/>
      <c r="W17" s="2"/>
      <c r="X17" s="2"/>
      <c r="Y17" s="2"/>
      <c r="Z17" s="2"/>
      <c r="AA17" s="2"/>
      <c r="AB17" s="2"/>
      <c r="AC17" s="2"/>
      <c r="AD17" s="2"/>
      <c r="AE17" s="2"/>
      <c r="AF17" s="2"/>
      <c r="AG17" s="2"/>
      <c r="AH17" s="2"/>
      <c r="AI17" s="5" t="s">
        <v>290</v>
      </c>
      <c r="AJ17" s="5" t="s">
        <v>107</v>
      </c>
      <c r="AK17" s="41" t="s">
        <v>291</v>
      </c>
      <c r="AL17" s="41" t="s">
        <v>96</v>
      </c>
    </row>
    <row r="18" spans="1:38" x14ac:dyDescent="0.35">
      <c r="A18" s="18" t="s">
        <v>75</v>
      </c>
      <c r="B18" s="20" t="s">
        <v>292</v>
      </c>
      <c r="C18" s="20" t="s">
        <v>53</v>
      </c>
      <c r="D18" s="2"/>
      <c r="E18" s="3" t="s">
        <v>293</v>
      </c>
      <c r="F18" s="3" t="s">
        <v>294</v>
      </c>
      <c r="G18" s="2"/>
      <c r="H18" s="3" t="s">
        <v>295</v>
      </c>
      <c r="I18" s="3" t="s">
        <v>296</v>
      </c>
      <c r="J18" s="2"/>
      <c r="K18" s="2"/>
      <c r="L18" s="2"/>
      <c r="M18" s="2"/>
      <c r="N18" s="2"/>
      <c r="O18" s="2"/>
      <c r="P18" s="2"/>
      <c r="Q18" s="3" t="s">
        <v>297</v>
      </c>
      <c r="R18" s="4" t="s">
        <v>298</v>
      </c>
      <c r="S18" s="2"/>
      <c r="T18" s="3" t="s">
        <v>299</v>
      </c>
      <c r="U18" s="3" t="s">
        <v>300</v>
      </c>
      <c r="V18" s="2"/>
      <c r="W18" s="2"/>
      <c r="X18" s="2"/>
      <c r="Y18" s="2"/>
      <c r="Z18" s="2"/>
      <c r="AA18" s="2"/>
      <c r="AB18" s="2"/>
      <c r="AC18" s="2"/>
      <c r="AD18" s="2"/>
      <c r="AE18" s="2"/>
      <c r="AF18" s="2"/>
      <c r="AG18" s="2"/>
      <c r="AH18" s="2"/>
      <c r="AI18" s="5" t="s">
        <v>301</v>
      </c>
      <c r="AJ18" s="5" t="s">
        <v>107</v>
      </c>
      <c r="AK18" s="41" t="s">
        <v>302</v>
      </c>
      <c r="AL18" s="41" t="s">
        <v>74</v>
      </c>
    </row>
    <row r="19" spans="1:38" ht="29" x14ac:dyDescent="0.35">
      <c r="A19" s="18" t="s">
        <v>303</v>
      </c>
      <c r="B19" s="20" t="s">
        <v>304</v>
      </c>
      <c r="C19" s="20" t="s">
        <v>53</v>
      </c>
      <c r="D19" s="2"/>
      <c r="E19" s="3" t="s">
        <v>305</v>
      </c>
      <c r="F19" s="3" t="s">
        <v>306</v>
      </c>
      <c r="G19" s="2"/>
      <c r="H19" s="3" t="s">
        <v>307</v>
      </c>
      <c r="I19" s="3" t="s">
        <v>308</v>
      </c>
      <c r="J19" s="2"/>
      <c r="K19" s="2"/>
      <c r="L19" s="2"/>
      <c r="M19" s="2"/>
      <c r="N19" s="2"/>
      <c r="O19" s="2"/>
      <c r="P19" s="2"/>
      <c r="Q19" s="3" t="s">
        <v>309</v>
      </c>
      <c r="R19" s="4" t="s">
        <v>310</v>
      </c>
      <c r="S19" s="2"/>
      <c r="T19" s="3" t="s">
        <v>311</v>
      </c>
      <c r="U19" s="3" t="s">
        <v>312</v>
      </c>
      <c r="V19" s="2"/>
      <c r="W19" s="2"/>
      <c r="X19" s="2"/>
      <c r="Y19" s="2"/>
      <c r="Z19" s="2"/>
      <c r="AA19" s="2"/>
      <c r="AB19" s="2"/>
      <c r="AC19" s="2"/>
      <c r="AD19" s="2"/>
      <c r="AE19" s="2"/>
      <c r="AF19" s="2"/>
      <c r="AG19" s="2"/>
      <c r="AH19" s="2"/>
      <c r="AI19" s="5" t="s">
        <v>313</v>
      </c>
      <c r="AJ19" s="5" t="s">
        <v>107</v>
      </c>
      <c r="AK19" s="41" t="s">
        <v>314</v>
      </c>
      <c r="AL19" s="41" t="s">
        <v>74</v>
      </c>
    </row>
    <row r="20" spans="1:38" ht="29" x14ac:dyDescent="0.35">
      <c r="A20" s="18" t="s">
        <v>315</v>
      </c>
      <c r="B20" s="20" t="s">
        <v>316</v>
      </c>
      <c r="C20" s="20" t="s">
        <v>53</v>
      </c>
      <c r="D20" s="2"/>
      <c r="E20" s="3" t="s">
        <v>317</v>
      </c>
      <c r="F20" s="3" t="s">
        <v>318</v>
      </c>
      <c r="G20" s="2"/>
      <c r="H20" s="3" t="s">
        <v>319</v>
      </c>
      <c r="I20" s="3" t="s">
        <v>320</v>
      </c>
      <c r="J20" s="2"/>
      <c r="K20" s="2"/>
      <c r="L20" s="2"/>
      <c r="M20" s="2"/>
      <c r="N20" s="2"/>
      <c r="O20" s="2"/>
      <c r="P20" s="2"/>
      <c r="Q20" s="3" t="s">
        <v>321</v>
      </c>
      <c r="R20" s="4" t="s">
        <v>322</v>
      </c>
      <c r="S20" s="2"/>
      <c r="T20" s="3" t="s">
        <v>323</v>
      </c>
      <c r="U20" s="3" t="s">
        <v>324</v>
      </c>
      <c r="V20" s="2"/>
      <c r="W20" s="2"/>
      <c r="X20" s="2"/>
      <c r="Y20" s="2"/>
      <c r="Z20" s="2"/>
      <c r="AA20" s="2"/>
      <c r="AB20" s="2"/>
      <c r="AC20" s="2"/>
      <c r="AD20" s="2"/>
      <c r="AE20" s="2"/>
      <c r="AF20" s="2"/>
      <c r="AG20" s="2"/>
      <c r="AH20" s="2"/>
      <c r="AI20" s="5" t="s">
        <v>325</v>
      </c>
      <c r="AJ20" s="5" t="s">
        <v>107</v>
      </c>
      <c r="AK20" s="41" t="s">
        <v>326</v>
      </c>
      <c r="AL20" s="41" t="s">
        <v>96</v>
      </c>
    </row>
    <row r="21" spans="1:38" x14ac:dyDescent="0.35">
      <c r="A21" s="18" t="s">
        <v>327</v>
      </c>
      <c r="B21" s="20" t="s">
        <v>328</v>
      </c>
      <c r="C21" s="20" t="s">
        <v>53</v>
      </c>
      <c r="D21" s="2"/>
      <c r="E21" s="3"/>
      <c r="F21" s="3"/>
      <c r="G21" s="2"/>
      <c r="H21" s="3" t="s">
        <v>150</v>
      </c>
      <c r="I21" s="3" t="s">
        <v>329</v>
      </c>
      <c r="J21" s="2"/>
      <c r="K21" s="2"/>
      <c r="L21" s="2"/>
      <c r="M21" s="2"/>
      <c r="N21" s="2"/>
      <c r="O21" s="2"/>
      <c r="P21" s="2"/>
      <c r="Q21" s="3" t="s">
        <v>330</v>
      </c>
      <c r="R21" s="4" t="s">
        <v>331</v>
      </c>
      <c r="S21" s="2"/>
      <c r="T21" s="3"/>
      <c r="U21" s="7"/>
      <c r="V21" s="10"/>
      <c r="W21" s="10"/>
      <c r="X21" s="10"/>
      <c r="Y21" s="10"/>
      <c r="Z21" s="10"/>
      <c r="AA21" s="10"/>
      <c r="AB21" s="10"/>
      <c r="AC21" s="2"/>
      <c r="AD21" s="2"/>
      <c r="AE21" s="10"/>
      <c r="AF21" s="10"/>
      <c r="AG21" s="10"/>
      <c r="AH21" s="2"/>
      <c r="AI21" s="5" t="s">
        <v>332</v>
      </c>
      <c r="AJ21" s="5" t="s">
        <v>107</v>
      </c>
      <c r="AK21" s="41" t="s">
        <v>333</v>
      </c>
      <c r="AL21" s="41" t="s">
        <v>74</v>
      </c>
    </row>
    <row r="22" spans="1:38" x14ac:dyDescent="0.35">
      <c r="A22" s="18" t="s">
        <v>334</v>
      </c>
      <c r="B22" s="20" t="s">
        <v>335</v>
      </c>
      <c r="C22" s="20" t="s">
        <v>53</v>
      </c>
      <c r="D22" s="2"/>
      <c r="E22" s="2"/>
      <c r="F22" s="2"/>
      <c r="G22" s="2"/>
      <c r="H22" s="3"/>
      <c r="I22" s="3"/>
      <c r="J22" s="2"/>
      <c r="K22" s="2"/>
      <c r="L22" s="2"/>
      <c r="M22" s="2"/>
      <c r="N22" s="2"/>
      <c r="O22" s="2"/>
      <c r="P22" s="2"/>
      <c r="Q22" s="3" t="s">
        <v>336</v>
      </c>
      <c r="R22" s="4" t="s">
        <v>337</v>
      </c>
      <c r="S22" s="2"/>
      <c r="T22" s="2"/>
      <c r="U22" s="2"/>
      <c r="V22" s="2"/>
      <c r="W22" s="2"/>
      <c r="X22" s="2"/>
      <c r="Y22" s="2"/>
      <c r="Z22" s="2"/>
      <c r="AA22" s="2"/>
      <c r="AB22" s="2"/>
      <c r="AC22" s="10"/>
      <c r="AD22" s="10"/>
      <c r="AE22" s="2"/>
      <c r="AF22" s="2"/>
      <c r="AG22" s="2"/>
      <c r="AH22" s="2"/>
      <c r="AI22" s="5" t="s">
        <v>338</v>
      </c>
      <c r="AJ22" s="5" t="s">
        <v>128</v>
      </c>
      <c r="AK22" s="41" t="s">
        <v>339</v>
      </c>
      <c r="AL22" s="41" t="s">
        <v>74</v>
      </c>
    </row>
    <row r="23" spans="1:38" x14ac:dyDescent="0.35">
      <c r="A23" s="18" t="s">
        <v>340</v>
      </c>
      <c r="B23" s="20" t="s">
        <v>341</v>
      </c>
      <c r="C23" s="20" t="s">
        <v>53</v>
      </c>
      <c r="D23" s="2"/>
      <c r="E23" s="2"/>
      <c r="F23" s="2"/>
      <c r="G23" s="2"/>
      <c r="H23" s="2"/>
      <c r="I23" s="2"/>
      <c r="J23" s="2"/>
      <c r="K23" s="2"/>
      <c r="L23" s="2"/>
      <c r="M23" s="2"/>
      <c r="N23" s="2"/>
      <c r="O23" s="2"/>
      <c r="P23" s="2"/>
      <c r="Q23" s="3" t="s">
        <v>342</v>
      </c>
      <c r="R23" s="4" t="s">
        <v>343</v>
      </c>
      <c r="S23" s="2"/>
      <c r="T23" s="2"/>
      <c r="U23" s="2"/>
      <c r="V23" s="2"/>
      <c r="W23" s="2"/>
      <c r="X23" s="2"/>
      <c r="Y23" s="2"/>
      <c r="Z23" s="2"/>
      <c r="AA23" s="2"/>
      <c r="AB23" s="2"/>
      <c r="AC23" s="2"/>
      <c r="AD23" s="2"/>
      <c r="AE23" s="2"/>
      <c r="AF23" s="2"/>
      <c r="AG23" s="2"/>
      <c r="AH23" s="2"/>
      <c r="AI23" s="5" t="s">
        <v>344</v>
      </c>
      <c r="AJ23" s="5" t="s">
        <v>128</v>
      </c>
      <c r="AK23" s="41" t="s">
        <v>345</v>
      </c>
      <c r="AL23" s="41" t="s">
        <v>74</v>
      </c>
    </row>
    <row r="24" spans="1:38" ht="29" x14ac:dyDescent="0.35">
      <c r="A24" s="18" t="s">
        <v>346</v>
      </c>
      <c r="B24" s="20" t="s">
        <v>347</v>
      </c>
      <c r="C24" s="20" t="s">
        <v>53</v>
      </c>
      <c r="D24" s="2"/>
      <c r="E24" s="2"/>
      <c r="F24" s="2"/>
      <c r="G24" s="2"/>
      <c r="H24" s="2"/>
      <c r="I24" s="2"/>
      <c r="J24" s="2"/>
      <c r="K24" s="2"/>
      <c r="L24" s="2"/>
      <c r="M24" s="2"/>
      <c r="N24" s="2"/>
      <c r="O24" s="2"/>
      <c r="P24" s="2"/>
      <c r="Q24" s="3" t="s">
        <v>348</v>
      </c>
      <c r="R24" s="4" t="s">
        <v>349</v>
      </c>
      <c r="S24" s="2"/>
      <c r="T24" s="2"/>
      <c r="U24" s="2"/>
      <c r="V24" s="2"/>
      <c r="W24" s="2"/>
      <c r="X24" s="2"/>
      <c r="Y24" s="2"/>
      <c r="Z24" s="2"/>
      <c r="AA24" s="2"/>
      <c r="AB24" s="2"/>
      <c r="AC24" s="2"/>
      <c r="AD24" s="2"/>
      <c r="AE24" s="2"/>
      <c r="AF24" s="2"/>
      <c r="AG24" s="2"/>
      <c r="AH24" s="2"/>
      <c r="AI24" s="5" t="s">
        <v>350</v>
      </c>
      <c r="AJ24" s="5" t="s">
        <v>128</v>
      </c>
      <c r="AK24" s="41" t="s">
        <v>351</v>
      </c>
      <c r="AL24" s="41" t="s">
        <v>74</v>
      </c>
    </row>
    <row r="25" spans="1:38" ht="29" x14ac:dyDescent="0.35">
      <c r="A25" s="18" t="s">
        <v>352</v>
      </c>
      <c r="B25" s="20" t="s">
        <v>353</v>
      </c>
      <c r="C25" s="20" t="s">
        <v>53</v>
      </c>
      <c r="D25" s="2"/>
      <c r="E25" s="2"/>
      <c r="F25" s="2"/>
      <c r="G25" s="2"/>
      <c r="H25" s="2"/>
      <c r="I25" s="2"/>
      <c r="J25" s="2"/>
      <c r="K25" s="2"/>
      <c r="L25" s="2"/>
      <c r="M25" s="2"/>
      <c r="N25" s="2"/>
      <c r="O25" s="2"/>
      <c r="P25" s="2"/>
      <c r="Q25" s="3" t="s">
        <v>354</v>
      </c>
      <c r="R25" s="4" t="s">
        <v>355</v>
      </c>
      <c r="S25" s="2"/>
      <c r="T25" s="2"/>
      <c r="U25" s="2"/>
      <c r="V25" s="2"/>
      <c r="W25" s="2"/>
      <c r="X25" s="2"/>
      <c r="Y25" s="2"/>
      <c r="Z25" s="2"/>
      <c r="AA25" s="2"/>
      <c r="AB25" s="2"/>
      <c r="AC25" s="2"/>
      <c r="AD25" s="2"/>
      <c r="AE25" s="2"/>
      <c r="AF25" s="2"/>
      <c r="AG25" s="2"/>
      <c r="AH25" s="2"/>
      <c r="AI25" s="5" t="s">
        <v>356</v>
      </c>
      <c r="AJ25" s="5" t="s">
        <v>149</v>
      </c>
      <c r="AK25" s="41" t="s">
        <v>357</v>
      </c>
      <c r="AL25" s="41" t="s">
        <v>74</v>
      </c>
    </row>
    <row r="26" spans="1:38" ht="43.5" x14ac:dyDescent="0.35">
      <c r="A26" s="18" t="s">
        <v>358</v>
      </c>
      <c r="B26" s="20" t="s">
        <v>359</v>
      </c>
      <c r="C26" s="20" t="s">
        <v>53</v>
      </c>
      <c r="D26" s="2"/>
      <c r="E26" s="2"/>
      <c r="F26" s="2"/>
      <c r="G26" s="2"/>
      <c r="H26" s="2"/>
      <c r="I26" s="2"/>
      <c r="J26" s="2"/>
      <c r="K26" s="2"/>
      <c r="L26" s="2"/>
      <c r="M26" s="2"/>
      <c r="N26" s="2"/>
      <c r="O26" s="2"/>
      <c r="P26" s="2"/>
      <c r="Q26" s="3" t="s">
        <v>187</v>
      </c>
      <c r="R26" s="4" t="s">
        <v>360</v>
      </c>
      <c r="S26" s="2"/>
      <c r="T26" s="2"/>
      <c r="U26" s="2"/>
      <c r="V26" s="2"/>
      <c r="W26" s="2"/>
      <c r="X26" s="2"/>
      <c r="Y26" s="2"/>
      <c r="Z26" s="2"/>
      <c r="AA26" s="2"/>
      <c r="AB26" s="2"/>
      <c r="AC26" s="2"/>
      <c r="AD26" s="2"/>
      <c r="AE26" s="2"/>
      <c r="AF26" s="2"/>
      <c r="AG26" s="2"/>
      <c r="AH26" s="2"/>
      <c r="AI26" s="5" t="s">
        <v>361</v>
      </c>
      <c r="AJ26" s="5" t="s">
        <v>362</v>
      </c>
      <c r="AK26" s="41" t="s">
        <v>363</v>
      </c>
      <c r="AL26" s="41" t="s">
        <v>74</v>
      </c>
    </row>
    <row r="27" spans="1:38" x14ac:dyDescent="0.35">
      <c r="A27" s="18" t="s">
        <v>364</v>
      </c>
      <c r="B27" s="20" t="s">
        <v>365</v>
      </c>
      <c r="C27" s="20" t="s">
        <v>366</v>
      </c>
      <c r="D27" s="2"/>
      <c r="E27" s="2"/>
      <c r="F27" s="2"/>
      <c r="G27" s="2"/>
      <c r="H27" s="2"/>
      <c r="I27" s="2"/>
      <c r="J27" s="2"/>
      <c r="K27" s="2"/>
      <c r="L27" s="2"/>
      <c r="M27" s="2"/>
      <c r="N27" s="2"/>
      <c r="O27" s="2"/>
      <c r="P27" s="2"/>
      <c r="Q27" s="3" t="s">
        <v>200</v>
      </c>
      <c r="R27" s="4" t="s">
        <v>367</v>
      </c>
      <c r="S27" s="2"/>
      <c r="T27" s="2"/>
      <c r="U27" s="2"/>
      <c r="V27" s="2"/>
      <c r="W27" s="2"/>
      <c r="X27" s="2"/>
      <c r="Y27" s="2"/>
      <c r="Z27" s="2"/>
      <c r="AA27" s="2"/>
      <c r="AB27" s="2"/>
      <c r="AC27" s="2"/>
      <c r="AD27" s="2"/>
      <c r="AE27" s="2"/>
      <c r="AF27" s="2"/>
      <c r="AG27" s="2"/>
      <c r="AH27" s="2"/>
      <c r="AI27" s="5" t="s">
        <v>368</v>
      </c>
      <c r="AJ27" s="5" t="s">
        <v>166</v>
      </c>
      <c r="AK27" s="41" t="s">
        <v>369</v>
      </c>
      <c r="AL27" s="41" t="s">
        <v>96</v>
      </c>
    </row>
    <row r="28" spans="1:38" x14ac:dyDescent="0.35">
      <c r="A28" s="18" t="s">
        <v>370</v>
      </c>
      <c r="B28" s="20" t="s">
        <v>371</v>
      </c>
      <c r="C28" s="20" t="s">
        <v>53</v>
      </c>
      <c r="D28" s="2"/>
      <c r="E28" s="2"/>
      <c r="F28" s="2"/>
      <c r="G28" s="2"/>
      <c r="H28" s="2"/>
      <c r="I28" s="2"/>
      <c r="J28" s="2"/>
      <c r="K28" s="2"/>
      <c r="L28" s="2"/>
      <c r="M28" s="2"/>
      <c r="N28" s="2"/>
      <c r="O28" s="2"/>
      <c r="P28" s="2"/>
      <c r="Q28" s="3" t="s">
        <v>372</v>
      </c>
      <c r="R28" s="4" t="s">
        <v>373</v>
      </c>
      <c r="S28" s="2"/>
      <c r="T28" s="2"/>
      <c r="U28" s="2"/>
      <c r="V28" s="2"/>
      <c r="W28" s="2"/>
      <c r="X28" s="2"/>
      <c r="Y28" s="2"/>
      <c r="Z28" s="2"/>
      <c r="AA28" s="2"/>
      <c r="AB28" s="2"/>
      <c r="AC28" s="2"/>
      <c r="AD28" s="2"/>
      <c r="AE28" s="2"/>
      <c r="AF28" s="2"/>
      <c r="AG28" s="2"/>
      <c r="AH28" s="2"/>
      <c r="AI28" s="5" t="s">
        <v>374</v>
      </c>
      <c r="AJ28" s="5" t="s">
        <v>166</v>
      </c>
      <c r="AK28" s="41" t="s">
        <v>375</v>
      </c>
      <c r="AL28" s="41" t="s">
        <v>74</v>
      </c>
    </row>
    <row r="29" spans="1:38" x14ac:dyDescent="0.35">
      <c r="A29" s="18" t="s">
        <v>376</v>
      </c>
      <c r="B29" s="20" t="s">
        <v>377</v>
      </c>
      <c r="C29" s="20" t="s">
        <v>366</v>
      </c>
      <c r="D29" s="2"/>
      <c r="E29" s="2"/>
      <c r="F29" s="2"/>
      <c r="G29" s="2"/>
      <c r="H29" s="2"/>
      <c r="I29" s="2"/>
      <c r="J29" s="2"/>
      <c r="K29" s="2"/>
      <c r="L29" s="2"/>
      <c r="M29" s="2"/>
      <c r="N29" s="2"/>
      <c r="O29" s="2"/>
      <c r="P29" s="2"/>
      <c r="Q29" s="3" t="s">
        <v>378</v>
      </c>
      <c r="R29" s="4" t="s">
        <v>379</v>
      </c>
      <c r="S29" s="2"/>
      <c r="T29" s="2"/>
      <c r="U29" s="2"/>
      <c r="V29" s="2"/>
      <c r="W29" s="2"/>
      <c r="X29" s="2"/>
      <c r="Y29" s="2"/>
      <c r="Z29" s="2"/>
      <c r="AA29" s="2"/>
      <c r="AB29" s="2"/>
      <c r="AC29" s="2"/>
      <c r="AD29" s="2"/>
      <c r="AE29" s="2"/>
      <c r="AF29" s="2"/>
      <c r="AG29" s="2"/>
      <c r="AH29" s="2"/>
      <c r="AI29" s="5" t="s">
        <v>3927</v>
      </c>
      <c r="AJ29" s="5" t="s">
        <v>128</v>
      </c>
      <c r="AK29" s="41" t="s">
        <v>3928</v>
      </c>
      <c r="AL29" s="41" t="s">
        <v>74</v>
      </c>
    </row>
    <row r="30" spans="1:38" x14ac:dyDescent="0.35">
      <c r="A30" s="18" t="s">
        <v>380</v>
      </c>
      <c r="B30" s="20" t="s">
        <v>381</v>
      </c>
      <c r="C30" s="20" t="s">
        <v>140</v>
      </c>
      <c r="D30" s="2"/>
      <c r="E30" s="2"/>
      <c r="F30" s="2"/>
      <c r="G30" s="2"/>
      <c r="H30" s="2"/>
      <c r="I30" s="2"/>
      <c r="J30" s="2"/>
      <c r="K30" s="2"/>
      <c r="L30" s="2"/>
      <c r="M30" s="2"/>
      <c r="N30" s="2"/>
      <c r="O30" s="2"/>
      <c r="P30" s="2"/>
      <c r="Q30" s="3" t="s">
        <v>382</v>
      </c>
      <c r="R30" s="4" t="s">
        <v>383</v>
      </c>
      <c r="S30" s="2"/>
      <c r="T30" s="2"/>
      <c r="U30" s="2"/>
      <c r="V30" s="2"/>
      <c r="W30" s="2"/>
      <c r="X30" s="2"/>
      <c r="Y30" s="2"/>
      <c r="Z30" s="2"/>
      <c r="AA30" s="2"/>
      <c r="AB30" s="2"/>
      <c r="AC30" s="2"/>
      <c r="AD30" s="2"/>
      <c r="AE30" s="2"/>
      <c r="AF30" s="2"/>
      <c r="AG30" s="2"/>
      <c r="AH30" s="2"/>
      <c r="AI30" s="5"/>
      <c r="AJ30" s="5"/>
      <c r="AK30" s="41"/>
      <c r="AL30" s="41"/>
    </row>
    <row r="31" spans="1:38" x14ac:dyDescent="0.35">
      <c r="A31" s="18" t="s">
        <v>384</v>
      </c>
      <c r="B31" s="20" t="s">
        <v>385</v>
      </c>
      <c r="C31" s="20" t="s">
        <v>140</v>
      </c>
      <c r="D31" s="2"/>
      <c r="E31" s="2"/>
      <c r="F31" s="2"/>
      <c r="G31" s="2"/>
      <c r="H31" s="2"/>
      <c r="I31" s="2"/>
      <c r="J31" s="2"/>
      <c r="K31" s="2"/>
      <c r="L31" s="2"/>
      <c r="M31" s="2"/>
      <c r="N31" s="2"/>
      <c r="O31" s="2"/>
      <c r="P31" s="2"/>
      <c r="Q31" s="3" t="s">
        <v>386</v>
      </c>
      <c r="R31" s="4" t="s">
        <v>387</v>
      </c>
      <c r="S31" s="2"/>
      <c r="T31" s="2"/>
      <c r="U31" s="2"/>
      <c r="V31" s="2"/>
      <c r="W31" s="2"/>
      <c r="X31" s="2"/>
      <c r="Y31" s="2"/>
      <c r="Z31" s="2"/>
      <c r="AA31" s="2"/>
      <c r="AB31" s="2"/>
      <c r="AC31" s="2"/>
      <c r="AD31" s="2"/>
      <c r="AE31" s="2"/>
      <c r="AF31" s="2"/>
      <c r="AG31" s="2"/>
      <c r="AH31" s="2"/>
      <c r="AI31" s="8"/>
      <c r="AJ31" s="8"/>
    </row>
    <row r="32" spans="1:38" x14ac:dyDescent="0.35">
      <c r="A32" s="18" t="s">
        <v>388</v>
      </c>
      <c r="B32" s="20" t="s">
        <v>389</v>
      </c>
      <c r="C32" s="20" t="s">
        <v>140</v>
      </c>
      <c r="D32" s="2"/>
      <c r="E32" s="2"/>
      <c r="F32" s="2"/>
      <c r="G32" s="2"/>
      <c r="H32" s="2"/>
      <c r="I32" s="2"/>
      <c r="J32" s="2"/>
      <c r="K32" s="2"/>
      <c r="L32" s="2"/>
      <c r="M32" s="2"/>
      <c r="N32" s="2"/>
      <c r="O32" s="2"/>
      <c r="P32" s="2"/>
      <c r="Q32" s="3" t="s">
        <v>390</v>
      </c>
      <c r="R32" s="4" t="s">
        <v>391</v>
      </c>
      <c r="S32" s="2"/>
      <c r="T32" s="2"/>
      <c r="U32" s="2"/>
      <c r="V32" s="2"/>
      <c r="W32" s="2"/>
      <c r="X32" s="2"/>
      <c r="Y32" s="2"/>
      <c r="Z32" s="2"/>
      <c r="AA32" s="2"/>
      <c r="AB32" s="2"/>
      <c r="AC32" s="2"/>
      <c r="AD32" s="2"/>
      <c r="AE32" s="2"/>
      <c r="AF32" s="2"/>
      <c r="AG32" s="2"/>
      <c r="AH32" s="2"/>
      <c r="AI32" s="8"/>
      <c r="AJ32" s="8"/>
    </row>
    <row r="33" spans="1:36" x14ac:dyDescent="0.35">
      <c r="A33" s="18" t="s">
        <v>392</v>
      </c>
      <c r="B33" s="20" t="s">
        <v>393</v>
      </c>
      <c r="C33" s="20" t="s">
        <v>53</v>
      </c>
      <c r="D33" s="2"/>
      <c r="E33" s="2"/>
      <c r="F33" s="2"/>
      <c r="G33" s="2"/>
      <c r="H33" s="2"/>
      <c r="I33" s="2"/>
      <c r="J33" s="2"/>
      <c r="K33" s="2"/>
      <c r="L33" s="2"/>
      <c r="M33" s="2"/>
      <c r="N33" s="2"/>
      <c r="O33" s="2"/>
      <c r="P33" s="2"/>
      <c r="Q33" s="3" t="s">
        <v>394</v>
      </c>
      <c r="R33" s="4" t="s">
        <v>395</v>
      </c>
      <c r="S33" s="2"/>
      <c r="T33" s="2"/>
      <c r="U33" s="2"/>
      <c r="V33" s="2"/>
      <c r="W33" s="2"/>
      <c r="X33" s="2"/>
      <c r="Y33" s="2"/>
      <c r="Z33" s="2"/>
      <c r="AA33" s="2"/>
      <c r="AB33" s="2"/>
      <c r="AC33" s="2"/>
      <c r="AD33" s="2"/>
      <c r="AE33" s="2"/>
      <c r="AF33" s="2"/>
      <c r="AG33" s="2"/>
      <c r="AH33" s="2"/>
      <c r="AI33" s="8"/>
      <c r="AJ33" s="8"/>
    </row>
    <row r="34" spans="1:36" x14ac:dyDescent="0.35">
      <c r="A34" s="18" t="s">
        <v>44</v>
      </c>
      <c r="B34" s="20" t="s">
        <v>396</v>
      </c>
      <c r="C34" s="20" t="s">
        <v>53</v>
      </c>
      <c r="D34" s="2"/>
      <c r="E34" s="2"/>
      <c r="F34" s="2"/>
      <c r="G34" s="2"/>
      <c r="H34" s="2"/>
      <c r="I34" s="2"/>
      <c r="J34" s="2"/>
      <c r="K34" s="2"/>
      <c r="L34" s="2"/>
      <c r="M34" s="2"/>
      <c r="N34" s="2"/>
      <c r="O34" s="2"/>
      <c r="P34" s="2"/>
      <c r="Q34" s="3" t="s">
        <v>397</v>
      </c>
      <c r="R34" s="4" t="s">
        <v>398</v>
      </c>
      <c r="S34" s="2"/>
      <c r="T34" s="2"/>
      <c r="U34" s="2"/>
      <c r="V34" s="2"/>
      <c r="W34" s="2"/>
      <c r="X34" s="2"/>
      <c r="Y34" s="2"/>
      <c r="Z34" s="2"/>
      <c r="AA34" s="2"/>
      <c r="AB34" s="2"/>
      <c r="AC34" s="2"/>
      <c r="AD34" s="2"/>
      <c r="AE34" s="2"/>
      <c r="AF34" s="2"/>
      <c r="AG34" s="2"/>
      <c r="AH34" s="2"/>
      <c r="AI34" s="8"/>
      <c r="AJ34" s="8"/>
    </row>
    <row r="35" spans="1:36" x14ac:dyDescent="0.35">
      <c r="A35" s="18" t="s">
        <v>399</v>
      </c>
      <c r="B35" s="20" t="s">
        <v>400</v>
      </c>
      <c r="C35" s="20" t="s">
        <v>140</v>
      </c>
      <c r="D35" s="2"/>
      <c r="E35" s="2"/>
      <c r="F35" s="2"/>
      <c r="G35" s="2"/>
      <c r="H35" s="2"/>
      <c r="I35" s="2"/>
      <c r="J35" s="2"/>
      <c r="K35" s="2"/>
      <c r="L35" s="2"/>
      <c r="M35" s="2"/>
      <c r="N35" s="2"/>
      <c r="O35" s="2"/>
      <c r="P35" s="2"/>
      <c r="Q35" s="3" t="s">
        <v>401</v>
      </c>
      <c r="R35" s="4" t="s">
        <v>402</v>
      </c>
      <c r="S35" s="2"/>
      <c r="T35" s="2"/>
      <c r="U35" s="2"/>
      <c r="V35" s="2"/>
      <c r="W35" s="2"/>
      <c r="X35" s="2"/>
      <c r="Y35" s="2"/>
      <c r="Z35" s="2"/>
      <c r="AA35" s="2"/>
      <c r="AB35" s="2"/>
      <c r="AC35" s="2"/>
      <c r="AD35" s="2"/>
      <c r="AE35" s="2"/>
      <c r="AF35" s="2"/>
      <c r="AG35" s="2"/>
      <c r="AH35" s="2"/>
      <c r="AI35" s="8"/>
      <c r="AJ35" s="8"/>
    </row>
    <row r="36" spans="1:36" x14ac:dyDescent="0.35">
      <c r="A36" s="18" t="s">
        <v>403</v>
      </c>
      <c r="B36" s="20" t="s">
        <v>404</v>
      </c>
      <c r="C36" s="20" t="s">
        <v>53</v>
      </c>
      <c r="D36" s="2"/>
      <c r="E36" s="2"/>
      <c r="F36" s="2"/>
      <c r="G36" s="2"/>
      <c r="H36" s="2"/>
      <c r="I36" s="2"/>
      <c r="J36" s="2"/>
      <c r="K36" s="2"/>
      <c r="L36" s="2"/>
      <c r="M36" s="2"/>
      <c r="N36" s="2"/>
      <c r="O36" s="2"/>
      <c r="P36" s="2"/>
      <c r="Q36" s="3" t="s">
        <v>405</v>
      </c>
      <c r="R36" s="4" t="s">
        <v>406</v>
      </c>
      <c r="S36" s="2"/>
      <c r="T36" s="2"/>
      <c r="U36" s="2"/>
      <c r="V36" s="2"/>
      <c r="W36" s="2"/>
      <c r="X36" s="2"/>
      <c r="Y36" s="2"/>
      <c r="Z36" s="2"/>
      <c r="AA36" s="2"/>
      <c r="AB36" s="2"/>
      <c r="AC36" s="2"/>
      <c r="AD36" s="2"/>
      <c r="AE36" s="2"/>
      <c r="AF36" s="2"/>
      <c r="AG36" s="2"/>
      <c r="AH36" s="2"/>
      <c r="AI36" s="8"/>
      <c r="AJ36" s="8"/>
    </row>
    <row r="37" spans="1:36" x14ac:dyDescent="0.35">
      <c r="A37" s="28"/>
      <c r="B37" s="18"/>
      <c r="C37" s="18"/>
      <c r="D37" s="2"/>
      <c r="E37" s="2"/>
      <c r="F37" s="2"/>
      <c r="G37" s="2"/>
      <c r="H37" s="2"/>
      <c r="I37" s="2"/>
      <c r="J37" s="2"/>
      <c r="K37" s="2"/>
      <c r="L37" s="2"/>
      <c r="M37" s="2"/>
      <c r="N37" s="2"/>
      <c r="O37" s="2"/>
      <c r="P37" s="2"/>
      <c r="Q37" s="3" t="s">
        <v>215</v>
      </c>
      <c r="R37" s="4" t="s">
        <v>407</v>
      </c>
      <c r="S37" s="2"/>
      <c r="T37" s="2"/>
      <c r="U37" s="2"/>
      <c r="V37" s="2"/>
      <c r="W37" s="2"/>
      <c r="X37" s="2"/>
      <c r="Y37" s="2"/>
      <c r="Z37" s="2"/>
      <c r="AA37" s="2"/>
      <c r="AB37" s="2"/>
      <c r="AC37" s="2"/>
      <c r="AD37" s="2"/>
      <c r="AE37" s="2"/>
      <c r="AF37" s="2"/>
      <c r="AG37" s="2"/>
      <c r="AH37" s="2"/>
      <c r="AI37" s="8"/>
      <c r="AJ37" s="8"/>
    </row>
    <row r="38" spans="1:36" x14ac:dyDescent="0.35">
      <c r="A38" s="12"/>
      <c r="D38" s="2"/>
      <c r="E38" s="2"/>
      <c r="F38" s="2"/>
      <c r="G38" s="2"/>
      <c r="H38" s="2"/>
      <c r="I38" s="2"/>
      <c r="J38" s="2"/>
      <c r="K38" s="2"/>
      <c r="L38" s="2"/>
      <c r="M38" s="2"/>
      <c r="N38" s="2"/>
      <c r="O38" s="2"/>
      <c r="P38" s="2"/>
      <c r="Q38" s="3" t="s">
        <v>408</v>
      </c>
      <c r="R38" s="4" t="s">
        <v>409</v>
      </c>
      <c r="S38" s="2"/>
      <c r="T38" s="2"/>
      <c r="U38" s="2"/>
      <c r="V38" s="2"/>
      <c r="W38" s="2"/>
      <c r="X38" s="2"/>
      <c r="Y38" s="2"/>
      <c r="Z38" s="2"/>
      <c r="AA38" s="2"/>
      <c r="AB38" s="2"/>
      <c r="AC38" s="2"/>
      <c r="AD38" s="2"/>
      <c r="AE38" s="2"/>
      <c r="AF38" s="2"/>
      <c r="AG38" s="2"/>
      <c r="AH38" s="2"/>
      <c r="AI38" s="8"/>
      <c r="AJ38" s="8"/>
    </row>
    <row r="39" spans="1:36" x14ac:dyDescent="0.35">
      <c r="A39" s="12"/>
      <c r="D39" s="2"/>
      <c r="E39" s="2"/>
      <c r="F39" s="2"/>
      <c r="G39" s="2"/>
      <c r="H39" s="2"/>
      <c r="I39" s="2"/>
      <c r="J39" s="2"/>
      <c r="K39" s="2"/>
      <c r="L39" s="2"/>
      <c r="M39" s="2"/>
      <c r="N39" s="2"/>
      <c r="O39" s="2"/>
      <c r="P39" s="2"/>
      <c r="Q39" s="3" t="s">
        <v>410</v>
      </c>
      <c r="R39" s="4" t="s">
        <v>411</v>
      </c>
      <c r="S39" s="2"/>
      <c r="T39" s="2"/>
      <c r="U39" s="2"/>
      <c r="V39" s="2"/>
      <c r="W39" s="2"/>
      <c r="X39" s="2"/>
      <c r="Y39" s="2"/>
      <c r="Z39" s="2"/>
      <c r="AA39" s="2"/>
      <c r="AB39" s="2"/>
      <c r="AC39" s="2"/>
      <c r="AD39" s="2"/>
      <c r="AE39" s="2"/>
      <c r="AF39" s="2"/>
      <c r="AG39" s="2"/>
      <c r="AH39" s="2"/>
      <c r="AI39" s="8"/>
      <c r="AJ39" s="8"/>
    </row>
    <row r="40" spans="1:36" x14ac:dyDescent="0.35">
      <c r="A40" s="12"/>
      <c r="E40" s="2"/>
      <c r="F40" s="2"/>
      <c r="H40" s="2"/>
      <c r="I40" s="2"/>
      <c r="J40" s="2"/>
      <c r="K40" s="2"/>
      <c r="L40" s="2"/>
      <c r="Q40" s="1" t="s">
        <v>412</v>
      </c>
      <c r="R40" s="1" t="s">
        <v>413</v>
      </c>
      <c r="AC40" s="2"/>
      <c r="AD40" s="2"/>
      <c r="AH40" s="2"/>
    </row>
    <row r="41" spans="1:36" x14ac:dyDescent="0.35">
      <c r="A41" s="12"/>
      <c r="E41" s="2"/>
      <c r="F41" s="2"/>
      <c r="H41" s="2"/>
      <c r="I41" s="2"/>
      <c r="J41" s="2"/>
      <c r="K41" s="2"/>
      <c r="L41" s="2"/>
      <c r="Q41" s="1" t="s">
        <v>414</v>
      </c>
      <c r="R41" s="1" t="s">
        <v>415</v>
      </c>
      <c r="AH41" s="2"/>
    </row>
    <row r="42" spans="1:36" x14ac:dyDescent="0.35">
      <c r="A42" s="12"/>
      <c r="E42" s="2"/>
      <c r="F42" s="2"/>
      <c r="H42" s="2"/>
      <c r="I42" s="2"/>
      <c r="J42" s="2"/>
      <c r="K42" s="2"/>
      <c r="L42" s="2"/>
      <c r="Q42" s="1" t="s">
        <v>416</v>
      </c>
      <c r="R42" s="1" t="s">
        <v>417</v>
      </c>
      <c r="AH42" s="2"/>
    </row>
    <row r="43" spans="1:36" x14ac:dyDescent="0.35">
      <c r="A43" s="12"/>
      <c r="H43" s="2"/>
      <c r="I43" s="2"/>
      <c r="J43" s="2"/>
      <c r="K43" s="2"/>
      <c r="L43" s="2"/>
      <c r="Q43" s="1" t="s">
        <v>418</v>
      </c>
      <c r="R43" s="1" t="s">
        <v>419</v>
      </c>
      <c r="AH43" s="2"/>
    </row>
    <row r="44" spans="1:36" x14ac:dyDescent="0.35">
      <c r="A44" s="12"/>
      <c r="Q44" s="1" t="s">
        <v>420</v>
      </c>
      <c r="R44" s="1" t="s">
        <v>421</v>
      </c>
    </row>
    <row r="45" spans="1:36" x14ac:dyDescent="0.35">
      <c r="A45" s="12"/>
      <c r="Q45" s="1" t="s">
        <v>422</v>
      </c>
      <c r="R45" s="1" t="s">
        <v>423</v>
      </c>
    </row>
    <row r="46" spans="1:36" x14ac:dyDescent="0.35">
      <c r="A46" s="12"/>
      <c r="Q46" s="1" t="s">
        <v>424</v>
      </c>
      <c r="R46" s="1" t="s">
        <v>425</v>
      </c>
    </row>
    <row r="47" spans="1:36" x14ac:dyDescent="0.35">
      <c r="A47" s="12"/>
      <c r="Q47" s="1" t="s">
        <v>426</v>
      </c>
      <c r="R47" s="1" t="s">
        <v>427</v>
      </c>
    </row>
    <row r="48" spans="1:36" x14ac:dyDescent="0.35">
      <c r="A48" s="12"/>
      <c r="Q48" s="1" t="s">
        <v>428</v>
      </c>
      <c r="R48" s="1" t="s">
        <v>429</v>
      </c>
    </row>
    <row r="49" spans="1:18" x14ac:dyDescent="0.35">
      <c r="A49" s="12"/>
      <c r="Q49" s="1" t="s">
        <v>430</v>
      </c>
      <c r="R49" s="1" t="s">
        <v>431</v>
      </c>
    </row>
    <row r="50" spans="1:18" x14ac:dyDescent="0.35">
      <c r="A50" s="12"/>
      <c r="Q50" s="1" t="s">
        <v>432</v>
      </c>
      <c r="R50" s="1" t="s">
        <v>433</v>
      </c>
    </row>
    <row r="51" spans="1:18" x14ac:dyDescent="0.35">
      <c r="A51" s="12"/>
      <c r="Q51" s="1" t="s">
        <v>434</v>
      </c>
      <c r="R51" s="1" t="s">
        <v>435</v>
      </c>
    </row>
    <row r="52" spans="1:18" x14ac:dyDescent="0.35">
      <c r="A52" s="12"/>
      <c r="Q52" s="1" t="s">
        <v>436</v>
      </c>
      <c r="R52" s="1" t="s">
        <v>437</v>
      </c>
    </row>
    <row r="53" spans="1:18" x14ac:dyDescent="0.35">
      <c r="A53" s="12"/>
      <c r="Q53" s="1" t="s">
        <v>438</v>
      </c>
      <c r="R53" s="1" t="s">
        <v>439</v>
      </c>
    </row>
    <row r="54" spans="1:18" x14ac:dyDescent="0.35">
      <c r="A54" s="12"/>
      <c r="Q54" s="1" t="s">
        <v>440</v>
      </c>
      <c r="R54" s="1" t="s">
        <v>441</v>
      </c>
    </row>
    <row r="55" spans="1:18" x14ac:dyDescent="0.35">
      <c r="A55" s="12"/>
      <c r="Q55" s="1" t="s">
        <v>442</v>
      </c>
      <c r="R55" s="1" t="s">
        <v>443</v>
      </c>
    </row>
    <row r="56" spans="1:18" x14ac:dyDescent="0.35">
      <c r="A56" s="12"/>
      <c r="Q56" s="1" t="s">
        <v>444</v>
      </c>
      <c r="R56" s="1" t="s">
        <v>445</v>
      </c>
    </row>
    <row r="57" spans="1:18" x14ac:dyDescent="0.35">
      <c r="A57" s="12"/>
      <c r="Q57" s="1" t="s">
        <v>446</v>
      </c>
      <c r="R57" s="1" t="s">
        <v>447</v>
      </c>
    </row>
    <row r="58" spans="1:18" x14ac:dyDescent="0.35">
      <c r="A58" s="12"/>
      <c r="Q58" s="1" t="s">
        <v>448</v>
      </c>
      <c r="R58" s="1" t="s">
        <v>449</v>
      </c>
    </row>
    <row r="59" spans="1:18" x14ac:dyDescent="0.35">
      <c r="A59" s="12"/>
      <c r="Q59" s="1" t="s">
        <v>450</v>
      </c>
      <c r="R59" s="1" t="s">
        <v>451</v>
      </c>
    </row>
    <row r="60" spans="1:18" x14ac:dyDescent="0.35">
      <c r="A60" s="12"/>
      <c r="Q60" s="1" t="s">
        <v>452</v>
      </c>
      <c r="R60" s="1" t="s">
        <v>453</v>
      </c>
    </row>
    <row r="61" spans="1:18" x14ac:dyDescent="0.35">
      <c r="A61" s="12"/>
      <c r="Q61" s="1" t="s">
        <v>454</v>
      </c>
      <c r="R61" s="1" t="s">
        <v>455</v>
      </c>
    </row>
    <row r="62" spans="1:18" x14ac:dyDescent="0.35">
      <c r="A62" s="12"/>
      <c r="Q62" s="1" t="s">
        <v>456</v>
      </c>
      <c r="R62" s="1" t="s">
        <v>457</v>
      </c>
    </row>
    <row r="63" spans="1:18" x14ac:dyDescent="0.35">
      <c r="A63" s="12"/>
      <c r="Q63" s="1" t="s">
        <v>458</v>
      </c>
      <c r="R63" s="1" t="s">
        <v>459</v>
      </c>
    </row>
    <row r="64" spans="1:18" x14ac:dyDescent="0.35">
      <c r="A64" s="12"/>
      <c r="Q64" s="1" t="s">
        <v>460</v>
      </c>
      <c r="R64" s="1" t="s">
        <v>461</v>
      </c>
    </row>
    <row r="65" spans="1:18" x14ac:dyDescent="0.35">
      <c r="A65" s="12"/>
      <c r="Q65" s="1"/>
      <c r="R65" s="1"/>
    </row>
    <row r="66" spans="1:18" x14ac:dyDescent="0.35">
      <c r="A66" s="12"/>
    </row>
    <row r="67" spans="1:18" x14ac:dyDescent="0.35">
      <c r="A67" s="12"/>
    </row>
    <row r="68" spans="1:18" x14ac:dyDescent="0.35">
      <c r="A68" s="12"/>
    </row>
    <row r="69" spans="1:18" x14ac:dyDescent="0.35">
      <c r="A69" s="12"/>
    </row>
    <row r="70" spans="1:18" x14ac:dyDescent="0.35">
      <c r="A70" s="12"/>
    </row>
    <row r="71" spans="1:18" x14ac:dyDescent="0.35">
      <c r="A71" s="12"/>
    </row>
    <row r="72" spans="1:18" x14ac:dyDescent="0.35">
      <c r="A72" s="12"/>
    </row>
    <row r="73" spans="1:18" x14ac:dyDescent="0.35">
      <c r="A73" s="12"/>
    </row>
    <row r="74" spans="1:18" x14ac:dyDescent="0.35">
      <c r="A74" s="12"/>
    </row>
    <row r="75" spans="1:18" x14ac:dyDescent="0.35">
      <c r="A75" s="12"/>
    </row>
    <row r="76" spans="1:18" x14ac:dyDescent="0.35">
      <c r="A76" s="12"/>
    </row>
    <row r="77" spans="1:18" x14ac:dyDescent="0.35">
      <c r="A77" s="12"/>
    </row>
    <row r="78" spans="1:18" x14ac:dyDescent="0.35">
      <c r="A78" s="12"/>
    </row>
    <row r="79" spans="1:18" x14ac:dyDescent="0.35">
      <c r="A79" s="12"/>
    </row>
    <row r="80" spans="1:18" x14ac:dyDescent="0.35">
      <c r="A80" s="12"/>
    </row>
    <row r="81" spans="1:1" x14ac:dyDescent="0.35">
      <c r="A81" s="12"/>
    </row>
    <row r="82" spans="1:1" x14ac:dyDescent="0.35">
      <c r="A82" s="12"/>
    </row>
    <row r="83" spans="1:1" x14ac:dyDescent="0.35">
      <c r="A83" s="12"/>
    </row>
    <row r="84" spans="1:1" x14ac:dyDescent="0.35">
      <c r="A84" s="12"/>
    </row>
    <row r="85" spans="1:1" x14ac:dyDescent="0.35">
      <c r="A85" s="12"/>
    </row>
    <row r="86" spans="1:1" x14ac:dyDescent="0.35">
      <c r="A86" s="12"/>
    </row>
    <row r="87" spans="1:1" x14ac:dyDescent="0.35">
      <c r="A87" s="12"/>
    </row>
    <row r="88" spans="1:1" x14ac:dyDescent="0.35">
      <c r="A88" s="12"/>
    </row>
    <row r="89" spans="1:1" x14ac:dyDescent="0.35">
      <c r="A89" s="12"/>
    </row>
    <row r="90" spans="1:1" x14ac:dyDescent="0.35">
      <c r="A90" s="12"/>
    </row>
    <row r="91" spans="1:1" x14ac:dyDescent="0.35">
      <c r="A91" s="12"/>
    </row>
    <row r="92" spans="1:1" x14ac:dyDescent="0.35">
      <c r="A92" s="12"/>
    </row>
    <row r="93" spans="1:1" x14ac:dyDescent="0.35">
      <c r="A93" s="12"/>
    </row>
    <row r="94" spans="1:1" x14ac:dyDescent="0.35">
      <c r="A94" s="12"/>
    </row>
    <row r="95" spans="1:1" x14ac:dyDescent="0.35">
      <c r="A95" s="12"/>
    </row>
    <row r="96" spans="1:1" x14ac:dyDescent="0.35">
      <c r="A96" s="12"/>
    </row>
    <row r="97" spans="1:1" x14ac:dyDescent="0.35">
      <c r="A97" s="12"/>
    </row>
    <row r="98" spans="1:1" x14ac:dyDescent="0.35">
      <c r="A98" s="12"/>
    </row>
    <row r="99" spans="1:1" x14ac:dyDescent="0.35">
      <c r="A99" s="12"/>
    </row>
    <row r="100" spans="1:1" x14ac:dyDescent="0.35">
      <c r="A100" s="12"/>
    </row>
    <row r="101" spans="1:1" x14ac:dyDescent="0.35">
      <c r="A101" s="12"/>
    </row>
    <row r="102" spans="1:1" x14ac:dyDescent="0.35">
      <c r="A102" s="12"/>
    </row>
    <row r="103" spans="1:1" x14ac:dyDescent="0.35">
      <c r="A103" s="12"/>
    </row>
    <row r="104" spans="1:1" x14ac:dyDescent="0.35">
      <c r="A104" s="12"/>
    </row>
    <row r="105" spans="1:1" x14ac:dyDescent="0.35">
      <c r="A105" s="12"/>
    </row>
    <row r="106" spans="1:1" x14ac:dyDescent="0.35">
      <c r="A106" s="12"/>
    </row>
    <row r="107" spans="1:1" x14ac:dyDescent="0.35">
      <c r="A107" s="12"/>
    </row>
    <row r="108" spans="1:1" x14ac:dyDescent="0.35">
      <c r="A108" s="12"/>
    </row>
    <row r="109" spans="1:1" x14ac:dyDescent="0.35">
      <c r="A109" s="12"/>
    </row>
    <row r="110" spans="1:1" x14ac:dyDescent="0.35">
      <c r="A110" s="12"/>
    </row>
    <row r="111" spans="1:1" x14ac:dyDescent="0.35">
      <c r="A111" s="12"/>
    </row>
    <row r="112" spans="1:1" x14ac:dyDescent="0.35">
      <c r="A112" s="12"/>
    </row>
    <row r="113" spans="1:1" x14ac:dyDescent="0.35">
      <c r="A113" s="12"/>
    </row>
    <row r="114" spans="1:1" x14ac:dyDescent="0.35">
      <c r="A114" s="12"/>
    </row>
    <row r="115" spans="1:1" x14ac:dyDescent="0.35">
      <c r="A115" s="12"/>
    </row>
    <row r="116" spans="1:1" x14ac:dyDescent="0.35">
      <c r="A116" s="12"/>
    </row>
    <row r="117" spans="1:1" x14ac:dyDescent="0.35">
      <c r="A117" s="12"/>
    </row>
    <row r="118" spans="1:1" x14ac:dyDescent="0.35">
      <c r="A118" s="12"/>
    </row>
    <row r="119" spans="1:1" x14ac:dyDescent="0.35">
      <c r="A119" s="12"/>
    </row>
    <row r="120" spans="1:1" x14ac:dyDescent="0.35">
      <c r="A120" s="12"/>
    </row>
    <row r="121" spans="1:1" x14ac:dyDescent="0.35">
      <c r="A121" s="12"/>
    </row>
    <row r="122" spans="1:1" x14ac:dyDescent="0.35">
      <c r="A122" s="12"/>
    </row>
    <row r="123" spans="1:1" x14ac:dyDescent="0.35">
      <c r="A123" s="12"/>
    </row>
    <row r="124" spans="1:1" x14ac:dyDescent="0.35">
      <c r="A124" s="12"/>
    </row>
    <row r="125" spans="1:1" x14ac:dyDescent="0.35">
      <c r="A125" s="12"/>
    </row>
    <row r="126" spans="1:1" x14ac:dyDescent="0.35">
      <c r="A126" s="12"/>
    </row>
    <row r="127" spans="1:1" x14ac:dyDescent="0.35">
      <c r="A127" s="12"/>
    </row>
    <row r="128" spans="1:1" x14ac:dyDescent="0.35">
      <c r="A128" s="12"/>
    </row>
    <row r="129" spans="1:1" x14ac:dyDescent="0.35">
      <c r="A129" s="12"/>
    </row>
    <row r="130" spans="1:1" x14ac:dyDescent="0.35">
      <c r="A130" s="12"/>
    </row>
    <row r="131" spans="1:1" x14ac:dyDescent="0.35">
      <c r="A131" s="12"/>
    </row>
    <row r="132" spans="1:1" x14ac:dyDescent="0.35">
      <c r="A132" s="12"/>
    </row>
    <row r="133" spans="1:1" x14ac:dyDescent="0.35">
      <c r="A133" s="12"/>
    </row>
    <row r="134" spans="1:1" x14ac:dyDescent="0.35">
      <c r="A134" s="12"/>
    </row>
    <row r="135" spans="1:1" x14ac:dyDescent="0.35">
      <c r="A135" s="12"/>
    </row>
    <row r="136" spans="1:1" x14ac:dyDescent="0.35">
      <c r="A136" s="12"/>
    </row>
    <row r="137" spans="1:1" x14ac:dyDescent="0.35">
      <c r="A137" s="12"/>
    </row>
    <row r="138" spans="1:1" x14ac:dyDescent="0.35">
      <c r="A138" s="12"/>
    </row>
    <row r="139" spans="1:1" x14ac:dyDescent="0.35">
      <c r="A139" s="12"/>
    </row>
    <row r="140" spans="1:1" x14ac:dyDescent="0.35">
      <c r="A140" s="12"/>
    </row>
    <row r="141" spans="1:1" x14ac:dyDescent="0.35">
      <c r="A141" s="12"/>
    </row>
    <row r="142" spans="1:1" x14ac:dyDescent="0.35">
      <c r="A142" s="12"/>
    </row>
    <row r="143" spans="1:1" x14ac:dyDescent="0.35">
      <c r="A143" s="12"/>
    </row>
    <row r="144" spans="1:1" x14ac:dyDescent="0.35">
      <c r="A144" s="12"/>
    </row>
    <row r="145" spans="1:1" x14ac:dyDescent="0.35">
      <c r="A145" s="12"/>
    </row>
    <row r="146" spans="1:1" x14ac:dyDescent="0.35">
      <c r="A146" s="12"/>
    </row>
    <row r="147" spans="1:1" x14ac:dyDescent="0.35">
      <c r="A147" s="12"/>
    </row>
    <row r="148" spans="1:1" x14ac:dyDescent="0.35">
      <c r="A148" s="12"/>
    </row>
    <row r="149" spans="1:1" x14ac:dyDescent="0.35">
      <c r="A149" s="12"/>
    </row>
    <row r="150" spans="1:1" x14ac:dyDescent="0.35">
      <c r="A150" s="12"/>
    </row>
    <row r="151" spans="1:1" x14ac:dyDescent="0.35">
      <c r="A151" s="12"/>
    </row>
    <row r="152" spans="1:1" x14ac:dyDescent="0.35">
      <c r="A152" s="12"/>
    </row>
    <row r="153" spans="1:1" x14ac:dyDescent="0.35">
      <c r="A153" s="12"/>
    </row>
    <row r="154" spans="1:1" x14ac:dyDescent="0.35">
      <c r="A154" s="12"/>
    </row>
    <row r="155" spans="1:1" x14ac:dyDescent="0.35">
      <c r="A155" s="12"/>
    </row>
    <row r="156" spans="1:1" x14ac:dyDescent="0.35">
      <c r="A156" s="12"/>
    </row>
    <row r="157" spans="1:1" x14ac:dyDescent="0.35">
      <c r="A157" s="12"/>
    </row>
    <row r="158" spans="1:1" x14ac:dyDescent="0.35">
      <c r="A158" s="12"/>
    </row>
    <row r="159" spans="1:1" x14ac:dyDescent="0.35">
      <c r="A159" s="12"/>
    </row>
    <row r="160" spans="1:1" x14ac:dyDescent="0.35">
      <c r="A160" s="12"/>
    </row>
    <row r="161" spans="1:1" x14ac:dyDescent="0.35">
      <c r="A161" s="12"/>
    </row>
    <row r="162" spans="1:1" x14ac:dyDescent="0.35">
      <c r="A162" s="12"/>
    </row>
    <row r="163" spans="1:1" x14ac:dyDescent="0.35">
      <c r="A163" s="12"/>
    </row>
    <row r="164" spans="1:1" x14ac:dyDescent="0.35">
      <c r="A164" s="12"/>
    </row>
    <row r="165" spans="1:1" x14ac:dyDescent="0.35">
      <c r="A165" s="12"/>
    </row>
    <row r="166" spans="1:1" x14ac:dyDescent="0.35">
      <c r="A166" s="12"/>
    </row>
    <row r="167" spans="1:1" x14ac:dyDescent="0.35">
      <c r="A167" s="12"/>
    </row>
    <row r="168" spans="1:1" x14ac:dyDescent="0.35">
      <c r="A168" s="12"/>
    </row>
    <row r="169" spans="1:1" x14ac:dyDescent="0.35">
      <c r="A169" s="12"/>
    </row>
    <row r="170" spans="1:1" x14ac:dyDescent="0.35">
      <c r="A170" s="12"/>
    </row>
    <row r="171" spans="1:1" x14ac:dyDescent="0.35">
      <c r="A171" s="12"/>
    </row>
    <row r="172" spans="1:1" x14ac:dyDescent="0.35">
      <c r="A172" s="12"/>
    </row>
    <row r="173" spans="1:1" x14ac:dyDescent="0.35">
      <c r="A173" s="12"/>
    </row>
    <row r="174" spans="1:1" x14ac:dyDescent="0.35">
      <c r="A174" s="12"/>
    </row>
    <row r="175" spans="1:1" x14ac:dyDescent="0.35">
      <c r="A175" s="12"/>
    </row>
    <row r="176" spans="1:1" x14ac:dyDescent="0.35">
      <c r="A176" s="12"/>
    </row>
    <row r="177" spans="1:1" x14ac:dyDescent="0.35">
      <c r="A177" s="12"/>
    </row>
    <row r="178" spans="1:1" x14ac:dyDescent="0.35">
      <c r="A178" s="12"/>
    </row>
    <row r="179" spans="1:1" x14ac:dyDescent="0.35">
      <c r="A179" s="12"/>
    </row>
    <row r="180" spans="1:1" x14ac:dyDescent="0.35">
      <c r="A180" s="12"/>
    </row>
    <row r="181" spans="1:1" x14ac:dyDescent="0.35">
      <c r="A181" s="12"/>
    </row>
    <row r="182" spans="1:1" x14ac:dyDescent="0.35">
      <c r="A182" s="12"/>
    </row>
    <row r="183" spans="1:1" x14ac:dyDescent="0.35">
      <c r="A183" s="12"/>
    </row>
    <row r="184" spans="1:1" x14ac:dyDescent="0.35">
      <c r="A184" s="12"/>
    </row>
    <row r="185" spans="1:1" x14ac:dyDescent="0.35">
      <c r="A185" s="12"/>
    </row>
    <row r="186" spans="1:1" x14ac:dyDescent="0.35">
      <c r="A186" s="12"/>
    </row>
    <row r="187" spans="1:1" x14ac:dyDescent="0.35">
      <c r="A187" s="12"/>
    </row>
    <row r="188" spans="1:1" x14ac:dyDescent="0.35">
      <c r="A188" s="12"/>
    </row>
    <row r="189" spans="1:1" x14ac:dyDescent="0.35">
      <c r="A189" s="12"/>
    </row>
    <row r="190" spans="1:1" x14ac:dyDescent="0.35">
      <c r="A190" s="12"/>
    </row>
    <row r="191" spans="1:1" x14ac:dyDescent="0.35">
      <c r="A191" s="12"/>
    </row>
    <row r="192" spans="1:1" x14ac:dyDescent="0.35">
      <c r="A192" s="12"/>
    </row>
    <row r="193" spans="1:1" x14ac:dyDescent="0.35">
      <c r="A193" s="12"/>
    </row>
    <row r="194" spans="1:1" x14ac:dyDescent="0.35">
      <c r="A194" s="12"/>
    </row>
    <row r="195" spans="1:1" x14ac:dyDescent="0.35">
      <c r="A195" s="12"/>
    </row>
    <row r="196" spans="1:1" x14ac:dyDescent="0.35">
      <c r="A196" s="12"/>
    </row>
    <row r="197" spans="1:1" x14ac:dyDescent="0.35">
      <c r="A197" s="12"/>
    </row>
    <row r="198" spans="1:1" x14ac:dyDescent="0.35">
      <c r="A198" s="12"/>
    </row>
    <row r="199" spans="1:1" x14ac:dyDescent="0.35">
      <c r="A199" s="12"/>
    </row>
    <row r="200" spans="1:1" x14ac:dyDescent="0.35">
      <c r="A200" s="12"/>
    </row>
    <row r="201" spans="1:1" x14ac:dyDescent="0.35">
      <c r="A201" s="12"/>
    </row>
    <row r="202" spans="1:1" x14ac:dyDescent="0.35">
      <c r="A202" s="12"/>
    </row>
    <row r="203" spans="1:1" x14ac:dyDescent="0.35">
      <c r="A203" s="12"/>
    </row>
    <row r="204" spans="1:1" x14ac:dyDescent="0.35">
      <c r="A204" s="12"/>
    </row>
    <row r="205" spans="1:1" x14ac:dyDescent="0.35">
      <c r="A205" s="12"/>
    </row>
    <row r="206" spans="1:1" x14ac:dyDescent="0.35">
      <c r="A206" s="12"/>
    </row>
    <row r="207" spans="1:1" x14ac:dyDescent="0.35">
      <c r="A207" s="12"/>
    </row>
    <row r="208" spans="1:1" x14ac:dyDescent="0.35">
      <c r="A208" s="12"/>
    </row>
    <row r="209" spans="1:1" x14ac:dyDescent="0.35">
      <c r="A209" s="12"/>
    </row>
    <row r="210" spans="1:1" x14ac:dyDescent="0.35">
      <c r="A210" s="12"/>
    </row>
    <row r="211" spans="1:1" x14ac:dyDescent="0.35">
      <c r="A211" s="12"/>
    </row>
    <row r="212" spans="1:1" x14ac:dyDescent="0.35">
      <c r="A212" s="12"/>
    </row>
    <row r="213" spans="1:1" x14ac:dyDescent="0.35">
      <c r="A213" s="12"/>
    </row>
    <row r="214" spans="1:1" x14ac:dyDescent="0.35">
      <c r="A214" s="12"/>
    </row>
    <row r="215" spans="1:1" x14ac:dyDescent="0.35">
      <c r="A215" s="12"/>
    </row>
    <row r="216" spans="1:1" x14ac:dyDescent="0.35">
      <c r="A216" s="12"/>
    </row>
    <row r="217" spans="1:1" x14ac:dyDescent="0.35">
      <c r="A217" s="12"/>
    </row>
    <row r="218" spans="1:1" x14ac:dyDescent="0.35">
      <c r="A218" s="12"/>
    </row>
    <row r="219" spans="1:1" x14ac:dyDescent="0.35">
      <c r="A219" s="12"/>
    </row>
    <row r="220" spans="1:1" x14ac:dyDescent="0.35">
      <c r="A220" s="12"/>
    </row>
    <row r="221" spans="1:1" x14ac:dyDescent="0.35">
      <c r="A221" s="12"/>
    </row>
    <row r="222" spans="1:1" x14ac:dyDescent="0.35">
      <c r="A222" s="12"/>
    </row>
    <row r="223" spans="1:1" x14ac:dyDescent="0.35">
      <c r="A223" s="12"/>
    </row>
    <row r="224" spans="1:1" x14ac:dyDescent="0.35">
      <c r="A224" s="12"/>
    </row>
    <row r="225" spans="1:1" x14ac:dyDescent="0.35">
      <c r="A225" s="12"/>
    </row>
    <row r="226" spans="1:1" x14ac:dyDescent="0.35">
      <c r="A226" s="12"/>
    </row>
    <row r="227" spans="1:1" x14ac:dyDescent="0.35">
      <c r="A227" s="12"/>
    </row>
    <row r="228" spans="1:1" x14ac:dyDescent="0.35">
      <c r="A228" s="12"/>
    </row>
    <row r="229" spans="1:1" x14ac:dyDescent="0.35">
      <c r="A229" s="12"/>
    </row>
    <row r="230" spans="1:1" x14ac:dyDescent="0.35">
      <c r="A230" s="12"/>
    </row>
    <row r="231" spans="1:1" x14ac:dyDescent="0.35">
      <c r="A231" s="12"/>
    </row>
    <row r="232" spans="1:1" x14ac:dyDescent="0.35">
      <c r="A232" s="12"/>
    </row>
    <row r="233" spans="1:1" x14ac:dyDescent="0.35">
      <c r="A233" s="12"/>
    </row>
    <row r="234" spans="1:1" x14ac:dyDescent="0.35">
      <c r="A234" s="12"/>
    </row>
    <row r="235" spans="1:1" x14ac:dyDescent="0.35">
      <c r="A235" s="12"/>
    </row>
    <row r="236" spans="1:1" x14ac:dyDescent="0.35">
      <c r="A236" s="12"/>
    </row>
    <row r="237" spans="1:1" x14ac:dyDescent="0.35">
      <c r="A237" s="12"/>
    </row>
    <row r="238" spans="1:1" x14ac:dyDescent="0.35">
      <c r="A238" s="12"/>
    </row>
    <row r="239" spans="1:1" x14ac:dyDescent="0.35">
      <c r="A239" s="12"/>
    </row>
    <row r="240" spans="1:1" x14ac:dyDescent="0.35">
      <c r="A240" s="12"/>
    </row>
    <row r="241" spans="1:1" x14ac:dyDescent="0.35">
      <c r="A241" s="12"/>
    </row>
    <row r="242" spans="1:1" x14ac:dyDescent="0.35">
      <c r="A242" s="12"/>
    </row>
    <row r="243" spans="1:1" x14ac:dyDescent="0.35">
      <c r="A243" s="12"/>
    </row>
    <row r="244" spans="1:1" x14ac:dyDescent="0.35">
      <c r="A244" s="12"/>
    </row>
    <row r="245" spans="1:1" x14ac:dyDescent="0.35">
      <c r="A245" s="12"/>
    </row>
    <row r="246" spans="1:1" x14ac:dyDescent="0.35">
      <c r="A246" s="12"/>
    </row>
    <row r="247" spans="1:1" x14ac:dyDescent="0.35">
      <c r="A247" s="12"/>
    </row>
    <row r="248" spans="1:1" x14ac:dyDescent="0.35">
      <c r="A248" s="12"/>
    </row>
    <row r="249" spans="1:1" x14ac:dyDescent="0.35">
      <c r="A249" s="12"/>
    </row>
    <row r="250" spans="1:1" x14ac:dyDescent="0.35">
      <c r="A250" s="12"/>
    </row>
    <row r="251" spans="1:1" x14ac:dyDescent="0.35">
      <c r="A251" s="12"/>
    </row>
    <row r="252" spans="1:1" x14ac:dyDescent="0.35">
      <c r="A252" s="12"/>
    </row>
    <row r="253" spans="1:1" x14ac:dyDescent="0.35">
      <c r="A253" s="12"/>
    </row>
    <row r="254" spans="1:1" x14ac:dyDescent="0.35">
      <c r="A254" s="12"/>
    </row>
    <row r="255" spans="1:1" x14ac:dyDescent="0.35">
      <c r="A255" s="12"/>
    </row>
    <row r="256" spans="1:1" x14ac:dyDescent="0.35">
      <c r="A256" s="12"/>
    </row>
    <row r="257" spans="1:1" x14ac:dyDescent="0.35">
      <c r="A257" s="12"/>
    </row>
    <row r="258" spans="1:1" x14ac:dyDescent="0.35">
      <c r="A258" s="12"/>
    </row>
    <row r="259" spans="1:1" x14ac:dyDescent="0.35">
      <c r="A259" s="12"/>
    </row>
    <row r="260" spans="1:1" x14ac:dyDescent="0.35">
      <c r="A260" s="12"/>
    </row>
    <row r="261" spans="1:1" x14ac:dyDescent="0.35">
      <c r="A261" s="12"/>
    </row>
    <row r="262" spans="1:1" x14ac:dyDescent="0.35">
      <c r="A262" s="12"/>
    </row>
    <row r="263" spans="1:1" x14ac:dyDescent="0.35">
      <c r="A263" s="12"/>
    </row>
    <row r="264" spans="1:1" x14ac:dyDescent="0.35">
      <c r="A264" s="12"/>
    </row>
    <row r="265" spans="1:1" x14ac:dyDescent="0.35">
      <c r="A265" s="12"/>
    </row>
    <row r="266" spans="1:1" x14ac:dyDescent="0.35">
      <c r="A266" s="12"/>
    </row>
    <row r="267" spans="1:1" x14ac:dyDescent="0.35">
      <c r="A267" s="12"/>
    </row>
    <row r="268" spans="1:1" x14ac:dyDescent="0.35">
      <c r="A268" s="12"/>
    </row>
    <row r="269" spans="1:1" x14ac:dyDescent="0.35">
      <c r="A269" s="12"/>
    </row>
    <row r="270" spans="1:1" x14ac:dyDescent="0.35">
      <c r="A270" s="12"/>
    </row>
    <row r="271" spans="1:1" x14ac:dyDescent="0.35">
      <c r="A271" s="12"/>
    </row>
    <row r="272" spans="1:1" x14ac:dyDescent="0.35">
      <c r="A272" s="12"/>
    </row>
    <row r="273" spans="1:1" x14ac:dyDescent="0.35">
      <c r="A273" s="12"/>
    </row>
    <row r="274" spans="1:1" x14ac:dyDescent="0.35">
      <c r="A274" s="12"/>
    </row>
    <row r="275" spans="1:1" x14ac:dyDescent="0.35">
      <c r="A275" s="12"/>
    </row>
    <row r="276" spans="1:1" x14ac:dyDescent="0.35">
      <c r="A276" s="12"/>
    </row>
    <row r="277" spans="1:1" x14ac:dyDescent="0.35">
      <c r="A277" s="12"/>
    </row>
    <row r="278" spans="1:1" x14ac:dyDescent="0.35">
      <c r="A278" s="12"/>
    </row>
    <row r="279" spans="1:1" x14ac:dyDescent="0.35">
      <c r="A279" s="12"/>
    </row>
    <row r="280" spans="1:1" x14ac:dyDescent="0.35">
      <c r="A280" s="12"/>
    </row>
    <row r="281" spans="1:1" x14ac:dyDescent="0.35">
      <c r="A281" s="12"/>
    </row>
    <row r="282" spans="1:1" x14ac:dyDescent="0.35">
      <c r="A282" s="12"/>
    </row>
    <row r="283" spans="1:1" x14ac:dyDescent="0.35">
      <c r="A283" s="12"/>
    </row>
    <row r="284" spans="1:1" x14ac:dyDescent="0.35">
      <c r="A284" s="12"/>
    </row>
    <row r="285" spans="1:1" x14ac:dyDescent="0.35">
      <c r="A285" s="12"/>
    </row>
    <row r="286" spans="1:1" x14ac:dyDescent="0.35">
      <c r="A286" s="12"/>
    </row>
    <row r="287" spans="1:1" x14ac:dyDescent="0.35">
      <c r="A287" s="12"/>
    </row>
    <row r="288" spans="1:1" x14ac:dyDescent="0.35">
      <c r="A288" s="12"/>
    </row>
    <row r="289" spans="1:1" x14ac:dyDescent="0.35">
      <c r="A289" s="12"/>
    </row>
    <row r="290" spans="1:1" x14ac:dyDescent="0.35">
      <c r="A290" s="12"/>
    </row>
    <row r="291" spans="1:1" x14ac:dyDescent="0.35">
      <c r="A291" s="12"/>
    </row>
    <row r="292" spans="1:1" x14ac:dyDescent="0.35">
      <c r="A292" s="12"/>
    </row>
    <row r="293" spans="1:1" x14ac:dyDescent="0.35">
      <c r="A293" s="12"/>
    </row>
    <row r="294" spans="1:1" x14ac:dyDescent="0.35">
      <c r="A294" s="12"/>
    </row>
    <row r="295" spans="1:1" x14ac:dyDescent="0.35">
      <c r="A295" s="12"/>
    </row>
    <row r="296" spans="1:1" x14ac:dyDescent="0.35">
      <c r="A296" s="12"/>
    </row>
    <row r="297" spans="1:1" x14ac:dyDescent="0.35">
      <c r="A297" s="12"/>
    </row>
    <row r="298" spans="1:1" x14ac:dyDescent="0.35">
      <c r="A298" s="12"/>
    </row>
    <row r="299" spans="1:1" x14ac:dyDescent="0.35">
      <c r="A299" s="12"/>
    </row>
    <row r="300" spans="1:1" x14ac:dyDescent="0.35">
      <c r="A300" s="12"/>
    </row>
    <row r="301" spans="1:1" x14ac:dyDescent="0.35">
      <c r="A301" s="12"/>
    </row>
    <row r="302" spans="1:1" x14ac:dyDescent="0.35">
      <c r="A302" s="12"/>
    </row>
    <row r="303" spans="1:1" x14ac:dyDescent="0.35">
      <c r="A303" s="12"/>
    </row>
    <row r="304" spans="1:1" x14ac:dyDescent="0.35">
      <c r="A304" s="12"/>
    </row>
    <row r="305" spans="1:1" x14ac:dyDescent="0.35">
      <c r="A305" s="12"/>
    </row>
    <row r="306" spans="1:1" x14ac:dyDescent="0.35">
      <c r="A306" s="12"/>
    </row>
    <row r="307" spans="1:1" x14ac:dyDescent="0.35">
      <c r="A307" s="12"/>
    </row>
    <row r="308" spans="1:1" x14ac:dyDescent="0.35">
      <c r="A308" s="12"/>
    </row>
    <row r="309" spans="1:1" x14ac:dyDescent="0.35">
      <c r="A309" s="12"/>
    </row>
    <row r="310" spans="1:1" x14ac:dyDescent="0.35">
      <c r="A310" s="12"/>
    </row>
    <row r="311" spans="1:1" x14ac:dyDescent="0.35">
      <c r="A311" s="12"/>
    </row>
    <row r="312" spans="1:1" x14ac:dyDescent="0.35">
      <c r="A312" s="12"/>
    </row>
    <row r="313" spans="1:1" x14ac:dyDescent="0.35">
      <c r="A313" s="12"/>
    </row>
    <row r="314" spans="1:1" x14ac:dyDescent="0.35">
      <c r="A314" s="12"/>
    </row>
    <row r="315" spans="1:1" x14ac:dyDescent="0.35">
      <c r="A315" s="12"/>
    </row>
    <row r="316" spans="1:1" x14ac:dyDescent="0.35">
      <c r="A316" s="12"/>
    </row>
    <row r="317" spans="1:1" x14ac:dyDescent="0.35">
      <c r="A317" s="12"/>
    </row>
    <row r="318" spans="1:1" x14ac:dyDescent="0.35">
      <c r="A318" s="12"/>
    </row>
    <row r="319" spans="1:1" x14ac:dyDescent="0.35">
      <c r="A319" s="12"/>
    </row>
    <row r="320" spans="1:1" x14ac:dyDescent="0.35">
      <c r="A320" s="12"/>
    </row>
    <row r="321" spans="1:1" x14ac:dyDescent="0.35">
      <c r="A321" s="12"/>
    </row>
    <row r="322" spans="1:1" x14ac:dyDescent="0.35">
      <c r="A322" s="12"/>
    </row>
    <row r="323" spans="1:1" x14ac:dyDescent="0.35">
      <c r="A323" s="12"/>
    </row>
    <row r="324" spans="1:1" x14ac:dyDescent="0.35">
      <c r="A324" s="12"/>
    </row>
    <row r="325" spans="1:1" x14ac:dyDescent="0.35">
      <c r="A325" s="12"/>
    </row>
    <row r="326" spans="1:1" x14ac:dyDescent="0.35">
      <c r="A326" s="12"/>
    </row>
    <row r="327" spans="1:1" x14ac:dyDescent="0.35">
      <c r="A327" s="12"/>
    </row>
    <row r="328" spans="1:1" x14ac:dyDescent="0.35">
      <c r="A328" s="12"/>
    </row>
    <row r="329" spans="1:1" x14ac:dyDescent="0.35">
      <c r="A329" s="12"/>
    </row>
    <row r="330" spans="1:1" x14ac:dyDescent="0.35">
      <c r="A330" s="12"/>
    </row>
    <row r="331" spans="1:1" x14ac:dyDescent="0.35">
      <c r="A331" s="12"/>
    </row>
    <row r="332" spans="1:1" x14ac:dyDescent="0.35">
      <c r="A332" s="12"/>
    </row>
    <row r="333" spans="1:1" x14ac:dyDescent="0.35">
      <c r="A333" s="12"/>
    </row>
    <row r="334" spans="1:1" x14ac:dyDescent="0.35">
      <c r="A334" s="12"/>
    </row>
    <row r="335" spans="1:1" x14ac:dyDescent="0.35">
      <c r="A335" s="12"/>
    </row>
    <row r="336" spans="1:1" x14ac:dyDescent="0.35">
      <c r="A336" s="12"/>
    </row>
    <row r="337" spans="1:1" x14ac:dyDescent="0.35">
      <c r="A337" s="12"/>
    </row>
    <row r="338" spans="1:1" x14ac:dyDescent="0.35">
      <c r="A338" s="12"/>
    </row>
    <row r="339" spans="1:1" x14ac:dyDescent="0.35">
      <c r="A339" s="12"/>
    </row>
    <row r="340" spans="1:1" x14ac:dyDescent="0.35">
      <c r="A340" s="12"/>
    </row>
    <row r="341" spans="1:1" x14ac:dyDescent="0.35">
      <c r="A341" s="12"/>
    </row>
    <row r="342" spans="1:1" x14ac:dyDescent="0.35">
      <c r="A342" s="12"/>
    </row>
    <row r="343" spans="1:1" x14ac:dyDescent="0.35">
      <c r="A343" s="12"/>
    </row>
    <row r="344" spans="1:1" x14ac:dyDescent="0.35">
      <c r="A344" s="12"/>
    </row>
    <row r="345" spans="1:1" x14ac:dyDescent="0.35">
      <c r="A345" s="12"/>
    </row>
    <row r="346" spans="1:1" x14ac:dyDescent="0.35">
      <c r="A346" s="12"/>
    </row>
    <row r="347" spans="1:1" x14ac:dyDescent="0.35">
      <c r="A347" s="12"/>
    </row>
    <row r="348" spans="1:1" x14ac:dyDescent="0.35">
      <c r="A348" s="12"/>
    </row>
    <row r="349" spans="1:1" x14ac:dyDescent="0.35">
      <c r="A349" s="12"/>
    </row>
    <row r="350" spans="1:1" x14ac:dyDescent="0.35">
      <c r="A350" s="12"/>
    </row>
    <row r="351" spans="1:1" x14ac:dyDescent="0.35">
      <c r="A351" s="12"/>
    </row>
    <row r="352" spans="1:1" x14ac:dyDescent="0.35">
      <c r="A352" s="12"/>
    </row>
    <row r="353" spans="1:1" x14ac:dyDescent="0.35">
      <c r="A353" s="12"/>
    </row>
    <row r="354" spans="1:1" x14ac:dyDescent="0.35">
      <c r="A354" s="12"/>
    </row>
    <row r="355" spans="1:1" x14ac:dyDescent="0.35">
      <c r="A355" s="12"/>
    </row>
    <row r="356" spans="1:1" x14ac:dyDescent="0.35">
      <c r="A356" s="12"/>
    </row>
    <row r="357" spans="1:1" x14ac:dyDescent="0.35">
      <c r="A357" s="12"/>
    </row>
    <row r="358" spans="1:1" x14ac:dyDescent="0.35">
      <c r="A358" s="12"/>
    </row>
    <row r="359" spans="1:1" x14ac:dyDescent="0.35">
      <c r="A359" s="12"/>
    </row>
    <row r="360" spans="1:1" x14ac:dyDescent="0.35">
      <c r="A360" s="12"/>
    </row>
    <row r="361" spans="1:1" x14ac:dyDescent="0.35">
      <c r="A361" s="12"/>
    </row>
    <row r="362" spans="1:1" x14ac:dyDescent="0.35">
      <c r="A362" s="12"/>
    </row>
    <row r="363" spans="1:1" x14ac:dyDescent="0.35">
      <c r="A363" s="12"/>
    </row>
    <row r="364" spans="1:1" x14ac:dyDescent="0.35">
      <c r="A364" s="12"/>
    </row>
    <row r="365" spans="1:1" x14ac:dyDescent="0.35">
      <c r="A365" s="12"/>
    </row>
    <row r="366" spans="1:1" x14ac:dyDescent="0.35">
      <c r="A366" s="12"/>
    </row>
    <row r="367" spans="1:1" x14ac:dyDescent="0.35">
      <c r="A367" s="12"/>
    </row>
    <row r="368" spans="1:1" x14ac:dyDescent="0.35">
      <c r="A368" s="12"/>
    </row>
    <row r="369" spans="1:1" x14ac:dyDescent="0.35">
      <c r="A369" s="12"/>
    </row>
    <row r="370" spans="1:1" x14ac:dyDescent="0.35">
      <c r="A370" s="12"/>
    </row>
    <row r="371" spans="1:1" x14ac:dyDescent="0.35">
      <c r="A371" s="12"/>
    </row>
    <row r="372" spans="1:1" x14ac:dyDescent="0.35">
      <c r="A372" s="12"/>
    </row>
    <row r="373" spans="1:1" x14ac:dyDescent="0.35">
      <c r="A373" s="12"/>
    </row>
    <row r="374" spans="1:1" x14ac:dyDescent="0.35">
      <c r="A374" s="12"/>
    </row>
    <row r="375" spans="1:1" x14ac:dyDescent="0.35">
      <c r="A375" s="12"/>
    </row>
    <row r="376" spans="1:1" x14ac:dyDescent="0.35">
      <c r="A376" s="12"/>
    </row>
    <row r="377" spans="1:1" x14ac:dyDescent="0.35">
      <c r="A377" s="12"/>
    </row>
    <row r="378" spans="1:1" x14ac:dyDescent="0.35">
      <c r="A378" s="12"/>
    </row>
    <row r="379" spans="1:1" x14ac:dyDescent="0.35">
      <c r="A379" s="12"/>
    </row>
    <row r="380" spans="1:1" x14ac:dyDescent="0.35">
      <c r="A380" s="12"/>
    </row>
    <row r="381" spans="1:1" x14ac:dyDescent="0.35">
      <c r="A381" s="12"/>
    </row>
    <row r="382" spans="1:1" x14ac:dyDescent="0.35">
      <c r="A382" s="12"/>
    </row>
    <row r="383" spans="1:1" x14ac:dyDescent="0.35">
      <c r="A383" s="12"/>
    </row>
    <row r="384" spans="1:1" x14ac:dyDescent="0.35">
      <c r="A384" s="12"/>
    </row>
    <row r="385" spans="1:1" x14ac:dyDescent="0.35">
      <c r="A385" s="12"/>
    </row>
    <row r="386" spans="1:1" x14ac:dyDescent="0.35">
      <c r="A386" s="12"/>
    </row>
    <row r="387" spans="1:1" x14ac:dyDescent="0.35">
      <c r="A387" s="12"/>
    </row>
    <row r="388" spans="1:1" x14ac:dyDescent="0.35">
      <c r="A388" s="12"/>
    </row>
    <row r="389" spans="1:1" x14ac:dyDescent="0.35">
      <c r="A389" s="12"/>
    </row>
    <row r="390" spans="1:1" x14ac:dyDescent="0.35">
      <c r="A390" s="12"/>
    </row>
    <row r="391" spans="1:1" x14ac:dyDescent="0.35">
      <c r="A391" s="12"/>
    </row>
    <row r="392" spans="1:1" x14ac:dyDescent="0.35">
      <c r="A392" s="12"/>
    </row>
    <row r="393" spans="1:1" x14ac:dyDescent="0.35">
      <c r="A393" s="12"/>
    </row>
    <row r="394" spans="1:1" x14ac:dyDescent="0.35">
      <c r="A394" s="12"/>
    </row>
    <row r="395" spans="1:1" x14ac:dyDescent="0.35">
      <c r="A395" s="12"/>
    </row>
    <row r="396" spans="1:1" x14ac:dyDescent="0.35">
      <c r="A396" s="12"/>
    </row>
    <row r="397" spans="1:1" x14ac:dyDescent="0.35">
      <c r="A397" s="12"/>
    </row>
    <row r="398" spans="1:1" x14ac:dyDescent="0.35">
      <c r="A398" s="12"/>
    </row>
    <row r="399" spans="1:1" x14ac:dyDescent="0.35">
      <c r="A399" s="12"/>
    </row>
    <row r="400" spans="1:1" x14ac:dyDescent="0.35">
      <c r="A400" s="12"/>
    </row>
    <row r="401" spans="1:1" x14ac:dyDescent="0.35">
      <c r="A401" s="12"/>
    </row>
    <row r="402" spans="1:1" x14ac:dyDescent="0.35">
      <c r="A402" s="12"/>
    </row>
    <row r="403" spans="1:1" x14ac:dyDescent="0.35">
      <c r="A403" s="12"/>
    </row>
    <row r="404" spans="1:1" x14ac:dyDescent="0.35">
      <c r="A404" s="12"/>
    </row>
    <row r="405" spans="1:1" x14ac:dyDescent="0.35">
      <c r="A405" s="12"/>
    </row>
    <row r="406" spans="1:1" x14ac:dyDescent="0.35">
      <c r="A406" s="12"/>
    </row>
    <row r="407" spans="1:1" x14ac:dyDescent="0.35">
      <c r="A407" s="12"/>
    </row>
    <row r="408" spans="1:1" x14ac:dyDescent="0.35">
      <c r="A408" s="12"/>
    </row>
    <row r="409" spans="1:1" x14ac:dyDescent="0.35">
      <c r="A409" s="12"/>
    </row>
    <row r="410" spans="1:1" x14ac:dyDescent="0.35">
      <c r="A410" s="12"/>
    </row>
    <row r="411" spans="1:1" x14ac:dyDescent="0.35">
      <c r="A411" s="12"/>
    </row>
    <row r="412" spans="1:1" x14ac:dyDescent="0.35">
      <c r="A412" s="12"/>
    </row>
    <row r="413" spans="1:1" x14ac:dyDescent="0.35">
      <c r="A413" s="12"/>
    </row>
    <row r="414" spans="1:1" x14ac:dyDescent="0.35">
      <c r="A414" s="12"/>
    </row>
    <row r="415" spans="1:1" x14ac:dyDescent="0.35">
      <c r="A415" s="12"/>
    </row>
    <row r="416" spans="1:1" x14ac:dyDescent="0.35">
      <c r="A416" s="12"/>
    </row>
    <row r="417" spans="1:1" x14ac:dyDescent="0.35">
      <c r="A417" s="12"/>
    </row>
    <row r="418" spans="1:1" x14ac:dyDescent="0.35">
      <c r="A418" s="12"/>
    </row>
    <row r="419" spans="1:1" x14ac:dyDescent="0.35">
      <c r="A419" s="12"/>
    </row>
    <row r="420" spans="1:1" x14ac:dyDescent="0.35">
      <c r="A420" s="12"/>
    </row>
    <row r="421" spans="1:1" x14ac:dyDescent="0.35">
      <c r="A421" s="12"/>
    </row>
    <row r="422" spans="1:1" x14ac:dyDescent="0.35">
      <c r="A422" s="12"/>
    </row>
    <row r="423" spans="1:1" x14ac:dyDescent="0.35">
      <c r="A423" s="12"/>
    </row>
    <row r="424" spans="1:1" x14ac:dyDescent="0.35">
      <c r="A424" s="12"/>
    </row>
    <row r="425" spans="1:1" x14ac:dyDescent="0.35">
      <c r="A425" s="12"/>
    </row>
    <row r="426" spans="1:1" x14ac:dyDescent="0.35">
      <c r="A426" s="12"/>
    </row>
    <row r="427" spans="1:1" x14ac:dyDescent="0.35">
      <c r="A427" s="12"/>
    </row>
    <row r="428" spans="1:1" x14ac:dyDescent="0.35">
      <c r="A428" s="12"/>
    </row>
    <row r="429" spans="1:1" x14ac:dyDescent="0.35">
      <c r="A429" s="12"/>
    </row>
    <row r="430" spans="1:1" x14ac:dyDescent="0.35">
      <c r="A430" s="12"/>
    </row>
    <row r="431" spans="1:1" x14ac:dyDescent="0.35">
      <c r="A431" s="12"/>
    </row>
    <row r="432" spans="1:1" x14ac:dyDescent="0.35">
      <c r="A432" s="12"/>
    </row>
    <row r="433" spans="1:1" x14ac:dyDescent="0.35">
      <c r="A433" s="12"/>
    </row>
    <row r="434" spans="1:1" x14ac:dyDescent="0.35">
      <c r="A434" s="12"/>
    </row>
    <row r="435" spans="1:1" x14ac:dyDescent="0.35">
      <c r="A435" s="12"/>
    </row>
    <row r="436" spans="1:1" x14ac:dyDescent="0.35">
      <c r="A436" s="12"/>
    </row>
    <row r="437" spans="1:1" x14ac:dyDescent="0.35">
      <c r="A437" s="12"/>
    </row>
    <row r="438" spans="1:1" x14ac:dyDescent="0.35">
      <c r="A438" s="12"/>
    </row>
    <row r="439" spans="1:1" x14ac:dyDescent="0.35">
      <c r="A439" s="12"/>
    </row>
    <row r="440" spans="1:1" x14ac:dyDescent="0.35">
      <c r="A440" s="12"/>
    </row>
    <row r="441" spans="1:1" x14ac:dyDescent="0.35">
      <c r="A441" s="12"/>
    </row>
    <row r="442" spans="1:1" x14ac:dyDescent="0.35">
      <c r="A442" s="12"/>
    </row>
    <row r="443" spans="1:1" x14ac:dyDescent="0.35">
      <c r="A443" s="12"/>
    </row>
    <row r="444" spans="1:1" x14ac:dyDescent="0.35">
      <c r="A444" s="12"/>
    </row>
    <row r="445" spans="1:1" x14ac:dyDescent="0.35">
      <c r="A445" s="12"/>
    </row>
    <row r="446" spans="1:1" x14ac:dyDescent="0.35">
      <c r="A446" s="12"/>
    </row>
    <row r="447" spans="1:1" x14ac:dyDescent="0.35">
      <c r="A447" s="12"/>
    </row>
    <row r="448" spans="1:1" x14ac:dyDescent="0.35">
      <c r="A448" s="12"/>
    </row>
    <row r="449" spans="1:1" x14ac:dyDescent="0.35">
      <c r="A449" s="12"/>
    </row>
    <row r="450" spans="1:1" x14ac:dyDescent="0.35">
      <c r="A450" s="12"/>
    </row>
    <row r="451" spans="1:1" x14ac:dyDescent="0.35">
      <c r="A451" s="12"/>
    </row>
    <row r="452" spans="1:1" x14ac:dyDescent="0.35">
      <c r="A452" s="12"/>
    </row>
    <row r="453" spans="1:1" x14ac:dyDescent="0.35">
      <c r="A453" s="12"/>
    </row>
    <row r="454" spans="1:1" x14ac:dyDescent="0.35">
      <c r="A454" s="12"/>
    </row>
    <row r="455" spans="1:1" x14ac:dyDescent="0.35">
      <c r="A455" s="12"/>
    </row>
    <row r="456" spans="1:1" x14ac:dyDescent="0.35">
      <c r="A456" s="12"/>
    </row>
    <row r="457" spans="1:1" x14ac:dyDescent="0.35">
      <c r="A457" s="12"/>
    </row>
    <row r="458" spans="1:1" x14ac:dyDescent="0.35">
      <c r="A458" s="12"/>
    </row>
    <row r="459" spans="1:1" x14ac:dyDescent="0.35">
      <c r="A459" s="12"/>
    </row>
    <row r="460" spans="1:1" x14ac:dyDescent="0.35">
      <c r="A460" s="12"/>
    </row>
    <row r="461" spans="1:1" x14ac:dyDescent="0.35">
      <c r="A461" s="12"/>
    </row>
    <row r="462" spans="1:1" x14ac:dyDescent="0.35">
      <c r="A462" s="12"/>
    </row>
    <row r="463" spans="1:1" x14ac:dyDescent="0.35">
      <c r="A463" s="12"/>
    </row>
    <row r="464" spans="1:1" x14ac:dyDescent="0.35">
      <c r="A464" s="12"/>
    </row>
    <row r="465" spans="1:1" x14ac:dyDescent="0.35">
      <c r="A465" s="12"/>
    </row>
    <row r="466" spans="1:1" x14ac:dyDescent="0.35">
      <c r="A466" s="12"/>
    </row>
    <row r="467" spans="1:1" x14ac:dyDescent="0.35">
      <c r="A467" s="12"/>
    </row>
    <row r="468" spans="1:1" x14ac:dyDescent="0.35">
      <c r="A468" s="12"/>
    </row>
    <row r="469" spans="1:1" x14ac:dyDescent="0.35">
      <c r="A469" s="12"/>
    </row>
    <row r="470" spans="1:1" x14ac:dyDescent="0.35">
      <c r="A470" s="12"/>
    </row>
    <row r="471" spans="1:1" x14ac:dyDescent="0.35">
      <c r="A471" s="12"/>
    </row>
    <row r="472" spans="1:1" x14ac:dyDescent="0.35">
      <c r="A472" s="12"/>
    </row>
    <row r="473" spans="1:1" x14ac:dyDescent="0.35">
      <c r="A473" s="12"/>
    </row>
    <row r="474" spans="1:1" x14ac:dyDescent="0.35">
      <c r="A474" s="12"/>
    </row>
    <row r="475" spans="1:1" x14ac:dyDescent="0.35">
      <c r="A475" s="12"/>
    </row>
    <row r="476" spans="1:1" x14ac:dyDescent="0.35">
      <c r="A476" s="12"/>
    </row>
    <row r="477" spans="1:1" x14ac:dyDescent="0.35">
      <c r="A477" s="12"/>
    </row>
    <row r="478" spans="1:1" x14ac:dyDescent="0.35">
      <c r="A478" s="12"/>
    </row>
    <row r="479" spans="1:1" x14ac:dyDescent="0.35">
      <c r="A479" s="12"/>
    </row>
    <row r="480" spans="1:1" x14ac:dyDescent="0.35">
      <c r="A480" s="12"/>
    </row>
    <row r="481" spans="1:1" x14ac:dyDescent="0.35">
      <c r="A481" s="12"/>
    </row>
    <row r="482" spans="1:1" x14ac:dyDescent="0.35">
      <c r="A482" s="12"/>
    </row>
    <row r="483" spans="1:1" x14ac:dyDescent="0.35">
      <c r="A483" s="12"/>
    </row>
    <row r="484" spans="1:1" x14ac:dyDescent="0.35">
      <c r="A484" s="12"/>
    </row>
    <row r="485" spans="1:1" x14ac:dyDescent="0.35">
      <c r="A485" s="12"/>
    </row>
    <row r="486" spans="1:1" x14ac:dyDescent="0.35">
      <c r="A486" s="12"/>
    </row>
    <row r="487" spans="1:1" x14ac:dyDescent="0.35">
      <c r="A487" s="12"/>
    </row>
    <row r="488" spans="1:1" x14ac:dyDescent="0.35">
      <c r="A488" s="12"/>
    </row>
    <row r="489" spans="1:1" x14ac:dyDescent="0.35">
      <c r="A489" s="12"/>
    </row>
    <row r="490" spans="1:1" x14ac:dyDescent="0.35">
      <c r="A490" s="12"/>
    </row>
    <row r="491" spans="1:1" x14ac:dyDescent="0.35">
      <c r="A491" s="12"/>
    </row>
    <row r="492" spans="1:1" x14ac:dyDescent="0.35">
      <c r="A492" s="12"/>
    </row>
    <row r="493" spans="1:1" x14ac:dyDescent="0.35">
      <c r="A493" s="12"/>
    </row>
    <row r="494" spans="1:1" x14ac:dyDescent="0.35">
      <c r="A494" s="12"/>
    </row>
    <row r="495" spans="1:1" x14ac:dyDescent="0.35">
      <c r="A495" s="12"/>
    </row>
    <row r="496" spans="1:1" x14ac:dyDescent="0.35">
      <c r="A496" s="12"/>
    </row>
    <row r="497" spans="1:1" x14ac:dyDescent="0.35">
      <c r="A497" s="12"/>
    </row>
    <row r="498" spans="1:1" x14ac:dyDescent="0.35">
      <c r="A498" s="12"/>
    </row>
    <row r="499" spans="1:1" x14ac:dyDescent="0.35">
      <c r="A499" s="12"/>
    </row>
    <row r="500" spans="1:1" x14ac:dyDescent="0.35">
      <c r="A500" s="12"/>
    </row>
    <row r="501" spans="1:1" x14ac:dyDescent="0.35">
      <c r="A501" s="12"/>
    </row>
    <row r="502" spans="1:1" x14ac:dyDescent="0.35">
      <c r="A502" s="12"/>
    </row>
    <row r="503" spans="1:1" x14ac:dyDescent="0.35">
      <c r="A503" s="12"/>
    </row>
    <row r="504" spans="1:1" x14ac:dyDescent="0.35">
      <c r="A504" s="12"/>
    </row>
    <row r="505" spans="1:1" x14ac:dyDescent="0.35">
      <c r="A505" s="12"/>
    </row>
    <row r="506" spans="1:1" x14ac:dyDescent="0.35">
      <c r="A506" s="12"/>
    </row>
    <row r="507" spans="1:1" x14ac:dyDescent="0.35">
      <c r="A507" s="12"/>
    </row>
    <row r="508" spans="1:1" x14ac:dyDescent="0.35">
      <c r="A508" s="12"/>
    </row>
    <row r="509" spans="1:1" x14ac:dyDescent="0.35">
      <c r="A509" s="12"/>
    </row>
    <row r="510" spans="1:1" x14ac:dyDescent="0.35">
      <c r="A510" s="12"/>
    </row>
    <row r="511" spans="1:1" x14ac:dyDescent="0.35">
      <c r="A511" s="12"/>
    </row>
    <row r="512" spans="1:1" x14ac:dyDescent="0.35">
      <c r="A512" s="12"/>
    </row>
    <row r="513" spans="1:1" x14ac:dyDescent="0.35">
      <c r="A513" s="12"/>
    </row>
    <row r="514" spans="1:1" x14ac:dyDescent="0.35">
      <c r="A514" s="12"/>
    </row>
    <row r="515" spans="1:1" x14ac:dyDescent="0.35">
      <c r="A515" s="12"/>
    </row>
    <row r="516" spans="1:1" x14ac:dyDescent="0.35">
      <c r="A516" s="12"/>
    </row>
    <row r="517" spans="1:1" x14ac:dyDescent="0.35">
      <c r="A517" s="12"/>
    </row>
    <row r="518" spans="1:1" x14ac:dyDescent="0.35">
      <c r="A518" s="12"/>
    </row>
    <row r="519" spans="1:1" x14ac:dyDescent="0.35">
      <c r="A519" s="12"/>
    </row>
    <row r="520" spans="1:1" x14ac:dyDescent="0.35">
      <c r="A520" s="12"/>
    </row>
    <row r="521" spans="1:1" x14ac:dyDescent="0.35">
      <c r="A521" s="12"/>
    </row>
    <row r="522" spans="1:1" x14ac:dyDescent="0.35">
      <c r="A522" s="12"/>
    </row>
    <row r="523" spans="1:1" x14ac:dyDescent="0.35">
      <c r="A523" s="12"/>
    </row>
    <row r="524" spans="1:1" x14ac:dyDescent="0.35">
      <c r="A524" s="12"/>
    </row>
    <row r="525" spans="1:1" x14ac:dyDescent="0.35">
      <c r="A525" s="12"/>
    </row>
    <row r="526" spans="1:1" x14ac:dyDescent="0.35">
      <c r="A526" s="12"/>
    </row>
    <row r="527" spans="1:1" x14ac:dyDescent="0.35">
      <c r="A527" s="12"/>
    </row>
    <row r="528" spans="1:1" x14ac:dyDescent="0.35">
      <c r="A528" s="12"/>
    </row>
    <row r="529" spans="1:1" x14ac:dyDescent="0.35">
      <c r="A529" s="12"/>
    </row>
    <row r="530" spans="1:1" x14ac:dyDescent="0.35">
      <c r="A530" s="12"/>
    </row>
    <row r="531" spans="1:1" x14ac:dyDescent="0.35">
      <c r="A531" s="12"/>
    </row>
    <row r="532" spans="1:1" x14ac:dyDescent="0.35">
      <c r="A532" s="12"/>
    </row>
    <row r="533" spans="1:1" x14ac:dyDescent="0.35">
      <c r="A533" s="12"/>
    </row>
    <row r="534" spans="1:1" x14ac:dyDescent="0.35">
      <c r="A534" s="12"/>
    </row>
    <row r="535" spans="1:1" x14ac:dyDescent="0.35">
      <c r="A535" s="12"/>
    </row>
    <row r="536" spans="1:1" x14ac:dyDescent="0.35">
      <c r="A536" s="12"/>
    </row>
    <row r="537" spans="1:1" x14ac:dyDescent="0.35">
      <c r="A537" s="12"/>
    </row>
    <row r="538" spans="1:1" x14ac:dyDescent="0.35">
      <c r="A538" s="12"/>
    </row>
    <row r="539" spans="1:1" x14ac:dyDescent="0.35">
      <c r="A539" s="12"/>
    </row>
    <row r="540" spans="1:1" x14ac:dyDescent="0.35">
      <c r="A540" s="12"/>
    </row>
    <row r="541" spans="1:1" x14ac:dyDescent="0.35">
      <c r="A541" s="12"/>
    </row>
    <row r="542" spans="1:1" x14ac:dyDescent="0.35">
      <c r="A542" s="12"/>
    </row>
    <row r="543" spans="1:1" x14ac:dyDescent="0.35">
      <c r="A543" s="12"/>
    </row>
    <row r="544" spans="1:1" x14ac:dyDescent="0.35">
      <c r="A544" s="12"/>
    </row>
    <row r="545" spans="1:1" x14ac:dyDescent="0.35">
      <c r="A545" s="12"/>
    </row>
    <row r="546" spans="1:1" x14ac:dyDescent="0.35">
      <c r="A546" s="12"/>
    </row>
    <row r="547" spans="1:1" x14ac:dyDescent="0.35">
      <c r="A547" s="12"/>
    </row>
    <row r="548" spans="1:1" x14ac:dyDescent="0.35">
      <c r="A548" s="12"/>
    </row>
    <row r="549" spans="1:1" x14ac:dyDescent="0.35">
      <c r="A549" s="12"/>
    </row>
    <row r="550" spans="1:1" x14ac:dyDescent="0.35">
      <c r="A550" s="12"/>
    </row>
    <row r="551" spans="1:1" x14ac:dyDescent="0.35">
      <c r="A551" s="12"/>
    </row>
    <row r="552" spans="1:1" x14ac:dyDescent="0.35">
      <c r="A552" s="12"/>
    </row>
    <row r="553" spans="1:1" x14ac:dyDescent="0.35">
      <c r="A553" s="12"/>
    </row>
    <row r="554" spans="1:1" x14ac:dyDescent="0.35">
      <c r="A554" s="12"/>
    </row>
    <row r="555" spans="1:1" x14ac:dyDescent="0.35">
      <c r="A555" s="12"/>
    </row>
    <row r="556" spans="1:1" x14ac:dyDescent="0.35">
      <c r="A556" s="12"/>
    </row>
    <row r="557" spans="1:1" x14ac:dyDescent="0.35">
      <c r="A557" s="12"/>
    </row>
    <row r="558" spans="1:1" x14ac:dyDescent="0.35">
      <c r="A558" s="12"/>
    </row>
    <row r="559" spans="1:1" x14ac:dyDescent="0.35">
      <c r="A559" s="12"/>
    </row>
    <row r="560" spans="1:1" x14ac:dyDescent="0.35">
      <c r="A560" s="12"/>
    </row>
    <row r="561" spans="1:1" x14ac:dyDescent="0.35">
      <c r="A561" s="12"/>
    </row>
    <row r="562" spans="1:1" x14ac:dyDescent="0.35">
      <c r="A562" s="12"/>
    </row>
    <row r="563" spans="1:1" x14ac:dyDescent="0.35">
      <c r="A563" s="12"/>
    </row>
    <row r="564" spans="1:1" x14ac:dyDescent="0.35">
      <c r="A564" s="12"/>
    </row>
    <row r="565" spans="1:1" x14ac:dyDescent="0.35">
      <c r="A565" s="12"/>
    </row>
    <row r="566" spans="1:1" x14ac:dyDescent="0.35">
      <c r="A566" s="12"/>
    </row>
    <row r="567" spans="1:1" x14ac:dyDescent="0.35">
      <c r="A567" s="12"/>
    </row>
    <row r="568" spans="1:1" x14ac:dyDescent="0.35">
      <c r="A568" s="12"/>
    </row>
    <row r="569" spans="1:1" x14ac:dyDescent="0.35">
      <c r="A569" s="12"/>
    </row>
    <row r="570" spans="1:1" x14ac:dyDescent="0.35">
      <c r="A570" s="12"/>
    </row>
    <row r="571" spans="1:1" x14ac:dyDescent="0.35">
      <c r="A571" s="12"/>
    </row>
    <row r="572" spans="1:1" x14ac:dyDescent="0.35">
      <c r="A572" s="12"/>
    </row>
    <row r="573" spans="1:1" x14ac:dyDescent="0.35">
      <c r="A573" s="12"/>
    </row>
    <row r="574" spans="1:1" x14ac:dyDescent="0.35">
      <c r="A574" s="12"/>
    </row>
    <row r="575" spans="1:1" x14ac:dyDescent="0.35">
      <c r="A575" s="12"/>
    </row>
    <row r="576" spans="1:1" x14ac:dyDescent="0.35">
      <c r="A576" s="12"/>
    </row>
    <row r="577" spans="1:1" x14ac:dyDescent="0.35">
      <c r="A577" s="12"/>
    </row>
    <row r="578" spans="1:1" x14ac:dyDescent="0.35">
      <c r="A578" s="12"/>
    </row>
    <row r="579" spans="1:1" x14ac:dyDescent="0.35">
      <c r="A579" s="12"/>
    </row>
    <row r="580" spans="1:1" x14ac:dyDescent="0.35">
      <c r="A580" s="12"/>
    </row>
    <row r="581" spans="1:1" x14ac:dyDescent="0.35">
      <c r="A581" s="12"/>
    </row>
    <row r="582" spans="1:1" x14ac:dyDescent="0.35">
      <c r="A582" s="12"/>
    </row>
    <row r="583" spans="1:1" x14ac:dyDescent="0.35">
      <c r="A583" s="12"/>
    </row>
    <row r="584" spans="1:1" x14ac:dyDescent="0.35">
      <c r="A584" s="12"/>
    </row>
    <row r="585" spans="1:1" x14ac:dyDescent="0.35">
      <c r="A585" s="12"/>
    </row>
    <row r="586" spans="1:1" x14ac:dyDescent="0.35">
      <c r="A586" s="12"/>
    </row>
    <row r="587" spans="1:1" x14ac:dyDescent="0.35">
      <c r="A587" s="12"/>
    </row>
    <row r="588" spans="1:1" x14ac:dyDescent="0.35">
      <c r="A588" s="12"/>
    </row>
    <row r="589" spans="1:1" x14ac:dyDescent="0.35">
      <c r="A589" s="12"/>
    </row>
    <row r="590" spans="1:1" x14ac:dyDescent="0.35">
      <c r="A590" s="12"/>
    </row>
    <row r="591" spans="1:1" x14ac:dyDescent="0.35">
      <c r="A591" s="12"/>
    </row>
    <row r="592" spans="1:1" x14ac:dyDescent="0.35">
      <c r="A592" s="12"/>
    </row>
    <row r="593" spans="1:1" x14ac:dyDescent="0.35">
      <c r="A593" s="12"/>
    </row>
    <row r="594" spans="1:1" x14ac:dyDescent="0.35">
      <c r="A594" s="12"/>
    </row>
    <row r="595" spans="1:1" x14ac:dyDescent="0.35">
      <c r="A595" s="12"/>
    </row>
    <row r="596" spans="1:1" x14ac:dyDescent="0.35">
      <c r="A596" s="12"/>
    </row>
    <row r="597" spans="1:1" x14ac:dyDescent="0.35">
      <c r="A597" s="12"/>
    </row>
    <row r="598" spans="1:1" x14ac:dyDescent="0.35">
      <c r="A598" s="12"/>
    </row>
    <row r="599" spans="1:1" x14ac:dyDescent="0.35">
      <c r="A599" s="12"/>
    </row>
    <row r="600" spans="1:1" x14ac:dyDescent="0.35">
      <c r="A600" s="12"/>
    </row>
    <row r="601" spans="1:1" x14ac:dyDescent="0.35">
      <c r="A601" s="12"/>
    </row>
    <row r="602" spans="1:1" x14ac:dyDescent="0.35">
      <c r="A602" s="12"/>
    </row>
    <row r="603" spans="1:1" x14ac:dyDescent="0.35">
      <c r="A603" s="12"/>
    </row>
    <row r="604" spans="1:1" x14ac:dyDescent="0.35">
      <c r="A604" s="12"/>
    </row>
    <row r="605" spans="1:1" x14ac:dyDescent="0.35">
      <c r="A605" s="12"/>
    </row>
    <row r="606" spans="1:1" x14ac:dyDescent="0.35">
      <c r="A606" s="12"/>
    </row>
    <row r="607" spans="1:1" x14ac:dyDescent="0.35">
      <c r="A607" s="12"/>
    </row>
    <row r="608" spans="1:1" x14ac:dyDescent="0.35">
      <c r="A608" s="12"/>
    </row>
    <row r="609" spans="1:1" x14ac:dyDescent="0.35">
      <c r="A609" s="12"/>
    </row>
    <row r="610" spans="1:1" x14ac:dyDescent="0.35">
      <c r="A610" s="12"/>
    </row>
    <row r="611" spans="1:1" x14ac:dyDescent="0.35">
      <c r="A611" s="12"/>
    </row>
    <row r="612" spans="1:1" x14ac:dyDescent="0.35">
      <c r="A612" s="12"/>
    </row>
    <row r="613" spans="1:1" x14ac:dyDescent="0.35">
      <c r="A613" s="12"/>
    </row>
    <row r="614" spans="1:1" x14ac:dyDescent="0.35">
      <c r="A614" s="12"/>
    </row>
    <row r="615" spans="1:1" x14ac:dyDescent="0.35">
      <c r="A615" s="12"/>
    </row>
    <row r="616" spans="1:1" x14ac:dyDescent="0.35">
      <c r="A616" s="12"/>
    </row>
    <row r="617" spans="1:1" x14ac:dyDescent="0.35">
      <c r="A617" s="12"/>
    </row>
    <row r="618" spans="1:1" x14ac:dyDescent="0.35">
      <c r="A618" s="12"/>
    </row>
    <row r="619" spans="1:1" x14ac:dyDescent="0.35">
      <c r="A619" s="12"/>
    </row>
    <row r="620" spans="1:1" x14ac:dyDescent="0.35">
      <c r="A620" s="12"/>
    </row>
    <row r="621" spans="1:1" x14ac:dyDescent="0.35">
      <c r="A621" s="12"/>
    </row>
    <row r="622" spans="1:1" x14ac:dyDescent="0.35">
      <c r="A622" s="12"/>
    </row>
    <row r="623" spans="1:1" x14ac:dyDescent="0.35">
      <c r="A623" s="12"/>
    </row>
    <row r="624" spans="1:1" x14ac:dyDescent="0.35">
      <c r="A624" s="12"/>
    </row>
    <row r="625" spans="1:1" x14ac:dyDescent="0.35">
      <c r="A625" s="12"/>
    </row>
    <row r="626" spans="1:1" x14ac:dyDescent="0.35">
      <c r="A626" s="12"/>
    </row>
    <row r="627" spans="1:1" x14ac:dyDescent="0.35">
      <c r="A627" s="12"/>
    </row>
    <row r="628" spans="1:1" x14ac:dyDescent="0.35">
      <c r="A628" s="12"/>
    </row>
    <row r="629" spans="1:1" x14ac:dyDescent="0.35">
      <c r="A629" s="12"/>
    </row>
    <row r="630" spans="1:1" x14ac:dyDescent="0.35">
      <c r="A630" s="12"/>
    </row>
    <row r="631" spans="1:1" x14ac:dyDescent="0.35">
      <c r="A631" s="12"/>
    </row>
    <row r="632" spans="1:1" x14ac:dyDescent="0.35">
      <c r="A632" s="12"/>
    </row>
    <row r="633" spans="1:1" x14ac:dyDescent="0.35">
      <c r="A633" s="12"/>
    </row>
    <row r="634" spans="1:1" x14ac:dyDescent="0.35">
      <c r="A634" s="12"/>
    </row>
    <row r="635" spans="1:1" x14ac:dyDescent="0.35">
      <c r="A635" s="12"/>
    </row>
    <row r="636" spans="1:1" x14ac:dyDescent="0.35">
      <c r="A636" s="12"/>
    </row>
    <row r="637" spans="1:1" x14ac:dyDescent="0.35">
      <c r="A637" s="12"/>
    </row>
    <row r="638" spans="1:1" x14ac:dyDescent="0.35">
      <c r="A638" s="12"/>
    </row>
    <row r="639" spans="1:1" x14ac:dyDescent="0.35">
      <c r="A639" s="12"/>
    </row>
    <row r="640" spans="1:1" x14ac:dyDescent="0.35">
      <c r="A640" s="12"/>
    </row>
    <row r="641" spans="1:1" x14ac:dyDescent="0.35">
      <c r="A641" s="12"/>
    </row>
    <row r="642" spans="1:1" x14ac:dyDescent="0.35">
      <c r="A642" s="12"/>
    </row>
    <row r="643" spans="1:1" x14ac:dyDescent="0.35">
      <c r="A643" s="12"/>
    </row>
    <row r="644" spans="1:1" x14ac:dyDescent="0.35">
      <c r="A644" s="12"/>
    </row>
    <row r="645" spans="1:1" x14ac:dyDescent="0.35">
      <c r="A645" s="12"/>
    </row>
    <row r="646" spans="1:1" x14ac:dyDescent="0.35">
      <c r="A646" s="12"/>
    </row>
    <row r="647" spans="1:1" x14ac:dyDescent="0.35">
      <c r="A647" s="12"/>
    </row>
    <row r="648" spans="1:1" x14ac:dyDescent="0.35">
      <c r="A648" s="12"/>
    </row>
    <row r="649" spans="1:1" x14ac:dyDescent="0.35">
      <c r="A649" s="12"/>
    </row>
    <row r="650" spans="1:1" x14ac:dyDescent="0.35">
      <c r="A650" s="12"/>
    </row>
    <row r="651" spans="1:1" x14ac:dyDescent="0.35">
      <c r="A651" s="12"/>
    </row>
    <row r="652" spans="1:1" x14ac:dyDescent="0.35">
      <c r="A652" s="12"/>
    </row>
    <row r="653" spans="1:1" x14ac:dyDescent="0.35">
      <c r="A653" s="12"/>
    </row>
    <row r="654" spans="1:1" x14ac:dyDescent="0.35">
      <c r="A654" s="12"/>
    </row>
    <row r="655" spans="1:1" x14ac:dyDescent="0.35">
      <c r="A655" s="12"/>
    </row>
    <row r="656" spans="1:1" x14ac:dyDescent="0.35">
      <c r="A656" s="12"/>
    </row>
    <row r="657" spans="1:1" x14ac:dyDescent="0.35">
      <c r="A657" s="12"/>
    </row>
    <row r="658" spans="1:1" x14ac:dyDescent="0.35">
      <c r="A658" s="12"/>
    </row>
    <row r="659" spans="1:1" x14ac:dyDescent="0.35">
      <c r="A659" s="12"/>
    </row>
    <row r="660" spans="1:1" x14ac:dyDescent="0.35">
      <c r="A660" s="12"/>
    </row>
    <row r="661" spans="1:1" x14ac:dyDescent="0.35">
      <c r="A661" s="12"/>
    </row>
    <row r="662" spans="1:1" x14ac:dyDescent="0.35">
      <c r="A662" s="12"/>
    </row>
    <row r="663" spans="1:1" x14ac:dyDescent="0.35">
      <c r="A663" s="12"/>
    </row>
    <row r="664" spans="1:1" x14ac:dyDescent="0.35">
      <c r="A664" s="12"/>
    </row>
    <row r="665" spans="1:1" x14ac:dyDescent="0.35">
      <c r="A665" s="12"/>
    </row>
    <row r="666" spans="1:1" x14ac:dyDescent="0.35">
      <c r="A666" s="12"/>
    </row>
    <row r="667" spans="1:1" x14ac:dyDescent="0.35">
      <c r="A667" s="12"/>
    </row>
    <row r="668" spans="1:1" x14ac:dyDescent="0.35">
      <c r="A668" s="12"/>
    </row>
    <row r="669" spans="1:1" x14ac:dyDescent="0.35">
      <c r="A669" s="12"/>
    </row>
    <row r="670" spans="1:1" x14ac:dyDescent="0.35">
      <c r="A670" s="12"/>
    </row>
    <row r="671" spans="1:1" x14ac:dyDescent="0.35">
      <c r="A671" s="12"/>
    </row>
    <row r="672" spans="1:1" x14ac:dyDescent="0.35">
      <c r="A672" s="12"/>
    </row>
    <row r="673" spans="1:1" x14ac:dyDescent="0.35">
      <c r="A673" s="12"/>
    </row>
    <row r="674" spans="1:1" x14ac:dyDescent="0.35">
      <c r="A674" s="12"/>
    </row>
    <row r="675" spans="1:1" x14ac:dyDescent="0.35">
      <c r="A675" s="12"/>
    </row>
    <row r="676" spans="1:1" x14ac:dyDescent="0.35">
      <c r="A676" s="12"/>
    </row>
    <row r="677" spans="1:1" x14ac:dyDescent="0.35">
      <c r="A677" s="12"/>
    </row>
    <row r="678" spans="1:1" x14ac:dyDescent="0.35">
      <c r="A678" s="12"/>
    </row>
    <row r="679" spans="1:1" x14ac:dyDescent="0.35">
      <c r="A679" s="12"/>
    </row>
    <row r="680" spans="1:1" x14ac:dyDescent="0.35">
      <c r="A680" s="12"/>
    </row>
    <row r="681" spans="1:1" x14ac:dyDescent="0.35">
      <c r="A681" s="12"/>
    </row>
    <row r="682" spans="1:1" x14ac:dyDescent="0.35">
      <c r="A682" s="12"/>
    </row>
    <row r="683" spans="1:1" x14ac:dyDescent="0.35">
      <c r="A683" s="12"/>
    </row>
    <row r="684" spans="1:1" x14ac:dyDescent="0.35">
      <c r="A684" s="12"/>
    </row>
    <row r="685" spans="1:1" x14ac:dyDescent="0.35">
      <c r="A685" s="12"/>
    </row>
    <row r="686" spans="1:1" x14ac:dyDescent="0.35">
      <c r="A686" s="12"/>
    </row>
    <row r="687" spans="1:1" x14ac:dyDescent="0.35">
      <c r="A687" s="12"/>
    </row>
    <row r="688" spans="1:1" x14ac:dyDescent="0.35">
      <c r="A688" s="12"/>
    </row>
    <row r="689" spans="1:1" x14ac:dyDescent="0.35">
      <c r="A689" s="12"/>
    </row>
    <row r="690" spans="1:1" x14ac:dyDescent="0.35">
      <c r="A690" s="12"/>
    </row>
    <row r="691" spans="1:1" x14ac:dyDescent="0.35">
      <c r="A691" s="12"/>
    </row>
    <row r="692" spans="1:1" x14ac:dyDescent="0.35">
      <c r="A692" s="12"/>
    </row>
    <row r="693" spans="1:1" x14ac:dyDescent="0.35">
      <c r="A693" s="12"/>
    </row>
    <row r="694" spans="1:1" x14ac:dyDescent="0.35">
      <c r="A694" s="12"/>
    </row>
    <row r="695" spans="1:1" x14ac:dyDescent="0.35">
      <c r="A695" s="12"/>
    </row>
    <row r="696" spans="1:1" x14ac:dyDescent="0.35">
      <c r="A696" s="12"/>
    </row>
    <row r="697" spans="1:1" x14ac:dyDescent="0.35">
      <c r="A697" s="12"/>
    </row>
    <row r="698" spans="1:1" x14ac:dyDescent="0.35">
      <c r="A698" s="12"/>
    </row>
    <row r="699" spans="1:1" x14ac:dyDescent="0.35">
      <c r="A699" s="12"/>
    </row>
    <row r="700" spans="1:1" x14ac:dyDescent="0.35">
      <c r="A700" s="12"/>
    </row>
    <row r="701" spans="1:1" x14ac:dyDescent="0.35">
      <c r="A701" s="12"/>
    </row>
    <row r="702" spans="1:1" x14ac:dyDescent="0.35">
      <c r="A702" s="12"/>
    </row>
    <row r="703" spans="1:1" x14ac:dyDescent="0.35">
      <c r="A703" s="12"/>
    </row>
    <row r="704" spans="1:1" x14ac:dyDescent="0.35">
      <c r="A704" s="12"/>
    </row>
    <row r="705" spans="1:1" x14ac:dyDescent="0.35">
      <c r="A705" s="12"/>
    </row>
    <row r="706" spans="1:1" x14ac:dyDescent="0.35">
      <c r="A706" s="12"/>
    </row>
    <row r="707" spans="1:1" x14ac:dyDescent="0.35">
      <c r="A707" s="12"/>
    </row>
    <row r="708" spans="1:1" x14ac:dyDescent="0.35">
      <c r="A708" s="12"/>
    </row>
    <row r="709" spans="1:1" x14ac:dyDescent="0.35">
      <c r="A709" s="12"/>
    </row>
    <row r="710" spans="1:1" x14ac:dyDescent="0.35">
      <c r="A710" s="12"/>
    </row>
    <row r="711" spans="1:1" x14ac:dyDescent="0.35">
      <c r="A711" s="12"/>
    </row>
    <row r="712" spans="1:1" x14ac:dyDescent="0.35">
      <c r="A712" s="12"/>
    </row>
    <row r="713" spans="1:1" x14ac:dyDescent="0.35">
      <c r="A713" s="12"/>
    </row>
    <row r="714" spans="1:1" x14ac:dyDescent="0.35">
      <c r="A714" s="12"/>
    </row>
    <row r="715" spans="1:1" x14ac:dyDescent="0.35">
      <c r="A715" s="12"/>
    </row>
    <row r="716" spans="1:1" x14ac:dyDescent="0.35">
      <c r="A716" s="12"/>
    </row>
    <row r="717" spans="1:1" x14ac:dyDescent="0.35">
      <c r="A717" s="12"/>
    </row>
    <row r="718" spans="1:1" x14ac:dyDescent="0.35">
      <c r="A718" s="12"/>
    </row>
    <row r="719" spans="1:1" x14ac:dyDescent="0.35">
      <c r="A719" s="12"/>
    </row>
    <row r="720" spans="1:1" x14ac:dyDescent="0.35">
      <c r="A720" s="12"/>
    </row>
    <row r="721" spans="1:1" x14ac:dyDescent="0.35">
      <c r="A721" s="12"/>
    </row>
    <row r="722" spans="1:1" x14ac:dyDescent="0.35">
      <c r="A722" s="12"/>
    </row>
    <row r="723" spans="1:1" x14ac:dyDescent="0.35">
      <c r="A723" s="12"/>
    </row>
    <row r="724" spans="1:1" x14ac:dyDescent="0.35">
      <c r="A724" s="12"/>
    </row>
    <row r="725" spans="1:1" x14ac:dyDescent="0.35">
      <c r="A725" s="12"/>
    </row>
    <row r="726" spans="1:1" x14ac:dyDescent="0.35">
      <c r="A726" s="12"/>
    </row>
    <row r="727" spans="1:1" x14ac:dyDescent="0.35">
      <c r="A727" s="12"/>
    </row>
    <row r="728" spans="1:1" x14ac:dyDescent="0.35">
      <c r="A728" s="12"/>
    </row>
    <row r="729" spans="1:1" x14ac:dyDescent="0.35">
      <c r="A729" s="12"/>
    </row>
    <row r="730" spans="1:1" x14ac:dyDescent="0.35">
      <c r="A730" s="12"/>
    </row>
    <row r="731" spans="1:1" x14ac:dyDescent="0.35">
      <c r="A731" s="12"/>
    </row>
    <row r="732" spans="1:1" x14ac:dyDescent="0.35">
      <c r="A732" s="12"/>
    </row>
    <row r="733" spans="1:1" x14ac:dyDescent="0.35">
      <c r="A733" s="12"/>
    </row>
    <row r="734" spans="1:1" x14ac:dyDescent="0.35">
      <c r="A734" s="12"/>
    </row>
    <row r="735" spans="1:1" x14ac:dyDescent="0.35">
      <c r="A735" s="12"/>
    </row>
    <row r="736" spans="1:1" x14ac:dyDescent="0.35">
      <c r="A736" s="12"/>
    </row>
    <row r="737" spans="1:1" x14ac:dyDescent="0.35">
      <c r="A737" s="12"/>
    </row>
    <row r="738" spans="1:1" x14ac:dyDescent="0.35">
      <c r="A738" s="12"/>
    </row>
    <row r="739" spans="1:1" x14ac:dyDescent="0.35">
      <c r="A739" s="12"/>
    </row>
    <row r="740" spans="1:1" x14ac:dyDescent="0.35">
      <c r="A740" s="12"/>
    </row>
    <row r="741" spans="1:1" x14ac:dyDescent="0.35">
      <c r="A741" s="12"/>
    </row>
    <row r="742" spans="1:1" x14ac:dyDescent="0.35">
      <c r="A742" s="12"/>
    </row>
    <row r="743" spans="1:1" x14ac:dyDescent="0.35">
      <c r="A743" s="12"/>
    </row>
    <row r="744" spans="1:1" x14ac:dyDescent="0.35">
      <c r="A744" s="12"/>
    </row>
    <row r="745" spans="1:1" x14ac:dyDescent="0.35">
      <c r="A745" s="12"/>
    </row>
    <row r="746" spans="1:1" x14ac:dyDescent="0.35">
      <c r="A746" s="12"/>
    </row>
    <row r="747" spans="1:1" x14ac:dyDescent="0.35">
      <c r="A747" s="12"/>
    </row>
    <row r="748" spans="1:1" x14ac:dyDescent="0.35">
      <c r="A748" s="12"/>
    </row>
    <row r="749" spans="1:1" x14ac:dyDescent="0.35">
      <c r="A749" s="12"/>
    </row>
    <row r="750" spans="1:1" x14ac:dyDescent="0.35">
      <c r="A750" s="12"/>
    </row>
    <row r="751" spans="1:1" x14ac:dyDescent="0.35">
      <c r="A751" s="12"/>
    </row>
    <row r="752" spans="1:1" x14ac:dyDescent="0.35">
      <c r="A752" s="12"/>
    </row>
    <row r="753" spans="1:1" x14ac:dyDescent="0.35">
      <c r="A753" s="12"/>
    </row>
    <row r="754" spans="1:1" x14ac:dyDescent="0.35">
      <c r="A754" s="12"/>
    </row>
    <row r="755" spans="1:1" x14ac:dyDescent="0.35">
      <c r="A755" s="12"/>
    </row>
    <row r="756" spans="1:1" x14ac:dyDescent="0.35">
      <c r="A756" s="12"/>
    </row>
    <row r="757" spans="1:1" x14ac:dyDescent="0.35">
      <c r="A757" s="12"/>
    </row>
    <row r="758" spans="1:1" x14ac:dyDescent="0.35">
      <c r="A758" s="12"/>
    </row>
    <row r="759" spans="1:1" x14ac:dyDescent="0.35">
      <c r="A759" s="12"/>
    </row>
    <row r="760" spans="1:1" x14ac:dyDescent="0.35">
      <c r="A760" s="12"/>
    </row>
    <row r="761" spans="1:1" x14ac:dyDescent="0.35">
      <c r="A761" s="12"/>
    </row>
    <row r="762" spans="1:1" x14ac:dyDescent="0.35">
      <c r="A762" s="12"/>
    </row>
    <row r="763" spans="1:1" x14ac:dyDescent="0.35">
      <c r="A763" s="12"/>
    </row>
    <row r="764" spans="1:1" x14ac:dyDescent="0.35">
      <c r="A764" s="12"/>
    </row>
    <row r="765" spans="1:1" x14ac:dyDescent="0.35">
      <c r="A765" s="12"/>
    </row>
    <row r="766" spans="1:1" x14ac:dyDescent="0.35">
      <c r="A766" s="12"/>
    </row>
    <row r="767" spans="1:1" x14ac:dyDescent="0.35">
      <c r="A767" s="12"/>
    </row>
    <row r="768" spans="1:1" x14ac:dyDescent="0.35">
      <c r="A768" s="12"/>
    </row>
    <row r="769" spans="1:1" x14ac:dyDescent="0.35">
      <c r="A769" s="12"/>
    </row>
    <row r="770" spans="1:1" x14ac:dyDescent="0.35">
      <c r="A770" s="12"/>
    </row>
    <row r="771" spans="1:1" x14ac:dyDescent="0.35">
      <c r="A771" s="12"/>
    </row>
    <row r="772" spans="1:1" x14ac:dyDescent="0.35">
      <c r="A772" s="12"/>
    </row>
    <row r="773" spans="1:1" x14ac:dyDescent="0.35">
      <c r="A773" s="12"/>
    </row>
    <row r="774" spans="1:1" x14ac:dyDescent="0.35">
      <c r="A774" s="12"/>
    </row>
    <row r="775" spans="1:1" x14ac:dyDescent="0.35">
      <c r="A775" s="12"/>
    </row>
    <row r="776" spans="1:1" x14ac:dyDescent="0.35">
      <c r="A776" s="12"/>
    </row>
    <row r="777" spans="1:1" x14ac:dyDescent="0.35">
      <c r="A777" s="12"/>
    </row>
    <row r="778" spans="1:1" x14ac:dyDescent="0.35">
      <c r="A778" s="12"/>
    </row>
    <row r="779" spans="1:1" x14ac:dyDescent="0.35">
      <c r="A779" s="12"/>
    </row>
    <row r="780" spans="1:1" x14ac:dyDescent="0.35">
      <c r="A780" s="12"/>
    </row>
    <row r="781" spans="1:1" x14ac:dyDescent="0.35">
      <c r="A781" s="12"/>
    </row>
    <row r="782" spans="1:1" x14ac:dyDescent="0.35">
      <c r="A782" s="12"/>
    </row>
    <row r="783" spans="1:1" x14ac:dyDescent="0.35">
      <c r="A783" s="12"/>
    </row>
    <row r="784" spans="1:1" x14ac:dyDescent="0.35">
      <c r="A784" s="12"/>
    </row>
    <row r="785" spans="1:1" x14ac:dyDescent="0.35">
      <c r="A785" s="12"/>
    </row>
    <row r="786" spans="1:1" x14ac:dyDescent="0.35">
      <c r="A786" s="12"/>
    </row>
    <row r="787" spans="1:1" x14ac:dyDescent="0.35">
      <c r="A787" s="12"/>
    </row>
    <row r="788" spans="1:1" x14ac:dyDescent="0.35">
      <c r="A788" s="12"/>
    </row>
    <row r="789" spans="1:1" x14ac:dyDescent="0.35">
      <c r="A789" s="12"/>
    </row>
    <row r="790" spans="1:1" x14ac:dyDescent="0.35">
      <c r="A790" s="12"/>
    </row>
    <row r="791" spans="1:1" x14ac:dyDescent="0.35">
      <c r="A791" s="12"/>
    </row>
    <row r="792" spans="1:1" x14ac:dyDescent="0.35">
      <c r="A792" s="12"/>
    </row>
    <row r="793" spans="1:1" x14ac:dyDescent="0.35">
      <c r="A793" s="12"/>
    </row>
    <row r="794" spans="1:1" x14ac:dyDescent="0.35">
      <c r="A794" s="12"/>
    </row>
    <row r="795" spans="1:1" x14ac:dyDescent="0.35">
      <c r="A795" s="12"/>
    </row>
    <row r="796" spans="1:1" x14ac:dyDescent="0.35">
      <c r="A796" s="12"/>
    </row>
    <row r="797" spans="1:1" x14ac:dyDescent="0.35">
      <c r="A797" s="12"/>
    </row>
    <row r="798" spans="1:1" x14ac:dyDescent="0.35">
      <c r="A798" s="12"/>
    </row>
    <row r="799" spans="1:1" x14ac:dyDescent="0.35">
      <c r="A799" s="12"/>
    </row>
    <row r="800" spans="1:1" x14ac:dyDescent="0.35">
      <c r="A800" s="12"/>
    </row>
    <row r="801" spans="1:1" x14ac:dyDescent="0.35">
      <c r="A801" s="12"/>
    </row>
    <row r="802" spans="1:1" x14ac:dyDescent="0.35">
      <c r="A802" s="12"/>
    </row>
    <row r="803" spans="1:1" x14ac:dyDescent="0.35">
      <c r="A803" s="12"/>
    </row>
    <row r="804" spans="1:1" x14ac:dyDescent="0.35">
      <c r="A804" s="12"/>
    </row>
    <row r="805" spans="1:1" x14ac:dyDescent="0.35">
      <c r="A805" s="12"/>
    </row>
    <row r="806" spans="1:1" x14ac:dyDescent="0.35">
      <c r="A806" s="12"/>
    </row>
    <row r="807" spans="1:1" x14ac:dyDescent="0.35">
      <c r="A807" s="12"/>
    </row>
    <row r="808" spans="1:1" x14ac:dyDescent="0.35">
      <c r="A808" s="12"/>
    </row>
    <row r="809" spans="1:1" x14ac:dyDescent="0.35">
      <c r="A809" s="12"/>
    </row>
    <row r="810" spans="1:1" x14ac:dyDescent="0.35">
      <c r="A810" s="12"/>
    </row>
    <row r="811" spans="1:1" x14ac:dyDescent="0.35">
      <c r="A811" s="12"/>
    </row>
    <row r="812" spans="1:1" x14ac:dyDescent="0.35">
      <c r="A812" s="12"/>
    </row>
    <row r="813" spans="1:1" x14ac:dyDescent="0.35">
      <c r="A813" s="12"/>
    </row>
    <row r="814" spans="1:1" x14ac:dyDescent="0.35">
      <c r="A814" s="12"/>
    </row>
    <row r="815" spans="1:1" x14ac:dyDescent="0.35">
      <c r="A815" s="12"/>
    </row>
    <row r="816" spans="1:1" x14ac:dyDescent="0.35">
      <c r="A816" s="12"/>
    </row>
    <row r="817" spans="1:1" x14ac:dyDescent="0.35">
      <c r="A817" s="12"/>
    </row>
    <row r="818" spans="1:1" x14ac:dyDescent="0.35">
      <c r="A818" s="12"/>
    </row>
    <row r="819" spans="1:1" x14ac:dyDescent="0.35">
      <c r="A819" s="12"/>
    </row>
    <row r="820" spans="1:1" x14ac:dyDescent="0.35">
      <c r="A820" s="12"/>
    </row>
    <row r="821" spans="1:1" x14ac:dyDescent="0.35">
      <c r="A821" s="12"/>
    </row>
    <row r="822" spans="1:1" x14ac:dyDescent="0.35">
      <c r="A822" s="12"/>
    </row>
    <row r="823" spans="1:1" x14ac:dyDescent="0.35">
      <c r="A823" s="12"/>
    </row>
    <row r="824" spans="1:1" x14ac:dyDescent="0.35">
      <c r="A824" s="12"/>
    </row>
    <row r="825" spans="1:1" x14ac:dyDescent="0.35">
      <c r="A825" s="12"/>
    </row>
    <row r="826" spans="1:1" x14ac:dyDescent="0.35">
      <c r="A826" s="12"/>
    </row>
    <row r="827" spans="1:1" x14ac:dyDescent="0.35">
      <c r="A827" s="12"/>
    </row>
    <row r="828" spans="1:1" x14ac:dyDescent="0.35">
      <c r="A828" s="12"/>
    </row>
    <row r="829" spans="1:1" x14ac:dyDescent="0.35">
      <c r="A829" s="12"/>
    </row>
    <row r="830" spans="1:1" x14ac:dyDescent="0.35">
      <c r="A830" s="12"/>
    </row>
    <row r="831" spans="1:1" x14ac:dyDescent="0.35">
      <c r="A831" s="12"/>
    </row>
    <row r="832" spans="1:1" x14ac:dyDescent="0.35">
      <c r="A832" s="12"/>
    </row>
    <row r="833" spans="1:1" x14ac:dyDescent="0.35">
      <c r="A833" s="12"/>
    </row>
    <row r="834" spans="1:1" x14ac:dyDescent="0.35">
      <c r="A834" s="12"/>
    </row>
    <row r="835" spans="1:1" x14ac:dyDescent="0.35">
      <c r="A835" s="12"/>
    </row>
    <row r="836" spans="1:1" x14ac:dyDescent="0.35">
      <c r="A836" s="12"/>
    </row>
    <row r="837" spans="1:1" x14ac:dyDescent="0.35">
      <c r="A837" s="12"/>
    </row>
    <row r="838" spans="1:1" x14ac:dyDescent="0.35">
      <c r="A838" s="12"/>
    </row>
    <row r="839" spans="1:1" x14ac:dyDescent="0.35">
      <c r="A839" s="12"/>
    </row>
    <row r="840" spans="1:1" x14ac:dyDescent="0.35">
      <c r="A840" s="12"/>
    </row>
    <row r="841" spans="1:1" x14ac:dyDescent="0.35">
      <c r="A841" s="12"/>
    </row>
    <row r="842" spans="1:1" x14ac:dyDescent="0.35">
      <c r="A842" s="12"/>
    </row>
    <row r="843" spans="1:1" x14ac:dyDescent="0.35">
      <c r="A843" s="12"/>
    </row>
    <row r="844" spans="1:1" x14ac:dyDescent="0.35">
      <c r="A844" s="12"/>
    </row>
    <row r="845" spans="1:1" x14ac:dyDescent="0.35">
      <c r="A845" s="12"/>
    </row>
    <row r="846" spans="1:1" x14ac:dyDescent="0.35">
      <c r="A846" s="12"/>
    </row>
    <row r="847" spans="1:1" x14ac:dyDescent="0.35">
      <c r="A847" s="12"/>
    </row>
    <row r="848" spans="1:1" x14ac:dyDescent="0.35">
      <c r="A848" s="12"/>
    </row>
    <row r="849" spans="1:1" x14ac:dyDescent="0.35">
      <c r="A849" s="12"/>
    </row>
    <row r="850" spans="1:1" x14ac:dyDescent="0.35">
      <c r="A850" s="12"/>
    </row>
    <row r="851" spans="1:1" x14ac:dyDescent="0.35">
      <c r="A851" s="12"/>
    </row>
    <row r="852" spans="1:1" x14ac:dyDescent="0.35">
      <c r="A852" s="12"/>
    </row>
    <row r="853" spans="1:1" x14ac:dyDescent="0.35">
      <c r="A853" s="12"/>
    </row>
    <row r="854" spans="1:1" x14ac:dyDescent="0.35">
      <c r="A854" s="12"/>
    </row>
    <row r="855" spans="1:1" x14ac:dyDescent="0.35">
      <c r="A855" s="12"/>
    </row>
    <row r="856" spans="1:1" x14ac:dyDescent="0.35">
      <c r="A856" s="12"/>
    </row>
    <row r="857" spans="1:1" x14ac:dyDescent="0.35">
      <c r="A857" s="12"/>
    </row>
    <row r="858" spans="1:1" x14ac:dyDescent="0.35">
      <c r="A858" s="12"/>
    </row>
    <row r="859" spans="1:1" x14ac:dyDescent="0.35">
      <c r="A859" s="12"/>
    </row>
    <row r="860" spans="1:1" x14ac:dyDescent="0.35">
      <c r="A860" s="12"/>
    </row>
    <row r="861" spans="1:1" x14ac:dyDescent="0.35">
      <c r="A861" s="12"/>
    </row>
    <row r="862" spans="1:1" x14ac:dyDescent="0.35">
      <c r="A862" s="12"/>
    </row>
    <row r="863" spans="1:1" x14ac:dyDescent="0.35">
      <c r="A863" s="12"/>
    </row>
    <row r="864" spans="1:1" x14ac:dyDescent="0.35">
      <c r="A864" s="12"/>
    </row>
    <row r="865" spans="1:1" x14ac:dyDescent="0.35">
      <c r="A865" s="12"/>
    </row>
    <row r="866" spans="1:1" x14ac:dyDescent="0.35">
      <c r="A866" s="12"/>
    </row>
    <row r="867" spans="1:1" x14ac:dyDescent="0.35">
      <c r="A867" s="12"/>
    </row>
    <row r="868" spans="1:1" x14ac:dyDescent="0.35">
      <c r="A868" s="12"/>
    </row>
    <row r="869" spans="1:1" x14ac:dyDescent="0.35">
      <c r="A869" s="12"/>
    </row>
    <row r="870" spans="1:1" x14ac:dyDescent="0.35">
      <c r="A870" s="12"/>
    </row>
    <row r="871" spans="1:1" x14ac:dyDescent="0.35">
      <c r="A871" s="12"/>
    </row>
    <row r="872" spans="1:1" x14ac:dyDescent="0.35">
      <c r="A872" s="12"/>
    </row>
    <row r="873" spans="1:1" x14ac:dyDescent="0.35">
      <c r="A873" s="12"/>
    </row>
    <row r="874" spans="1:1" x14ac:dyDescent="0.35">
      <c r="A874" s="12"/>
    </row>
    <row r="875" spans="1:1" x14ac:dyDescent="0.35">
      <c r="A875" s="12"/>
    </row>
    <row r="876" spans="1:1" x14ac:dyDescent="0.35">
      <c r="A876" s="12"/>
    </row>
    <row r="877" spans="1:1" x14ac:dyDescent="0.35">
      <c r="A877" s="12"/>
    </row>
    <row r="878" spans="1:1" x14ac:dyDescent="0.35">
      <c r="A878" s="12"/>
    </row>
    <row r="879" spans="1:1" x14ac:dyDescent="0.35">
      <c r="A879" s="12"/>
    </row>
    <row r="880" spans="1:1" x14ac:dyDescent="0.35">
      <c r="A880" s="12"/>
    </row>
    <row r="881" spans="1:1" x14ac:dyDescent="0.35">
      <c r="A881" s="12"/>
    </row>
    <row r="882" spans="1:1" x14ac:dyDescent="0.35">
      <c r="A882" s="12"/>
    </row>
    <row r="883" spans="1:1" x14ac:dyDescent="0.35">
      <c r="A883" s="12"/>
    </row>
    <row r="884" spans="1:1" x14ac:dyDescent="0.35">
      <c r="A884" s="12"/>
    </row>
    <row r="885" spans="1:1" x14ac:dyDescent="0.35">
      <c r="A885" s="12"/>
    </row>
    <row r="886" spans="1:1" x14ac:dyDescent="0.35">
      <c r="A886" s="12"/>
    </row>
    <row r="887" spans="1:1" x14ac:dyDescent="0.35">
      <c r="A887" s="12"/>
    </row>
    <row r="888" spans="1:1" x14ac:dyDescent="0.35">
      <c r="A888" s="12"/>
    </row>
    <row r="889" spans="1:1" x14ac:dyDescent="0.35">
      <c r="A889" s="12"/>
    </row>
    <row r="890" spans="1:1" x14ac:dyDescent="0.35">
      <c r="A890" s="12"/>
    </row>
    <row r="891" spans="1:1" x14ac:dyDescent="0.35">
      <c r="A891" s="12"/>
    </row>
    <row r="892" spans="1:1" x14ac:dyDescent="0.35">
      <c r="A892" s="12"/>
    </row>
    <row r="893" spans="1:1" x14ac:dyDescent="0.35">
      <c r="A893" s="12"/>
    </row>
    <row r="894" spans="1:1" x14ac:dyDescent="0.35">
      <c r="A894" s="12"/>
    </row>
    <row r="895" spans="1:1" x14ac:dyDescent="0.35">
      <c r="A895" s="12"/>
    </row>
    <row r="896" spans="1:1" x14ac:dyDescent="0.35">
      <c r="A896" s="12"/>
    </row>
    <row r="897" spans="1:1" x14ac:dyDescent="0.35">
      <c r="A897" s="12"/>
    </row>
    <row r="898" spans="1:1" x14ac:dyDescent="0.35">
      <c r="A898" s="12"/>
    </row>
    <row r="899" spans="1:1" x14ac:dyDescent="0.35">
      <c r="A899" s="12"/>
    </row>
    <row r="900" spans="1:1" x14ac:dyDescent="0.35">
      <c r="A900" s="12"/>
    </row>
    <row r="901" spans="1:1" x14ac:dyDescent="0.35">
      <c r="A901" s="12"/>
    </row>
    <row r="902" spans="1:1" x14ac:dyDescent="0.35">
      <c r="A902" s="12"/>
    </row>
    <row r="903" spans="1:1" x14ac:dyDescent="0.35">
      <c r="A903" s="12"/>
    </row>
    <row r="904" spans="1:1" x14ac:dyDescent="0.35">
      <c r="A904" s="12"/>
    </row>
    <row r="905" spans="1:1" x14ac:dyDescent="0.35">
      <c r="A905" s="12"/>
    </row>
    <row r="906" spans="1:1" x14ac:dyDescent="0.35">
      <c r="A906" s="12"/>
    </row>
    <row r="907" spans="1:1" x14ac:dyDescent="0.35">
      <c r="A907" s="12"/>
    </row>
    <row r="908" spans="1:1" x14ac:dyDescent="0.35">
      <c r="A908" s="12"/>
    </row>
    <row r="909" spans="1:1" x14ac:dyDescent="0.35">
      <c r="A909" s="12"/>
    </row>
    <row r="910" spans="1:1" x14ac:dyDescent="0.35">
      <c r="A910" s="12"/>
    </row>
    <row r="911" spans="1:1" x14ac:dyDescent="0.35">
      <c r="A911" s="12"/>
    </row>
    <row r="912" spans="1:1" x14ac:dyDescent="0.35">
      <c r="A912" s="12"/>
    </row>
    <row r="913" spans="1:1" x14ac:dyDescent="0.35">
      <c r="A913" s="12"/>
    </row>
    <row r="914" spans="1:1" x14ac:dyDescent="0.35">
      <c r="A914" s="12"/>
    </row>
    <row r="915" spans="1:1" x14ac:dyDescent="0.35">
      <c r="A915" s="12"/>
    </row>
    <row r="916" spans="1:1" x14ac:dyDescent="0.35">
      <c r="A916" s="12"/>
    </row>
    <row r="917" spans="1:1" x14ac:dyDescent="0.35">
      <c r="A917" s="12"/>
    </row>
    <row r="918" spans="1:1" x14ac:dyDescent="0.35">
      <c r="A918" s="12"/>
    </row>
    <row r="919" spans="1:1" x14ac:dyDescent="0.35">
      <c r="A919" s="12"/>
    </row>
    <row r="920" spans="1:1" x14ac:dyDescent="0.35">
      <c r="A920" s="12"/>
    </row>
    <row r="921" spans="1:1" x14ac:dyDescent="0.35">
      <c r="A921" s="12"/>
    </row>
    <row r="922" spans="1:1" x14ac:dyDescent="0.35">
      <c r="A922" s="12"/>
    </row>
    <row r="923" spans="1:1" x14ac:dyDescent="0.35">
      <c r="A923" s="12"/>
    </row>
    <row r="924" spans="1:1" x14ac:dyDescent="0.35">
      <c r="A924" s="12"/>
    </row>
    <row r="925" spans="1:1" x14ac:dyDescent="0.35">
      <c r="A925" s="12"/>
    </row>
    <row r="926" spans="1:1" x14ac:dyDescent="0.35">
      <c r="A926" s="12"/>
    </row>
    <row r="927" spans="1:1" x14ac:dyDescent="0.35">
      <c r="A927" s="12"/>
    </row>
    <row r="928" spans="1:1" x14ac:dyDescent="0.35">
      <c r="A928" s="12"/>
    </row>
    <row r="929" spans="1:1" x14ac:dyDescent="0.35">
      <c r="A929" s="12"/>
    </row>
    <row r="930" spans="1:1" x14ac:dyDescent="0.35">
      <c r="A930" s="12"/>
    </row>
    <row r="931" spans="1:1" x14ac:dyDescent="0.35">
      <c r="A931" s="12"/>
    </row>
    <row r="932" spans="1:1" x14ac:dyDescent="0.35">
      <c r="A932" s="12"/>
    </row>
    <row r="933" spans="1:1" x14ac:dyDescent="0.35">
      <c r="A933" s="12"/>
    </row>
    <row r="934" spans="1:1" x14ac:dyDescent="0.35">
      <c r="A934" s="12"/>
    </row>
    <row r="935" spans="1:1" x14ac:dyDescent="0.35">
      <c r="A935" s="12"/>
    </row>
    <row r="936" spans="1:1" x14ac:dyDescent="0.35">
      <c r="A936" s="12"/>
    </row>
    <row r="937" spans="1:1" x14ac:dyDescent="0.35">
      <c r="A937" s="12"/>
    </row>
    <row r="938" spans="1:1" x14ac:dyDescent="0.35">
      <c r="A938" s="12"/>
    </row>
    <row r="939" spans="1:1" x14ac:dyDescent="0.35">
      <c r="A939" s="12"/>
    </row>
    <row r="940" spans="1:1" x14ac:dyDescent="0.35">
      <c r="A940" s="12"/>
    </row>
    <row r="941" spans="1:1" x14ac:dyDescent="0.35">
      <c r="A941" s="12"/>
    </row>
    <row r="942" spans="1:1" x14ac:dyDescent="0.35">
      <c r="A942" s="12"/>
    </row>
    <row r="943" spans="1:1" x14ac:dyDescent="0.35">
      <c r="A943" s="12"/>
    </row>
    <row r="944" spans="1:1" x14ac:dyDescent="0.35">
      <c r="A944" s="12"/>
    </row>
    <row r="945" spans="1:1" x14ac:dyDescent="0.35">
      <c r="A945" s="12"/>
    </row>
    <row r="946" spans="1:1" x14ac:dyDescent="0.35">
      <c r="A946" s="12"/>
    </row>
    <row r="947" spans="1:1" x14ac:dyDescent="0.35">
      <c r="A947" s="12"/>
    </row>
    <row r="948" spans="1:1" x14ac:dyDescent="0.35">
      <c r="A948" s="12"/>
    </row>
    <row r="949" spans="1:1" x14ac:dyDescent="0.35">
      <c r="A949" s="12"/>
    </row>
    <row r="950" spans="1:1" x14ac:dyDescent="0.35">
      <c r="A950" s="12"/>
    </row>
    <row r="951" spans="1:1" x14ac:dyDescent="0.35">
      <c r="A951" s="12"/>
    </row>
    <row r="952" spans="1:1" x14ac:dyDescent="0.35">
      <c r="A952" s="12"/>
    </row>
    <row r="953" spans="1:1" x14ac:dyDescent="0.35">
      <c r="A953" s="12"/>
    </row>
    <row r="954" spans="1:1" x14ac:dyDescent="0.35">
      <c r="A954" s="12"/>
    </row>
    <row r="955" spans="1:1" x14ac:dyDescent="0.35">
      <c r="A955" s="12"/>
    </row>
    <row r="956" spans="1:1" x14ac:dyDescent="0.35">
      <c r="A956" s="12"/>
    </row>
    <row r="957" spans="1:1" x14ac:dyDescent="0.35">
      <c r="A957" s="12"/>
    </row>
    <row r="958" spans="1:1" x14ac:dyDescent="0.35">
      <c r="A958" s="12"/>
    </row>
    <row r="959" spans="1:1" x14ac:dyDescent="0.35">
      <c r="A959" s="12"/>
    </row>
    <row r="960" spans="1:1" x14ac:dyDescent="0.35">
      <c r="A960" s="12"/>
    </row>
    <row r="961" spans="1:1" x14ac:dyDescent="0.35">
      <c r="A961" s="12"/>
    </row>
    <row r="962" spans="1:1" x14ac:dyDescent="0.35">
      <c r="A962" s="12"/>
    </row>
    <row r="963" spans="1:1" x14ac:dyDescent="0.35">
      <c r="A963" s="12"/>
    </row>
    <row r="964" spans="1:1" x14ac:dyDescent="0.35">
      <c r="A964" s="12"/>
    </row>
    <row r="965" spans="1:1" x14ac:dyDescent="0.35">
      <c r="A965" s="12"/>
    </row>
    <row r="966" spans="1:1" x14ac:dyDescent="0.35">
      <c r="A966" s="12"/>
    </row>
    <row r="967" spans="1:1" x14ac:dyDescent="0.35">
      <c r="A967" s="12"/>
    </row>
    <row r="968" spans="1:1" x14ac:dyDescent="0.35">
      <c r="A968" s="12"/>
    </row>
    <row r="969" spans="1:1" x14ac:dyDescent="0.35">
      <c r="A969" s="12"/>
    </row>
    <row r="970" spans="1:1" x14ac:dyDescent="0.35">
      <c r="A970" s="12"/>
    </row>
    <row r="971" spans="1:1" x14ac:dyDescent="0.35">
      <c r="A971" s="12"/>
    </row>
    <row r="972" spans="1:1" x14ac:dyDescent="0.35">
      <c r="A972" s="12"/>
    </row>
    <row r="973" spans="1:1" x14ac:dyDescent="0.35">
      <c r="A973" s="12"/>
    </row>
    <row r="974" spans="1:1" x14ac:dyDescent="0.35">
      <c r="A974" s="12"/>
    </row>
    <row r="975" spans="1:1" x14ac:dyDescent="0.35">
      <c r="A975" s="12"/>
    </row>
    <row r="976" spans="1:1" x14ac:dyDescent="0.35">
      <c r="A976" s="12"/>
    </row>
    <row r="977" spans="1:1" x14ac:dyDescent="0.35">
      <c r="A977" s="12"/>
    </row>
    <row r="978" spans="1:1" x14ac:dyDescent="0.35">
      <c r="A978" s="12"/>
    </row>
    <row r="979" spans="1:1" x14ac:dyDescent="0.35">
      <c r="A979" s="12"/>
    </row>
    <row r="980" spans="1:1" x14ac:dyDescent="0.35">
      <c r="A980" s="12"/>
    </row>
    <row r="981" spans="1:1" x14ac:dyDescent="0.35">
      <c r="A981" s="12"/>
    </row>
    <row r="982" spans="1:1" x14ac:dyDescent="0.35">
      <c r="A982" s="12"/>
    </row>
    <row r="983" spans="1:1" x14ac:dyDescent="0.35">
      <c r="A983" s="12"/>
    </row>
    <row r="984" spans="1:1" x14ac:dyDescent="0.35">
      <c r="A984" s="12"/>
    </row>
    <row r="985" spans="1:1" x14ac:dyDescent="0.35">
      <c r="A985" s="12"/>
    </row>
    <row r="986" spans="1:1" x14ac:dyDescent="0.35">
      <c r="A986" s="12"/>
    </row>
    <row r="987" spans="1:1" x14ac:dyDescent="0.35">
      <c r="A987" s="12"/>
    </row>
    <row r="988" spans="1:1" x14ac:dyDescent="0.35">
      <c r="A988" s="12"/>
    </row>
    <row r="989" spans="1:1" x14ac:dyDescent="0.35">
      <c r="A989" s="12"/>
    </row>
    <row r="990" spans="1:1" x14ac:dyDescent="0.35">
      <c r="A990" s="12"/>
    </row>
    <row r="991" spans="1:1" x14ac:dyDescent="0.35">
      <c r="A991" s="12"/>
    </row>
    <row r="992" spans="1:1" x14ac:dyDescent="0.35">
      <c r="A992" s="12"/>
    </row>
    <row r="993" spans="1:1" x14ac:dyDescent="0.35">
      <c r="A993" s="12"/>
    </row>
    <row r="994" spans="1:1" x14ac:dyDescent="0.35">
      <c r="A994" s="12"/>
    </row>
    <row r="995" spans="1:1" x14ac:dyDescent="0.35">
      <c r="A995" s="12"/>
    </row>
    <row r="996" spans="1:1" x14ac:dyDescent="0.35">
      <c r="A996" s="12"/>
    </row>
    <row r="997" spans="1:1" x14ac:dyDescent="0.35">
      <c r="A997" s="12"/>
    </row>
    <row r="998" spans="1:1" x14ac:dyDescent="0.35">
      <c r="A998" s="12"/>
    </row>
    <row r="999" spans="1:1" x14ac:dyDescent="0.35">
      <c r="A999" s="12"/>
    </row>
    <row r="1000" spans="1:1" x14ac:dyDescent="0.35">
      <c r="A1000" s="12"/>
    </row>
    <row r="1001" spans="1:1" x14ac:dyDescent="0.35">
      <c r="A1001" s="12"/>
    </row>
    <row r="1002" spans="1:1" x14ac:dyDescent="0.35">
      <c r="A1002" s="12"/>
    </row>
    <row r="1003" spans="1:1" x14ac:dyDescent="0.35">
      <c r="A1003" s="12"/>
    </row>
    <row r="1004" spans="1:1" x14ac:dyDescent="0.35">
      <c r="A1004" s="12"/>
    </row>
    <row r="1005" spans="1:1" x14ac:dyDescent="0.35">
      <c r="A1005" s="12"/>
    </row>
    <row r="1006" spans="1:1" x14ac:dyDescent="0.35">
      <c r="A1006" s="12"/>
    </row>
    <row r="1007" spans="1:1" x14ac:dyDescent="0.35">
      <c r="A1007" s="12"/>
    </row>
    <row r="1008" spans="1:1" x14ac:dyDescent="0.35">
      <c r="A1008" s="12"/>
    </row>
    <row r="1009" spans="1:1" x14ac:dyDescent="0.35">
      <c r="A1009" s="12"/>
    </row>
    <row r="1010" spans="1:1" x14ac:dyDescent="0.35">
      <c r="A1010" s="12"/>
    </row>
    <row r="1011" spans="1:1" x14ac:dyDescent="0.35">
      <c r="A1011" s="12"/>
    </row>
    <row r="1012" spans="1:1" x14ac:dyDescent="0.35">
      <c r="A1012" s="12"/>
    </row>
    <row r="1013" spans="1:1" x14ac:dyDescent="0.35">
      <c r="A1013" s="12"/>
    </row>
    <row r="1014" spans="1:1" x14ac:dyDescent="0.35">
      <c r="A1014" s="12"/>
    </row>
    <row r="1015" spans="1:1" x14ac:dyDescent="0.35">
      <c r="A1015" s="12"/>
    </row>
    <row r="1016" spans="1:1" x14ac:dyDescent="0.35">
      <c r="A1016" s="12"/>
    </row>
    <row r="1017" spans="1:1" x14ac:dyDescent="0.35">
      <c r="A1017" s="12"/>
    </row>
    <row r="1018" spans="1:1" x14ac:dyDescent="0.35">
      <c r="A1018" s="12"/>
    </row>
    <row r="1019" spans="1:1" x14ac:dyDescent="0.35">
      <c r="A1019" s="12"/>
    </row>
    <row r="1020" spans="1:1" x14ac:dyDescent="0.35">
      <c r="A1020" s="12"/>
    </row>
    <row r="1021" spans="1:1" x14ac:dyDescent="0.35">
      <c r="A1021" s="12"/>
    </row>
    <row r="1022" spans="1:1" x14ac:dyDescent="0.35">
      <c r="A1022" s="12"/>
    </row>
    <row r="1023" spans="1:1" x14ac:dyDescent="0.35">
      <c r="A1023" s="12"/>
    </row>
    <row r="1024" spans="1:1" x14ac:dyDescent="0.35">
      <c r="A1024" s="12"/>
    </row>
    <row r="1025" spans="1:1" x14ac:dyDescent="0.35">
      <c r="A1025" s="12"/>
    </row>
    <row r="1026" spans="1:1" x14ac:dyDescent="0.35">
      <c r="A1026" s="12"/>
    </row>
    <row r="1027" spans="1:1" x14ac:dyDescent="0.35">
      <c r="A1027" s="12"/>
    </row>
    <row r="1028" spans="1:1" x14ac:dyDescent="0.35">
      <c r="A1028" s="12"/>
    </row>
    <row r="1029" spans="1:1" x14ac:dyDescent="0.35">
      <c r="A1029" s="12"/>
    </row>
    <row r="1030" spans="1:1" x14ac:dyDescent="0.35">
      <c r="A1030" s="12"/>
    </row>
    <row r="1031" spans="1:1" x14ac:dyDescent="0.35">
      <c r="A1031" s="12"/>
    </row>
    <row r="1032" spans="1:1" x14ac:dyDescent="0.35">
      <c r="A1032" s="12"/>
    </row>
    <row r="1033" spans="1:1" x14ac:dyDescent="0.35">
      <c r="A1033" s="12"/>
    </row>
    <row r="1034" spans="1:1" x14ac:dyDescent="0.35">
      <c r="A1034" s="12"/>
    </row>
    <row r="1035" spans="1:1" x14ac:dyDescent="0.35">
      <c r="A1035" s="12"/>
    </row>
    <row r="1036" spans="1:1" x14ac:dyDescent="0.35">
      <c r="A1036" s="12"/>
    </row>
    <row r="1037" spans="1:1" x14ac:dyDescent="0.35">
      <c r="A1037" s="12"/>
    </row>
    <row r="1038" spans="1:1" x14ac:dyDescent="0.35">
      <c r="A1038" s="12"/>
    </row>
    <row r="1039" spans="1:1" x14ac:dyDescent="0.35">
      <c r="A1039" s="12"/>
    </row>
    <row r="1040" spans="1:1" x14ac:dyDescent="0.35">
      <c r="A1040" s="12"/>
    </row>
    <row r="1041" spans="1:1" x14ac:dyDescent="0.35">
      <c r="A1041" s="12"/>
    </row>
    <row r="1042" spans="1:1" x14ac:dyDescent="0.35">
      <c r="A1042" s="12"/>
    </row>
    <row r="1043" spans="1:1" x14ac:dyDescent="0.35">
      <c r="A1043" s="12"/>
    </row>
    <row r="1044" spans="1:1" x14ac:dyDescent="0.35">
      <c r="A1044" s="12"/>
    </row>
    <row r="1045" spans="1:1" x14ac:dyDescent="0.35">
      <c r="A1045" s="12"/>
    </row>
    <row r="1046" spans="1:1" x14ac:dyDescent="0.35">
      <c r="A1046" s="12"/>
    </row>
    <row r="1047" spans="1:1" x14ac:dyDescent="0.35">
      <c r="A1047" s="12"/>
    </row>
    <row r="1048" spans="1:1" x14ac:dyDescent="0.35">
      <c r="A1048" s="12"/>
    </row>
    <row r="1049" spans="1:1" x14ac:dyDescent="0.35">
      <c r="A1049" s="12"/>
    </row>
    <row r="1050" spans="1:1" x14ac:dyDescent="0.35">
      <c r="A1050" s="12"/>
    </row>
    <row r="1051" spans="1:1" x14ac:dyDescent="0.35">
      <c r="A1051" s="12"/>
    </row>
    <row r="1052" spans="1:1" x14ac:dyDescent="0.35">
      <c r="A1052" s="12"/>
    </row>
    <row r="1053" spans="1:1" x14ac:dyDescent="0.35">
      <c r="A1053" s="12"/>
    </row>
    <row r="1054" spans="1:1" x14ac:dyDescent="0.35">
      <c r="A1054" s="12"/>
    </row>
    <row r="1055" spans="1:1" x14ac:dyDescent="0.35">
      <c r="A1055" s="12"/>
    </row>
    <row r="1056" spans="1:1" x14ac:dyDescent="0.35">
      <c r="A1056" s="12"/>
    </row>
    <row r="1057" spans="1:1" x14ac:dyDescent="0.35">
      <c r="A1057" s="12"/>
    </row>
    <row r="1058" spans="1:1" x14ac:dyDescent="0.35">
      <c r="A1058" s="12"/>
    </row>
    <row r="1059" spans="1:1" x14ac:dyDescent="0.35">
      <c r="A1059" s="12"/>
    </row>
    <row r="1060" spans="1:1" x14ac:dyDescent="0.35">
      <c r="A1060" s="12"/>
    </row>
    <row r="1061" spans="1:1" x14ac:dyDescent="0.35">
      <c r="A1061" s="12"/>
    </row>
    <row r="1062" spans="1:1" x14ac:dyDescent="0.35">
      <c r="A1062" s="12"/>
    </row>
    <row r="1063" spans="1:1" x14ac:dyDescent="0.35">
      <c r="A1063" s="12"/>
    </row>
    <row r="1064" spans="1:1" x14ac:dyDescent="0.35">
      <c r="A1064" s="12"/>
    </row>
    <row r="1065" spans="1:1" x14ac:dyDescent="0.35">
      <c r="A1065" s="12"/>
    </row>
    <row r="1066" spans="1:1" x14ac:dyDescent="0.35">
      <c r="A1066" s="12"/>
    </row>
    <row r="1067" spans="1:1" x14ac:dyDescent="0.35">
      <c r="A1067" s="12"/>
    </row>
    <row r="1068" spans="1:1" x14ac:dyDescent="0.35">
      <c r="A1068" s="12"/>
    </row>
    <row r="1069" spans="1:1" x14ac:dyDescent="0.35">
      <c r="A1069" s="12"/>
    </row>
    <row r="1070" spans="1:1" x14ac:dyDescent="0.35">
      <c r="A1070" s="12"/>
    </row>
    <row r="1071" spans="1:1" x14ac:dyDescent="0.35">
      <c r="A1071" s="12"/>
    </row>
    <row r="1072" spans="1:1" x14ac:dyDescent="0.35">
      <c r="A1072" s="12"/>
    </row>
    <row r="1073" spans="1:1" x14ac:dyDescent="0.35">
      <c r="A1073" s="12"/>
    </row>
    <row r="1074" spans="1:1" x14ac:dyDescent="0.35">
      <c r="A1074" s="12"/>
    </row>
    <row r="1075" spans="1:1" x14ac:dyDescent="0.35">
      <c r="A1075" s="12"/>
    </row>
    <row r="1076" spans="1:1" x14ac:dyDescent="0.35">
      <c r="A1076" s="12"/>
    </row>
    <row r="1077" spans="1:1" x14ac:dyDescent="0.35">
      <c r="A1077" s="12"/>
    </row>
    <row r="1078" spans="1:1" x14ac:dyDescent="0.35">
      <c r="A1078" s="12"/>
    </row>
    <row r="1079" spans="1:1" x14ac:dyDescent="0.35">
      <c r="A1079" s="12"/>
    </row>
    <row r="1080" spans="1:1" x14ac:dyDescent="0.35">
      <c r="A1080" s="12"/>
    </row>
    <row r="1081" spans="1:1" x14ac:dyDescent="0.35">
      <c r="A1081" s="12"/>
    </row>
    <row r="1082" spans="1:1" x14ac:dyDescent="0.35">
      <c r="A1082" s="12"/>
    </row>
    <row r="1083" spans="1:1" x14ac:dyDescent="0.35">
      <c r="A1083" s="12"/>
    </row>
    <row r="1084" spans="1:1" x14ac:dyDescent="0.35">
      <c r="A1084" s="12"/>
    </row>
    <row r="1085" spans="1:1" x14ac:dyDescent="0.35">
      <c r="A1085" s="12"/>
    </row>
    <row r="1086" spans="1:1" x14ac:dyDescent="0.35">
      <c r="A1086" s="12"/>
    </row>
    <row r="1087" spans="1:1" x14ac:dyDescent="0.35">
      <c r="A1087" s="12"/>
    </row>
    <row r="1088" spans="1:1" x14ac:dyDescent="0.35">
      <c r="A1088" s="12"/>
    </row>
    <row r="1089" spans="1:1" x14ac:dyDescent="0.35">
      <c r="A1089" s="12"/>
    </row>
    <row r="1090" spans="1:1" x14ac:dyDescent="0.35">
      <c r="A1090" s="12"/>
    </row>
    <row r="1091" spans="1:1" x14ac:dyDescent="0.35">
      <c r="A1091" s="12"/>
    </row>
    <row r="1092" spans="1:1" x14ac:dyDescent="0.35">
      <c r="A1092" s="12"/>
    </row>
    <row r="1093" spans="1:1" x14ac:dyDescent="0.35">
      <c r="A1093" s="12"/>
    </row>
    <row r="1094" spans="1:1" x14ac:dyDescent="0.35">
      <c r="A1094" s="12"/>
    </row>
    <row r="1095" spans="1:1" x14ac:dyDescent="0.35">
      <c r="A1095" s="12"/>
    </row>
    <row r="1096" spans="1:1" x14ac:dyDescent="0.35">
      <c r="A1096" s="12"/>
    </row>
    <row r="1097" spans="1:1" x14ac:dyDescent="0.35">
      <c r="A1097" s="12"/>
    </row>
    <row r="1098" spans="1:1" x14ac:dyDescent="0.35">
      <c r="A1098" s="12"/>
    </row>
    <row r="1099" spans="1:1" x14ac:dyDescent="0.35">
      <c r="A1099" s="12"/>
    </row>
    <row r="1100" spans="1:1" x14ac:dyDescent="0.35">
      <c r="A1100" s="12"/>
    </row>
    <row r="1101" spans="1:1" x14ac:dyDescent="0.35">
      <c r="A1101" s="12"/>
    </row>
    <row r="1102" spans="1:1" x14ac:dyDescent="0.35">
      <c r="A1102" s="12"/>
    </row>
    <row r="1103" spans="1:1" x14ac:dyDescent="0.35">
      <c r="A1103" s="12"/>
    </row>
    <row r="1104" spans="1:1" x14ac:dyDescent="0.35">
      <c r="A1104" s="12"/>
    </row>
    <row r="1105" spans="1:1" x14ac:dyDescent="0.35">
      <c r="A1105" s="12"/>
    </row>
    <row r="1106" spans="1:1" x14ac:dyDescent="0.35">
      <c r="A1106" s="12"/>
    </row>
    <row r="1107" spans="1:1" x14ac:dyDescent="0.35">
      <c r="A1107" s="12"/>
    </row>
    <row r="1108" spans="1:1" x14ac:dyDescent="0.35">
      <c r="A1108" s="12"/>
    </row>
    <row r="1109" spans="1:1" x14ac:dyDescent="0.35">
      <c r="A1109" s="12"/>
    </row>
    <row r="1110" spans="1:1" x14ac:dyDescent="0.35">
      <c r="A1110" s="12"/>
    </row>
    <row r="1111" spans="1:1" x14ac:dyDescent="0.35">
      <c r="A1111" s="12"/>
    </row>
    <row r="1112" spans="1:1" x14ac:dyDescent="0.35">
      <c r="A1112" s="12"/>
    </row>
    <row r="1113" spans="1:1" x14ac:dyDescent="0.35">
      <c r="A1113" s="12"/>
    </row>
    <row r="1114" spans="1:1" x14ac:dyDescent="0.35">
      <c r="A1114" s="12"/>
    </row>
    <row r="1115" spans="1:1" x14ac:dyDescent="0.35">
      <c r="A1115" s="12"/>
    </row>
    <row r="1116" spans="1:1" x14ac:dyDescent="0.35">
      <c r="A1116" s="12"/>
    </row>
    <row r="1117" spans="1:1" x14ac:dyDescent="0.35">
      <c r="A1117" s="12"/>
    </row>
    <row r="1118" spans="1:1" x14ac:dyDescent="0.35">
      <c r="A1118" s="12"/>
    </row>
    <row r="1119" spans="1:1" x14ac:dyDescent="0.35">
      <c r="A1119" s="12"/>
    </row>
    <row r="1120" spans="1:1" x14ac:dyDescent="0.35">
      <c r="A1120" s="12"/>
    </row>
    <row r="1121" spans="1:1" x14ac:dyDescent="0.35">
      <c r="A1121" s="12"/>
    </row>
    <row r="1122" spans="1:1" x14ac:dyDescent="0.35">
      <c r="A1122" s="12"/>
    </row>
    <row r="1123" spans="1:1" x14ac:dyDescent="0.35">
      <c r="A1123" s="12"/>
    </row>
    <row r="1124" spans="1:1" x14ac:dyDescent="0.35">
      <c r="A1124" s="12"/>
    </row>
    <row r="1125" spans="1:1" x14ac:dyDescent="0.35">
      <c r="A1125" s="12"/>
    </row>
    <row r="1126" spans="1:1" x14ac:dyDescent="0.35">
      <c r="A1126" s="12"/>
    </row>
    <row r="1127" spans="1:1" x14ac:dyDescent="0.35">
      <c r="A1127" s="12"/>
    </row>
    <row r="1128" spans="1:1" x14ac:dyDescent="0.35">
      <c r="A1128" s="12"/>
    </row>
    <row r="1129" spans="1:1" x14ac:dyDescent="0.35">
      <c r="A1129" s="12"/>
    </row>
    <row r="1130" spans="1:1" x14ac:dyDescent="0.35">
      <c r="A1130" s="12"/>
    </row>
    <row r="1131" spans="1:1" x14ac:dyDescent="0.35">
      <c r="A1131" s="12"/>
    </row>
    <row r="1132" spans="1:1" x14ac:dyDescent="0.35">
      <c r="A1132" s="12"/>
    </row>
    <row r="1133" spans="1:1" x14ac:dyDescent="0.35">
      <c r="A1133" s="12"/>
    </row>
    <row r="1134" spans="1:1" x14ac:dyDescent="0.35">
      <c r="A1134" s="12"/>
    </row>
    <row r="1135" spans="1:1" x14ac:dyDescent="0.35">
      <c r="A1135" s="12"/>
    </row>
    <row r="1136" spans="1:1" x14ac:dyDescent="0.35">
      <c r="A1136" s="12"/>
    </row>
    <row r="1137" spans="1:1" x14ac:dyDescent="0.35">
      <c r="A1137" s="12"/>
    </row>
    <row r="1138" spans="1:1" x14ac:dyDescent="0.35">
      <c r="A1138" s="12"/>
    </row>
    <row r="1139" spans="1:1" x14ac:dyDescent="0.35">
      <c r="A1139" s="12"/>
    </row>
    <row r="1140" spans="1:1" x14ac:dyDescent="0.35">
      <c r="A1140" s="12"/>
    </row>
    <row r="1141" spans="1:1" x14ac:dyDescent="0.35">
      <c r="A1141" s="12"/>
    </row>
    <row r="1142" spans="1:1" x14ac:dyDescent="0.35">
      <c r="A1142" s="12"/>
    </row>
    <row r="1143" spans="1:1" x14ac:dyDescent="0.35">
      <c r="A1143" s="12"/>
    </row>
    <row r="1144" spans="1:1" x14ac:dyDescent="0.35">
      <c r="A1144" s="12"/>
    </row>
    <row r="1145" spans="1:1" x14ac:dyDescent="0.35">
      <c r="A1145" s="12"/>
    </row>
    <row r="1146" spans="1:1" x14ac:dyDescent="0.35">
      <c r="A1146" s="12"/>
    </row>
    <row r="1147" spans="1:1" x14ac:dyDescent="0.35">
      <c r="A1147" s="12"/>
    </row>
    <row r="1148" spans="1:1" x14ac:dyDescent="0.35">
      <c r="A1148" s="12"/>
    </row>
    <row r="1149" spans="1:1" x14ac:dyDescent="0.35">
      <c r="A1149" s="12"/>
    </row>
    <row r="1150" spans="1:1" x14ac:dyDescent="0.35">
      <c r="A1150" s="12"/>
    </row>
    <row r="1151" spans="1:1" x14ac:dyDescent="0.35">
      <c r="A1151" s="12"/>
    </row>
    <row r="1152" spans="1:1" x14ac:dyDescent="0.35">
      <c r="A1152" s="12"/>
    </row>
    <row r="1153" spans="1:1" x14ac:dyDescent="0.35">
      <c r="A1153" s="12"/>
    </row>
    <row r="1154" spans="1:1" x14ac:dyDescent="0.35">
      <c r="A1154" s="12"/>
    </row>
    <row r="1155" spans="1:1" x14ac:dyDescent="0.35">
      <c r="A1155" s="12"/>
    </row>
    <row r="1156" spans="1:1" x14ac:dyDescent="0.35">
      <c r="A1156" s="12"/>
    </row>
    <row r="1157" spans="1:1" x14ac:dyDescent="0.35">
      <c r="A1157" s="12"/>
    </row>
    <row r="1158" spans="1:1" x14ac:dyDescent="0.35">
      <c r="A1158" s="12"/>
    </row>
    <row r="1159" spans="1:1" x14ac:dyDescent="0.35">
      <c r="A1159" s="12"/>
    </row>
    <row r="1160" spans="1:1" x14ac:dyDescent="0.35">
      <c r="A1160" s="12"/>
    </row>
    <row r="1161" spans="1:1" x14ac:dyDescent="0.35">
      <c r="A1161" s="12"/>
    </row>
    <row r="1162" spans="1:1" x14ac:dyDescent="0.35">
      <c r="A1162" s="12"/>
    </row>
    <row r="1163" spans="1:1" x14ac:dyDescent="0.35">
      <c r="A1163" s="12"/>
    </row>
    <row r="1164" spans="1:1" x14ac:dyDescent="0.35">
      <c r="A1164" s="12"/>
    </row>
    <row r="1165" spans="1:1" x14ac:dyDescent="0.35">
      <c r="A1165" s="12"/>
    </row>
    <row r="1166" spans="1:1" x14ac:dyDescent="0.35">
      <c r="A1166" s="12"/>
    </row>
    <row r="1167" spans="1:1" x14ac:dyDescent="0.35">
      <c r="A1167" s="12"/>
    </row>
    <row r="1168" spans="1:1" x14ac:dyDescent="0.35">
      <c r="A1168" s="12"/>
    </row>
    <row r="1169" spans="1:1" x14ac:dyDescent="0.35">
      <c r="A1169" s="12"/>
    </row>
    <row r="1170" spans="1:1" x14ac:dyDescent="0.35">
      <c r="A1170" s="12"/>
    </row>
    <row r="1171" spans="1:1" x14ac:dyDescent="0.35">
      <c r="A1171" s="12"/>
    </row>
    <row r="1172" spans="1:1" x14ac:dyDescent="0.35">
      <c r="A1172" s="12"/>
    </row>
    <row r="1173" spans="1:1" x14ac:dyDescent="0.35">
      <c r="A1173" s="12"/>
    </row>
    <row r="1174" spans="1:1" x14ac:dyDescent="0.35">
      <c r="A1174" s="12"/>
    </row>
    <row r="1175" spans="1:1" x14ac:dyDescent="0.35">
      <c r="A1175" s="12"/>
    </row>
    <row r="1176" spans="1:1" x14ac:dyDescent="0.35">
      <c r="A1176" s="12"/>
    </row>
    <row r="1177" spans="1:1" x14ac:dyDescent="0.35">
      <c r="A1177" s="12"/>
    </row>
    <row r="1178" spans="1:1" x14ac:dyDescent="0.35">
      <c r="A1178" s="12"/>
    </row>
    <row r="1179" spans="1:1" x14ac:dyDescent="0.35">
      <c r="A1179" s="12"/>
    </row>
    <row r="1180" spans="1:1" x14ac:dyDescent="0.35">
      <c r="A1180" s="12"/>
    </row>
    <row r="1181" spans="1:1" x14ac:dyDescent="0.35">
      <c r="A1181" s="12"/>
    </row>
    <row r="1182" spans="1:1" x14ac:dyDescent="0.35">
      <c r="A1182" s="12"/>
    </row>
    <row r="1183" spans="1:1" x14ac:dyDescent="0.35">
      <c r="A1183" s="12"/>
    </row>
    <row r="1184" spans="1:1" x14ac:dyDescent="0.35">
      <c r="A1184" s="12"/>
    </row>
    <row r="1185" spans="1:1" x14ac:dyDescent="0.35">
      <c r="A1185" s="12"/>
    </row>
    <row r="1186" spans="1:1" x14ac:dyDescent="0.35">
      <c r="A1186" s="12"/>
    </row>
    <row r="1187" spans="1:1" x14ac:dyDescent="0.35">
      <c r="A1187" s="12"/>
    </row>
    <row r="1188" spans="1:1" x14ac:dyDescent="0.35">
      <c r="A1188" s="12"/>
    </row>
    <row r="1189" spans="1:1" x14ac:dyDescent="0.35">
      <c r="A1189" s="12"/>
    </row>
    <row r="1190" spans="1:1" x14ac:dyDescent="0.35">
      <c r="A1190" s="12"/>
    </row>
    <row r="1191" spans="1:1" x14ac:dyDescent="0.35">
      <c r="A1191" s="12"/>
    </row>
    <row r="1192" spans="1:1" x14ac:dyDescent="0.35">
      <c r="A1192" s="12"/>
    </row>
    <row r="1193" spans="1:1" x14ac:dyDescent="0.35">
      <c r="A1193" s="12"/>
    </row>
    <row r="1194" spans="1:1" x14ac:dyDescent="0.35">
      <c r="A1194" s="12"/>
    </row>
    <row r="1195" spans="1:1" x14ac:dyDescent="0.35">
      <c r="A1195" s="12"/>
    </row>
    <row r="1196" spans="1:1" x14ac:dyDescent="0.35">
      <c r="A1196" s="12"/>
    </row>
    <row r="1197" spans="1:1" x14ac:dyDescent="0.35">
      <c r="A1197" s="12"/>
    </row>
    <row r="1198" spans="1:1" x14ac:dyDescent="0.35">
      <c r="A1198" s="12"/>
    </row>
    <row r="1199" spans="1:1" x14ac:dyDescent="0.35">
      <c r="A1199" s="12"/>
    </row>
    <row r="1200" spans="1:1" x14ac:dyDescent="0.35">
      <c r="A1200" s="12"/>
    </row>
    <row r="1201" spans="1:1" x14ac:dyDescent="0.35">
      <c r="A1201" s="12"/>
    </row>
    <row r="1202" spans="1:1" x14ac:dyDescent="0.35">
      <c r="A1202" s="12"/>
    </row>
    <row r="1203" spans="1:1" x14ac:dyDescent="0.35">
      <c r="A1203" s="12"/>
    </row>
    <row r="1204" spans="1:1" x14ac:dyDescent="0.35">
      <c r="A1204" s="12"/>
    </row>
    <row r="1205" spans="1:1" x14ac:dyDescent="0.35">
      <c r="A1205" s="12"/>
    </row>
    <row r="1206" spans="1:1" x14ac:dyDescent="0.35">
      <c r="A1206" s="12"/>
    </row>
    <row r="1207" spans="1:1" x14ac:dyDescent="0.35">
      <c r="A1207" s="12"/>
    </row>
    <row r="1208" spans="1:1" x14ac:dyDescent="0.35">
      <c r="A1208" s="12"/>
    </row>
    <row r="1209" spans="1:1" x14ac:dyDescent="0.35">
      <c r="A1209" s="12"/>
    </row>
    <row r="1210" spans="1:1" x14ac:dyDescent="0.35">
      <c r="A1210" s="12"/>
    </row>
    <row r="1211" spans="1:1" x14ac:dyDescent="0.35">
      <c r="A1211" s="12"/>
    </row>
    <row r="1212" spans="1:1" x14ac:dyDescent="0.35">
      <c r="A1212" s="12"/>
    </row>
    <row r="1213" spans="1:1" x14ac:dyDescent="0.35">
      <c r="A1213" s="12"/>
    </row>
    <row r="1214" spans="1:1" x14ac:dyDescent="0.35">
      <c r="A1214" s="12"/>
    </row>
    <row r="1215" spans="1:1" x14ac:dyDescent="0.35">
      <c r="A1215" s="12"/>
    </row>
    <row r="1216" spans="1:1" x14ac:dyDescent="0.35">
      <c r="A1216" s="12"/>
    </row>
    <row r="1217" spans="1:1" x14ac:dyDescent="0.35">
      <c r="A1217" s="12"/>
    </row>
    <row r="1218" spans="1:1" x14ac:dyDescent="0.35">
      <c r="A1218" s="12"/>
    </row>
    <row r="1219" spans="1:1" x14ac:dyDescent="0.35">
      <c r="A1219" s="12"/>
    </row>
    <row r="1220" spans="1:1" x14ac:dyDescent="0.35">
      <c r="A1220" s="12"/>
    </row>
    <row r="1221" spans="1:1" x14ac:dyDescent="0.35">
      <c r="A1221" s="12"/>
    </row>
    <row r="1222" spans="1:1" x14ac:dyDescent="0.35">
      <c r="A1222" s="12"/>
    </row>
    <row r="1223" spans="1:1" x14ac:dyDescent="0.35">
      <c r="A1223" s="12"/>
    </row>
    <row r="1224" spans="1:1" x14ac:dyDescent="0.35">
      <c r="A1224" s="12"/>
    </row>
    <row r="1225" spans="1:1" x14ac:dyDescent="0.35">
      <c r="A1225" s="12"/>
    </row>
    <row r="1226" spans="1:1" x14ac:dyDescent="0.35">
      <c r="A1226" s="12"/>
    </row>
    <row r="1227" spans="1:1" x14ac:dyDescent="0.35">
      <c r="A1227" s="12"/>
    </row>
    <row r="1228" spans="1:1" x14ac:dyDescent="0.35">
      <c r="A1228" s="12"/>
    </row>
    <row r="1229" spans="1:1" x14ac:dyDescent="0.35">
      <c r="A1229" s="12"/>
    </row>
    <row r="1230" spans="1:1" x14ac:dyDescent="0.35">
      <c r="A1230" s="12"/>
    </row>
    <row r="1231" spans="1:1" x14ac:dyDescent="0.35">
      <c r="A1231" s="12"/>
    </row>
    <row r="1232" spans="1:1" x14ac:dyDescent="0.35">
      <c r="A1232" s="12"/>
    </row>
    <row r="1233" spans="1:1" x14ac:dyDescent="0.35">
      <c r="A1233" s="12"/>
    </row>
    <row r="1234" spans="1:1" x14ac:dyDescent="0.35">
      <c r="A1234" s="12"/>
    </row>
    <row r="1235" spans="1:1" x14ac:dyDescent="0.35">
      <c r="A1235" s="12"/>
    </row>
    <row r="1236" spans="1:1" x14ac:dyDescent="0.35">
      <c r="A1236" s="12"/>
    </row>
    <row r="1237" spans="1:1" x14ac:dyDescent="0.35">
      <c r="A1237" s="12"/>
    </row>
    <row r="1238" spans="1:1" x14ac:dyDescent="0.35">
      <c r="A1238" s="12"/>
    </row>
    <row r="1239" spans="1:1" x14ac:dyDescent="0.35">
      <c r="A1239" s="12"/>
    </row>
    <row r="1240" spans="1:1" x14ac:dyDescent="0.35">
      <c r="A1240" s="12"/>
    </row>
    <row r="1241" spans="1:1" x14ac:dyDescent="0.35">
      <c r="A1241" s="12"/>
    </row>
    <row r="1242" spans="1:1" x14ac:dyDescent="0.35">
      <c r="A1242" s="12"/>
    </row>
    <row r="1243" spans="1:1" x14ac:dyDescent="0.35">
      <c r="A1243" s="12"/>
    </row>
    <row r="1244" spans="1:1" x14ac:dyDescent="0.35">
      <c r="A1244" s="12"/>
    </row>
    <row r="1245" spans="1:1" x14ac:dyDescent="0.35">
      <c r="A1245" s="12"/>
    </row>
    <row r="1246" spans="1:1" x14ac:dyDescent="0.35">
      <c r="A1246" s="12"/>
    </row>
    <row r="1247" spans="1:1" x14ac:dyDescent="0.35">
      <c r="A1247" s="12"/>
    </row>
    <row r="1248" spans="1:1" x14ac:dyDescent="0.35">
      <c r="A1248" s="12"/>
    </row>
    <row r="1249" spans="1:1" x14ac:dyDescent="0.35">
      <c r="A1249" s="12"/>
    </row>
    <row r="1250" spans="1:1" x14ac:dyDescent="0.35">
      <c r="A1250" s="12"/>
    </row>
    <row r="1251" spans="1:1" x14ac:dyDescent="0.35">
      <c r="A1251" s="12"/>
    </row>
    <row r="1252" spans="1:1" x14ac:dyDescent="0.35">
      <c r="A1252" s="12"/>
    </row>
    <row r="1253" spans="1:1" x14ac:dyDescent="0.35">
      <c r="A1253" s="12"/>
    </row>
    <row r="1254" spans="1:1" x14ac:dyDescent="0.35">
      <c r="A1254" s="12"/>
    </row>
    <row r="1255" spans="1:1" x14ac:dyDescent="0.35">
      <c r="A1255" s="12"/>
    </row>
    <row r="1256" spans="1:1" x14ac:dyDescent="0.35">
      <c r="A1256" s="12"/>
    </row>
    <row r="1257" spans="1:1" x14ac:dyDescent="0.35">
      <c r="A1257" s="12"/>
    </row>
    <row r="1258" spans="1:1" x14ac:dyDescent="0.35">
      <c r="A1258" s="12"/>
    </row>
    <row r="1259" spans="1:1" x14ac:dyDescent="0.35">
      <c r="A1259" s="12"/>
    </row>
    <row r="1260" spans="1:1" x14ac:dyDescent="0.35">
      <c r="A1260" s="12"/>
    </row>
    <row r="1261" spans="1:1" x14ac:dyDescent="0.35">
      <c r="A1261" s="12"/>
    </row>
    <row r="1262" spans="1:1" x14ac:dyDescent="0.35">
      <c r="A1262" s="12"/>
    </row>
    <row r="1263" spans="1:1" x14ac:dyDescent="0.35">
      <c r="A1263" s="12"/>
    </row>
    <row r="1264" spans="1:1" x14ac:dyDescent="0.35">
      <c r="A1264" s="12"/>
    </row>
    <row r="1265" spans="1:1" x14ac:dyDescent="0.35">
      <c r="A1265" s="12"/>
    </row>
    <row r="1266" spans="1:1" x14ac:dyDescent="0.35">
      <c r="A1266" s="12"/>
    </row>
    <row r="1267" spans="1:1" x14ac:dyDescent="0.35">
      <c r="A1267" s="12"/>
    </row>
    <row r="1268" spans="1:1" x14ac:dyDescent="0.35">
      <c r="A1268" s="12"/>
    </row>
    <row r="1269" spans="1:1" x14ac:dyDescent="0.35">
      <c r="A1269" s="12"/>
    </row>
    <row r="1270" spans="1:1" x14ac:dyDescent="0.35">
      <c r="A1270" s="12"/>
    </row>
    <row r="1271" spans="1:1" x14ac:dyDescent="0.35">
      <c r="A1271" s="12"/>
    </row>
    <row r="1272" spans="1:1" x14ac:dyDescent="0.35">
      <c r="A1272" s="12"/>
    </row>
    <row r="1273" spans="1:1" x14ac:dyDescent="0.35">
      <c r="A1273" s="12"/>
    </row>
    <row r="1274" spans="1:1" x14ac:dyDescent="0.35">
      <c r="A1274" s="12"/>
    </row>
    <row r="1275" spans="1:1" x14ac:dyDescent="0.35">
      <c r="A1275" s="12"/>
    </row>
    <row r="1276" spans="1:1" x14ac:dyDescent="0.35">
      <c r="A1276" s="12"/>
    </row>
    <row r="1277" spans="1:1" x14ac:dyDescent="0.35">
      <c r="A1277" s="12"/>
    </row>
    <row r="1278" spans="1:1" x14ac:dyDescent="0.35">
      <c r="A1278" s="12"/>
    </row>
    <row r="1279" spans="1:1" x14ac:dyDescent="0.35">
      <c r="A1279" s="12"/>
    </row>
    <row r="1280" spans="1:1" x14ac:dyDescent="0.35">
      <c r="A1280" s="12"/>
    </row>
    <row r="1281" spans="1:1" x14ac:dyDescent="0.35">
      <c r="A1281" s="12"/>
    </row>
    <row r="1282" spans="1:1" x14ac:dyDescent="0.35">
      <c r="A1282" s="12"/>
    </row>
    <row r="1283" spans="1:1" x14ac:dyDescent="0.35">
      <c r="A1283" s="12"/>
    </row>
    <row r="1284" spans="1:1" x14ac:dyDescent="0.35">
      <c r="A1284" s="12"/>
    </row>
    <row r="1285" spans="1:1" x14ac:dyDescent="0.35">
      <c r="A1285" s="12"/>
    </row>
    <row r="1286" spans="1:1" x14ac:dyDescent="0.35">
      <c r="A1286" s="12"/>
    </row>
    <row r="1287" spans="1:1" x14ac:dyDescent="0.35">
      <c r="A1287" s="12"/>
    </row>
    <row r="1288" spans="1:1" x14ac:dyDescent="0.35">
      <c r="A1288" s="12"/>
    </row>
    <row r="1289" spans="1:1" x14ac:dyDescent="0.35">
      <c r="A1289" s="12"/>
    </row>
    <row r="1290" spans="1:1" x14ac:dyDescent="0.35">
      <c r="A1290" s="12"/>
    </row>
    <row r="1291" spans="1:1" x14ac:dyDescent="0.35">
      <c r="A1291" s="12"/>
    </row>
    <row r="1292" spans="1:1" x14ac:dyDescent="0.35">
      <c r="A1292" s="12"/>
    </row>
    <row r="1293" spans="1:1" x14ac:dyDescent="0.35">
      <c r="A1293" s="12"/>
    </row>
    <row r="1294" spans="1:1" x14ac:dyDescent="0.35">
      <c r="A1294" s="12"/>
    </row>
    <row r="1295" spans="1:1" x14ac:dyDescent="0.35">
      <c r="A1295" s="12"/>
    </row>
    <row r="1296" spans="1:1" x14ac:dyDescent="0.35">
      <c r="A1296" s="12"/>
    </row>
    <row r="1297" spans="1:1" x14ac:dyDescent="0.35">
      <c r="A1297" s="12"/>
    </row>
    <row r="1298" spans="1:1" x14ac:dyDescent="0.35">
      <c r="A1298" s="12"/>
    </row>
    <row r="1299" spans="1:1" x14ac:dyDescent="0.35">
      <c r="A1299" s="12"/>
    </row>
    <row r="1300" spans="1:1" x14ac:dyDescent="0.35">
      <c r="A1300" s="12"/>
    </row>
    <row r="1301" spans="1:1" x14ac:dyDescent="0.35">
      <c r="A1301" s="12"/>
    </row>
    <row r="1302" spans="1:1" x14ac:dyDescent="0.35">
      <c r="A1302" s="12"/>
    </row>
    <row r="1303" spans="1:1" x14ac:dyDescent="0.35">
      <c r="A1303" s="12"/>
    </row>
    <row r="1304" spans="1:1" x14ac:dyDescent="0.35">
      <c r="A1304" s="12"/>
    </row>
    <row r="1305" spans="1:1" x14ac:dyDescent="0.35">
      <c r="A1305" s="12"/>
    </row>
    <row r="1306" spans="1:1" x14ac:dyDescent="0.35">
      <c r="A1306" s="12"/>
    </row>
    <row r="1307" spans="1:1" x14ac:dyDescent="0.35">
      <c r="A1307" s="12"/>
    </row>
    <row r="1308" spans="1:1" x14ac:dyDescent="0.35">
      <c r="A1308" s="12"/>
    </row>
    <row r="1309" spans="1:1" x14ac:dyDescent="0.35">
      <c r="A1309" s="12"/>
    </row>
    <row r="1310" spans="1:1" x14ac:dyDescent="0.35">
      <c r="A1310" s="12"/>
    </row>
    <row r="1311" spans="1:1" x14ac:dyDescent="0.35">
      <c r="A1311" s="12"/>
    </row>
    <row r="1312" spans="1:1" x14ac:dyDescent="0.35">
      <c r="A1312" s="12"/>
    </row>
    <row r="1313" spans="1:1" x14ac:dyDescent="0.35">
      <c r="A1313" s="12"/>
    </row>
    <row r="1314" spans="1:1" x14ac:dyDescent="0.35">
      <c r="A1314" s="12"/>
    </row>
    <row r="1315" spans="1:1" x14ac:dyDescent="0.35">
      <c r="A1315" s="12"/>
    </row>
    <row r="1316" spans="1:1" x14ac:dyDescent="0.35">
      <c r="A1316" s="12"/>
    </row>
    <row r="1317" spans="1:1" x14ac:dyDescent="0.35">
      <c r="A1317" s="12"/>
    </row>
    <row r="1318" spans="1:1" x14ac:dyDescent="0.35">
      <c r="A1318" s="12"/>
    </row>
    <row r="1319" spans="1:1" x14ac:dyDescent="0.35">
      <c r="A1319" s="12"/>
    </row>
    <row r="1320" spans="1:1" x14ac:dyDescent="0.35">
      <c r="A1320" s="12"/>
    </row>
    <row r="1321" spans="1:1" x14ac:dyDescent="0.35">
      <c r="A1321" s="12"/>
    </row>
    <row r="1322" spans="1:1" x14ac:dyDescent="0.35">
      <c r="A1322" s="12"/>
    </row>
    <row r="1323" spans="1:1" x14ac:dyDescent="0.35">
      <c r="A1323" s="12"/>
    </row>
    <row r="1324" spans="1:1" x14ac:dyDescent="0.35">
      <c r="A1324" s="12"/>
    </row>
    <row r="1325" spans="1:1" x14ac:dyDescent="0.35">
      <c r="A1325" s="12"/>
    </row>
    <row r="1326" spans="1:1" x14ac:dyDescent="0.35">
      <c r="A1326" s="12"/>
    </row>
    <row r="1327" spans="1:1" x14ac:dyDescent="0.35">
      <c r="A1327" s="12"/>
    </row>
    <row r="1328" spans="1:1" x14ac:dyDescent="0.35">
      <c r="A1328" s="12"/>
    </row>
    <row r="1329" spans="1:1" x14ac:dyDescent="0.35">
      <c r="A1329" s="12"/>
    </row>
    <row r="1330" spans="1:1" x14ac:dyDescent="0.35">
      <c r="A1330" s="12"/>
    </row>
    <row r="1331" spans="1:1" x14ac:dyDescent="0.35">
      <c r="A1331" s="12"/>
    </row>
    <row r="1332" spans="1:1" x14ac:dyDescent="0.35">
      <c r="A1332" s="12"/>
    </row>
    <row r="1333" spans="1:1" x14ac:dyDescent="0.35">
      <c r="A1333" s="12"/>
    </row>
    <row r="1334" spans="1:1" x14ac:dyDescent="0.35">
      <c r="A1334" s="12"/>
    </row>
    <row r="1335" spans="1:1" x14ac:dyDescent="0.35">
      <c r="A1335" s="12"/>
    </row>
    <row r="1336" spans="1:1" x14ac:dyDescent="0.35">
      <c r="A1336" s="12"/>
    </row>
    <row r="1337" spans="1:1" x14ac:dyDescent="0.35">
      <c r="A1337" s="12"/>
    </row>
    <row r="1338" spans="1:1" x14ac:dyDescent="0.35">
      <c r="A1338" s="12"/>
    </row>
    <row r="1339" spans="1:1" x14ac:dyDescent="0.35">
      <c r="A1339" s="12"/>
    </row>
    <row r="1340" spans="1:1" x14ac:dyDescent="0.35">
      <c r="A1340" s="12"/>
    </row>
    <row r="1341" spans="1:1" x14ac:dyDescent="0.35">
      <c r="A1341" s="12"/>
    </row>
    <row r="1342" spans="1:1" x14ac:dyDescent="0.35">
      <c r="A1342" s="12"/>
    </row>
    <row r="1343" spans="1:1" x14ac:dyDescent="0.35">
      <c r="A1343" s="12"/>
    </row>
    <row r="1344" spans="1:1" x14ac:dyDescent="0.35">
      <c r="A1344" s="12"/>
    </row>
    <row r="1345" spans="1:1" x14ac:dyDescent="0.35">
      <c r="A1345" s="12"/>
    </row>
    <row r="1346" spans="1:1" x14ac:dyDescent="0.35">
      <c r="A1346" s="12"/>
    </row>
    <row r="1347" spans="1:1" x14ac:dyDescent="0.35">
      <c r="A1347" s="12"/>
    </row>
    <row r="1348" spans="1:1" x14ac:dyDescent="0.35">
      <c r="A1348" s="12"/>
    </row>
    <row r="1349" spans="1:1" x14ac:dyDescent="0.35">
      <c r="A1349" s="12"/>
    </row>
    <row r="1350" spans="1:1" x14ac:dyDescent="0.35">
      <c r="A1350" s="12"/>
    </row>
    <row r="1351" spans="1:1" x14ac:dyDescent="0.35">
      <c r="A1351" s="12"/>
    </row>
    <row r="1352" spans="1:1" x14ac:dyDescent="0.35">
      <c r="A1352" s="12"/>
    </row>
    <row r="1353" spans="1:1" x14ac:dyDescent="0.35">
      <c r="A1353" s="12"/>
    </row>
    <row r="1354" spans="1:1" x14ac:dyDescent="0.35">
      <c r="A1354" s="12"/>
    </row>
    <row r="1355" spans="1:1" x14ac:dyDescent="0.35">
      <c r="A1355" s="12"/>
    </row>
    <row r="1356" spans="1:1" x14ac:dyDescent="0.35">
      <c r="A1356" s="12"/>
    </row>
    <row r="1357" spans="1:1" x14ac:dyDescent="0.35">
      <c r="A1357" s="12"/>
    </row>
    <row r="1358" spans="1:1" x14ac:dyDescent="0.35">
      <c r="A1358" s="12"/>
    </row>
    <row r="1359" spans="1:1" x14ac:dyDescent="0.35">
      <c r="A1359" s="12"/>
    </row>
    <row r="1360" spans="1:1" x14ac:dyDescent="0.35">
      <c r="A1360" s="12"/>
    </row>
    <row r="1361" spans="1:1" x14ac:dyDescent="0.35">
      <c r="A1361" s="12"/>
    </row>
    <row r="1362" spans="1:1" x14ac:dyDescent="0.35">
      <c r="A1362" s="12"/>
    </row>
    <row r="1363" spans="1:1" x14ac:dyDescent="0.35">
      <c r="A1363" s="12"/>
    </row>
    <row r="1364" spans="1:1" x14ac:dyDescent="0.35">
      <c r="A1364" s="12"/>
    </row>
    <row r="1365" spans="1:1" x14ac:dyDescent="0.35">
      <c r="A1365" s="12"/>
    </row>
    <row r="1366" spans="1:1" x14ac:dyDescent="0.35">
      <c r="A1366" s="12"/>
    </row>
    <row r="1367" spans="1:1" x14ac:dyDescent="0.35">
      <c r="A1367" s="12"/>
    </row>
    <row r="1368" spans="1:1" x14ac:dyDescent="0.35">
      <c r="A1368" s="12"/>
    </row>
    <row r="1369" spans="1:1" x14ac:dyDescent="0.35">
      <c r="A1369" s="12"/>
    </row>
    <row r="1370" spans="1:1" x14ac:dyDescent="0.35">
      <c r="A1370" s="12"/>
    </row>
    <row r="1371" spans="1:1" x14ac:dyDescent="0.35">
      <c r="A1371" s="12"/>
    </row>
    <row r="1372" spans="1:1" x14ac:dyDescent="0.35">
      <c r="A1372" s="12"/>
    </row>
    <row r="1373" spans="1:1" x14ac:dyDescent="0.35">
      <c r="A1373" s="12"/>
    </row>
    <row r="1374" spans="1:1" x14ac:dyDescent="0.35">
      <c r="A1374" s="12"/>
    </row>
    <row r="1375" spans="1:1" x14ac:dyDescent="0.35">
      <c r="A1375" s="12"/>
    </row>
    <row r="1376" spans="1:1" x14ac:dyDescent="0.35">
      <c r="A1376" s="12"/>
    </row>
    <row r="1377" spans="1:1" x14ac:dyDescent="0.35">
      <c r="A1377" s="12"/>
    </row>
    <row r="1378" spans="1:1" x14ac:dyDescent="0.35">
      <c r="A1378" s="12"/>
    </row>
    <row r="1379" spans="1:1" x14ac:dyDescent="0.35">
      <c r="A1379" s="12"/>
    </row>
    <row r="1380" spans="1:1" x14ac:dyDescent="0.35">
      <c r="A1380" s="12"/>
    </row>
    <row r="1381" spans="1:1" x14ac:dyDescent="0.35">
      <c r="A1381" s="12"/>
    </row>
    <row r="1382" spans="1:1" x14ac:dyDescent="0.35">
      <c r="A1382" s="12"/>
    </row>
    <row r="1383" spans="1:1" x14ac:dyDescent="0.35">
      <c r="A1383" s="12"/>
    </row>
    <row r="1384" spans="1:1" x14ac:dyDescent="0.35">
      <c r="A1384" s="12"/>
    </row>
    <row r="1385" spans="1:1" x14ac:dyDescent="0.35">
      <c r="A1385" s="12"/>
    </row>
    <row r="1386" spans="1:1" x14ac:dyDescent="0.35">
      <c r="A1386" s="12"/>
    </row>
    <row r="1387" spans="1:1" x14ac:dyDescent="0.35">
      <c r="A1387" s="12"/>
    </row>
    <row r="1388" spans="1:1" x14ac:dyDescent="0.35">
      <c r="A1388" s="12"/>
    </row>
    <row r="1389" spans="1:1" x14ac:dyDescent="0.35">
      <c r="A1389" s="12"/>
    </row>
    <row r="1390" spans="1:1" x14ac:dyDescent="0.35">
      <c r="A1390" s="12"/>
    </row>
    <row r="1391" spans="1:1" x14ac:dyDescent="0.35">
      <c r="A1391" s="12"/>
    </row>
    <row r="1392" spans="1:1" x14ac:dyDescent="0.35">
      <c r="A1392" s="12"/>
    </row>
    <row r="1393" spans="1:1" x14ac:dyDescent="0.35">
      <c r="A1393" s="12"/>
    </row>
    <row r="1394" spans="1:1" x14ac:dyDescent="0.35">
      <c r="A1394" s="12"/>
    </row>
    <row r="1395" spans="1:1" x14ac:dyDescent="0.35">
      <c r="A1395" s="12"/>
    </row>
    <row r="1396" spans="1:1" x14ac:dyDescent="0.35">
      <c r="A1396" s="12"/>
    </row>
    <row r="1397" spans="1:1" x14ac:dyDescent="0.35">
      <c r="A1397" s="12"/>
    </row>
    <row r="1398" spans="1:1" x14ac:dyDescent="0.35">
      <c r="A1398" s="12"/>
    </row>
    <row r="1399" spans="1:1" x14ac:dyDescent="0.35">
      <c r="A1399" s="12"/>
    </row>
    <row r="1400" spans="1:1" x14ac:dyDescent="0.35">
      <c r="A1400" s="12"/>
    </row>
    <row r="1401" spans="1:1" x14ac:dyDescent="0.35">
      <c r="A1401" s="12"/>
    </row>
    <row r="1402" spans="1:1" x14ac:dyDescent="0.35">
      <c r="A1402" s="12"/>
    </row>
    <row r="1403" spans="1:1" x14ac:dyDescent="0.35">
      <c r="A1403" s="12"/>
    </row>
    <row r="1404" spans="1:1" x14ac:dyDescent="0.35">
      <c r="A1404" s="12"/>
    </row>
    <row r="1405" spans="1:1" x14ac:dyDescent="0.35">
      <c r="A1405" s="12"/>
    </row>
    <row r="1406" spans="1:1" x14ac:dyDescent="0.35">
      <c r="A1406" s="12"/>
    </row>
    <row r="1407" spans="1:1" x14ac:dyDescent="0.35">
      <c r="A1407" s="12"/>
    </row>
    <row r="1408" spans="1:1" x14ac:dyDescent="0.35">
      <c r="A1408" s="12"/>
    </row>
    <row r="1409" spans="1:1" x14ac:dyDescent="0.35">
      <c r="A1409" s="12"/>
    </row>
    <row r="1410" spans="1:1" x14ac:dyDescent="0.35">
      <c r="A1410" s="12"/>
    </row>
    <row r="1411" spans="1:1" x14ac:dyDescent="0.35">
      <c r="A1411" s="12"/>
    </row>
    <row r="1412" spans="1:1" x14ac:dyDescent="0.35">
      <c r="A1412" s="12"/>
    </row>
    <row r="1413" spans="1:1" x14ac:dyDescent="0.35">
      <c r="A1413" s="12"/>
    </row>
    <row r="1414" spans="1:1" x14ac:dyDescent="0.35">
      <c r="A1414" s="12"/>
    </row>
    <row r="1415" spans="1:1" x14ac:dyDescent="0.35">
      <c r="A1415" s="12"/>
    </row>
    <row r="1416" spans="1:1" x14ac:dyDescent="0.35">
      <c r="A1416" s="12"/>
    </row>
    <row r="1417" spans="1:1" x14ac:dyDescent="0.35">
      <c r="A1417" s="12"/>
    </row>
    <row r="1418" spans="1:1" x14ac:dyDescent="0.35">
      <c r="A1418" s="12"/>
    </row>
    <row r="1419" spans="1:1" x14ac:dyDescent="0.35">
      <c r="A1419" s="12"/>
    </row>
    <row r="1420" spans="1:1" x14ac:dyDescent="0.35">
      <c r="A1420" s="12"/>
    </row>
    <row r="1421" spans="1:1" x14ac:dyDescent="0.35">
      <c r="A1421" s="12"/>
    </row>
    <row r="1422" spans="1:1" x14ac:dyDescent="0.35">
      <c r="A1422" s="12"/>
    </row>
    <row r="1423" spans="1:1" x14ac:dyDescent="0.35">
      <c r="A1423" s="12"/>
    </row>
    <row r="1424" spans="1:1" x14ac:dyDescent="0.35">
      <c r="A1424" s="12"/>
    </row>
    <row r="1425" spans="1:1" x14ac:dyDescent="0.35">
      <c r="A1425" s="12"/>
    </row>
    <row r="1426" spans="1:1" x14ac:dyDescent="0.35">
      <c r="A1426" s="12"/>
    </row>
    <row r="1427" spans="1:1" x14ac:dyDescent="0.35">
      <c r="A1427" s="12"/>
    </row>
    <row r="1428" spans="1:1" x14ac:dyDescent="0.35">
      <c r="A1428" s="12"/>
    </row>
    <row r="1429" spans="1:1" x14ac:dyDescent="0.35">
      <c r="A1429" s="12"/>
    </row>
    <row r="1430" spans="1:1" x14ac:dyDescent="0.35">
      <c r="A1430" s="12"/>
    </row>
    <row r="1431" spans="1:1" x14ac:dyDescent="0.35">
      <c r="A1431" s="12"/>
    </row>
    <row r="1432" spans="1:1" x14ac:dyDescent="0.35">
      <c r="A1432" s="12"/>
    </row>
    <row r="1433" spans="1:1" x14ac:dyDescent="0.35">
      <c r="A1433" s="12"/>
    </row>
    <row r="1434" spans="1:1" x14ac:dyDescent="0.35">
      <c r="A1434" s="12"/>
    </row>
    <row r="1435" spans="1:1" x14ac:dyDescent="0.35">
      <c r="A1435" s="12"/>
    </row>
    <row r="1436" spans="1:1" x14ac:dyDescent="0.35">
      <c r="A1436" s="12"/>
    </row>
    <row r="1437" spans="1:1" x14ac:dyDescent="0.35">
      <c r="A1437" s="12"/>
    </row>
    <row r="1438" spans="1:1" x14ac:dyDescent="0.35">
      <c r="A1438" s="12"/>
    </row>
    <row r="1439" spans="1:1" x14ac:dyDescent="0.35">
      <c r="A1439" s="12"/>
    </row>
    <row r="1440" spans="1:1" x14ac:dyDescent="0.35">
      <c r="A1440" s="12"/>
    </row>
    <row r="1441" spans="1:1" x14ac:dyDescent="0.35">
      <c r="A1441" s="12"/>
    </row>
    <row r="1442" spans="1:1" x14ac:dyDescent="0.35">
      <c r="A1442" s="12"/>
    </row>
    <row r="1443" spans="1:1" x14ac:dyDescent="0.35">
      <c r="A1443" s="12"/>
    </row>
    <row r="1444" spans="1:1" x14ac:dyDescent="0.35">
      <c r="A1444" s="12"/>
    </row>
    <row r="1445" spans="1:1" x14ac:dyDescent="0.35">
      <c r="A1445" s="12"/>
    </row>
    <row r="1446" spans="1:1" x14ac:dyDescent="0.35">
      <c r="A1446" s="12"/>
    </row>
    <row r="1447" spans="1:1" x14ac:dyDescent="0.35">
      <c r="A1447" s="12"/>
    </row>
    <row r="1448" spans="1:1" x14ac:dyDescent="0.35">
      <c r="A1448" s="12"/>
    </row>
    <row r="1449" spans="1:1" x14ac:dyDescent="0.35">
      <c r="A1449" s="12"/>
    </row>
    <row r="1450" spans="1:1" x14ac:dyDescent="0.35">
      <c r="A1450" s="12"/>
    </row>
    <row r="1451" spans="1:1" x14ac:dyDescent="0.35">
      <c r="A1451" s="12"/>
    </row>
    <row r="1452" spans="1:1" x14ac:dyDescent="0.35">
      <c r="A1452" s="12"/>
    </row>
    <row r="1453" spans="1:1" x14ac:dyDescent="0.35">
      <c r="A1453" s="12"/>
    </row>
    <row r="1454" spans="1:1" x14ac:dyDescent="0.35">
      <c r="A1454" s="12"/>
    </row>
    <row r="1455" spans="1:1" x14ac:dyDescent="0.35">
      <c r="A1455" s="12"/>
    </row>
    <row r="1456" spans="1:1" x14ac:dyDescent="0.35">
      <c r="A1456" s="12"/>
    </row>
    <row r="1457" spans="1:1" x14ac:dyDescent="0.35">
      <c r="A1457" s="12"/>
    </row>
    <row r="1458" spans="1:1" x14ac:dyDescent="0.35">
      <c r="A1458" s="12"/>
    </row>
    <row r="1459" spans="1:1" x14ac:dyDescent="0.35">
      <c r="A1459" s="12"/>
    </row>
    <row r="1460" spans="1:1" x14ac:dyDescent="0.35">
      <c r="A1460" s="12"/>
    </row>
    <row r="1461" spans="1:1" x14ac:dyDescent="0.35">
      <c r="A1461" s="12"/>
    </row>
    <row r="1462" spans="1:1" x14ac:dyDescent="0.35">
      <c r="A1462" s="12"/>
    </row>
    <row r="1463" spans="1:1" x14ac:dyDescent="0.35">
      <c r="A1463" s="12"/>
    </row>
    <row r="1464" spans="1:1" x14ac:dyDescent="0.35">
      <c r="A1464" s="12"/>
    </row>
    <row r="1465" spans="1:1" x14ac:dyDescent="0.35">
      <c r="A1465" s="12"/>
    </row>
    <row r="1466" spans="1:1" x14ac:dyDescent="0.35">
      <c r="A1466" s="12"/>
    </row>
    <row r="1467" spans="1:1" x14ac:dyDescent="0.35">
      <c r="A1467" s="12"/>
    </row>
    <row r="1468" spans="1:1" x14ac:dyDescent="0.35">
      <c r="A1468" s="12"/>
    </row>
    <row r="1469" spans="1:1" x14ac:dyDescent="0.35">
      <c r="A1469" s="12"/>
    </row>
    <row r="1470" spans="1:1" x14ac:dyDescent="0.35">
      <c r="A1470" s="12"/>
    </row>
    <row r="1471" spans="1:1" x14ac:dyDescent="0.35">
      <c r="A1471" s="12"/>
    </row>
    <row r="1472" spans="1:1" x14ac:dyDescent="0.35">
      <c r="A1472" s="12"/>
    </row>
    <row r="1473" spans="1:1" x14ac:dyDescent="0.35">
      <c r="A1473" s="12"/>
    </row>
    <row r="1474" spans="1:1" x14ac:dyDescent="0.35">
      <c r="A1474" s="12"/>
    </row>
    <row r="1475" spans="1:1" x14ac:dyDescent="0.35">
      <c r="A1475" s="12"/>
    </row>
    <row r="1476" spans="1:1" x14ac:dyDescent="0.35">
      <c r="A1476" s="12"/>
    </row>
    <row r="1477" spans="1:1" x14ac:dyDescent="0.35">
      <c r="A1477" s="12"/>
    </row>
    <row r="1478" spans="1:1" x14ac:dyDescent="0.35">
      <c r="A1478" s="12"/>
    </row>
    <row r="1479" spans="1:1" x14ac:dyDescent="0.35">
      <c r="A1479" s="12"/>
    </row>
    <row r="1480" spans="1:1" x14ac:dyDescent="0.35">
      <c r="A1480" s="12"/>
    </row>
    <row r="1481" spans="1:1" x14ac:dyDescent="0.35">
      <c r="A1481" s="12"/>
    </row>
    <row r="1482" spans="1:1" x14ac:dyDescent="0.35">
      <c r="A1482" s="12"/>
    </row>
    <row r="1483" spans="1:1" x14ac:dyDescent="0.35">
      <c r="A1483" s="12"/>
    </row>
    <row r="1484" spans="1:1" x14ac:dyDescent="0.35">
      <c r="A1484" s="12"/>
    </row>
    <row r="1485" spans="1:1" x14ac:dyDescent="0.35">
      <c r="A1485" s="12"/>
    </row>
    <row r="1486" spans="1:1" x14ac:dyDescent="0.35">
      <c r="A1486" s="12"/>
    </row>
    <row r="1487" spans="1:1" x14ac:dyDescent="0.35">
      <c r="A1487" s="12"/>
    </row>
    <row r="1488" spans="1:1" x14ac:dyDescent="0.35">
      <c r="A1488" s="12"/>
    </row>
    <row r="1489" spans="1:1" x14ac:dyDescent="0.35">
      <c r="A1489" s="12"/>
    </row>
    <row r="1490" spans="1:1" x14ac:dyDescent="0.35">
      <c r="A1490" s="12"/>
    </row>
    <row r="1491" spans="1:1" x14ac:dyDescent="0.35">
      <c r="A1491" s="12"/>
    </row>
    <row r="1492" spans="1:1" x14ac:dyDescent="0.35">
      <c r="A1492" s="12"/>
    </row>
    <row r="1493" spans="1:1" x14ac:dyDescent="0.35">
      <c r="A1493" s="12"/>
    </row>
    <row r="1494" spans="1:1" x14ac:dyDescent="0.35">
      <c r="A1494" s="12"/>
    </row>
    <row r="1495" spans="1:1" x14ac:dyDescent="0.35">
      <c r="A1495" s="12"/>
    </row>
    <row r="1496" spans="1:1" x14ac:dyDescent="0.35">
      <c r="A1496" s="12"/>
    </row>
    <row r="1497" spans="1:1" x14ac:dyDescent="0.35">
      <c r="A1497" s="12"/>
    </row>
    <row r="1498" spans="1:1" x14ac:dyDescent="0.35">
      <c r="A1498" s="12"/>
    </row>
    <row r="1499" spans="1:1" x14ac:dyDescent="0.35">
      <c r="A1499" s="12"/>
    </row>
    <row r="1500" spans="1:1" x14ac:dyDescent="0.35">
      <c r="A1500" s="12"/>
    </row>
    <row r="1501" spans="1:1" x14ac:dyDescent="0.35">
      <c r="A1501" s="12"/>
    </row>
    <row r="1502" spans="1:1" x14ac:dyDescent="0.35">
      <c r="A1502" s="12"/>
    </row>
    <row r="1503" spans="1:1" x14ac:dyDescent="0.35">
      <c r="A1503" s="12"/>
    </row>
    <row r="1504" spans="1:1" x14ac:dyDescent="0.35">
      <c r="A1504" s="12"/>
    </row>
    <row r="1505" spans="1:1" x14ac:dyDescent="0.35">
      <c r="A1505" s="12"/>
    </row>
    <row r="1506" spans="1:1" x14ac:dyDescent="0.35">
      <c r="A1506" s="12"/>
    </row>
    <row r="1507" spans="1:1" x14ac:dyDescent="0.35">
      <c r="A1507" s="12"/>
    </row>
    <row r="1508" spans="1:1" x14ac:dyDescent="0.35">
      <c r="A1508" s="12"/>
    </row>
    <row r="1509" spans="1:1" x14ac:dyDescent="0.35">
      <c r="A1509" s="12"/>
    </row>
    <row r="1510" spans="1:1" x14ac:dyDescent="0.35">
      <c r="A1510" s="12"/>
    </row>
    <row r="1511" spans="1:1" x14ac:dyDescent="0.35">
      <c r="A1511" s="12"/>
    </row>
    <row r="1512" spans="1:1" x14ac:dyDescent="0.35">
      <c r="A1512" s="12"/>
    </row>
    <row r="1513" spans="1:1" x14ac:dyDescent="0.35">
      <c r="A1513" s="12"/>
    </row>
    <row r="1514" spans="1:1" x14ac:dyDescent="0.35">
      <c r="A1514" s="12"/>
    </row>
    <row r="1515" spans="1:1" x14ac:dyDescent="0.35">
      <c r="A1515" s="12"/>
    </row>
    <row r="1516" spans="1:1" x14ac:dyDescent="0.35">
      <c r="A1516" s="12"/>
    </row>
    <row r="1517" spans="1:1" x14ac:dyDescent="0.35">
      <c r="A1517" s="12"/>
    </row>
    <row r="1518" spans="1:1" x14ac:dyDescent="0.35">
      <c r="A1518" s="12"/>
    </row>
    <row r="1519" spans="1:1" x14ac:dyDescent="0.35">
      <c r="A1519" s="12"/>
    </row>
    <row r="1520" spans="1:1" x14ac:dyDescent="0.35">
      <c r="A1520" s="12"/>
    </row>
    <row r="1521" spans="1:1" x14ac:dyDescent="0.35">
      <c r="A1521" s="12"/>
    </row>
    <row r="1522" spans="1:1" x14ac:dyDescent="0.35">
      <c r="A1522" s="12"/>
    </row>
    <row r="1523" spans="1:1" x14ac:dyDescent="0.35">
      <c r="A1523" s="12"/>
    </row>
    <row r="1524" spans="1:1" x14ac:dyDescent="0.35">
      <c r="A1524" s="12"/>
    </row>
    <row r="1525" spans="1:1" x14ac:dyDescent="0.35">
      <c r="A1525" s="12"/>
    </row>
    <row r="1526" spans="1:1" x14ac:dyDescent="0.35">
      <c r="A1526" s="12"/>
    </row>
    <row r="1527" spans="1:1" x14ac:dyDescent="0.35">
      <c r="A1527" s="12"/>
    </row>
    <row r="1528" spans="1:1" x14ac:dyDescent="0.35">
      <c r="A1528" s="12"/>
    </row>
    <row r="1529" spans="1:1" x14ac:dyDescent="0.35">
      <c r="A1529" s="12"/>
    </row>
    <row r="1530" spans="1:1" x14ac:dyDescent="0.35">
      <c r="A1530" s="12"/>
    </row>
    <row r="1531" spans="1:1" x14ac:dyDescent="0.35">
      <c r="A1531" s="12"/>
    </row>
    <row r="1532" spans="1:1" x14ac:dyDescent="0.35">
      <c r="A1532" s="12"/>
    </row>
    <row r="1533" spans="1:1" x14ac:dyDescent="0.35">
      <c r="A1533" s="12"/>
    </row>
    <row r="1534" spans="1:1" x14ac:dyDescent="0.35">
      <c r="A1534" s="12"/>
    </row>
    <row r="1535" spans="1:1" x14ac:dyDescent="0.35">
      <c r="A1535" s="12"/>
    </row>
    <row r="1536" spans="1:1" x14ac:dyDescent="0.35">
      <c r="A1536" s="12"/>
    </row>
    <row r="1537" spans="1:1" x14ac:dyDescent="0.35">
      <c r="A1537" s="12"/>
    </row>
    <row r="1538" spans="1:1" x14ac:dyDescent="0.35">
      <c r="A1538" s="12"/>
    </row>
    <row r="1539" spans="1:1" x14ac:dyDescent="0.35">
      <c r="A1539" s="12"/>
    </row>
    <row r="1540" spans="1:1" x14ac:dyDescent="0.35">
      <c r="A1540" s="12"/>
    </row>
    <row r="1541" spans="1:1" x14ac:dyDescent="0.35">
      <c r="A1541" s="12"/>
    </row>
    <row r="1542" spans="1:1" x14ac:dyDescent="0.35">
      <c r="A1542" s="12"/>
    </row>
    <row r="1543" spans="1:1" x14ac:dyDescent="0.35">
      <c r="A1543" s="12"/>
    </row>
    <row r="1544" spans="1:1" x14ac:dyDescent="0.35">
      <c r="A1544" s="12"/>
    </row>
    <row r="1545" spans="1:1" x14ac:dyDescent="0.35">
      <c r="A1545" s="12"/>
    </row>
    <row r="1546" spans="1:1" x14ac:dyDescent="0.35">
      <c r="A1546" s="12"/>
    </row>
    <row r="1547" spans="1:1" x14ac:dyDescent="0.35">
      <c r="A1547" s="12"/>
    </row>
    <row r="1548" spans="1:1" x14ac:dyDescent="0.35">
      <c r="A1548" s="12"/>
    </row>
    <row r="1549" spans="1:1" x14ac:dyDescent="0.35">
      <c r="A1549" s="12"/>
    </row>
    <row r="1550" spans="1:1" x14ac:dyDescent="0.35">
      <c r="A1550" s="12"/>
    </row>
    <row r="1551" spans="1:1" x14ac:dyDescent="0.35">
      <c r="A1551" s="12"/>
    </row>
    <row r="1552" spans="1:1" x14ac:dyDescent="0.35">
      <c r="A1552" s="12"/>
    </row>
    <row r="1553" spans="1:1" x14ac:dyDescent="0.35">
      <c r="A1553" s="12"/>
    </row>
    <row r="1554" spans="1:1" x14ac:dyDescent="0.35">
      <c r="A1554" s="12"/>
    </row>
    <row r="1555" spans="1:1" x14ac:dyDescent="0.35">
      <c r="A1555" s="12"/>
    </row>
    <row r="1556" spans="1:1" x14ac:dyDescent="0.35">
      <c r="A1556" s="12"/>
    </row>
    <row r="1557" spans="1:1" x14ac:dyDescent="0.35">
      <c r="A1557" s="12"/>
    </row>
    <row r="1558" spans="1:1" x14ac:dyDescent="0.35">
      <c r="A1558" s="12"/>
    </row>
    <row r="1559" spans="1:1" x14ac:dyDescent="0.35">
      <c r="A1559" s="12"/>
    </row>
    <row r="1560" spans="1:1" x14ac:dyDescent="0.35">
      <c r="A1560" s="12"/>
    </row>
    <row r="1561" spans="1:1" x14ac:dyDescent="0.35">
      <c r="A1561" s="12"/>
    </row>
    <row r="1562" spans="1:1" x14ac:dyDescent="0.35">
      <c r="A1562" s="12"/>
    </row>
    <row r="1563" spans="1:1" x14ac:dyDescent="0.35">
      <c r="A1563" s="12"/>
    </row>
    <row r="1564" spans="1:1" x14ac:dyDescent="0.35">
      <c r="A1564" s="12"/>
    </row>
    <row r="1565" spans="1:1" x14ac:dyDescent="0.35">
      <c r="A1565" s="12"/>
    </row>
    <row r="1566" spans="1:1" x14ac:dyDescent="0.35">
      <c r="A1566" s="12"/>
    </row>
    <row r="1567" spans="1:1" x14ac:dyDescent="0.35">
      <c r="A1567" s="12"/>
    </row>
    <row r="1568" spans="1:1" x14ac:dyDescent="0.35">
      <c r="A1568" s="12"/>
    </row>
    <row r="1569" spans="1:1" x14ac:dyDescent="0.35">
      <c r="A1569" s="12"/>
    </row>
    <row r="1570" spans="1:1" x14ac:dyDescent="0.35">
      <c r="A1570" s="12"/>
    </row>
    <row r="1571" spans="1:1" x14ac:dyDescent="0.35">
      <c r="A1571" s="12"/>
    </row>
    <row r="1572" spans="1:1" x14ac:dyDescent="0.35">
      <c r="A1572" s="12"/>
    </row>
    <row r="1573" spans="1:1" x14ac:dyDescent="0.35">
      <c r="A1573" s="12"/>
    </row>
    <row r="1574" spans="1:1" x14ac:dyDescent="0.35">
      <c r="A1574" s="12"/>
    </row>
    <row r="1575" spans="1:1" x14ac:dyDescent="0.35">
      <c r="A1575" s="12"/>
    </row>
    <row r="1576" spans="1:1" x14ac:dyDescent="0.35">
      <c r="A1576" s="12"/>
    </row>
    <row r="1577" spans="1:1" x14ac:dyDescent="0.35">
      <c r="A1577" s="12"/>
    </row>
    <row r="1578" spans="1:1" x14ac:dyDescent="0.35">
      <c r="A1578" s="12"/>
    </row>
    <row r="1579" spans="1:1" x14ac:dyDescent="0.35">
      <c r="A1579" s="12"/>
    </row>
    <row r="1580" spans="1:1" x14ac:dyDescent="0.35">
      <c r="A1580" s="12"/>
    </row>
    <row r="1581" spans="1:1" x14ac:dyDescent="0.35">
      <c r="A1581" s="12"/>
    </row>
    <row r="1582" spans="1:1" x14ac:dyDescent="0.35">
      <c r="A1582" s="12"/>
    </row>
    <row r="1583" spans="1:1" x14ac:dyDescent="0.35">
      <c r="A1583" s="12"/>
    </row>
    <row r="1584" spans="1:1" x14ac:dyDescent="0.35">
      <c r="A1584" s="12"/>
    </row>
    <row r="1585" spans="1:1" x14ac:dyDescent="0.35">
      <c r="A1585" s="12"/>
    </row>
    <row r="1586" spans="1:1" x14ac:dyDescent="0.35">
      <c r="A1586" s="12"/>
    </row>
    <row r="1587" spans="1:1" x14ac:dyDescent="0.35">
      <c r="A1587" s="12"/>
    </row>
    <row r="1588" spans="1:1" x14ac:dyDescent="0.35">
      <c r="A1588" s="12"/>
    </row>
    <row r="1589" spans="1:1" x14ac:dyDescent="0.35">
      <c r="A1589" s="12"/>
    </row>
    <row r="1590" spans="1:1" x14ac:dyDescent="0.35">
      <c r="A1590" s="12"/>
    </row>
    <row r="1591" spans="1:1" x14ac:dyDescent="0.35">
      <c r="A1591" s="12"/>
    </row>
    <row r="1592" spans="1:1" x14ac:dyDescent="0.35">
      <c r="A1592" s="12"/>
    </row>
    <row r="1593" spans="1:1" x14ac:dyDescent="0.35">
      <c r="A1593" s="12"/>
    </row>
    <row r="1594" spans="1:1" x14ac:dyDescent="0.35">
      <c r="A1594" s="12"/>
    </row>
    <row r="1595" spans="1:1" x14ac:dyDescent="0.35">
      <c r="A1595" s="12"/>
    </row>
    <row r="1596" spans="1:1" x14ac:dyDescent="0.35">
      <c r="A1596" s="12"/>
    </row>
    <row r="1597" spans="1:1" x14ac:dyDescent="0.35">
      <c r="A1597" s="12"/>
    </row>
    <row r="1598" spans="1:1" x14ac:dyDescent="0.35">
      <c r="A1598" s="12"/>
    </row>
    <row r="1599" spans="1:1" x14ac:dyDescent="0.35">
      <c r="A1599" s="12"/>
    </row>
    <row r="1600" spans="1:1" x14ac:dyDescent="0.35">
      <c r="A1600" s="12"/>
    </row>
    <row r="1601" spans="1:1" x14ac:dyDescent="0.35">
      <c r="A1601" s="12"/>
    </row>
    <row r="1602" spans="1:1" x14ac:dyDescent="0.35">
      <c r="A1602" s="12"/>
    </row>
    <row r="1603" spans="1:1" x14ac:dyDescent="0.35">
      <c r="A1603" s="12"/>
    </row>
    <row r="1604" spans="1:1" x14ac:dyDescent="0.35">
      <c r="A1604" s="12"/>
    </row>
    <row r="1605" spans="1:1" x14ac:dyDescent="0.35">
      <c r="A1605" s="12"/>
    </row>
    <row r="1606" spans="1:1" x14ac:dyDescent="0.35">
      <c r="A1606" s="12"/>
    </row>
    <row r="1607" spans="1:1" x14ac:dyDescent="0.35">
      <c r="A1607" s="12"/>
    </row>
    <row r="1608" spans="1:1" x14ac:dyDescent="0.35">
      <c r="A1608" s="12"/>
    </row>
    <row r="1609" spans="1:1" x14ac:dyDescent="0.35">
      <c r="A1609" s="12"/>
    </row>
    <row r="1610" spans="1:1" x14ac:dyDescent="0.35">
      <c r="A1610" s="12"/>
    </row>
    <row r="1611" spans="1:1" x14ac:dyDescent="0.35">
      <c r="A1611" s="12"/>
    </row>
    <row r="1612" spans="1:1" x14ac:dyDescent="0.35">
      <c r="A1612" s="12"/>
    </row>
    <row r="1613" spans="1:1" x14ac:dyDescent="0.35">
      <c r="A1613" s="12"/>
    </row>
    <row r="1614" spans="1:1" x14ac:dyDescent="0.35">
      <c r="A1614" s="12"/>
    </row>
    <row r="1615" spans="1:1" x14ac:dyDescent="0.35">
      <c r="A1615" s="12"/>
    </row>
    <row r="1616" spans="1:1" x14ac:dyDescent="0.35">
      <c r="A1616" s="12"/>
    </row>
    <row r="1617" spans="1:1" x14ac:dyDescent="0.35">
      <c r="A1617" s="12"/>
    </row>
    <row r="1618" spans="1:1" x14ac:dyDescent="0.35">
      <c r="A1618" s="12"/>
    </row>
    <row r="1619" spans="1:1" x14ac:dyDescent="0.35">
      <c r="A1619" s="12"/>
    </row>
    <row r="1620" spans="1:1" x14ac:dyDescent="0.35">
      <c r="A1620" s="12"/>
    </row>
    <row r="1621" spans="1:1" x14ac:dyDescent="0.35">
      <c r="A1621" s="12"/>
    </row>
    <row r="1622" spans="1:1" x14ac:dyDescent="0.35">
      <c r="A1622" s="12"/>
    </row>
    <row r="1623" spans="1:1" x14ac:dyDescent="0.35">
      <c r="A1623" s="12"/>
    </row>
    <row r="1624" spans="1:1" x14ac:dyDescent="0.35">
      <c r="A1624" s="12"/>
    </row>
    <row r="1625" spans="1:1" x14ac:dyDescent="0.35">
      <c r="A1625" s="12"/>
    </row>
    <row r="1626" spans="1:1" x14ac:dyDescent="0.35">
      <c r="A1626" s="12"/>
    </row>
    <row r="1627" spans="1:1" x14ac:dyDescent="0.35">
      <c r="A1627" s="12"/>
    </row>
    <row r="1628" spans="1:1" x14ac:dyDescent="0.35">
      <c r="A1628" s="12"/>
    </row>
    <row r="1629" spans="1:1" x14ac:dyDescent="0.35">
      <c r="A1629" s="12"/>
    </row>
    <row r="1630" spans="1:1" x14ac:dyDescent="0.35">
      <c r="A1630" s="12"/>
    </row>
    <row r="1631" spans="1:1" x14ac:dyDescent="0.35">
      <c r="A1631" s="12"/>
    </row>
    <row r="1632" spans="1:1" x14ac:dyDescent="0.35">
      <c r="A1632" s="12"/>
    </row>
    <row r="1633" spans="1:1" x14ac:dyDescent="0.35">
      <c r="A1633" s="12"/>
    </row>
    <row r="1634" spans="1:1" x14ac:dyDescent="0.35">
      <c r="A1634" s="12"/>
    </row>
    <row r="1635" spans="1:1" x14ac:dyDescent="0.35">
      <c r="A1635" s="12"/>
    </row>
    <row r="1636" spans="1:1" x14ac:dyDescent="0.35">
      <c r="A1636" s="12"/>
    </row>
    <row r="1637" spans="1:1" x14ac:dyDescent="0.35">
      <c r="A1637" s="12"/>
    </row>
    <row r="1638" spans="1:1" x14ac:dyDescent="0.35">
      <c r="A1638" s="12"/>
    </row>
    <row r="1639" spans="1:1" x14ac:dyDescent="0.35">
      <c r="A1639" s="12"/>
    </row>
    <row r="1640" spans="1:1" x14ac:dyDescent="0.35">
      <c r="A1640" s="12"/>
    </row>
    <row r="1641" spans="1:1" x14ac:dyDescent="0.35">
      <c r="A1641" s="12"/>
    </row>
    <row r="1642" spans="1:1" x14ac:dyDescent="0.35">
      <c r="A1642" s="12"/>
    </row>
    <row r="1643" spans="1:1" x14ac:dyDescent="0.35">
      <c r="A1643" s="12"/>
    </row>
    <row r="1644" spans="1:1" x14ac:dyDescent="0.35">
      <c r="A1644" s="12"/>
    </row>
    <row r="1645" spans="1:1" x14ac:dyDescent="0.35">
      <c r="A1645" s="12"/>
    </row>
    <row r="1646" spans="1:1" x14ac:dyDescent="0.35">
      <c r="A1646" s="12"/>
    </row>
    <row r="1647" spans="1:1" x14ac:dyDescent="0.35">
      <c r="A1647" s="12"/>
    </row>
    <row r="1648" spans="1:1" x14ac:dyDescent="0.35">
      <c r="A1648" s="12"/>
    </row>
    <row r="1649" spans="1:1" x14ac:dyDescent="0.35">
      <c r="A1649" s="12"/>
    </row>
    <row r="1650" spans="1:1" x14ac:dyDescent="0.35">
      <c r="A1650" s="12"/>
    </row>
    <row r="1651" spans="1:1" x14ac:dyDescent="0.35">
      <c r="A1651" s="12"/>
    </row>
    <row r="1652" spans="1:1" x14ac:dyDescent="0.35">
      <c r="A1652" s="12"/>
    </row>
    <row r="1653" spans="1:1" x14ac:dyDescent="0.35">
      <c r="A1653" s="12"/>
    </row>
    <row r="1654" spans="1:1" x14ac:dyDescent="0.35">
      <c r="A1654" s="12"/>
    </row>
    <row r="1655" spans="1:1" x14ac:dyDescent="0.35">
      <c r="A1655" s="12"/>
    </row>
    <row r="1656" spans="1:1" x14ac:dyDescent="0.35">
      <c r="A1656" s="12"/>
    </row>
    <row r="1657" spans="1:1" x14ac:dyDescent="0.35">
      <c r="A1657" s="12"/>
    </row>
    <row r="1658" spans="1:1" x14ac:dyDescent="0.35">
      <c r="A1658" s="12"/>
    </row>
    <row r="1659" spans="1:1" x14ac:dyDescent="0.35">
      <c r="A1659" s="12"/>
    </row>
    <row r="1660" spans="1:1" x14ac:dyDescent="0.35">
      <c r="A1660" s="12"/>
    </row>
    <row r="1661" spans="1:1" x14ac:dyDescent="0.35">
      <c r="A1661" s="12"/>
    </row>
    <row r="1662" spans="1:1" x14ac:dyDescent="0.35">
      <c r="A1662" s="12"/>
    </row>
    <row r="1663" spans="1:1" x14ac:dyDescent="0.35">
      <c r="A1663" s="12"/>
    </row>
    <row r="1664" spans="1:1" x14ac:dyDescent="0.35">
      <c r="A1664" s="12"/>
    </row>
    <row r="1665" spans="1:1" x14ac:dyDescent="0.35">
      <c r="A1665" s="12"/>
    </row>
    <row r="1666" spans="1:1" x14ac:dyDescent="0.35">
      <c r="A1666" s="12"/>
    </row>
    <row r="1667" spans="1:1" x14ac:dyDescent="0.35">
      <c r="A1667" s="12"/>
    </row>
    <row r="1668" spans="1:1" x14ac:dyDescent="0.35">
      <c r="A1668" s="12"/>
    </row>
    <row r="1669" spans="1:1" x14ac:dyDescent="0.35">
      <c r="A1669" s="12"/>
    </row>
    <row r="1670" spans="1:1" x14ac:dyDescent="0.35">
      <c r="A1670" s="12"/>
    </row>
    <row r="1671" spans="1:1" x14ac:dyDescent="0.35">
      <c r="A1671" s="12"/>
    </row>
    <row r="1672" spans="1:1" x14ac:dyDescent="0.35">
      <c r="A1672" s="12"/>
    </row>
    <row r="1673" spans="1:1" x14ac:dyDescent="0.35">
      <c r="A1673" s="12"/>
    </row>
    <row r="1674" spans="1:1" x14ac:dyDescent="0.35">
      <c r="A1674" s="12"/>
    </row>
    <row r="1675" spans="1:1" x14ac:dyDescent="0.35">
      <c r="A1675" s="12"/>
    </row>
    <row r="1676" spans="1:1" x14ac:dyDescent="0.35">
      <c r="A1676" s="12"/>
    </row>
    <row r="1677" spans="1:1" x14ac:dyDescent="0.35">
      <c r="A1677" s="12"/>
    </row>
    <row r="1678" spans="1:1" x14ac:dyDescent="0.35">
      <c r="A1678" s="12"/>
    </row>
    <row r="1679" spans="1:1" x14ac:dyDescent="0.35">
      <c r="A1679" s="12"/>
    </row>
    <row r="1680" spans="1:1" x14ac:dyDescent="0.35">
      <c r="A1680" s="12"/>
    </row>
    <row r="1681" spans="1:1" x14ac:dyDescent="0.35">
      <c r="A1681" s="12"/>
    </row>
    <row r="1682" spans="1:1" x14ac:dyDescent="0.35">
      <c r="A1682" s="12"/>
    </row>
    <row r="1683" spans="1:1" x14ac:dyDescent="0.35">
      <c r="A1683" s="12"/>
    </row>
    <row r="1684" spans="1:1" x14ac:dyDescent="0.35">
      <c r="A1684" s="12"/>
    </row>
    <row r="1685" spans="1:1" x14ac:dyDescent="0.35">
      <c r="A1685" s="12"/>
    </row>
    <row r="1686" spans="1:1" x14ac:dyDescent="0.35">
      <c r="A1686" s="12"/>
    </row>
    <row r="1687" spans="1:1" x14ac:dyDescent="0.35">
      <c r="A1687" s="12"/>
    </row>
    <row r="1688" spans="1:1" x14ac:dyDescent="0.35">
      <c r="A1688" s="12"/>
    </row>
    <row r="1689" spans="1:1" x14ac:dyDescent="0.35">
      <c r="A1689" s="12"/>
    </row>
    <row r="1690" spans="1:1" x14ac:dyDescent="0.35">
      <c r="A1690" s="12"/>
    </row>
    <row r="1691" spans="1:1" x14ac:dyDescent="0.35">
      <c r="A1691" s="12"/>
    </row>
    <row r="1692" spans="1:1" x14ac:dyDescent="0.35">
      <c r="A1692" s="12"/>
    </row>
    <row r="1693" spans="1:1" x14ac:dyDescent="0.35">
      <c r="A1693" s="12"/>
    </row>
    <row r="1694" spans="1:1" x14ac:dyDescent="0.35">
      <c r="A1694" s="12"/>
    </row>
    <row r="1695" spans="1:1" x14ac:dyDescent="0.35">
      <c r="A1695" s="12"/>
    </row>
    <row r="1696" spans="1:1" x14ac:dyDescent="0.35">
      <c r="A1696" s="12"/>
    </row>
    <row r="1697" spans="1:1" x14ac:dyDescent="0.35">
      <c r="A1697" s="12"/>
    </row>
    <row r="1698" spans="1:1" x14ac:dyDescent="0.35">
      <c r="A1698" s="12"/>
    </row>
    <row r="1699" spans="1:1" x14ac:dyDescent="0.35">
      <c r="A1699" s="12"/>
    </row>
    <row r="1700" spans="1:1" x14ac:dyDescent="0.35">
      <c r="A1700" s="12"/>
    </row>
    <row r="1701" spans="1:1" x14ac:dyDescent="0.35">
      <c r="A1701" s="12"/>
    </row>
    <row r="1702" spans="1:1" x14ac:dyDescent="0.35">
      <c r="A1702" s="12"/>
    </row>
    <row r="1703" spans="1:1" x14ac:dyDescent="0.35">
      <c r="A1703" s="12"/>
    </row>
    <row r="1704" spans="1:1" x14ac:dyDescent="0.35">
      <c r="A1704" s="12"/>
    </row>
    <row r="1705" spans="1:1" x14ac:dyDescent="0.35">
      <c r="A1705" s="12"/>
    </row>
    <row r="1706" spans="1:1" x14ac:dyDescent="0.35">
      <c r="A1706" s="12"/>
    </row>
    <row r="1707" spans="1:1" x14ac:dyDescent="0.35">
      <c r="A1707" s="12"/>
    </row>
    <row r="1708" spans="1:1" x14ac:dyDescent="0.35">
      <c r="A1708" s="12"/>
    </row>
    <row r="1709" spans="1:1" x14ac:dyDescent="0.35">
      <c r="A1709" s="12"/>
    </row>
    <row r="1710" spans="1:1" x14ac:dyDescent="0.35">
      <c r="A1710" s="12"/>
    </row>
    <row r="1711" spans="1:1" x14ac:dyDescent="0.35">
      <c r="A1711" s="12"/>
    </row>
    <row r="1712" spans="1:1" x14ac:dyDescent="0.35">
      <c r="A1712" s="12"/>
    </row>
    <row r="1713" spans="1:1" x14ac:dyDescent="0.35">
      <c r="A1713" s="12"/>
    </row>
    <row r="1714" spans="1:1" x14ac:dyDescent="0.35">
      <c r="A1714" s="12"/>
    </row>
    <row r="1715" spans="1:1" x14ac:dyDescent="0.35">
      <c r="A1715" s="12"/>
    </row>
    <row r="1716" spans="1:1" x14ac:dyDescent="0.35">
      <c r="A1716" s="12"/>
    </row>
    <row r="1717" spans="1:1" x14ac:dyDescent="0.35">
      <c r="A1717" s="12"/>
    </row>
    <row r="1718" spans="1:1" x14ac:dyDescent="0.35">
      <c r="A1718" s="12"/>
    </row>
    <row r="1719" spans="1:1" x14ac:dyDescent="0.35">
      <c r="A1719" s="12"/>
    </row>
    <row r="1720" spans="1:1" x14ac:dyDescent="0.35">
      <c r="A1720" s="12"/>
    </row>
    <row r="1721" spans="1:1" x14ac:dyDescent="0.35">
      <c r="A1721" s="12"/>
    </row>
    <row r="1722" spans="1:1" x14ac:dyDescent="0.35">
      <c r="A1722" s="12"/>
    </row>
    <row r="1723" spans="1:1" x14ac:dyDescent="0.35">
      <c r="A1723" s="12"/>
    </row>
    <row r="1724" spans="1:1" x14ac:dyDescent="0.35">
      <c r="A1724" s="12"/>
    </row>
    <row r="1725" spans="1:1" x14ac:dyDescent="0.35">
      <c r="A1725" s="12"/>
    </row>
    <row r="1726" spans="1:1" x14ac:dyDescent="0.35">
      <c r="A1726" s="12"/>
    </row>
    <row r="1727" spans="1:1" x14ac:dyDescent="0.35">
      <c r="A1727" s="12"/>
    </row>
    <row r="1728" spans="1:1" x14ac:dyDescent="0.35">
      <c r="A1728" s="12"/>
    </row>
    <row r="1729" spans="1:1" x14ac:dyDescent="0.35">
      <c r="A1729" s="12"/>
    </row>
    <row r="1730" spans="1:1" x14ac:dyDescent="0.35">
      <c r="A1730" s="12"/>
    </row>
    <row r="1731" spans="1:1" x14ac:dyDescent="0.35">
      <c r="A1731" s="12"/>
    </row>
    <row r="1732" spans="1:1" x14ac:dyDescent="0.35">
      <c r="A1732" s="12"/>
    </row>
    <row r="1733" spans="1:1" x14ac:dyDescent="0.35">
      <c r="A1733" s="12"/>
    </row>
    <row r="1734" spans="1:1" x14ac:dyDescent="0.35">
      <c r="A1734" s="12"/>
    </row>
    <row r="1735" spans="1:1" x14ac:dyDescent="0.35">
      <c r="A1735" s="12"/>
    </row>
    <row r="1736" spans="1:1" x14ac:dyDescent="0.35">
      <c r="A1736" s="12"/>
    </row>
    <row r="1737" spans="1:1" x14ac:dyDescent="0.35">
      <c r="A1737" s="12"/>
    </row>
    <row r="1738" spans="1:1" x14ac:dyDescent="0.35">
      <c r="A1738" s="12"/>
    </row>
    <row r="1739" spans="1:1" x14ac:dyDescent="0.35">
      <c r="A1739" s="12"/>
    </row>
    <row r="1740" spans="1:1" x14ac:dyDescent="0.35">
      <c r="A1740" s="12"/>
    </row>
    <row r="1741" spans="1:1" x14ac:dyDescent="0.35">
      <c r="A1741" s="12"/>
    </row>
    <row r="1742" spans="1:1" x14ac:dyDescent="0.35">
      <c r="A1742" s="12"/>
    </row>
    <row r="1743" spans="1:1" x14ac:dyDescent="0.35">
      <c r="A1743" s="12"/>
    </row>
    <row r="1744" spans="1:1" x14ac:dyDescent="0.35">
      <c r="A1744" s="12"/>
    </row>
    <row r="1745" spans="1:1" x14ac:dyDescent="0.35">
      <c r="A1745" s="12"/>
    </row>
    <row r="1746" spans="1:1" x14ac:dyDescent="0.35">
      <c r="A1746" s="12"/>
    </row>
    <row r="1747" spans="1:1" x14ac:dyDescent="0.35">
      <c r="A1747" s="12"/>
    </row>
    <row r="1748" spans="1:1" x14ac:dyDescent="0.35">
      <c r="A1748" s="12"/>
    </row>
    <row r="1749" spans="1:1" x14ac:dyDescent="0.35">
      <c r="A1749" s="12"/>
    </row>
    <row r="1750" spans="1:1" x14ac:dyDescent="0.35">
      <c r="A1750" s="12"/>
    </row>
    <row r="1751" spans="1:1" x14ac:dyDescent="0.35">
      <c r="A1751" s="12"/>
    </row>
    <row r="1752" spans="1:1" x14ac:dyDescent="0.35">
      <c r="A1752" s="12"/>
    </row>
    <row r="1753" spans="1:1" x14ac:dyDescent="0.35">
      <c r="A1753" s="12"/>
    </row>
    <row r="1754" spans="1:1" x14ac:dyDescent="0.35">
      <c r="A1754" s="12"/>
    </row>
    <row r="1755" spans="1:1" x14ac:dyDescent="0.35">
      <c r="A1755" s="12"/>
    </row>
    <row r="1756" spans="1:1" x14ac:dyDescent="0.35">
      <c r="A1756" s="12"/>
    </row>
    <row r="1757" spans="1:1" x14ac:dyDescent="0.35">
      <c r="A1757" s="12"/>
    </row>
    <row r="1758" spans="1:1" x14ac:dyDescent="0.35">
      <c r="A1758" s="12"/>
    </row>
    <row r="1759" spans="1:1" x14ac:dyDescent="0.35">
      <c r="A1759" s="12"/>
    </row>
    <row r="1760" spans="1:1" x14ac:dyDescent="0.35">
      <c r="A1760" s="12"/>
    </row>
    <row r="1761" spans="1:1" x14ac:dyDescent="0.35">
      <c r="A1761" s="12"/>
    </row>
    <row r="1762" spans="1:1" x14ac:dyDescent="0.35">
      <c r="A1762" s="12"/>
    </row>
    <row r="1763" spans="1:1" x14ac:dyDescent="0.35">
      <c r="A1763" s="12"/>
    </row>
    <row r="1764" spans="1:1" x14ac:dyDescent="0.35">
      <c r="A1764" s="12"/>
    </row>
    <row r="1765" spans="1:1" x14ac:dyDescent="0.35">
      <c r="A1765" s="12"/>
    </row>
    <row r="1766" spans="1:1" x14ac:dyDescent="0.35">
      <c r="A1766" s="12"/>
    </row>
    <row r="1767" spans="1:1" x14ac:dyDescent="0.35">
      <c r="A1767" s="12"/>
    </row>
    <row r="1768" spans="1:1" x14ac:dyDescent="0.35">
      <c r="A1768" s="12"/>
    </row>
    <row r="1769" spans="1:1" x14ac:dyDescent="0.35">
      <c r="A1769" s="12"/>
    </row>
    <row r="1770" spans="1:1" x14ac:dyDescent="0.35">
      <c r="A1770" s="12"/>
    </row>
    <row r="1771" spans="1:1" x14ac:dyDescent="0.35">
      <c r="A1771" s="12"/>
    </row>
    <row r="1772" spans="1:1" x14ac:dyDescent="0.35">
      <c r="A1772" s="12"/>
    </row>
    <row r="1773" spans="1:1" x14ac:dyDescent="0.35">
      <c r="A1773" s="12"/>
    </row>
    <row r="1774" spans="1:1" x14ac:dyDescent="0.35">
      <c r="A1774" s="12"/>
    </row>
    <row r="1775" spans="1:1" x14ac:dyDescent="0.35">
      <c r="A1775" s="12"/>
    </row>
    <row r="1776" spans="1:1" x14ac:dyDescent="0.35">
      <c r="A1776" s="12"/>
    </row>
    <row r="1777" spans="1:1" x14ac:dyDescent="0.35">
      <c r="A1777" s="12"/>
    </row>
    <row r="1778" spans="1:1" x14ac:dyDescent="0.35">
      <c r="A1778" s="12"/>
    </row>
    <row r="1779" spans="1:1" x14ac:dyDescent="0.35">
      <c r="A1779" s="12"/>
    </row>
    <row r="1780" spans="1:1" x14ac:dyDescent="0.35">
      <c r="A1780" s="12"/>
    </row>
    <row r="1781" spans="1:1" x14ac:dyDescent="0.35">
      <c r="A1781" s="12"/>
    </row>
    <row r="1782" spans="1:1" x14ac:dyDescent="0.35">
      <c r="A1782" s="12"/>
    </row>
    <row r="1783" spans="1:1" x14ac:dyDescent="0.35">
      <c r="A1783" s="12"/>
    </row>
    <row r="1784" spans="1:1" x14ac:dyDescent="0.35">
      <c r="A1784" s="12"/>
    </row>
    <row r="1785" spans="1:1" x14ac:dyDescent="0.35">
      <c r="A1785" s="12"/>
    </row>
    <row r="1786" spans="1:1" x14ac:dyDescent="0.35">
      <c r="A1786" s="12"/>
    </row>
    <row r="1787" spans="1:1" x14ac:dyDescent="0.35">
      <c r="A1787" s="12"/>
    </row>
    <row r="1788" spans="1:1" x14ac:dyDescent="0.35">
      <c r="A1788" s="12"/>
    </row>
    <row r="1789" spans="1:1" x14ac:dyDescent="0.35">
      <c r="A1789" s="12"/>
    </row>
    <row r="1790" spans="1:1" x14ac:dyDescent="0.35">
      <c r="A1790" s="12"/>
    </row>
    <row r="1791" spans="1:1" x14ac:dyDescent="0.35">
      <c r="A1791" s="12"/>
    </row>
    <row r="1792" spans="1:1" x14ac:dyDescent="0.35">
      <c r="A1792" s="12"/>
    </row>
    <row r="1793" spans="1:1" x14ac:dyDescent="0.35">
      <c r="A1793" s="12"/>
    </row>
    <row r="1794" spans="1:1" x14ac:dyDescent="0.35">
      <c r="A1794" s="12"/>
    </row>
    <row r="1795" spans="1:1" x14ac:dyDescent="0.35">
      <c r="A1795" s="12"/>
    </row>
    <row r="1796" spans="1:1" x14ac:dyDescent="0.35">
      <c r="A1796" s="12"/>
    </row>
    <row r="1797" spans="1:1" x14ac:dyDescent="0.35">
      <c r="A1797" s="12"/>
    </row>
    <row r="1798" spans="1:1" x14ac:dyDescent="0.35">
      <c r="A1798" s="12"/>
    </row>
    <row r="1799" spans="1:1" x14ac:dyDescent="0.35">
      <c r="A1799" s="12"/>
    </row>
    <row r="1800" spans="1:1" x14ac:dyDescent="0.35">
      <c r="A1800" s="12"/>
    </row>
    <row r="1801" spans="1:1" x14ac:dyDescent="0.35">
      <c r="A1801" s="12"/>
    </row>
    <row r="1802" spans="1:1" x14ac:dyDescent="0.35">
      <c r="A1802" s="12"/>
    </row>
    <row r="1803" spans="1:1" x14ac:dyDescent="0.35">
      <c r="A1803" s="12"/>
    </row>
    <row r="1804" spans="1:1" x14ac:dyDescent="0.35">
      <c r="A1804" s="12"/>
    </row>
    <row r="1805" spans="1:1" x14ac:dyDescent="0.35">
      <c r="A1805" s="12"/>
    </row>
    <row r="1806" spans="1:1" x14ac:dyDescent="0.35">
      <c r="A1806" s="12"/>
    </row>
    <row r="1807" spans="1:1" x14ac:dyDescent="0.35">
      <c r="A1807" s="12"/>
    </row>
    <row r="1808" spans="1:1" x14ac:dyDescent="0.35">
      <c r="A1808" s="12"/>
    </row>
    <row r="1809" spans="1:1" x14ac:dyDescent="0.35">
      <c r="A1809" s="12"/>
    </row>
    <row r="1810" spans="1:1" x14ac:dyDescent="0.35">
      <c r="A1810" s="12"/>
    </row>
    <row r="1811" spans="1:1" x14ac:dyDescent="0.35">
      <c r="A1811" s="12"/>
    </row>
    <row r="1812" spans="1:1" x14ac:dyDescent="0.35">
      <c r="A1812" s="12"/>
    </row>
    <row r="1813" spans="1:1" x14ac:dyDescent="0.35">
      <c r="A1813" s="12"/>
    </row>
    <row r="1814" spans="1:1" x14ac:dyDescent="0.35">
      <c r="A1814" s="12"/>
    </row>
    <row r="1815" spans="1:1" x14ac:dyDescent="0.35">
      <c r="A1815" s="12"/>
    </row>
    <row r="1816" spans="1:1" x14ac:dyDescent="0.35">
      <c r="A1816" s="12"/>
    </row>
    <row r="1817" spans="1:1" x14ac:dyDescent="0.35">
      <c r="A1817" s="12"/>
    </row>
    <row r="1818" spans="1:1" x14ac:dyDescent="0.35">
      <c r="A1818" s="12"/>
    </row>
    <row r="1819" spans="1:1" x14ac:dyDescent="0.35">
      <c r="A1819" s="12"/>
    </row>
    <row r="1820" spans="1:1" x14ac:dyDescent="0.35">
      <c r="A1820" s="12"/>
    </row>
    <row r="1821" spans="1:1" x14ac:dyDescent="0.35">
      <c r="A1821" s="12"/>
    </row>
    <row r="1822" spans="1:1" x14ac:dyDescent="0.35">
      <c r="A1822" s="12"/>
    </row>
    <row r="1823" spans="1:1" x14ac:dyDescent="0.35">
      <c r="A1823" s="12"/>
    </row>
    <row r="1824" spans="1:1" x14ac:dyDescent="0.35">
      <c r="A1824" s="12"/>
    </row>
    <row r="1825" spans="1:1" x14ac:dyDescent="0.35">
      <c r="A1825" s="12"/>
    </row>
    <row r="1826" spans="1:1" x14ac:dyDescent="0.35">
      <c r="A1826" s="12"/>
    </row>
    <row r="1827" spans="1:1" x14ac:dyDescent="0.35">
      <c r="A1827" s="12"/>
    </row>
    <row r="1828" spans="1:1" x14ac:dyDescent="0.35">
      <c r="A1828" s="12"/>
    </row>
    <row r="1829" spans="1:1" x14ac:dyDescent="0.35">
      <c r="A1829" s="12"/>
    </row>
    <row r="1830" spans="1:1" x14ac:dyDescent="0.35">
      <c r="A1830" s="12"/>
    </row>
    <row r="1831" spans="1:1" x14ac:dyDescent="0.35">
      <c r="A1831" s="12"/>
    </row>
    <row r="1832" spans="1:1" x14ac:dyDescent="0.35">
      <c r="A1832" s="12"/>
    </row>
    <row r="1833" spans="1:1" x14ac:dyDescent="0.35">
      <c r="A1833" s="12"/>
    </row>
    <row r="1834" spans="1:1" x14ac:dyDescent="0.35">
      <c r="A1834" s="12"/>
    </row>
    <row r="1835" spans="1:1" x14ac:dyDescent="0.35">
      <c r="A1835" s="12"/>
    </row>
    <row r="1836" spans="1:1" x14ac:dyDescent="0.35">
      <c r="A1836" s="12"/>
    </row>
    <row r="1837" spans="1:1" x14ac:dyDescent="0.35">
      <c r="A1837" s="12"/>
    </row>
    <row r="1838" spans="1:1" x14ac:dyDescent="0.35">
      <c r="A1838" s="12"/>
    </row>
    <row r="1839" spans="1:1" x14ac:dyDescent="0.35">
      <c r="A1839" s="12"/>
    </row>
    <row r="1840" spans="1:1" x14ac:dyDescent="0.35">
      <c r="A1840" s="12"/>
    </row>
    <row r="1841" spans="1:1" x14ac:dyDescent="0.35">
      <c r="A1841" s="12"/>
    </row>
    <row r="1842" spans="1:1" x14ac:dyDescent="0.35">
      <c r="A1842" s="12"/>
    </row>
    <row r="1843" spans="1:1" x14ac:dyDescent="0.35">
      <c r="A1843" s="12"/>
    </row>
    <row r="1844" spans="1:1" x14ac:dyDescent="0.35">
      <c r="A1844" s="12"/>
    </row>
    <row r="1845" spans="1:1" x14ac:dyDescent="0.35">
      <c r="A1845" s="12"/>
    </row>
    <row r="1846" spans="1:1" x14ac:dyDescent="0.35">
      <c r="A1846" s="12"/>
    </row>
    <row r="1847" spans="1:1" x14ac:dyDescent="0.35">
      <c r="A1847" s="12"/>
    </row>
    <row r="1848" spans="1:1" x14ac:dyDescent="0.35">
      <c r="A1848" s="12"/>
    </row>
    <row r="1849" spans="1:1" x14ac:dyDescent="0.35">
      <c r="A1849" s="12"/>
    </row>
    <row r="1850" spans="1:1" x14ac:dyDescent="0.35">
      <c r="A1850" s="12"/>
    </row>
    <row r="1851" spans="1:1" x14ac:dyDescent="0.35">
      <c r="A1851" s="12"/>
    </row>
    <row r="1852" spans="1:1" x14ac:dyDescent="0.35">
      <c r="A1852" s="12"/>
    </row>
    <row r="1853" spans="1:1" x14ac:dyDescent="0.35">
      <c r="A1853" s="12"/>
    </row>
    <row r="1854" spans="1:1" x14ac:dyDescent="0.35">
      <c r="A1854" s="12"/>
    </row>
    <row r="1855" spans="1:1" x14ac:dyDescent="0.35">
      <c r="A1855" s="12"/>
    </row>
    <row r="1856" spans="1:1" x14ac:dyDescent="0.35">
      <c r="A1856" s="12"/>
    </row>
    <row r="1857" spans="1:1" x14ac:dyDescent="0.35">
      <c r="A1857" s="12"/>
    </row>
    <row r="1858" spans="1:1" x14ac:dyDescent="0.35">
      <c r="A1858" s="12"/>
    </row>
    <row r="1859" spans="1:1" x14ac:dyDescent="0.35">
      <c r="A1859" s="12"/>
    </row>
    <row r="1860" spans="1:1" x14ac:dyDescent="0.35">
      <c r="A1860" s="12"/>
    </row>
    <row r="1861" spans="1:1" x14ac:dyDescent="0.35">
      <c r="A1861" s="12"/>
    </row>
    <row r="1862" spans="1:1" x14ac:dyDescent="0.35">
      <c r="A1862" s="12"/>
    </row>
    <row r="1863" spans="1:1" x14ac:dyDescent="0.35">
      <c r="A1863" s="12"/>
    </row>
    <row r="1864" spans="1:1" x14ac:dyDescent="0.35">
      <c r="A1864" s="12"/>
    </row>
    <row r="1865" spans="1:1" x14ac:dyDescent="0.35">
      <c r="A1865" s="12"/>
    </row>
    <row r="1866" spans="1:1" x14ac:dyDescent="0.35">
      <c r="A1866" s="12"/>
    </row>
    <row r="1867" spans="1:1" x14ac:dyDescent="0.35">
      <c r="A1867" s="12"/>
    </row>
    <row r="1868" spans="1:1" x14ac:dyDescent="0.35">
      <c r="A1868" s="12"/>
    </row>
    <row r="1869" spans="1:1" x14ac:dyDescent="0.35">
      <c r="A1869" s="12"/>
    </row>
    <row r="1870" spans="1:1" x14ac:dyDescent="0.35">
      <c r="A1870" s="12"/>
    </row>
    <row r="1871" spans="1:1" x14ac:dyDescent="0.35">
      <c r="A1871" s="12"/>
    </row>
    <row r="1872" spans="1:1" x14ac:dyDescent="0.35">
      <c r="A1872" s="12"/>
    </row>
    <row r="1873" spans="1:1" x14ac:dyDescent="0.35">
      <c r="A1873" s="12"/>
    </row>
    <row r="1874" spans="1:1" x14ac:dyDescent="0.35">
      <c r="A1874" s="12"/>
    </row>
    <row r="1875" spans="1:1" x14ac:dyDescent="0.35">
      <c r="A1875" s="12"/>
    </row>
    <row r="1876" spans="1:1" x14ac:dyDescent="0.35">
      <c r="A1876" s="12"/>
    </row>
    <row r="1877" spans="1:1" x14ac:dyDescent="0.35">
      <c r="A1877" s="12"/>
    </row>
    <row r="1878" spans="1:1" x14ac:dyDescent="0.35">
      <c r="A1878" s="12"/>
    </row>
    <row r="1879" spans="1:1" x14ac:dyDescent="0.35">
      <c r="A1879" s="12"/>
    </row>
    <row r="1880" spans="1:1" x14ac:dyDescent="0.35">
      <c r="A1880" s="12"/>
    </row>
    <row r="1881" spans="1:1" x14ac:dyDescent="0.35">
      <c r="A1881" s="12"/>
    </row>
    <row r="1882" spans="1:1" x14ac:dyDescent="0.35">
      <c r="A1882" s="12"/>
    </row>
    <row r="1883" spans="1:1" x14ac:dyDescent="0.35">
      <c r="A1883" s="12"/>
    </row>
    <row r="1884" spans="1:1" x14ac:dyDescent="0.35">
      <c r="A1884" s="12"/>
    </row>
    <row r="1885" spans="1:1" x14ac:dyDescent="0.35">
      <c r="A1885" s="12"/>
    </row>
    <row r="1886" spans="1:1" x14ac:dyDescent="0.35">
      <c r="A1886" s="12"/>
    </row>
    <row r="1887" spans="1:1" x14ac:dyDescent="0.35">
      <c r="A1887" s="12"/>
    </row>
    <row r="1888" spans="1:1" x14ac:dyDescent="0.35">
      <c r="A1888" s="12"/>
    </row>
    <row r="1889" spans="1:1" x14ac:dyDescent="0.35">
      <c r="A1889" s="12"/>
    </row>
    <row r="1890" spans="1:1" x14ac:dyDescent="0.35">
      <c r="A1890" s="12"/>
    </row>
    <row r="1891" spans="1:1" x14ac:dyDescent="0.35">
      <c r="A1891" s="12"/>
    </row>
    <row r="1892" spans="1:1" x14ac:dyDescent="0.35">
      <c r="A1892" s="12"/>
    </row>
    <row r="1893" spans="1:1" x14ac:dyDescent="0.35">
      <c r="A1893" s="12"/>
    </row>
    <row r="1894" spans="1:1" x14ac:dyDescent="0.35">
      <c r="A1894" s="12"/>
    </row>
    <row r="1895" spans="1:1" x14ac:dyDescent="0.35">
      <c r="A1895" s="12"/>
    </row>
    <row r="1896" spans="1:1" x14ac:dyDescent="0.35">
      <c r="A1896" s="12"/>
    </row>
    <row r="1897" spans="1:1" x14ac:dyDescent="0.35">
      <c r="A1897" s="12"/>
    </row>
    <row r="1898" spans="1:1" x14ac:dyDescent="0.35">
      <c r="A1898" s="12"/>
    </row>
    <row r="1899" spans="1:1" x14ac:dyDescent="0.35">
      <c r="A1899" s="12"/>
    </row>
    <row r="1900" spans="1:1" x14ac:dyDescent="0.35">
      <c r="A1900" s="12"/>
    </row>
    <row r="1901" spans="1:1" x14ac:dyDescent="0.35">
      <c r="A1901" s="12"/>
    </row>
    <row r="1902" spans="1:1" x14ac:dyDescent="0.35">
      <c r="A1902" s="12"/>
    </row>
    <row r="1903" spans="1:1" x14ac:dyDescent="0.35">
      <c r="A1903" s="12"/>
    </row>
    <row r="1904" spans="1:1" x14ac:dyDescent="0.35">
      <c r="A1904" s="12"/>
    </row>
    <row r="1905" spans="1:1" x14ac:dyDescent="0.35">
      <c r="A1905" s="12"/>
    </row>
    <row r="1906" spans="1:1" x14ac:dyDescent="0.35">
      <c r="A1906" s="12"/>
    </row>
    <row r="1907" spans="1:1" x14ac:dyDescent="0.35">
      <c r="A1907" s="12"/>
    </row>
    <row r="1908" spans="1:1" x14ac:dyDescent="0.35">
      <c r="A1908" s="12"/>
    </row>
    <row r="1909" spans="1:1" x14ac:dyDescent="0.35">
      <c r="A1909" s="12"/>
    </row>
    <row r="1910" spans="1:1" x14ac:dyDescent="0.35">
      <c r="A1910" s="12"/>
    </row>
    <row r="1911" spans="1:1" x14ac:dyDescent="0.35">
      <c r="A1911" s="12"/>
    </row>
    <row r="1912" spans="1:1" x14ac:dyDescent="0.35">
      <c r="A1912" s="12"/>
    </row>
    <row r="1913" spans="1:1" x14ac:dyDescent="0.35">
      <c r="A1913" s="12"/>
    </row>
    <row r="1914" spans="1:1" x14ac:dyDescent="0.35">
      <c r="A1914" s="12"/>
    </row>
    <row r="1915" spans="1:1" x14ac:dyDescent="0.35">
      <c r="A1915" s="12"/>
    </row>
    <row r="1916" spans="1:1" x14ac:dyDescent="0.35">
      <c r="A1916" s="12"/>
    </row>
    <row r="1917" spans="1:1" x14ac:dyDescent="0.35">
      <c r="A1917" s="12"/>
    </row>
    <row r="1918" spans="1:1" x14ac:dyDescent="0.35">
      <c r="A1918" s="12"/>
    </row>
    <row r="1919" spans="1:1" x14ac:dyDescent="0.35">
      <c r="A1919" s="12"/>
    </row>
    <row r="1920" spans="1:1" x14ac:dyDescent="0.35">
      <c r="A1920" s="12"/>
    </row>
    <row r="1921" spans="1:1" x14ac:dyDescent="0.35">
      <c r="A1921" s="12"/>
    </row>
    <row r="1922" spans="1:1" x14ac:dyDescent="0.35">
      <c r="A1922" s="12"/>
    </row>
    <row r="1923" spans="1:1" x14ac:dyDescent="0.35">
      <c r="A1923" s="12"/>
    </row>
    <row r="1924" spans="1:1" x14ac:dyDescent="0.35">
      <c r="A1924" s="12"/>
    </row>
    <row r="1925" spans="1:1" x14ac:dyDescent="0.35">
      <c r="A1925" s="12"/>
    </row>
    <row r="1926" spans="1:1" x14ac:dyDescent="0.35">
      <c r="A1926" s="12"/>
    </row>
    <row r="1927" spans="1:1" x14ac:dyDescent="0.35">
      <c r="A1927" s="12"/>
    </row>
    <row r="1928" spans="1:1" x14ac:dyDescent="0.35">
      <c r="A1928" s="12"/>
    </row>
    <row r="1929" spans="1:1" x14ac:dyDescent="0.35">
      <c r="A1929" s="12"/>
    </row>
    <row r="1930" spans="1:1" x14ac:dyDescent="0.35">
      <c r="A1930" s="12"/>
    </row>
    <row r="1931" spans="1:1" x14ac:dyDescent="0.35">
      <c r="A1931" s="12"/>
    </row>
    <row r="1932" spans="1:1" x14ac:dyDescent="0.35">
      <c r="A1932" s="12"/>
    </row>
    <row r="1933" spans="1:1" x14ac:dyDescent="0.35">
      <c r="A1933" s="12"/>
    </row>
    <row r="1934" spans="1:1" x14ac:dyDescent="0.35">
      <c r="A1934" s="12"/>
    </row>
    <row r="1935" spans="1:1" x14ac:dyDescent="0.35">
      <c r="A1935" s="12"/>
    </row>
    <row r="1936" spans="1:1" x14ac:dyDescent="0.35">
      <c r="A1936" s="12"/>
    </row>
    <row r="1937" spans="1:1" x14ac:dyDescent="0.35">
      <c r="A1937" s="12"/>
    </row>
    <row r="1938" spans="1:1" x14ac:dyDescent="0.35">
      <c r="A1938" s="12"/>
    </row>
    <row r="1939" spans="1:1" x14ac:dyDescent="0.35">
      <c r="A1939" s="12"/>
    </row>
    <row r="1940" spans="1:1" x14ac:dyDescent="0.35">
      <c r="A1940" s="12"/>
    </row>
    <row r="1941" spans="1:1" x14ac:dyDescent="0.35">
      <c r="A1941" s="12"/>
    </row>
    <row r="1942" spans="1:1" x14ac:dyDescent="0.35">
      <c r="A1942" s="12"/>
    </row>
    <row r="1943" spans="1:1" x14ac:dyDescent="0.35">
      <c r="A1943" s="12"/>
    </row>
    <row r="1944" spans="1:1" x14ac:dyDescent="0.35">
      <c r="A1944" s="12"/>
    </row>
    <row r="1945" spans="1:1" x14ac:dyDescent="0.35">
      <c r="A1945" s="12"/>
    </row>
    <row r="1946" spans="1:1" x14ac:dyDescent="0.35">
      <c r="A1946" s="12"/>
    </row>
    <row r="1947" spans="1:1" x14ac:dyDescent="0.35">
      <c r="A1947" s="12"/>
    </row>
    <row r="1948" spans="1:1" x14ac:dyDescent="0.35">
      <c r="A1948" s="12"/>
    </row>
    <row r="1949" spans="1:1" x14ac:dyDescent="0.35">
      <c r="A1949" s="12"/>
    </row>
    <row r="1950" spans="1:1" x14ac:dyDescent="0.35">
      <c r="A1950" s="12"/>
    </row>
    <row r="1951" spans="1:1" x14ac:dyDescent="0.35">
      <c r="A1951" s="12"/>
    </row>
    <row r="1952" spans="1:1" x14ac:dyDescent="0.35">
      <c r="A1952" s="12"/>
    </row>
    <row r="1953" spans="1:1" x14ac:dyDescent="0.35">
      <c r="A1953" s="12"/>
    </row>
    <row r="1954" spans="1:1" x14ac:dyDescent="0.35">
      <c r="A1954" s="12"/>
    </row>
    <row r="1955" spans="1:1" x14ac:dyDescent="0.35">
      <c r="A1955" s="12"/>
    </row>
    <row r="1956" spans="1:1" x14ac:dyDescent="0.35">
      <c r="A1956" s="12"/>
    </row>
    <row r="1957" spans="1:1" x14ac:dyDescent="0.35">
      <c r="A1957" s="12"/>
    </row>
    <row r="1958" spans="1:1" x14ac:dyDescent="0.35">
      <c r="A1958" s="12"/>
    </row>
    <row r="1959" spans="1:1" x14ac:dyDescent="0.35">
      <c r="A1959" s="12"/>
    </row>
    <row r="1960" spans="1:1" x14ac:dyDescent="0.35">
      <c r="A1960" s="12"/>
    </row>
    <row r="1961" spans="1:1" x14ac:dyDescent="0.35">
      <c r="A1961" s="12"/>
    </row>
    <row r="1962" spans="1:1" x14ac:dyDescent="0.35">
      <c r="A1962" s="12"/>
    </row>
    <row r="1963" spans="1:1" x14ac:dyDescent="0.35">
      <c r="A1963" s="12"/>
    </row>
    <row r="1964" spans="1:1" x14ac:dyDescent="0.35">
      <c r="A1964" s="12"/>
    </row>
    <row r="1965" spans="1:1" x14ac:dyDescent="0.35">
      <c r="A1965" s="12"/>
    </row>
    <row r="1966" spans="1:1" x14ac:dyDescent="0.35">
      <c r="A1966" s="12"/>
    </row>
    <row r="1967" spans="1:1" x14ac:dyDescent="0.35">
      <c r="A1967" s="12"/>
    </row>
    <row r="1968" spans="1:1" x14ac:dyDescent="0.35">
      <c r="A1968" s="12"/>
    </row>
    <row r="1969" spans="1:1" x14ac:dyDescent="0.35">
      <c r="A1969" s="12"/>
    </row>
    <row r="1970" spans="1:1" x14ac:dyDescent="0.35">
      <c r="A1970" s="12"/>
    </row>
    <row r="1971" spans="1:1" x14ac:dyDescent="0.35">
      <c r="A1971" s="12"/>
    </row>
    <row r="1972" spans="1:1" x14ac:dyDescent="0.35">
      <c r="A1972" s="12"/>
    </row>
    <row r="1973" spans="1:1" x14ac:dyDescent="0.35">
      <c r="A1973" s="12"/>
    </row>
    <row r="1974" spans="1:1" x14ac:dyDescent="0.35">
      <c r="A1974" s="12"/>
    </row>
    <row r="1975" spans="1:1" x14ac:dyDescent="0.35">
      <c r="A1975" s="12"/>
    </row>
    <row r="1976" spans="1:1" x14ac:dyDescent="0.35">
      <c r="A1976" s="12"/>
    </row>
    <row r="1977" spans="1:1" x14ac:dyDescent="0.35">
      <c r="A1977" s="12"/>
    </row>
    <row r="1978" spans="1:1" x14ac:dyDescent="0.35">
      <c r="A1978" s="12"/>
    </row>
    <row r="1979" spans="1:1" x14ac:dyDescent="0.35">
      <c r="A1979" s="12"/>
    </row>
    <row r="1980" spans="1:1" x14ac:dyDescent="0.35">
      <c r="A1980" s="12"/>
    </row>
    <row r="1981" spans="1:1" x14ac:dyDescent="0.35">
      <c r="A1981" s="12"/>
    </row>
    <row r="1982" spans="1:1" x14ac:dyDescent="0.35">
      <c r="A1982" s="12"/>
    </row>
    <row r="1983" spans="1:1" x14ac:dyDescent="0.35">
      <c r="A1983" s="12"/>
    </row>
    <row r="1984" spans="1:1" x14ac:dyDescent="0.35">
      <c r="A1984" s="12"/>
    </row>
    <row r="1985" spans="1:1" x14ac:dyDescent="0.35">
      <c r="A1985" s="12"/>
    </row>
    <row r="1986" spans="1:1" x14ac:dyDescent="0.35">
      <c r="A1986" s="12"/>
    </row>
    <row r="1987" spans="1:1" x14ac:dyDescent="0.35">
      <c r="A1987" s="12"/>
    </row>
    <row r="1988" spans="1:1" x14ac:dyDescent="0.35">
      <c r="A1988" s="12"/>
    </row>
    <row r="1989" spans="1:1" x14ac:dyDescent="0.35">
      <c r="A1989" s="12"/>
    </row>
    <row r="1990" spans="1:1" x14ac:dyDescent="0.35">
      <c r="A1990" s="12"/>
    </row>
    <row r="1991" spans="1:1" x14ac:dyDescent="0.35">
      <c r="A1991" s="12"/>
    </row>
    <row r="1992" spans="1:1" x14ac:dyDescent="0.35">
      <c r="A1992" s="12"/>
    </row>
    <row r="1993" spans="1:1" x14ac:dyDescent="0.35">
      <c r="A1993" s="12"/>
    </row>
    <row r="1994" spans="1:1" x14ac:dyDescent="0.35">
      <c r="A1994" s="12"/>
    </row>
    <row r="1995" spans="1:1" x14ac:dyDescent="0.35">
      <c r="A1995" s="12"/>
    </row>
    <row r="1996" spans="1:1" x14ac:dyDescent="0.35">
      <c r="A1996" s="12"/>
    </row>
    <row r="1997" spans="1:1" x14ac:dyDescent="0.35">
      <c r="A1997" s="12"/>
    </row>
    <row r="1998" spans="1:1" x14ac:dyDescent="0.35">
      <c r="A1998" s="12"/>
    </row>
    <row r="1999" spans="1:1" x14ac:dyDescent="0.35">
      <c r="A1999" s="12"/>
    </row>
    <row r="2000" spans="1:1" x14ac:dyDescent="0.35">
      <c r="A2000" s="12"/>
    </row>
    <row r="2001" spans="1:1" x14ac:dyDescent="0.35">
      <c r="A2001" s="12"/>
    </row>
    <row r="2002" spans="1:1" x14ac:dyDescent="0.35">
      <c r="A2002" s="12"/>
    </row>
    <row r="2003" spans="1:1" x14ac:dyDescent="0.35">
      <c r="A2003" s="12"/>
    </row>
    <row r="2004" spans="1:1" x14ac:dyDescent="0.35">
      <c r="A2004" s="12"/>
    </row>
    <row r="2005" spans="1:1" x14ac:dyDescent="0.35">
      <c r="A2005" s="12"/>
    </row>
    <row r="2006" spans="1:1" x14ac:dyDescent="0.35">
      <c r="A2006" s="12"/>
    </row>
    <row r="2007" spans="1:1" x14ac:dyDescent="0.35">
      <c r="A2007" s="12"/>
    </row>
    <row r="2008" spans="1:1" x14ac:dyDescent="0.35">
      <c r="A2008" s="12"/>
    </row>
    <row r="2009" spans="1:1" x14ac:dyDescent="0.35">
      <c r="A2009" s="12"/>
    </row>
    <row r="2010" spans="1:1" x14ac:dyDescent="0.35">
      <c r="A2010" s="12"/>
    </row>
    <row r="2011" spans="1:1" x14ac:dyDescent="0.35">
      <c r="A2011" s="12"/>
    </row>
    <row r="2012" spans="1:1" x14ac:dyDescent="0.35">
      <c r="A2012" s="12"/>
    </row>
    <row r="2013" spans="1:1" x14ac:dyDescent="0.35">
      <c r="A2013" s="12"/>
    </row>
    <row r="2014" spans="1:1" x14ac:dyDescent="0.35">
      <c r="A2014" s="12"/>
    </row>
    <row r="2015" spans="1:1" x14ac:dyDescent="0.35">
      <c r="A2015" s="12"/>
    </row>
    <row r="2016" spans="1:1" x14ac:dyDescent="0.35">
      <c r="A2016" s="12"/>
    </row>
    <row r="2017" spans="1:1" x14ac:dyDescent="0.35">
      <c r="A2017" s="12"/>
    </row>
    <row r="2018" spans="1:1" x14ac:dyDescent="0.35">
      <c r="A2018" s="12"/>
    </row>
    <row r="2019" spans="1:1" x14ac:dyDescent="0.35">
      <c r="A2019" s="12"/>
    </row>
    <row r="2020" spans="1:1" x14ac:dyDescent="0.35">
      <c r="A2020" s="12"/>
    </row>
    <row r="2021" spans="1:1" x14ac:dyDescent="0.35">
      <c r="A2021" s="12"/>
    </row>
    <row r="2022" spans="1:1" x14ac:dyDescent="0.35">
      <c r="A2022" s="12"/>
    </row>
    <row r="2023" spans="1:1" x14ac:dyDescent="0.35">
      <c r="A2023" s="12"/>
    </row>
    <row r="2024" spans="1:1" x14ac:dyDescent="0.35">
      <c r="A2024" s="12"/>
    </row>
    <row r="2025" spans="1:1" x14ac:dyDescent="0.35">
      <c r="A2025" s="12"/>
    </row>
    <row r="2026" spans="1:1" x14ac:dyDescent="0.35">
      <c r="A2026" s="12"/>
    </row>
    <row r="2027" spans="1:1" x14ac:dyDescent="0.35">
      <c r="A2027" s="12"/>
    </row>
    <row r="2028" spans="1:1" x14ac:dyDescent="0.35">
      <c r="A2028" s="12"/>
    </row>
    <row r="2029" spans="1:1" x14ac:dyDescent="0.35">
      <c r="A2029" s="12"/>
    </row>
    <row r="2030" spans="1:1" x14ac:dyDescent="0.35">
      <c r="A2030" s="12"/>
    </row>
    <row r="2031" spans="1:1" x14ac:dyDescent="0.35">
      <c r="A2031" s="12"/>
    </row>
    <row r="2032" spans="1:1" x14ac:dyDescent="0.35">
      <c r="A2032" s="12"/>
    </row>
    <row r="2033" spans="1:1" x14ac:dyDescent="0.35">
      <c r="A2033" s="12"/>
    </row>
    <row r="2034" spans="1:1" x14ac:dyDescent="0.35">
      <c r="A2034" s="12"/>
    </row>
    <row r="2035" spans="1:1" x14ac:dyDescent="0.35">
      <c r="A2035" s="12"/>
    </row>
    <row r="2036" spans="1:1" x14ac:dyDescent="0.35">
      <c r="A2036" s="12"/>
    </row>
    <row r="2037" spans="1:1" x14ac:dyDescent="0.35">
      <c r="A2037" s="12"/>
    </row>
    <row r="2038" spans="1:1" x14ac:dyDescent="0.35">
      <c r="A2038" s="12"/>
    </row>
    <row r="2039" spans="1:1" x14ac:dyDescent="0.35">
      <c r="A2039" s="12"/>
    </row>
    <row r="2040" spans="1:1" x14ac:dyDescent="0.35">
      <c r="A2040" s="12"/>
    </row>
    <row r="2041" spans="1:1" x14ac:dyDescent="0.35">
      <c r="A2041" s="12"/>
    </row>
    <row r="2042" spans="1:1" x14ac:dyDescent="0.35">
      <c r="A2042" s="12"/>
    </row>
    <row r="2043" spans="1:1" x14ac:dyDescent="0.35">
      <c r="A2043" s="12"/>
    </row>
    <row r="2044" spans="1:1" x14ac:dyDescent="0.35">
      <c r="A2044" s="12"/>
    </row>
    <row r="2045" spans="1:1" x14ac:dyDescent="0.35">
      <c r="A2045" s="12"/>
    </row>
    <row r="2046" spans="1:1" x14ac:dyDescent="0.35">
      <c r="A2046" s="12"/>
    </row>
    <row r="2047" spans="1:1" x14ac:dyDescent="0.35">
      <c r="A2047" s="12"/>
    </row>
    <row r="2048" spans="1:1" x14ac:dyDescent="0.35">
      <c r="A2048" s="12"/>
    </row>
    <row r="2049" spans="1:1" x14ac:dyDescent="0.35">
      <c r="A2049" s="12"/>
    </row>
    <row r="2050" spans="1:1" x14ac:dyDescent="0.35">
      <c r="A2050" s="12"/>
    </row>
    <row r="2051" spans="1:1" x14ac:dyDescent="0.35">
      <c r="A2051" s="12"/>
    </row>
    <row r="2052" spans="1:1" x14ac:dyDescent="0.35">
      <c r="A2052" s="12"/>
    </row>
    <row r="2053" spans="1:1" x14ac:dyDescent="0.35">
      <c r="A2053" s="12"/>
    </row>
    <row r="2054" spans="1:1" x14ac:dyDescent="0.35">
      <c r="A2054" s="12"/>
    </row>
    <row r="2055" spans="1:1" x14ac:dyDescent="0.35">
      <c r="A2055" s="12"/>
    </row>
    <row r="2056" spans="1:1" x14ac:dyDescent="0.35">
      <c r="A2056" s="12"/>
    </row>
    <row r="2057" spans="1:1" x14ac:dyDescent="0.35">
      <c r="A2057" s="12"/>
    </row>
    <row r="2058" spans="1:1" x14ac:dyDescent="0.35">
      <c r="A2058" s="12"/>
    </row>
    <row r="2059" spans="1:1" x14ac:dyDescent="0.35">
      <c r="A2059" s="12"/>
    </row>
    <row r="2060" spans="1:1" x14ac:dyDescent="0.35">
      <c r="A2060" s="12"/>
    </row>
    <row r="2061" spans="1:1" x14ac:dyDescent="0.35">
      <c r="A2061" s="12"/>
    </row>
    <row r="2062" spans="1:1" x14ac:dyDescent="0.35">
      <c r="A2062" s="12"/>
    </row>
    <row r="2063" spans="1:1" x14ac:dyDescent="0.35">
      <c r="A2063" s="12"/>
    </row>
    <row r="2064" spans="1:1" x14ac:dyDescent="0.35">
      <c r="A2064" s="12"/>
    </row>
    <row r="2065" spans="1:1" x14ac:dyDescent="0.35">
      <c r="A2065" s="12"/>
    </row>
    <row r="2066" spans="1:1" x14ac:dyDescent="0.35">
      <c r="A2066" s="12"/>
    </row>
    <row r="2067" spans="1:1" x14ac:dyDescent="0.35">
      <c r="A2067" s="12"/>
    </row>
    <row r="2068" spans="1:1" x14ac:dyDescent="0.35">
      <c r="A2068" s="12"/>
    </row>
    <row r="2069" spans="1:1" x14ac:dyDescent="0.35">
      <c r="A2069" s="12"/>
    </row>
    <row r="2070" spans="1:1" x14ac:dyDescent="0.35">
      <c r="A2070" s="12"/>
    </row>
    <row r="2071" spans="1:1" x14ac:dyDescent="0.35">
      <c r="A2071" s="12"/>
    </row>
    <row r="2072" spans="1:1" x14ac:dyDescent="0.35">
      <c r="A2072" s="12"/>
    </row>
    <row r="2073" spans="1:1" x14ac:dyDescent="0.35">
      <c r="A2073" s="12"/>
    </row>
    <row r="2074" spans="1:1" x14ac:dyDescent="0.35">
      <c r="A2074" s="12"/>
    </row>
    <row r="2075" spans="1:1" x14ac:dyDescent="0.35">
      <c r="A2075" s="12"/>
    </row>
    <row r="2076" spans="1:1" x14ac:dyDescent="0.35">
      <c r="A2076" s="12"/>
    </row>
    <row r="2077" spans="1:1" x14ac:dyDescent="0.35">
      <c r="A2077" s="12"/>
    </row>
    <row r="2078" spans="1:1" x14ac:dyDescent="0.35">
      <c r="A2078" s="12"/>
    </row>
    <row r="2079" spans="1:1" x14ac:dyDescent="0.35">
      <c r="A2079" s="12"/>
    </row>
    <row r="2080" spans="1:1" x14ac:dyDescent="0.35">
      <c r="A2080" s="12"/>
    </row>
    <row r="2081" spans="1:1" x14ac:dyDescent="0.35">
      <c r="A2081" s="12"/>
    </row>
    <row r="2082" spans="1:1" x14ac:dyDescent="0.35">
      <c r="A2082" s="12"/>
    </row>
    <row r="2083" spans="1:1" x14ac:dyDescent="0.35">
      <c r="A2083" s="12"/>
    </row>
    <row r="2084" spans="1:1" x14ac:dyDescent="0.35">
      <c r="A2084" s="12"/>
    </row>
    <row r="2085" spans="1:1" x14ac:dyDescent="0.35">
      <c r="A2085" s="12"/>
    </row>
    <row r="2086" spans="1:1" x14ac:dyDescent="0.35">
      <c r="A2086" s="12"/>
    </row>
    <row r="2087" spans="1:1" x14ac:dyDescent="0.35">
      <c r="A2087" s="12"/>
    </row>
    <row r="2088" spans="1:1" x14ac:dyDescent="0.35">
      <c r="A2088" s="12"/>
    </row>
    <row r="2089" spans="1:1" x14ac:dyDescent="0.35">
      <c r="A2089" s="12"/>
    </row>
    <row r="2090" spans="1:1" x14ac:dyDescent="0.35">
      <c r="A2090" s="12"/>
    </row>
    <row r="2091" spans="1:1" x14ac:dyDescent="0.35">
      <c r="A2091" s="12"/>
    </row>
    <row r="2092" spans="1:1" x14ac:dyDescent="0.35">
      <c r="A2092" s="12"/>
    </row>
    <row r="2093" spans="1:1" x14ac:dyDescent="0.35">
      <c r="A2093" s="12"/>
    </row>
    <row r="2094" spans="1:1" x14ac:dyDescent="0.35">
      <c r="A2094" s="12"/>
    </row>
    <row r="2095" spans="1:1" x14ac:dyDescent="0.35">
      <c r="A2095" s="12"/>
    </row>
    <row r="2096" spans="1:1" x14ac:dyDescent="0.35">
      <c r="A2096" s="12"/>
    </row>
    <row r="2097" spans="1:1" x14ac:dyDescent="0.35">
      <c r="A2097" s="12"/>
    </row>
    <row r="2098" spans="1:1" x14ac:dyDescent="0.35">
      <c r="A2098" s="12"/>
    </row>
    <row r="2099" spans="1:1" x14ac:dyDescent="0.35">
      <c r="A2099" s="12"/>
    </row>
    <row r="2100" spans="1:1" x14ac:dyDescent="0.35">
      <c r="A2100" s="12"/>
    </row>
    <row r="2101" spans="1:1" x14ac:dyDescent="0.35">
      <c r="A2101" s="12"/>
    </row>
    <row r="2102" spans="1:1" x14ac:dyDescent="0.35">
      <c r="A2102" s="12"/>
    </row>
    <row r="2103" spans="1:1" x14ac:dyDescent="0.35">
      <c r="A2103" s="12"/>
    </row>
    <row r="2104" spans="1:1" x14ac:dyDescent="0.35">
      <c r="A2104" s="12"/>
    </row>
    <row r="2105" spans="1:1" x14ac:dyDescent="0.35">
      <c r="A2105" s="12"/>
    </row>
    <row r="2106" spans="1:1" x14ac:dyDescent="0.35">
      <c r="A2106" s="12"/>
    </row>
    <row r="2107" spans="1:1" x14ac:dyDescent="0.35">
      <c r="A2107" s="12"/>
    </row>
    <row r="2108" spans="1:1" x14ac:dyDescent="0.35">
      <c r="A2108" s="12"/>
    </row>
    <row r="2109" spans="1:1" x14ac:dyDescent="0.35">
      <c r="A2109" s="12"/>
    </row>
    <row r="2110" spans="1:1" x14ac:dyDescent="0.35">
      <c r="A2110" s="12"/>
    </row>
    <row r="2111" spans="1:1" x14ac:dyDescent="0.35">
      <c r="A2111" s="12"/>
    </row>
    <row r="2112" spans="1:1" x14ac:dyDescent="0.35">
      <c r="A2112" s="12"/>
    </row>
    <row r="2113" spans="1:1" x14ac:dyDescent="0.35">
      <c r="A2113" s="12"/>
    </row>
    <row r="2114" spans="1:1" x14ac:dyDescent="0.35">
      <c r="A2114" s="12"/>
    </row>
    <row r="2115" spans="1:1" x14ac:dyDescent="0.35">
      <c r="A2115" s="12"/>
    </row>
    <row r="2116" spans="1:1" x14ac:dyDescent="0.35">
      <c r="A2116" s="12"/>
    </row>
    <row r="2117" spans="1:1" x14ac:dyDescent="0.35">
      <c r="A2117" s="12"/>
    </row>
    <row r="2118" spans="1:1" x14ac:dyDescent="0.35">
      <c r="A2118" s="12"/>
    </row>
    <row r="2119" spans="1:1" x14ac:dyDescent="0.35">
      <c r="A2119" s="12"/>
    </row>
    <row r="2120" spans="1:1" x14ac:dyDescent="0.35">
      <c r="A2120" s="12"/>
    </row>
    <row r="2121" spans="1:1" x14ac:dyDescent="0.35">
      <c r="A2121" s="12"/>
    </row>
    <row r="2122" spans="1:1" x14ac:dyDescent="0.35">
      <c r="A2122" s="12"/>
    </row>
    <row r="2123" spans="1:1" x14ac:dyDescent="0.35">
      <c r="A2123" s="12"/>
    </row>
    <row r="2124" spans="1:1" x14ac:dyDescent="0.35">
      <c r="A2124" s="12"/>
    </row>
    <row r="2125" spans="1:1" x14ac:dyDescent="0.35">
      <c r="A2125" s="12"/>
    </row>
    <row r="2126" spans="1:1" x14ac:dyDescent="0.35">
      <c r="A2126" s="12"/>
    </row>
    <row r="2127" spans="1:1" x14ac:dyDescent="0.35">
      <c r="A2127" s="12"/>
    </row>
    <row r="2128" spans="1:1" x14ac:dyDescent="0.35">
      <c r="A2128" s="12"/>
    </row>
    <row r="2129" spans="1:1" x14ac:dyDescent="0.35">
      <c r="A2129" s="12"/>
    </row>
    <row r="2130" spans="1:1" x14ac:dyDescent="0.35">
      <c r="A2130" s="12"/>
    </row>
    <row r="2131" spans="1:1" x14ac:dyDescent="0.35">
      <c r="A2131" s="12"/>
    </row>
    <row r="2132" spans="1:1" x14ac:dyDescent="0.35">
      <c r="A2132" s="12"/>
    </row>
    <row r="2133" spans="1:1" x14ac:dyDescent="0.35">
      <c r="A2133" s="12"/>
    </row>
    <row r="2134" spans="1:1" x14ac:dyDescent="0.35">
      <c r="A2134" s="12"/>
    </row>
    <row r="2135" spans="1:1" x14ac:dyDescent="0.35">
      <c r="A2135" s="12"/>
    </row>
    <row r="2136" spans="1:1" x14ac:dyDescent="0.35">
      <c r="A2136" s="12"/>
    </row>
    <row r="2137" spans="1:1" x14ac:dyDescent="0.35">
      <c r="A2137" s="12"/>
    </row>
    <row r="2138" spans="1:1" x14ac:dyDescent="0.35">
      <c r="A2138" s="12"/>
    </row>
    <row r="2139" spans="1:1" x14ac:dyDescent="0.35">
      <c r="A2139" s="12"/>
    </row>
    <row r="2140" spans="1:1" x14ac:dyDescent="0.35">
      <c r="A2140" s="12"/>
    </row>
    <row r="2141" spans="1:1" x14ac:dyDescent="0.35">
      <c r="A2141" s="12"/>
    </row>
    <row r="2142" spans="1:1" x14ac:dyDescent="0.35">
      <c r="A2142" s="12"/>
    </row>
    <row r="2143" spans="1:1" x14ac:dyDescent="0.35">
      <c r="A2143" s="12"/>
    </row>
    <row r="2144" spans="1:1" x14ac:dyDescent="0.35">
      <c r="A2144" s="12"/>
    </row>
    <row r="2145" spans="1:1" x14ac:dyDescent="0.35">
      <c r="A2145" s="12"/>
    </row>
    <row r="2146" spans="1:1" x14ac:dyDescent="0.35">
      <c r="A2146" s="12"/>
    </row>
    <row r="2147" spans="1:1" x14ac:dyDescent="0.35">
      <c r="A2147" s="12"/>
    </row>
    <row r="2148" spans="1:1" x14ac:dyDescent="0.35">
      <c r="A2148" s="12"/>
    </row>
    <row r="2149" spans="1:1" x14ac:dyDescent="0.35">
      <c r="A2149" s="12"/>
    </row>
    <row r="2150" spans="1:1" x14ac:dyDescent="0.35">
      <c r="A2150" s="12"/>
    </row>
    <row r="2151" spans="1:1" x14ac:dyDescent="0.35">
      <c r="A2151" s="12"/>
    </row>
    <row r="2152" spans="1:1" x14ac:dyDescent="0.35">
      <c r="A2152" s="12"/>
    </row>
    <row r="2153" spans="1:1" x14ac:dyDescent="0.35">
      <c r="A2153" s="12"/>
    </row>
    <row r="2154" spans="1:1" x14ac:dyDescent="0.35">
      <c r="A2154" s="12"/>
    </row>
    <row r="2155" spans="1:1" x14ac:dyDescent="0.35">
      <c r="A2155" s="12"/>
    </row>
    <row r="2156" spans="1:1" x14ac:dyDescent="0.35">
      <c r="A2156" s="12"/>
    </row>
    <row r="2157" spans="1:1" x14ac:dyDescent="0.35">
      <c r="A2157" s="12"/>
    </row>
    <row r="2158" spans="1:1" x14ac:dyDescent="0.35">
      <c r="A2158" s="12"/>
    </row>
    <row r="2159" spans="1:1" x14ac:dyDescent="0.35">
      <c r="A2159" s="12"/>
    </row>
    <row r="2160" spans="1:1" x14ac:dyDescent="0.35">
      <c r="A2160" s="12"/>
    </row>
    <row r="2161" spans="1:1" x14ac:dyDescent="0.35">
      <c r="A2161" s="12"/>
    </row>
    <row r="2162" spans="1:1" x14ac:dyDescent="0.35">
      <c r="A2162" s="12"/>
    </row>
    <row r="2163" spans="1:1" x14ac:dyDescent="0.35">
      <c r="A2163" s="12"/>
    </row>
    <row r="2164" spans="1:1" x14ac:dyDescent="0.35">
      <c r="A2164" s="12"/>
    </row>
    <row r="2165" spans="1:1" x14ac:dyDescent="0.35">
      <c r="A2165" s="12"/>
    </row>
    <row r="2166" spans="1:1" x14ac:dyDescent="0.35">
      <c r="A2166" s="12"/>
    </row>
    <row r="2167" spans="1:1" x14ac:dyDescent="0.35">
      <c r="A2167" s="12"/>
    </row>
    <row r="2168" spans="1:1" x14ac:dyDescent="0.35">
      <c r="A2168" s="12"/>
    </row>
    <row r="2169" spans="1:1" x14ac:dyDescent="0.35">
      <c r="A2169" s="12"/>
    </row>
    <row r="2170" spans="1:1" x14ac:dyDescent="0.35">
      <c r="A2170" s="12"/>
    </row>
    <row r="2171" spans="1:1" x14ac:dyDescent="0.35">
      <c r="A2171" s="12"/>
    </row>
    <row r="2172" spans="1:1" x14ac:dyDescent="0.35">
      <c r="A2172" s="12"/>
    </row>
    <row r="2173" spans="1:1" x14ac:dyDescent="0.35">
      <c r="A2173" s="12"/>
    </row>
    <row r="2174" spans="1:1" x14ac:dyDescent="0.35">
      <c r="A2174" s="12"/>
    </row>
    <row r="2175" spans="1:1" x14ac:dyDescent="0.35">
      <c r="A2175" s="12"/>
    </row>
    <row r="2176" spans="1:1" x14ac:dyDescent="0.35">
      <c r="A2176" s="12"/>
    </row>
    <row r="2177" spans="1:1" x14ac:dyDescent="0.35">
      <c r="A2177" s="12"/>
    </row>
    <row r="2178" spans="1:1" x14ac:dyDescent="0.35">
      <c r="A2178" s="12"/>
    </row>
    <row r="2179" spans="1:1" x14ac:dyDescent="0.35">
      <c r="A2179" s="12"/>
    </row>
    <row r="2180" spans="1:1" x14ac:dyDescent="0.35">
      <c r="A2180" s="12"/>
    </row>
    <row r="2181" spans="1:1" x14ac:dyDescent="0.35">
      <c r="A2181" s="12"/>
    </row>
    <row r="2182" spans="1:1" x14ac:dyDescent="0.35">
      <c r="A2182" s="12"/>
    </row>
    <row r="2183" spans="1:1" x14ac:dyDescent="0.35">
      <c r="A2183" s="12"/>
    </row>
    <row r="2184" spans="1:1" x14ac:dyDescent="0.35">
      <c r="A2184" s="12"/>
    </row>
    <row r="2185" spans="1:1" x14ac:dyDescent="0.35">
      <c r="A2185" s="12"/>
    </row>
    <row r="2186" spans="1:1" x14ac:dyDescent="0.35">
      <c r="A2186" s="12"/>
    </row>
    <row r="2187" spans="1:1" x14ac:dyDescent="0.35">
      <c r="A2187" s="12"/>
    </row>
    <row r="2188" spans="1:1" x14ac:dyDescent="0.35">
      <c r="A2188" s="12"/>
    </row>
    <row r="2189" spans="1:1" x14ac:dyDescent="0.35">
      <c r="A2189" s="12"/>
    </row>
    <row r="2190" spans="1:1" x14ac:dyDescent="0.35">
      <c r="A2190" s="12"/>
    </row>
    <row r="2191" spans="1:1" x14ac:dyDescent="0.35">
      <c r="A2191" s="12"/>
    </row>
    <row r="2192" spans="1:1" x14ac:dyDescent="0.35">
      <c r="A2192" s="12"/>
    </row>
    <row r="2193" spans="1:1" x14ac:dyDescent="0.35">
      <c r="A2193" s="12"/>
    </row>
    <row r="2194" spans="1:1" x14ac:dyDescent="0.35">
      <c r="A2194" s="12"/>
    </row>
    <row r="2195" spans="1:1" x14ac:dyDescent="0.35">
      <c r="A2195" s="12"/>
    </row>
    <row r="2196" spans="1:1" x14ac:dyDescent="0.35">
      <c r="A2196" s="12"/>
    </row>
    <row r="2197" spans="1:1" x14ac:dyDescent="0.35">
      <c r="A2197" s="12"/>
    </row>
    <row r="2198" spans="1:1" x14ac:dyDescent="0.35">
      <c r="A2198" s="12"/>
    </row>
    <row r="2199" spans="1:1" x14ac:dyDescent="0.35">
      <c r="A2199" s="12"/>
    </row>
    <row r="2200" spans="1:1" x14ac:dyDescent="0.35">
      <c r="A2200" s="12"/>
    </row>
    <row r="2201" spans="1:1" x14ac:dyDescent="0.35">
      <c r="A2201" s="12"/>
    </row>
    <row r="2202" spans="1:1" x14ac:dyDescent="0.35">
      <c r="A2202" s="12"/>
    </row>
    <row r="2203" spans="1:1" x14ac:dyDescent="0.35">
      <c r="A2203" s="12"/>
    </row>
    <row r="2204" spans="1:1" x14ac:dyDescent="0.35">
      <c r="A2204" s="12"/>
    </row>
    <row r="2205" spans="1:1" x14ac:dyDescent="0.35">
      <c r="A2205" s="12"/>
    </row>
    <row r="2206" spans="1:1" x14ac:dyDescent="0.35">
      <c r="A2206" s="12"/>
    </row>
    <row r="2207" spans="1:1" x14ac:dyDescent="0.35">
      <c r="A2207" s="12"/>
    </row>
    <row r="2208" spans="1:1" x14ac:dyDescent="0.35">
      <c r="A2208" s="12"/>
    </row>
    <row r="2209" spans="1:1" x14ac:dyDescent="0.35">
      <c r="A2209" s="12"/>
    </row>
    <row r="2210" spans="1:1" x14ac:dyDescent="0.35">
      <c r="A2210" s="12"/>
    </row>
    <row r="2211" spans="1:1" x14ac:dyDescent="0.35">
      <c r="A2211" s="12"/>
    </row>
    <row r="2212" spans="1:1" x14ac:dyDescent="0.35">
      <c r="A2212" s="12"/>
    </row>
    <row r="2213" spans="1:1" x14ac:dyDescent="0.35">
      <c r="A2213" s="12"/>
    </row>
    <row r="2214" spans="1:1" x14ac:dyDescent="0.35">
      <c r="A2214" s="12"/>
    </row>
    <row r="2215" spans="1:1" x14ac:dyDescent="0.35">
      <c r="A2215" s="12"/>
    </row>
    <row r="2216" spans="1:1" x14ac:dyDescent="0.35">
      <c r="A2216" s="12"/>
    </row>
    <row r="2217" spans="1:1" x14ac:dyDescent="0.35">
      <c r="A2217" s="12"/>
    </row>
    <row r="2218" spans="1:1" x14ac:dyDescent="0.35">
      <c r="A2218" s="12"/>
    </row>
    <row r="2219" spans="1:1" x14ac:dyDescent="0.35">
      <c r="A2219" s="12"/>
    </row>
    <row r="2220" spans="1:1" x14ac:dyDescent="0.35">
      <c r="A2220" s="12"/>
    </row>
    <row r="2221" spans="1:1" x14ac:dyDescent="0.35">
      <c r="A2221" s="12"/>
    </row>
    <row r="2222" spans="1:1" x14ac:dyDescent="0.35">
      <c r="A2222" s="12"/>
    </row>
    <row r="2223" spans="1:1" x14ac:dyDescent="0.35">
      <c r="A2223" s="12"/>
    </row>
    <row r="2224" spans="1:1" x14ac:dyDescent="0.35">
      <c r="A2224" s="12"/>
    </row>
    <row r="2225" spans="1:1" x14ac:dyDescent="0.35">
      <c r="A2225" s="12"/>
    </row>
    <row r="2226" spans="1:1" x14ac:dyDescent="0.35">
      <c r="A2226" s="12"/>
    </row>
    <row r="2227" spans="1:1" x14ac:dyDescent="0.35">
      <c r="A2227" s="12"/>
    </row>
    <row r="2228" spans="1:1" x14ac:dyDescent="0.35">
      <c r="A2228" s="12"/>
    </row>
    <row r="2229" spans="1:1" x14ac:dyDescent="0.35">
      <c r="A2229" s="12"/>
    </row>
    <row r="2230" spans="1:1" x14ac:dyDescent="0.35">
      <c r="A2230" s="12"/>
    </row>
    <row r="2231" spans="1:1" x14ac:dyDescent="0.35">
      <c r="A2231" s="12"/>
    </row>
    <row r="2232" spans="1:1" x14ac:dyDescent="0.35">
      <c r="A2232" s="12"/>
    </row>
    <row r="2233" spans="1:1" x14ac:dyDescent="0.35">
      <c r="A2233" s="12"/>
    </row>
    <row r="2234" spans="1:1" x14ac:dyDescent="0.35">
      <c r="A2234" s="12"/>
    </row>
    <row r="2235" spans="1:1" x14ac:dyDescent="0.35">
      <c r="A2235" s="12"/>
    </row>
    <row r="2236" spans="1:1" x14ac:dyDescent="0.35">
      <c r="A2236" s="12"/>
    </row>
    <row r="2237" spans="1:1" x14ac:dyDescent="0.35">
      <c r="A2237" s="12"/>
    </row>
    <row r="2238" spans="1:1" x14ac:dyDescent="0.35">
      <c r="A2238" s="12"/>
    </row>
    <row r="2239" spans="1:1" x14ac:dyDescent="0.35">
      <c r="A2239" s="12"/>
    </row>
    <row r="2240" spans="1:1" x14ac:dyDescent="0.35">
      <c r="A2240" s="12"/>
    </row>
    <row r="2241" spans="1:1" x14ac:dyDescent="0.35">
      <c r="A2241" s="12"/>
    </row>
    <row r="2242" spans="1:1" x14ac:dyDescent="0.35">
      <c r="A2242" s="12"/>
    </row>
    <row r="2243" spans="1:1" x14ac:dyDescent="0.35">
      <c r="A2243" s="12"/>
    </row>
    <row r="2244" spans="1:1" x14ac:dyDescent="0.35">
      <c r="A2244" s="12"/>
    </row>
    <row r="2245" spans="1:1" x14ac:dyDescent="0.35">
      <c r="A2245" s="12"/>
    </row>
    <row r="2246" spans="1:1" x14ac:dyDescent="0.35">
      <c r="A2246" s="12"/>
    </row>
    <row r="2247" spans="1:1" x14ac:dyDescent="0.35">
      <c r="A2247" s="12"/>
    </row>
    <row r="2248" spans="1:1" x14ac:dyDescent="0.35">
      <c r="A2248" s="12"/>
    </row>
    <row r="2249" spans="1:1" x14ac:dyDescent="0.35">
      <c r="A2249" s="12"/>
    </row>
    <row r="2250" spans="1:1" x14ac:dyDescent="0.35">
      <c r="A2250" s="12"/>
    </row>
    <row r="2251" spans="1:1" x14ac:dyDescent="0.35">
      <c r="A2251" s="12"/>
    </row>
    <row r="2252" spans="1:1" x14ac:dyDescent="0.35">
      <c r="A2252" s="12"/>
    </row>
    <row r="2253" spans="1:1" x14ac:dyDescent="0.35">
      <c r="A2253" s="12"/>
    </row>
    <row r="2254" spans="1:1" x14ac:dyDescent="0.35">
      <c r="A2254" s="12"/>
    </row>
    <row r="2255" spans="1:1" x14ac:dyDescent="0.35">
      <c r="A2255" s="12"/>
    </row>
    <row r="2256" spans="1:1" x14ac:dyDescent="0.35">
      <c r="A2256" s="12"/>
    </row>
    <row r="2257" spans="1:1" x14ac:dyDescent="0.35">
      <c r="A2257" s="12"/>
    </row>
    <row r="2258" spans="1:1" x14ac:dyDescent="0.35">
      <c r="A2258" s="12"/>
    </row>
    <row r="2259" spans="1:1" x14ac:dyDescent="0.35">
      <c r="A2259" s="12"/>
    </row>
    <row r="2260" spans="1:1" x14ac:dyDescent="0.35">
      <c r="A2260" s="12"/>
    </row>
    <row r="2261" spans="1:1" x14ac:dyDescent="0.35">
      <c r="A2261" s="12"/>
    </row>
    <row r="2262" spans="1:1" x14ac:dyDescent="0.35">
      <c r="A2262" s="12"/>
    </row>
    <row r="2263" spans="1:1" x14ac:dyDescent="0.35">
      <c r="A2263" s="12"/>
    </row>
    <row r="2264" spans="1:1" x14ac:dyDescent="0.35">
      <c r="A2264" s="12"/>
    </row>
    <row r="2265" spans="1:1" x14ac:dyDescent="0.35">
      <c r="A2265" s="12"/>
    </row>
    <row r="2266" spans="1:1" x14ac:dyDescent="0.35">
      <c r="A2266" s="12"/>
    </row>
    <row r="2267" spans="1:1" x14ac:dyDescent="0.35">
      <c r="A2267" s="12"/>
    </row>
    <row r="2268" spans="1:1" x14ac:dyDescent="0.35">
      <c r="A2268" s="12"/>
    </row>
    <row r="2269" spans="1:1" x14ac:dyDescent="0.35">
      <c r="A2269" s="12"/>
    </row>
    <row r="2270" spans="1:1" x14ac:dyDescent="0.35">
      <c r="A2270" s="12"/>
    </row>
    <row r="2271" spans="1:1" x14ac:dyDescent="0.35">
      <c r="A2271" s="12"/>
    </row>
    <row r="2272" spans="1:1" x14ac:dyDescent="0.35">
      <c r="A2272" s="12"/>
    </row>
    <row r="2273" spans="1:1" x14ac:dyDescent="0.35">
      <c r="A2273" s="12"/>
    </row>
    <row r="2274" spans="1:1" x14ac:dyDescent="0.35">
      <c r="A2274" s="12"/>
    </row>
    <row r="2275" spans="1:1" x14ac:dyDescent="0.35">
      <c r="A2275" s="12"/>
    </row>
    <row r="2276" spans="1:1" x14ac:dyDescent="0.35">
      <c r="A2276" s="12"/>
    </row>
    <row r="2277" spans="1:1" x14ac:dyDescent="0.35">
      <c r="A2277" s="12"/>
    </row>
    <row r="2278" spans="1:1" x14ac:dyDescent="0.35">
      <c r="A2278" s="12"/>
    </row>
    <row r="2279" spans="1:1" x14ac:dyDescent="0.35">
      <c r="A2279" s="12"/>
    </row>
    <row r="2280" spans="1:1" x14ac:dyDescent="0.35">
      <c r="A2280" s="12"/>
    </row>
    <row r="2281" spans="1:1" x14ac:dyDescent="0.35">
      <c r="A2281" s="12"/>
    </row>
    <row r="2282" spans="1:1" x14ac:dyDescent="0.35">
      <c r="A2282" s="12"/>
    </row>
    <row r="2283" spans="1:1" x14ac:dyDescent="0.35">
      <c r="A2283" s="12"/>
    </row>
    <row r="2284" spans="1:1" x14ac:dyDescent="0.35">
      <c r="A2284" s="12"/>
    </row>
    <row r="2285" spans="1:1" x14ac:dyDescent="0.35">
      <c r="A2285" s="12"/>
    </row>
    <row r="2286" spans="1:1" x14ac:dyDescent="0.35">
      <c r="A2286" s="12"/>
    </row>
    <row r="2287" spans="1:1" x14ac:dyDescent="0.35">
      <c r="A2287" s="12"/>
    </row>
    <row r="2288" spans="1:1" x14ac:dyDescent="0.35">
      <c r="A2288" s="12"/>
    </row>
    <row r="2289" spans="1:1" x14ac:dyDescent="0.35">
      <c r="A2289" s="12"/>
    </row>
    <row r="2290" spans="1:1" x14ac:dyDescent="0.35">
      <c r="A2290" s="12"/>
    </row>
    <row r="2291" spans="1:1" x14ac:dyDescent="0.35">
      <c r="A2291" s="12"/>
    </row>
    <row r="2292" spans="1:1" x14ac:dyDescent="0.35">
      <c r="A2292" s="12"/>
    </row>
    <row r="2293" spans="1:1" x14ac:dyDescent="0.35">
      <c r="A2293" s="12"/>
    </row>
    <row r="2294" spans="1:1" x14ac:dyDescent="0.35">
      <c r="A2294" s="12"/>
    </row>
    <row r="2295" spans="1:1" x14ac:dyDescent="0.35">
      <c r="A2295" s="12"/>
    </row>
    <row r="2296" spans="1:1" x14ac:dyDescent="0.35">
      <c r="A2296" s="12"/>
    </row>
    <row r="2297" spans="1:1" x14ac:dyDescent="0.35">
      <c r="A2297" s="12"/>
    </row>
    <row r="2298" spans="1:1" x14ac:dyDescent="0.35">
      <c r="A2298" s="12"/>
    </row>
    <row r="2299" spans="1:1" x14ac:dyDescent="0.35">
      <c r="A2299" s="12"/>
    </row>
    <row r="2300" spans="1:1" x14ac:dyDescent="0.35">
      <c r="A2300" s="12"/>
    </row>
    <row r="2301" spans="1:1" x14ac:dyDescent="0.35">
      <c r="A2301" s="12"/>
    </row>
    <row r="2302" spans="1:1" x14ac:dyDescent="0.35">
      <c r="A2302" s="12"/>
    </row>
    <row r="2303" spans="1:1" x14ac:dyDescent="0.35">
      <c r="A2303" s="12"/>
    </row>
    <row r="2304" spans="1:1" x14ac:dyDescent="0.35">
      <c r="A2304" s="12"/>
    </row>
    <row r="2305" spans="1:1" x14ac:dyDescent="0.35">
      <c r="A2305" s="12"/>
    </row>
    <row r="2306" spans="1:1" x14ac:dyDescent="0.35">
      <c r="A2306" s="12"/>
    </row>
    <row r="2307" spans="1:1" x14ac:dyDescent="0.35">
      <c r="A2307" s="12"/>
    </row>
    <row r="2308" spans="1:1" x14ac:dyDescent="0.35">
      <c r="A2308" s="12"/>
    </row>
    <row r="2309" spans="1:1" x14ac:dyDescent="0.35">
      <c r="A2309" s="12"/>
    </row>
    <row r="2310" spans="1:1" x14ac:dyDescent="0.35">
      <c r="A2310" s="12"/>
    </row>
    <row r="2311" spans="1:1" x14ac:dyDescent="0.35">
      <c r="A2311" s="12"/>
    </row>
    <row r="2312" spans="1:1" x14ac:dyDescent="0.35">
      <c r="A2312" s="12"/>
    </row>
    <row r="2313" spans="1:1" x14ac:dyDescent="0.35">
      <c r="A2313" s="12"/>
    </row>
    <row r="2314" spans="1:1" x14ac:dyDescent="0.35">
      <c r="A2314" s="12"/>
    </row>
    <row r="2315" spans="1:1" x14ac:dyDescent="0.35">
      <c r="A2315" s="12"/>
    </row>
    <row r="2316" spans="1:1" x14ac:dyDescent="0.35">
      <c r="A2316" s="12"/>
    </row>
    <row r="2317" spans="1:1" x14ac:dyDescent="0.35">
      <c r="A2317" s="12"/>
    </row>
    <row r="2318" spans="1:1" x14ac:dyDescent="0.35">
      <c r="A2318" s="12"/>
    </row>
    <row r="2319" spans="1:1" x14ac:dyDescent="0.35">
      <c r="A2319" s="12"/>
    </row>
    <row r="2320" spans="1:1" x14ac:dyDescent="0.35">
      <c r="A2320" s="12"/>
    </row>
    <row r="2321" spans="1:1" x14ac:dyDescent="0.35">
      <c r="A2321" s="12"/>
    </row>
    <row r="2322" spans="1:1" x14ac:dyDescent="0.35">
      <c r="A2322" s="12"/>
    </row>
    <row r="2323" spans="1:1" x14ac:dyDescent="0.35">
      <c r="A2323" s="12"/>
    </row>
    <row r="2324" spans="1:1" x14ac:dyDescent="0.35">
      <c r="A2324" s="12"/>
    </row>
    <row r="2325" spans="1:1" x14ac:dyDescent="0.35">
      <c r="A2325" s="12"/>
    </row>
    <row r="2326" spans="1:1" x14ac:dyDescent="0.35">
      <c r="A2326" s="12"/>
    </row>
    <row r="2327" spans="1:1" x14ac:dyDescent="0.35">
      <c r="A2327" s="12"/>
    </row>
    <row r="2328" spans="1:1" x14ac:dyDescent="0.35">
      <c r="A2328" s="12"/>
    </row>
    <row r="2329" spans="1:1" x14ac:dyDescent="0.35">
      <c r="A2329" s="12"/>
    </row>
    <row r="2330" spans="1:1" x14ac:dyDescent="0.35">
      <c r="A2330" s="12"/>
    </row>
    <row r="2331" spans="1:1" x14ac:dyDescent="0.35">
      <c r="A2331" s="12"/>
    </row>
    <row r="2332" spans="1:1" x14ac:dyDescent="0.35">
      <c r="A2332" s="12"/>
    </row>
    <row r="2333" spans="1:1" x14ac:dyDescent="0.35">
      <c r="A2333" s="12"/>
    </row>
    <row r="2334" spans="1:1" x14ac:dyDescent="0.35">
      <c r="A2334" s="12"/>
    </row>
    <row r="2335" spans="1:1" x14ac:dyDescent="0.35">
      <c r="A2335" s="12"/>
    </row>
    <row r="2336" spans="1:1" x14ac:dyDescent="0.35">
      <c r="A2336" s="12"/>
    </row>
    <row r="2337" spans="1:1" x14ac:dyDescent="0.35">
      <c r="A2337" s="12"/>
    </row>
    <row r="2338" spans="1:1" x14ac:dyDescent="0.35">
      <c r="A2338" s="12"/>
    </row>
    <row r="2339" spans="1:1" x14ac:dyDescent="0.35">
      <c r="A2339" s="12"/>
    </row>
    <row r="2340" spans="1:1" x14ac:dyDescent="0.35">
      <c r="A2340" s="12"/>
    </row>
    <row r="2341" spans="1:1" x14ac:dyDescent="0.35">
      <c r="A2341" s="12"/>
    </row>
    <row r="2342" spans="1:1" x14ac:dyDescent="0.35">
      <c r="A2342" s="12"/>
    </row>
    <row r="2343" spans="1:1" x14ac:dyDescent="0.35">
      <c r="A2343" s="12"/>
    </row>
    <row r="2344" spans="1:1" x14ac:dyDescent="0.35">
      <c r="A2344" s="12"/>
    </row>
    <row r="2345" spans="1:1" x14ac:dyDescent="0.35">
      <c r="A2345" s="12"/>
    </row>
    <row r="2346" spans="1:1" x14ac:dyDescent="0.35">
      <c r="A2346" s="12"/>
    </row>
    <row r="2347" spans="1:1" x14ac:dyDescent="0.35">
      <c r="A2347" s="12"/>
    </row>
    <row r="2348" spans="1:1" x14ac:dyDescent="0.35">
      <c r="A2348" s="12"/>
    </row>
    <row r="2349" spans="1:1" x14ac:dyDescent="0.35">
      <c r="A2349" s="12"/>
    </row>
    <row r="2350" spans="1:1" x14ac:dyDescent="0.35">
      <c r="A2350" s="12"/>
    </row>
    <row r="2351" spans="1:1" x14ac:dyDescent="0.35">
      <c r="A2351" s="12"/>
    </row>
    <row r="2352" spans="1:1" x14ac:dyDescent="0.35">
      <c r="A2352" s="12"/>
    </row>
    <row r="2353" spans="1:1" x14ac:dyDescent="0.35">
      <c r="A2353" s="12"/>
    </row>
    <row r="2354" spans="1:1" x14ac:dyDescent="0.35">
      <c r="A2354" s="12"/>
    </row>
    <row r="2355" spans="1:1" x14ac:dyDescent="0.35">
      <c r="A2355" s="12"/>
    </row>
    <row r="2356" spans="1:1" x14ac:dyDescent="0.35">
      <c r="A2356" s="12"/>
    </row>
    <row r="2357" spans="1:1" x14ac:dyDescent="0.35">
      <c r="A2357" s="12"/>
    </row>
    <row r="2358" spans="1:1" x14ac:dyDescent="0.35">
      <c r="A2358" s="12"/>
    </row>
    <row r="2359" spans="1:1" x14ac:dyDescent="0.35">
      <c r="A2359" s="12"/>
    </row>
    <row r="2360" spans="1:1" x14ac:dyDescent="0.35">
      <c r="A2360" s="12"/>
    </row>
    <row r="2361" spans="1:1" x14ac:dyDescent="0.35">
      <c r="A2361" s="12"/>
    </row>
    <row r="2362" spans="1:1" x14ac:dyDescent="0.35">
      <c r="A2362" s="12"/>
    </row>
    <row r="2363" spans="1:1" x14ac:dyDescent="0.35">
      <c r="A2363" s="12"/>
    </row>
    <row r="2364" spans="1:1" x14ac:dyDescent="0.35">
      <c r="A2364" s="12"/>
    </row>
    <row r="2365" spans="1:1" x14ac:dyDescent="0.35">
      <c r="A2365" s="12"/>
    </row>
    <row r="2366" spans="1:1" x14ac:dyDescent="0.35">
      <c r="A2366" s="12"/>
    </row>
    <row r="2367" spans="1:1" x14ac:dyDescent="0.35">
      <c r="A2367" s="12"/>
    </row>
    <row r="2368" spans="1:1" x14ac:dyDescent="0.35">
      <c r="A2368" s="12"/>
    </row>
    <row r="2369" spans="1:1" x14ac:dyDescent="0.35">
      <c r="A2369" s="12"/>
    </row>
    <row r="2370" spans="1:1" x14ac:dyDescent="0.35">
      <c r="A2370" s="12"/>
    </row>
    <row r="2371" spans="1:1" x14ac:dyDescent="0.35">
      <c r="A2371" s="12"/>
    </row>
    <row r="2372" spans="1:1" x14ac:dyDescent="0.35">
      <c r="A2372" s="12"/>
    </row>
    <row r="2373" spans="1:1" x14ac:dyDescent="0.35">
      <c r="A2373" s="12"/>
    </row>
    <row r="2374" spans="1:1" x14ac:dyDescent="0.35">
      <c r="A2374" s="12"/>
    </row>
    <row r="2375" spans="1:1" x14ac:dyDescent="0.35">
      <c r="A2375" s="12"/>
    </row>
    <row r="2376" spans="1:1" x14ac:dyDescent="0.35">
      <c r="A2376" s="12"/>
    </row>
    <row r="2377" spans="1:1" x14ac:dyDescent="0.35">
      <c r="A2377" s="12"/>
    </row>
    <row r="2378" spans="1:1" x14ac:dyDescent="0.35">
      <c r="A2378" s="12"/>
    </row>
    <row r="2379" spans="1:1" x14ac:dyDescent="0.35">
      <c r="A2379" s="12"/>
    </row>
    <row r="2380" spans="1:1" x14ac:dyDescent="0.35">
      <c r="A2380" s="12"/>
    </row>
    <row r="2381" spans="1:1" x14ac:dyDescent="0.35">
      <c r="A2381" s="12"/>
    </row>
    <row r="2382" spans="1:1" x14ac:dyDescent="0.35">
      <c r="A2382" s="12"/>
    </row>
    <row r="2383" spans="1:1" x14ac:dyDescent="0.35">
      <c r="A2383" s="12"/>
    </row>
    <row r="2384" spans="1:1" x14ac:dyDescent="0.35">
      <c r="A2384" s="12"/>
    </row>
    <row r="2385" spans="1:1" x14ac:dyDescent="0.35">
      <c r="A2385" s="12"/>
    </row>
    <row r="2386" spans="1:1" x14ac:dyDescent="0.35">
      <c r="A2386" s="12"/>
    </row>
    <row r="2387" spans="1:1" x14ac:dyDescent="0.35">
      <c r="A2387" s="12"/>
    </row>
    <row r="2388" spans="1:1" x14ac:dyDescent="0.35">
      <c r="A2388" s="12"/>
    </row>
    <row r="2389" spans="1:1" x14ac:dyDescent="0.35">
      <c r="A2389" s="12"/>
    </row>
    <row r="2390" spans="1:1" x14ac:dyDescent="0.35">
      <c r="A2390" s="12"/>
    </row>
    <row r="2391" spans="1:1" x14ac:dyDescent="0.35">
      <c r="A2391" s="12"/>
    </row>
    <row r="2392" spans="1:1" x14ac:dyDescent="0.35">
      <c r="A2392" s="12"/>
    </row>
    <row r="2393" spans="1:1" x14ac:dyDescent="0.35">
      <c r="A2393" s="12"/>
    </row>
    <row r="2394" spans="1:1" x14ac:dyDescent="0.35">
      <c r="A2394" s="12"/>
    </row>
    <row r="2395" spans="1:1" x14ac:dyDescent="0.35">
      <c r="A2395" s="12"/>
    </row>
    <row r="2396" spans="1:1" x14ac:dyDescent="0.35">
      <c r="A2396" s="12"/>
    </row>
    <row r="2397" spans="1:1" x14ac:dyDescent="0.35">
      <c r="A2397" s="12"/>
    </row>
    <row r="2398" spans="1:1" x14ac:dyDescent="0.35">
      <c r="A2398" s="12"/>
    </row>
    <row r="2399" spans="1:1" x14ac:dyDescent="0.35">
      <c r="A2399" s="12"/>
    </row>
    <row r="2400" spans="1:1" x14ac:dyDescent="0.35">
      <c r="A2400" s="12"/>
    </row>
    <row r="2401" spans="1:1" x14ac:dyDescent="0.35">
      <c r="A2401" s="12"/>
    </row>
    <row r="2402" spans="1:1" x14ac:dyDescent="0.35">
      <c r="A2402" s="12"/>
    </row>
    <row r="2403" spans="1:1" x14ac:dyDescent="0.35">
      <c r="A2403" s="12"/>
    </row>
    <row r="2404" spans="1:1" x14ac:dyDescent="0.35">
      <c r="A2404" s="12"/>
    </row>
    <row r="2405" spans="1:1" x14ac:dyDescent="0.35">
      <c r="A2405" s="12"/>
    </row>
    <row r="2406" spans="1:1" x14ac:dyDescent="0.35">
      <c r="A2406" s="12"/>
    </row>
    <row r="2407" spans="1:1" x14ac:dyDescent="0.35">
      <c r="A2407" s="12"/>
    </row>
    <row r="2408" spans="1:1" x14ac:dyDescent="0.35">
      <c r="A2408" s="12"/>
    </row>
    <row r="2409" spans="1:1" x14ac:dyDescent="0.35">
      <c r="A2409" s="12"/>
    </row>
    <row r="2410" spans="1:1" x14ac:dyDescent="0.35">
      <c r="A2410" s="12"/>
    </row>
    <row r="2411" spans="1:1" x14ac:dyDescent="0.35">
      <c r="A2411" s="12"/>
    </row>
    <row r="2412" spans="1:1" x14ac:dyDescent="0.35">
      <c r="A2412" s="12"/>
    </row>
    <row r="2413" spans="1:1" x14ac:dyDescent="0.35">
      <c r="A2413" s="12"/>
    </row>
    <row r="2414" spans="1:1" x14ac:dyDescent="0.35">
      <c r="A2414" s="12"/>
    </row>
    <row r="2415" spans="1:1" x14ac:dyDescent="0.35">
      <c r="A2415" s="12"/>
    </row>
    <row r="2416" spans="1:1" x14ac:dyDescent="0.35">
      <c r="A2416" s="12"/>
    </row>
    <row r="2417" spans="1:1" x14ac:dyDescent="0.35">
      <c r="A2417" s="12"/>
    </row>
    <row r="2418" spans="1:1" x14ac:dyDescent="0.35">
      <c r="A2418" s="12"/>
    </row>
    <row r="2419" spans="1:1" x14ac:dyDescent="0.35">
      <c r="A2419" s="12"/>
    </row>
    <row r="2420" spans="1:1" x14ac:dyDescent="0.35">
      <c r="A2420" s="12"/>
    </row>
    <row r="2421" spans="1:1" x14ac:dyDescent="0.35">
      <c r="A2421" s="12"/>
    </row>
    <row r="2422" spans="1:1" x14ac:dyDescent="0.35">
      <c r="A2422" s="12"/>
    </row>
    <row r="2423" spans="1:1" x14ac:dyDescent="0.35">
      <c r="A2423" s="12"/>
    </row>
    <row r="2424" spans="1:1" x14ac:dyDescent="0.35">
      <c r="A2424" s="12"/>
    </row>
    <row r="2425" spans="1:1" x14ac:dyDescent="0.35">
      <c r="A2425" s="12"/>
    </row>
    <row r="2426" spans="1:1" x14ac:dyDescent="0.35">
      <c r="A2426" s="12"/>
    </row>
    <row r="2427" spans="1:1" x14ac:dyDescent="0.35">
      <c r="A2427" s="12"/>
    </row>
    <row r="2428" spans="1:1" x14ac:dyDescent="0.35">
      <c r="A2428" s="12"/>
    </row>
    <row r="2429" spans="1:1" x14ac:dyDescent="0.35">
      <c r="A2429" s="12"/>
    </row>
    <row r="2430" spans="1:1" x14ac:dyDescent="0.35">
      <c r="A2430" s="12"/>
    </row>
    <row r="2431" spans="1:1" x14ac:dyDescent="0.35">
      <c r="A2431" s="12"/>
    </row>
    <row r="2432" spans="1:1" x14ac:dyDescent="0.35">
      <c r="A2432" s="12"/>
    </row>
    <row r="2433" spans="1:1" x14ac:dyDescent="0.35">
      <c r="A2433" s="12"/>
    </row>
    <row r="2434" spans="1:1" x14ac:dyDescent="0.35">
      <c r="A2434" s="12"/>
    </row>
    <row r="2435" spans="1:1" x14ac:dyDescent="0.35">
      <c r="A2435" s="12"/>
    </row>
    <row r="2436" spans="1:1" x14ac:dyDescent="0.35">
      <c r="A2436" s="12"/>
    </row>
    <row r="2437" spans="1:1" x14ac:dyDescent="0.35">
      <c r="A2437" s="12"/>
    </row>
    <row r="2438" spans="1:1" x14ac:dyDescent="0.35">
      <c r="A2438" s="12"/>
    </row>
    <row r="2439" spans="1:1" x14ac:dyDescent="0.35">
      <c r="A2439" s="12"/>
    </row>
    <row r="2440" spans="1:1" x14ac:dyDescent="0.35">
      <c r="A2440" s="12"/>
    </row>
    <row r="2441" spans="1:1" x14ac:dyDescent="0.35">
      <c r="A2441" s="12"/>
    </row>
    <row r="2442" spans="1:1" x14ac:dyDescent="0.35">
      <c r="A2442" s="12"/>
    </row>
    <row r="2443" spans="1:1" x14ac:dyDescent="0.35">
      <c r="A2443" s="12"/>
    </row>
    <row r="2444" spans="1:1" x14ac:dyDescent="0.35">
      <c r="A2444" s="12"/>
    </row>
    <row r="2445" spans="1:1" x14ac:dyDescent="0.35">
      <c r="A2445" s="12"/>
    </row>
    <row r="2446" spans="1:1" x14ac:dyDescent="0.35">
      <c r="A2446" s="12"/>
    </row>
    <row r="2447" spans="1:1" x14ac:dyDescent="0.35">
      <c r="A2447" s="12"/>
    </row>
    <row r="2448" spans="1:1" x14ac:dyDescent="0.35">
      <c r="A2448" s="12"/>
    </row>
    <row r="2449" spans="1:1" x14ac:dyDescent="0.35">
      <c r="A2449" s="12"/>
    </row>
    <row r="2450" spans="1:1" x14ac:dyDescent="0.35">
      <c r="A2450" s="12"/>
    </row>
    <row r="2451" spans="1:1" x14ac:dyDescent="0.35">
      <c r="A2451" s="12"/>
    </row>
    <row r="2452" spans="1:1" x14ac:dyDescent="0.35">
      <c r="A2452" s="12"/>
    </row>
    <row r="2453" spans="1:1" x14ac:dyDescent="0.35">
      <c r="A2453" s="12"/>
    </row>
    <row r="2454" spans="1:1" x14ac:dyDescent="0.35">
      <c r="A2454" s="12"/>
    </row>
    <row r="2455" spans="1:1" x14ac:dyDescent="0.35">
      <c r="A2455" s="12"/>
    </row>
    <row r="2456" spans="1:1" x14ac:dyDescent="0.35">
      <c r="A2456" s="12"/>
    </row>
    <row r="2457" spans="1:1" x14ac:dyDescent="0.35">
      <c r="A2457" s="12"/>
    </row>
    <row r="2458" spans="1:1" x14ac:dyDescent="0.35">
      <c r="A2458" s="12"/>
    </row>
    <row r="2459" spans="1:1" x14ac:dyDescent="0.35">
      <c r="A2459" s="12"/>
    </row>
    <row r="2460" spans="1:1" x14ac:dyDescent="0.35">
      <c r="A2460" s="12"/>
    </row>
    <row r="2461" spans="1:1" x14ac:dyDescent="0.35">
      <c r="A2461" s="12"/>
    </row>
    <row r="2462" spans="1:1" x14ac:dyDescent="0.35">
      <c r="A2462" s="12"/>
    </row>
    <row r="2463" spans="1:1" x14ac:dyDescent="0.35">
      <c r="A2463" s="12"/>
    </row>
    <row r="2464" spans="1:1" x14ac:dyDescent="0.35">
      <c r="A2464" s="12"/>
    </row>
    <row r="2465" spans="1:1" x14ac:dyDescent="0.35">
      <c r="A2465" s="12"/>
    </row>
    <row r="2466" spans="1:1" x14ac:dyDescent="0.35">
      <c r="A2466" s="12"/>
    </row>
    <row r="2467" spans="1:1" x14ac:dyDescent="0.35">
      <c r="A2467" s="12"/>
    </row>
    <row r="2468" spans="1:1" x14ac:dyDescent="0.35">
      <c r="A2468" s="12"/>
    </row>
    <row r="2469" spans="1:1" x14ac:dyDescent="0.35">
      <c r="A2469" s="12"/>
    </row>
    <row r="2470" spans="1:1" x14ac:dyDescent="0.35">
      <c r="A2470" s="12"/>
    </row>
    <row r="2471" spans="1:1" x14ac:dyDescent="0.35">
      <c r="A2471" s="12"/>
    </row>
    <row r="2472" spans="1:1" x14ac:dyDescent="0.35">
      <c r="A2472" s="12"/>
    </row>
    <row r="2473" spans="1:1" x14ac:dyDescent="0.35">
      <c r="A2473" s="12"/>
    </row>
    <row r="2474" spans="1:1" x14ac:dyDescent="0.35">
      <c r="A2474" s="12"/>
    </row>
    <row r="2475" spans="1:1" x14ac:dyDescent="0.35">
      <c r="A2475" s="12"/>
    </row>
    <row r="2476" spans="1:1" x14ac:dyDescent="0.35">
      <c r="A2476" s="12"/>
    </row>
    <row r="2477" spans="1:1" x14ac:dyDescent="0.35">
      <c r="A2477" s="12"/>
    </row>
    <row r="2478" spans="1:1" x14ac:dyDescent="0.35">
      <c r="A2478" s="12"/>
    </row>
    <row r="2479" spans="1:1" x14ac:dyDescent="0.35">
      <c r="A2479" s="12"/>
    </row>
    <row r="2480" spans="1:1" x14ac:dyDescent="0.35">
      <c r="A2480" s="12"/>
    </row>
    <row r="2481" spans="1:1" x14ac:dyDescent="0.35">
      <c r="A2481" s="12"/>
    </row>
    <row r="2482" spans="1:1" x14ac:dyDescent="0.35">
      <c r="A2482" s="12"/>
    </row>
    <row r="2483" spans="1:1" x14ac:dyDescent="0.35">
      <c r="A2483" s="12"/>
    </row>
    <row r="2484" spans="1:1" x14ac:dyDescent="0.35">
      <c r="A2484" s="12"/>
    </row>
    <row r="2485" spans="1:1" x14ac:dyDescent="0.35">
      <c r="A2485" s="12"/>
    </row>
    <row r="2486" spans="1:1" x14ac:dyDescent="0.35">
      <c r="A2486" s="12"/>
    </row>
    <row r="2487" spans="1:1" x14ac:dyDescent="0.35">
      <c r="A2487" s="12"/>
    </row>
    <row r="2488" spans="1:1" x14ac:dyDescent="0.35">
      <c r="A2488" s="12"/>
    </row>
    <row r="2489" spans="1:1" x14ac:dyDescent="0.35">
      <c r="A2489" s="12"/>
    </row>
    <row r="2490" spans="1:1" x14ac:dyDescent="0.35">
      <c r="A2490" s="12"/>
    </row>
    <row r="2491" spans="1:1" x14ac:dyDescent="0.35">
      <c r="A2491" s="12"/>
    </row>
    <row r="2492" spans="1:1" x14ac:dyDescent="0.35">
      <c r="A2492" s="12"/>
    </row>
    <row r="2493" spans="1:1" x14ac:dyDescent="0.35">
      <c r="A2493" s="12"/>
    </row>
    <row r="2494" spans="1:1" x14ac:dyDescent="0.35">
      <c r="A2494" s="12"/>
    </row>
    <row r="2495" spans="1:1" x14ac:dyDescent="0.35">
      <c r="A2495" s="12"/>
    </row>
    <row r="2496" spans="1:1" x14ac:dyDescent="0.35">
      <c r="A2496" s="12"/>
    </row>
    <row r="2497" spans="1:1" x14ac:dyDescent="0.35">
      <c r="A2497" s="12"/>
    </row>
    <row r="2498" spans="1:1" x14ac:dyDescent="0.35">
      <c r="A2498" s="12"/>
    </row>
    <row r="2499" spans="1:1" x14ac:dyDescent="0.35">
      <c r="A2499" s="12"/>
    </row>
    <row r="2500" spans="1:1" x14ac:dyDescent="0.35">
      <c r="A2500" s="12"/>
    </row>
    <row r="2501" spans="1:1" x14ac:dyDescent="0.35">
      <c r="A2501" s="12"/>
    </row>
    <row r="2502" spans="1:1" x14ac:dyDescent="0.35">
      <c r="A2502" s="12"/>
    </row>
    <row r="2503" spans="1:1" x14ac:dyDescent="0.35">
      <c r="A2503" s="12"/>
    </row>
    <row r="2504" spans="1:1" x14ac:dyDescent="0.35">
      <c r="A2504" s="12"/>
    </row>
    <row r="2505" spans="1:1" x14ac:dyDescent="0.35">
      <c r="A2505" s="12"/>
    </row>
    <row r="2506" spans="1:1" x14ac:dyDescent="0.35">
      <c r="A2506" s="12"/>
    </row>
    <row r="2507" spans="1:1" x14ac:dyDescent="0.35">
      <c r="A2507" s="12"/>
    </row>
    <row r="2508" spans="1:1" x14ac:dyDescent="0.35">
      <c r="A2508" s="12"/>
    </row>
    <row r="2509" spans="1:1" x14ac:dyDescent="0.35">
      <c r="A2509" s="12"/>
    </row>
    <row r="2510" spans="1:1" x14ac:dyDescent="0.35">
      <c r="A2510" s="12"/>
    </row>
    <row r="2511" spans="1:1" x14ac:dyDescent="0.35">
      <c r="A2511" s="12"/>
    </row>
    <row r="2512" spans="1:1" x14ac:dyDescent="0.35">
      <c r="A2512" s="12"/>
    </row>
    <row r="2513" spans="1:1" x14ac:dyDescent="0.35">
      <c r="A2513" s="12"/>
    </row>
    <row r="2514" spans="1:1" x14ac:dyDescent="0.35">
      <c r="A2514" s="12"/>
    </row>
    <row r="2515" spans="1:1" x14ac:dyDescent="0.35">
      <c r="A2515" s="12"/>
    </row>
    <row r="2516" spans="1:1" x14ac:dyDescent="0.35">
      <c r="A2516" s="12"/>
    </row>
    <row r="2517" spans="1:1" x14ac:dyDescent="0.35">
      <c r="A2517" s="12"/>
    </row>
    <row r="2518" spans="1:1" x14ac:dyDescent="0.35">
      <c r="A2518" s="12"/>
    </row>
    <row r="2519" spans="1:1" x14ac:dyDescent="0.35">
      <c r="A2519" s="12"/>
    </row>
    <row r="2520" spans="1:1" x14ac:dyDescent="0.35">
      <c r="A2520" s="12"/>
    </row>
    <row r="2521" spans="1:1" x14ac:dyDescent="0.35">
      <c r="A2521" s="12"/>
    </row>
    <row r="2522" spans="1:1" x14ac:dyDescent="0.35">
      <c r="A2522" s="12"/>
    </row>
    <row r="2523" spans="1:1" x14ac:dyDescent="0.35">
      <c r="A2523" s="12"/>
    </row>
    <row r="2524" spans="1:1" x14ac:dyDescent="0.35">
      <c r="A2524" s="12"/>
    </row>
    <row r="2525" spans="1:1" x14ac:dyDescent="0.35">
      <c r="A2525" s="12"/>
    </row>
    <row r="2526" spans="1:1" x14ac:dyDescent="0.35">
      <c r="A2526" s="12"/>
    </row>
    <row r="2527" spans="1:1" x14ac:dyDescent="0.35">
      <c r="A2527" s="12"/>
    </row>
    <row r="2528" spans="1:1" x14ac:dyDescent="0.35">
      <c r="A2528" s="12"/>
    </row>
    <row r="2529" spans="1:1" x14ac:dyDescent="0.35">
      <c r="A2529" s="12"/>
    </row>
    <row r="2530" spans="1:1" x14ac:dyDescent="0.35">
      <c r="A2530" s="12"/>
    </row>
    <row r="2531" spans="1:1" x14ac:dyDescent="0.35">
      <c r="A2531" s="12"/>
    </row>
    <row r="2532" spans="1:1" x14ac:dyDescent="0.35">
      <c r="A2532" s="12"/>
    </row>
    <row r="2533" spans="1:1" x14ac:dyDescent="0.35">
      <c r="A2533" s="12"/>
    </row>
    <row r="2534" spans="1:1" x14ac:dyDescent="0.35">
      <c r="A2534" s="12"/>
    </row>
    <row r="2535" spans="1:1" x14ac:dyDescent="0.35">
      <c r="A2535" s="12"/>
    </row>
    <row r="2536" spans="1:1" x14ac:dyDescent="0.35">
      <c r="A2536" s="12"/>
    </row>
    <row r="2537" spans="1:1" x14ac:dyDescent="0.35">
      <c r="A2537" s="12"/>
    </row>
    <row r="2538" spans="1:1" x14ac:dyDescent="0.35">
      <c r="A2538" s="12"/>
    </row>
    <row r="2539" spans="1:1" x14ac:dyDescent="0.35">
      <c r="A2539" s="12"/>
    </row>
    <row r="2540" spans="1:1" x14ac:dyDescent="0.35">
      <c r="A2540" s="12"/>
    </row>
    <row r="2541" spans="1:1" x14ac:dyDescent="0.35">
      <c r="A2541" s="12"/>
    </row>
    <row r="2542" spans="1:1" x14ac:dyDescent="0.35">
      <c r="A2542" s="12"/>
    </row>
    <row r="2543" spans="1:1" x14ac:dyDescent="0.35">
      <c r="A2543" s="12"/>
    </row>
    <row r="2544" spans="1:1" x14ac:dyDescent="0.35">
      <c r="A2544" s="12"/>
    </row>
    <row r="2545" spans="1:1" x14ac:dyDescent="0.35">
      <c r="A2545" s="12"/>
    </row>
    <row r="2546" spans="1:1" x14ac:dyDescent="0.35">
      <c r="A2546" s="12"/>
    </row>
    <row r="2547" spans="1:1" x14ac:dyDescent="0.35">
      <c r="A2547" s="12"/>
    </row>
    <row r="2548" spans="1:1" x14ac:dyDescent="0.35">
      <c r="A2548" s="12"/>
    </row>
    <row r="2549" spans="1:1" x14ac:dyDescent="0.35">
      <c r="A2549" s="12"/>
    </row>
    <row r="2550" spans="1:1" x14ac:dyDescent="0.35">
      <c r="A2550" s="12"/>
    </row>
    <row r="2551" spans="1:1" x14ac:dyDescent="0.35">
      <c r="A2551" s="12"/>
    </row>
    <row r="2552" spans="1:1" x14ac:dyDescent="0.35">
      <c r="A2552" s="12"/>
    </row>
    <row r="2553" spans="1:1" x14ac:dyDescent="0.35">
      <c r="A2553" s="12"/>
    </row>
    <row r="2554" spans="1:1" x14ac:dyDescent="0.35">
      <c r="A2554" s="12"/>
    </row>
    <row r="2555" spans="1:1" x14ac:dyDescent="0.35">
      <c r="A2555" s="12"/>
    </row>
    <row r="2556" spans="1:1" x14ac:dyDescent="0.35">
      <c r="A2556" s="12"/>
    </row>
    <row r="2557" spans="1:1" x14ac:dyDescent="0.35">
      <c r="A2557" s="12"/>
    </row>
    <row r="2558" spans="1:1" x14ac:dyDescent="0.35">
      <c r="A2558" s="12"/>
    </row>
    <row r="2559" spans="1:1" x14ac:dyDescent="0.35">
      <c r="A2559" s="12"/>
    </row>
    <row r="2560" spans="1:1" x14ac:dyDescent="0.35">
      <c r="A2560" s="12"/>
    </row>
    <row r="2561" spans="1:1" x14ac:dyDescent="0.35">
      <c r="A2561" s="12"/>
    </row>
    <row r="2562" spans="1:1" x14ac:dyDescent="0.35">
      <c r="A2562" s="12"/>
    </row>
    <row r="2563" spans="1:1" x14ac:dyDescent="0.35">
      <c r="A2563" s="12"/>
    </row>
    <row r="2564" spans="1:1" x14ac:dyDescent="0.35">
      <c r="A2564" s="12"/>
    </row>
    <row r="2565" spans="1:1" x14ac:dyDescent="0.35">
      <c r="A2565" s="12"/>
    </row>
    <row r="2566" spans="1:1" x14ac:dyDescent="0.35">
      <c r="A2566" s="12"/>
    </row>
    <row r="2567" spans="1:1" x14ac:dyDescent="0.35">
      <c r="A2567" s="12"/>
    </row>
    <row r="2568" spans="1:1" x14ac:dyDescent="0.35">
      <c r="A2568" s="12"/>
    </row>
    <row r="2569" spans="1:1" x14ac:dyDescent="0.35">
      <c r="A2569" s="12"/>
    </row>
    <row r="2570" spans="1:1" x14ac:dyDescent="0.35">
      <c r="A2570" s="12"/>
    </row>
    <row r="2571" spans="1:1" x14ac:dyDescent="0.35">
      <c r="A2571" s="12"/>
    </row>
    <row r="2572" spans="1:1" x14ac:dyDescent="0.35">
      <c r="A2572" s="12"/>
    </row>
    <row r="2573" spans="1:1" x14ac:dyDescent="0.35">
      <c r="A2573" s="12"/>
    </row>
    <row r="2574" spans="1:1" x14ac:dyDescent="0.35">
      <c r="A2574" s="12"/>
    </row>
    <row r="2575" spans="1:1" x14ac:dyDescent="0.35">
      <c r="A2575" s="12"/>
    </row>
    <row r="2576" spans="1:1" x14ac:dyDescent="0.35">
      <c r="A2576" s="12"/>
    </row>
    <row r="2577" spans="1:1" x14ac:dyDescent="0.35">
      <c r="A2577" s="12"/>
    </row>
    <row r="2578" spans="1:1" x14ac:dyDescent="0.35">
      <c r="A2578" s="12"/>
    </row>
    <row r="2579" spans="1:1" x14ac:dyDescent="0.35">
      <c r="A2579" s="12"/>
    </row>
    <row r="2580" spans="1:1" x14ac:dyDescent="0.35">
      <c r="A2580" s="12"/>
    </row>
    <row r="2581" spans="1:1" x14ac:dyDescent="0.35">
      <c r="A2581" s="12"/>
    </row>
    <row r="2582" spans="1:1" x14ac:dyDescent="0.35">
      <c r="A2582" s="12"/>
    </row>
    <row r="2583" spans="1:1" x14ac:dyDescent="0.35">
      <c r="A2583" s="12"/>
    </row>
    <row r="2584" spans="1:1" x14ac:dyDescent="0.35">
      <c r="A2584" s="12"/>
    </row>
    <row r="2585" spans="1:1" x14ac:dyDescent="0.35">
      <c r="A2585" s="12"/>
    </row>
    <row r="2586" spans="1:1" x14ac:dyDescent="0.35">
      <c r="A2586" s="12"/>
    </row>
    <row r="2587" spans="1:1" x14ac:dyDescent="0.35">
      <c r="A2587" s="12"/>
    </row>
    <row r="2588" spans="1:1" x14ac:dyDescent="0.35">
      <c r="A2588" s="12"/>
    </row>
    <row r="2589" spans="1:1" x14ac:dyDescent="0.35">
      <c r="A2589" s="12"/>
    </row>
    <row r="2590" spans="1:1" x14ac:dyDescent="0.35">
      <c r="A2590" s="12"/>
    </row>
    <row r="2591" spans="1:1" x14ac:dyDescent="0.35">
      <c r="A2591" s="12"/>
    </row>
    <row r="2592" spans="1:1" x14ac:dyDescent="0.35">
      <c r="A2592" s="12"/>
    </row>
    <row r="2593" spans="1:1" x14ac:dyDescent="0.35">
      <c r="A2593" s="12"/>
    </row>
    <row r="2594" spans="1:1" x14ac:dyDescent="0.35">
      <c r="A2594" s="12"/>
    </row>
    <row r="2595" spans="1:1" x14ac:dyDescent="0.35">
      <c r="A2595" s="12"/>
    </row>
    <row r="2596" spans="1:1" x14ac:dyDescent="0.35">
      <c r="A2596" s="12"/>
    </row>
    <row r="2597" spans="1:1" x14ac:dyDescent="0.35">
      <c r="A2597" s="12"/>
    </row>
    <row r="2598" spans="1:1" x14ac:dyDescent="0.35">
      <c r="A2598" s="12"/>
    </row>
    <row r="2599" spans="1:1" x14ac:dyDescent="0.35">
      <c r="A2599" s="12"/>
    </row>
    <row r="2600" spans="1:1" x14ac:dyDescent="0.35">
      <c r="A2600" s="12"/>
    </row>
    <row r="2601" spans="1:1" x14ac:dyDescent="0.35">
      <c r="A2601" s="12"/>
    </row>
    <row r="2602" spans="1:1" x14ac:dyDescent="0.35">
      <c r="A2602" s="12"/>
    </row>
    <row r="2603" spans="1:1" x14ac:dyDescent="0.35">
      <c r="A2603" s="12"/>
    </row>
    <row r="2604" spans="1:1" x14ac:dyDescent="0.35">
      <c r="A2604" s="12"/>
    </row>
    <row r="2605" spans="1:1" x14ac:dyDescent="0.35">
      <c r="A2605" s="12"/>
    </row>
    <row r="2606" spans="1:1" x14ac:dyDescent="0.35">
      <c r="A2606" s="12"/>
    </row>
    <row r="2607" spans="1:1" x14ac:dyDescent="0.35">
      <c r="A2607" s="12"/>
    </row>
    <row r="2608" spans="1:1" x14ac:dyDescent="0.35">
      <c r="A2608" s="12"/>
    </row>
    <row r="2609" spans="1:1" x14ac:dyDescent="0.35">
      <c r="A2609" s="12"/>
    </row>
    <row r="2610" spans="1:1" x14ac:dyDescent="0.35">
      <c r="A2610" s="12"/>
    </row>
    <row r="2611" spans="1:1" x14ac:dyDescent="0.35">
      <c r="A2611" s="12"/>
    </row>
    <row r="2612" spans="1:1" x14ac:dyDescent="0.35">
      <c r="A2612" s="12"/>
    </row>
    <row r="2613" spans="1:1" x14ac:dyDescent="0.35">
      <c r="A2613" s="12"/>
    </row>
    <row r="2614" spans="1:1" x14ac:dyDescent="0.35">
      <c r="A2614" s="12"/>
    </row>
    <row r="2615" spans="1:1" x14ac:dyDescent="0.35">
      <c r="A2615" s="12"/>
    </row>
    <row r="2616" spans="1:1" x14ac:dyDescent="0.35">
      <c r="A2616" s="12"/>
    </row>
    <row r="2617" spans="1:1" x14ac:dyDescent="0.35">
      <c r="A2617" s="12"/>
    </row>
    <row r="2618" spans="1:1" x14ac:dyDescent="0.35">
      <c r="A2618" s="12"/>
    </row>
    <row r="2619" spans="1:1" x14ac:dyDescent="0.35">
      <c r="A2619" s="12"/>
    </row>
    <row r="2620" spans="1:1" x14ac:dyDescent="0.35">
      <c r="A2620" s="12"/>
    </row>
    <row r="2621" spans="1:1" x14ac:dyDescent="0.35">
      <c r="A2621" s="12"/>
    </row>
    <row r="2622" spans="1:1" x14ac:dyDescent="0.35">
      <c r="A2622" s="12"/>
    </row>
    <row r="2623" spans="1:1" x14ac:dyDescent="0.35">
      <c r="A2623" s="12"/>
    </row>
    <row r="2624" spans="1:1" x14ac:dyDescent="0.35">
      <c r="A2624" s="12"/>
    </row>
    <row r="2625" spans="1:1" x14ac:dyDescent="0.35">
      <c r="A2625" s="12"/>
    </row>
    <row r="2626" spans="1:1" x14ac:dyDescent="0.35">
      <c r="A2626" s="12"/>
    </row>
    <row r="2627" spans="1:1" x14ac:dyDescent="0.35">
      <c r="A2627" s="12"/>
    </row>
    <row r="2628" spans="1:1" x14ac:dyDescent="0.35">
      <c r="A2628" s="12"/>
    </row>
    <row r="2629" spans="1:1" x14ac:dyDescent="0.35">
      <c r="A2629" s="12"/>
    </row>
    <row r="2630" spans="1:1" x14ac:dyDescent="0.35">
      <c r="A2630" s="12"/>
    </row>
    <row r="2631" spans="1:1" x14ac:dyDescent="0.35">
      <c r="A2631" s="12"/>
    </row>
    <row r="2632" spans="1:1" x14ac:dyDescent="0.35">
      <c r="A2632" s="12"/>
    </row>
    <row r="2633" spans="1:1" x14ac:dyDescent="0.35">
      <c r="A2633" s="12"/>
    </row>
    <row r="2634" spans="1:1" x14ac:dyDescent="0.35">
      <c r="A2634" s="12"/>
    </row>
    <row r="2635" spans="1:1" x14ac:dyDescent="0.35">
      <c r="A2635" s="12"/>
    </row>
    <row r="2636" spans="1:1" x14ac:dyDescent="0.35">
      <c r="A2636" s="12"/>
    </row>
    <row r="2637" spans="1:1" x14ac:dyDescent="0.35">
      <c r="A2637" s="12"/>
    </row>
    <row r="2638" spans="1:1" x14ac:dyDescent="0.35">
      <c r="A2638" s="12"/>
    </row>
    <row r="2639" spans="1:1" x14ac:dyDescent="0.35">
      <c r="A2639" s="12"/>
    </row>
    <row r="2640" spans="1:1" x14ac:dyDescent="0.35">
      <c r="A2640" s="12"/>
    </row>
    <row r="2641" spans="1:1" x14ac:dyDescent="0.35">
      <c r="A2641" s="12"/>
    </row>
    <row r="2642" spans="1:1" x14ac:dyDescent="0.35">
      <c r="A2642" s="12"/>
    </row>
    <row r="2643" spans="1:1" x14ac:dyDescent="0.35">
      <c r="A2643" s="12"/>
    </row>
    <row r="2644" spans="1:1" x14ac:dyDescent="0.35">
      <c r="A2644" s="12"/>
    </row>
    <row r="2645" spans="1:1" x14ac:dyDescent="0.35">
      <c r="A2645" s="12"/>
    </row>
    <row r="2646" spans="1:1" x14ac:dyDescent="0.35">
      <c r="A2646" s="12"/>
    </row>
    <row r="2647" spans="1:1" x14ac:dyDescent="0.35">
      <c r="A2647" s="12"/>
    </row>
    <row r="2648" spans="1:1" x14ac:dyDescent="0.35">
      <c r="A2648" s="12"/>
    </row>
    <row r="2649" spans="1:1" x14ac:dyDescent="0.35">
      <c r="A2649" s="12"/>
    </row>
    <row r="2650" spans="1:1" x14ac:dyDescent="0.35">
      <c r="A2650" s="12"/>
    </row>
    <row r="2651" spans="1:1" x14ac:dyDescent="0.35">
      <c r="A2651" s="12"/>
    </row>
    <row r="2652" spans="1:1" x14ac:dyDescent="0.35">
      <c r="A2652" s="12"/>
    </row>
    <row r="2653" spans="1:1" x14ac:dyDescent="0.35">
      <c r="A2653" s="12"/>
    </row>
    <row r="2654" spans="1:1" x14ac:dyDescent="0.35">
      <c r="A2654" s="12"/>
    </row>
    <row r="2655" spans="1:1" x14ac:dyDescent="0.35">
      <c r="A2655" s="12"/>
    </row>
    <row r="2656" spans="1:1" x14ac:dyDescent="0.35">
      <c r="A2656" s="12"/>
    </row>
    <row r="2657" spans="1:1" x14ac:dyDescent="0.35">
      <c r="A2657" s="12"/>
    </row>
    <row r="2658" spans="1:1" x14ac:dyDescent="0.35">
      <c r="A2658" s="12"/>
    </row>
    <row r="2659" spans="1:1" x14ac:dyDescent="0.35">
      <c r="A2659" s="12"/>
    </row>
    <row r="2660" spans="1:1" x14ac:dyDescent="0.35">
      <c r="A2660" s="12"/>
    </row>
    <row r="2661" spans="1:1" x14ac:dyDescent="0.35">
      <c r="A2661" s="12"/>
    </row>
    <row r="2662" spans="1:1" x14ac:dyDescent="0.35">
      <c r="A2662" s="12"/>
    </row>
    <row r="2663" spans="1:1" x14ac:dyDescent="0.35">
      <c r="A2663" s="12"/>
    </row>
    <row r="2664" spans="1:1" x14ac:dyDescent="0.35">
      <c r="A2664" s="12"/>
    </row>
    <row r="2665" spans="1:1" x14ac:dyDescent="0.35">
      <c r="A2665" s="12"/>
    </row>
    <row r="2666" spans="1:1" x14ac:dyDescent="0.35">
      <c r="A2666" s="12"/>
    </row>
    <row r="2667" spans="1:1" x14ac:dyDescent="0.35">
      <c r="A2667" s="12"/>
    </row>
    <row r="2668" spans="1:1" x14ac:dyDescent="0.35">
      <c r="A2668" s="12"/>
    </row>
    <row r="2669" spans="1:1" x14ac:dyDescent="0.35">
      <c r="A2669" s="12"/>
    </row>
    <row r="2670" spans="1:1" x14ac:dyDescent="0.35">
      <c r="A2670" s="12"/>
    </row>
    <row r="2671" spans="1:1" x14ac:dyDescent="0.35">
      <c r="A2671" s="12"/>
    </row>
    <row r="2672" spans="1:1" x14ac:dyDescent="0.35">
      <c r="A2672" s="12"/>
    </row>
    <row r="2673" spans="1:1" x14ac:dyDescent="0.35">
      <c r="A2673" s="12"/>
    </row>
    <row r="2674" spans="1:1" x14ac:dyDescent="0.35">
      <c r="A2674" s="12"/>
    </row>
    <row r="2675" spans="1:1" x14ac:dyDescent="0.35">
      <c r="A2675" s="12"/>
    </row>
    <row r="2676" spans="1:1" x14ac:dyDescent="0.35">
      <c r="A2676" s="12"/>
    </row>
    <row r="2677" spans="1:1" x14ac:dyDescent="0.35">
      <c r="A2677" s="12"/>
    </row>
    <row r="2678" spans="1:1" x14ac:dyDescent="0.35">
      <c r="A2678" s="12"/>
    </row>
    <row r="2679" spans="1:1" x14ac:dyDescent="0.35">
      <c r="A2679" s="12"/>
    </row>
    <row r="2680" spans="1:1" x14ac:dyDescent="0.35">
      <c r="A2680" s="12"/>
    </row>
    <row r="2681" spans="1:1" x14ac:dyDescent="0.35">
      <c r="A2681" s="12"/>
    </row>
    <row r="2682" spans="1:1" x14ac:dyDescent="0.35">
      <c r="A2682" s="12"/>
    </row>
    <row r="2683" spans="1:1" x14ac:dyDescent="0.35">
      <c r="A2683" s="12"/>
    </row>
    <row r="2684" spans="1:1" x14ac:dyDescent="0.35">
      <c r="A2684" s="12"/>
    </row>
    <row r="2685" spans="1:1" x14ac:dyDescent="0.35">
      <c r="A2685" s="12"/>
    </row>
    <row r="2686" spans="1:1" x14ac:dyDescent="0.35">
      <c r="A2686" s="12"/>
    </row>
    <row r="2687" spans="1:1" x14ac:dyDescent="0.35">
      <c r="A2687" s="12"/>
    </row>
    <row r="2688" spans="1:1" x14ac:dyDescent="0.35">
      <c r="A2688" s="12"/>
    </row>
    <row r="2689" spans="1:1" x14ac:dyDescent="0.35">
      <c r="A2689" s="12"/>
    </row>
    <row r="2690" spans="1:1" x14ac:dyDescent="0.35">
      <c r="A2690" s="12"/>
    </row>
    <row r="2691" spans="1:1" x14ac:dyDescent="0.35">
      <c r="A2691" s="12"/>
    </row>
    <row r="2692" spans="1:1" x14ac:dyDescent="0.35">
      <c r="A2692" s="12"/>
    </row>
    <row r="2693" spans="1:1" x14ac:dyDescent="0.35">
      <c r="A2693" s="12"/>
    </row>
    <row r="2694" spans="1:1" x14ac:dyDescent="0.35">
      <c r="A2694" s="12"/>
    </row>
    <row r="2695" spans="1:1" x14ac:dyDescent="0.35">
      <c r="A2695" s="12"/>
    </row>
    <row r="2696" spans="1:1" x14ac:dyDescent="0.35">
      <c r="A2696" s="12"/>
    </row>
    <row r="2697" spans="1:1" x14ac:dyDescent="0.35">
      <c r="A2697" s="12"/>
    </row>
    <row r="2698" spans="1:1" x14ac:dyDescent="0.35">
      <c r="A2698" s="12"/>
    </row>
    <row r="2699" spans="1:1" x14ac:dyDescent="0.35">
      <c r="A2699" s="12"/>
    </row>
    <row r="2700" spans="1:1" x14ac:dyDescent="0.35">
      <c r="A2700" s="12"/>
    </row>
    <row r="2701" spans="1:1" x14ac:dyDescent="0.35">
      <c r="A2701" s="12"/>
    </row>
    <row r="2702" spans="1:1" x14ac:dyDescent="0.35">
      <c r="A2702" s="12"/>
    </row>
    <row r="2703" spans="1:1" x14ac:dyDescent="0.35">
      <c r="A2703" s="12"/>
    </row>
    <row r="2704" spans="1:1" x14ac:dyDescent="0.35">
      <c r="A2704" s="12"/>
    </row>
    <row r="2705" spans="1:1" x14ac:dyDescent="0.35">
      <c r="A2705" s="12"/>
    </row>
    <row r="2706" spans="1:1" x14ac:dyDescent="0.35">
      <c r="A2706" s="12"/>
    </row>
    <row r="2707" spans="1:1" x14ac:dyDescent="0.35">
      <c r="A2707" s="12"/>
    </row>
    <row r="2708" spans="1:1" x14ac:dyDescent="0.35">
      <c r="A2708" s="12"/>
    </row>
    <row r="2709" spans="1:1" x14ac:dyDescent="0.35">
      <c r="A2709" s="12"/>
    </row>
    <row r="2710" spans="1:1" x14ac:dyDescent="0.35">
      <c r="A2710" s="12"/>
    </row>
    <row r="2711" spans="1:1" x14ac:dyDescent="0.35">
      <c r="A2711" s="12"/>
    </row>
    <row r="2712" spans="1:1" x14ac:dyDescent="0.35">
      <c r="A2712" s="12"/>
    </row>
    <row r="2713" spans="1:1" x14ac:dyDescent="0.35">
      <c r="A2713" s="12"/>
    </row>
    <row r="2714" spans="1:1" x14ac:dyDescent="0.35">
      <c r="A2714" s="12"/>
    </row>
    <row r="2715" spans="1:1" x14ac:dyDescent="0.35">
      <c r="A2715" s="12"/>
    </row>
    <row r="2716" spans="1:1" x14ac:dyDescent="0.35">
      <c r="A2716" s="12"/>
    </row>
    <row r="2717" spans="1:1" x14ac:dyDescent="0.35">
      <c r="A2717" s="12"/>
    </row>
    <row r="2718" spans="1:1" x14ac:dyDescent="0.35">
      <c r="A2718" s="12"/>
    </row>
    <row r="2719" spans="1:1" x14ac:dyDescent="0.35">
      <c r="A2719" s="12"/>
    </row>
    <row r="2720" spans="1:1" x14ac:dyDescent="0.35">
      <c r="A2720" s="12"/>
    </row>
    <row r="2721" spans="1:1" x14ac:dyDescent="0.35">
      <c r="A2721" s="12"/>
    </row>
    <row r="2722" spans="1:1" x14ac:dyDescent="0.35">
      <c r="A2722" s="12"/>
    </row>
    <row r="2723" spans="1:1" x14ac:dyDescent="0.35">
      <c r="A2723" s="12"/>
    </row>
    <row r="2724" spans="1:1" x14ac:dyDescent="0.35">
      <c r="A2724" s="12"/>
    </row>
    <row r="2725" spans="1:1" x14ac:dyDescent="0.35">
      <c r="A2725" s="12"/>
    </row>
    <row r="2726" spans="1:1" x14ac:dyDescent="0.35">
      <c r="A2726" s="12"/>
    </row>
    <row r="2727" spans="1:1" x14ac:dyDescent="0.35">
      <c r="A2727" s="12"/>
    </row>
    <row r="2728" spans="1:1" x14ac:dyDescent="0.35">
      <c r="A2728" s="12"/>
    </row>
    <row r="2729" spans="1:1" x14ac:dyDescent="0.35">
      <c r="A2729" s="12"/>
    </row>
    <row r="2730" spans="1:1" x14ac:dyDescent="0.35">
      <c r="A2730" s="12"/>
    </row>
    <row r="2731" spans="1:1" x14ac:dyDescent="0.35">
      <c r="A2731" s="12"/>
    </row>
    <row r="2732" spans="1:1" x14ac:dyDescent="0.35">
      <c r="A2732" s="12"/>
    </row>
    <row r="2733" spans="1:1" x14ac:dyDescent="0.35">
      <c r="A2733" s="12"/>
    </row>
    <row r="2734" spans="1:1" x14ac:dyDescent="0.35">
      <c r="A2734" s="12"/>
    </row>
    <row r="2735" spans="1:1" x14ac:dyDescent="0.35">
      <c r="A2735" s="12"/>
    </row>
    <row r="2736" spans="1:1" x14ac:dyDescent="0.35">
      <c r="A2736" s="12"/>
    </row>
    <row r="2737" spans="1:1" x14ac:dyDescent="0.35">
      <c r="A2737" s="12"/>
    </row>
    <row r="2738" spans="1:1" x14ac:dyDescent="0.35">
      <c r="A2738" s="12"/>
    </row>
    <row r="2739" spans="1:1" x14ac:dyDescent="0.35">
      <c r="A2739" s="12"/>
    </row>
    <row r="2740" spans="1:1" x14ac:dyDescent="0.35">
      <c r="A2740" s="12"/>
    </row>
    <row r="2741" spans="1:1" x14ac:dyDescent="0.35">
      <c r="A2741" s="12"/>
    </row>
    <row r="2742" spans="1:1" x14ac:dyDescent="0.35">
      <c r="A2742" s="12"/>
    </row>
    <row r="2743" spans="1:1" x14ac:dyDescent="0.35">
      <c r="A2743" s="12"/>
    </row>
    <row r="2744" spans="1:1" x14ac:dyDescent="0.35">
      <c r="A2744" s="12"/>
    </row>
    <row r="2745" spans="1:1" x14ac:dyDescent="0.35">
      <c r="A2745" s="12"/>
    </row>
    <row r="2746" spans="1:1" x14ac:dyDescent="0.35">
      <c r="A2746" s="12"/>
    </row>
    <row r="2747" spans="1:1" x14ac:dyDescent="0.35">
      <c r="A2747" s="12"/>
    </row>
    <row r="2748" spans="1:1" x14ac:dyDescent="0.35">
      <c r="A2748" s="12"/>
    </row>
    <row r="2749" spans="1:1" x14ac:dyDescent="0.35">
      <c r="A2749" s="12"/>
    </row>
    <row r="2750" spans="1:1" x14ac:dyDescent="0.35">
      <c r="A2750" s="12"/>
    </row>
    <row r="2751" spans="1:1" x14ac:dyDescent="0.35">
      <c r="A2751" s="12"/>
    </row>
    <row r="2752" spans="1:1" x14ac:dyDescent="0.35">
      <c r="A2752" s="12"/>
    </row>
    <row r="2753" spans="1:1" x14ac:dyDescent="0.35">
      <c r="A2753" s="12"/>
    </row>
    <row r="2754" spans="1:1" x14ac:dyDescent="0.35">
      <c r="A2754" s="12"/>
    </row>
    <row r="2755" spans="1:1" x14ac:dyDescent="0.35">
      <c r="A2755" s="12"/>
    </row>
    <row r="2756" spans="1:1" x14ac:dyDescent="0.35">
      <c r="A2756" s="12"/>
    </row>
    <row r="2757" spans="1:1" x14ac:dyDescent="0.35">
      <c r="A2757" s="12"/>
    </row>
    <row r="2758" spans="1:1" x14ac:dyDescent="0.35">
      <c r="A2758" s="12"/>
    </row>
    <row r="2759" spans="1:1" x14ac:dyDescent="0.35">
      <c r="A2759" s="12"/>
    </row>
    <row r="2760" spans="1:1" x14ac:dyDescent="0.35">
      <c r="A2760" s="12"/>
    </row>
    <row r="2761" spans="1:1" x14ac:dyDescent="0.35">
      <c r="A2761" s="12"/>
    </row>
    <row r="2762" spans="1:1" x14ac:dyDescent="0.35">
      <c r="A2762" s="12"/>
    </row>
    <row r="2763" spans="1:1" x14ac:dyDescent="0.35">
      <c r="A2763" s="12"/>
    </row>
    <row r="2764" spans="1:1" x14ac:dyDescent="0.35">
      <c r="A2764" s="12"/>
    </row>
    <row r="2765" spans="1:1" x14ac:dyDescent="0.35">
      <c r="A2765" s="12"/>
    </row>
    <row r="2766" spans="1:1" x14ac:dyDescent="0.35">
      <c r="A2766" s="12"/>
    </row>
    <row r="2767" spans="1:1" x14ac:dyDescent="0.35">
      <c r="A2767" s="12"/>
    </row>
    <row r="2768" spans="1:1" x14ac:dyDescent="0.35">
      <c r="A2768" s="12"/>
    </row>
    <row r="2769" spans="1:1" x14ac:dyDescent="0.35">
      <c r="A2769" s="12"/>
    </row>
    <row r="2770" spans="1:1" x14ac:dyDescent="0.35">
      <c r="A2770" s="12"/>
    </row>
    <row r="2771" spans="1:1" x14ac:dyDescent="0.35">
      <c r="A2771" s="12"/>
    </row>
    <row r="2772" spans="1:1" x14ac:dyDescent="0.35">
      <c r="A2772" s="12"/>
    </row>
    <row r="2773" spans="1:1" x14ac:dyDescent="0.35">
      <c r="A2773" s="12"/>
    </row>
    <row r="2774" spans="1:1" x14ac:dyDescent="0.35">
      <c r="A2774" s="12"/>
    </row>
    <row r="2775" spans="1:1" x14ac:dyDescent="0.35">
      <c r="A2775" s="12"/>
    </row>
    <row r="2776" spans="1:1" x14ac:dyDescent="0.35">
      <c r="A2776" s="12"/>
    </row>
    <row r="2777" spans="1:1" x14ac:dyDescent="0.35">
      <c r="A2777" s="12"/>
    </row>
    <row r="2778" spans="1:1" x14ac:dyDescent="0.35">
      <c r="A2778" s="12"/>
    </row>
    <row r="2779" spans="1:1" x14ac:dyDescent="0.35">
      <c r="A2779" s="12"/>
    </row>
    <row r="2780" spans="1:1" x14ac:dyDescent="0.35">
      <c r="A2780" s="12"/>
    </row>
    <row r="2781" spans="1:1" x14ac:dyDescent="0.35">
      <c r="A2781" s="12"/>
    </row>
    <row r="2782" spans="1:1" x14ac:dyDescent="0.35">
      <c r="A2782" s="12"/>
    </row>
    <row r="2783" spans="1:1" x14ac:dyDescent="0.35">
      <c r="A2783" s="12"/>
    </row>
    <row r="2784" spans="1:1" x14ac:dyDescent="0.35">
      <c r="A2784" s="12"/>
    </row>
    <row r="2785" spans="1:1" x14ac:dyDescent="0.35">
      <c r="A2785" s="12"/>
    </row>
    <row r="2786" spans="1:1" x14ac:dyDescent="0.35">
      <c r="A2786" s="12"/>
    </row>
    <row r="2787" spans="1:1" x14ac:dyDescent="0.35">
      <c r="A2787" s="12"/>
    </row>
    <row r="2788" spans="1:1" x14ac:dyDescent="0.35">
      <c r="A2788" s="12"/>
    </row>
    <row r="2789" spans="1:1" x14ac:dyDescent="0.35">
      <c r="A2789" s="12"/>
    </row>
    <row r="2790" spans="1:1" x14ac:dyDescent="0.35">
      <c r="A2790" s="12"/>
    </row>
    <row r="2791" spans="1:1" x14ac:dyDescent="0.35">
      <c r="A2791" s="12"/>
    </row>
    <row r="2792" spans="1:1" x14ac:dyDescent="0.35">
      <c r="A2792" s="12"/>
    </row>
    <row r="2793" spans="1:1" x14ac:dyDescent="0.35">
      <c r="A2793" s="12"/>
    </row>
    <row r="2794" spans="1:1" x14ac:dyDescent="0.35">
      <c r="A2794" s="12"/>
    </row>
    <row r="2795" spans="1:1" x14ac:dyDescent="0.35">
      <c r="A2795" s="12"/>
    </row>
    <row r="2796" spans="1:1" x14ac:dyDescent="0.35">
      <c r="A2796" s="12"/>
    </row>
    <row r="2797" spans="1:1" x14ac:dyDescent="0.35">
      <c r="A2797" s="12"/>
    </row>
    <row r="2798" spans="1:1" x14ac:dyDescent="0.35">
      <c r="A2798" s="12"/>
    </row>
    <row r="2799" spans="1:1" x14ac:dyDescent="0.35">
      <c r="A2799" s="12"/>
    </row>
    <row r="2800" spans="1:1" x14ac:dyDescent="0.35">
      <c r="A2800" s="12"/>
    </row>
    <row r="2801" spans="1:1" x14ac:dyDescent="0.35">
      <c r="A2801" s="12"/>
    </row>
    <row r="2802" spans="1:1" x14ac:dyDescent="0.35">
      <c r="A2802" s="12"/>
    </row>
    <row r="2803" spans="1:1" x14ac:dyDescent="0.35">
      <c r="A2803" s="12"/>
    </row>
    <row r="2804" spans="1:1" x14ac:dyDescent="0.35">
      <c r="A2804" s="12"/>
    </row>
    <row r="2805" spans="1:1" x14ac:dyDescent="0.35">
      <c r="A2805" s="12"/>
    </row>
    <row r="2806" spans="1:1" x14ac:dyDescent="0.35">
      <c r="A2806" s="12"/>
    </row>
    <row r="2807" spans="1:1" x14ac:dyDescent="0.35">
      <c r="A2807" s="12"/>
    </row>
    <row r="2808" spans="1:1" x14ac:dyDescent="0.35">
      <c r="A2808" s="12"/>
    </row>
    <row r="2809" spans="1:1" x14ac:dyDescent="0.35">
      <c r="A2809" s="12"/>
    </row>
    <row r="2810" spans="1:1" x14ac:dyDescent="0.35">
      <c r="A2810" s="12"/>
    </row>
    <row r="2811" spans="1:1" x14ac:dyDescent="0.35">
      <c r="A2811" s="12"/>
    </row>
    <row r="2812" spans="1:1" x14ac:dyDescent="0.35">
      <c r="A2812" s="12"/>
    </row>
    <row r="2813" spans="1:1" x14ac:dyDescent="0.35">
      <c r="A2813" s="12"/>
    </row>
    <row r="2814" spans="1:1" x14ac:dyDescent="0.35">
      <c r="A2814" s="12"/>
    </row>
    <row r="2815" spans="1:1" x14ac:dyDescent="0.35">
      <c r="A2815" s="12"/>
    </row>
    <row r="2816" spans="1:1" x14ac:dyDescent="0.35">
      <c r="A2816" s="12"/>
    </row>
    <row r="2817" spans="1:1" x14ac:dyDescent="0.35">
      <c r="A2817" s="12"/>
    </row>
    <row r="2818" spans="1:1" x14ac:dyDescent="0.35">
      <c r="A2818" s="12"/>
    </row>
    <row r="2819" spans="1:1" x14ac:dyDescent="0.35">
      <c r="A2819" s="12"/>
    </row>
    <row r="2820" spans="1:1" x14ac:dyDescent="0.35">
      <c r="A2820" s="12"/>
    </row>
    <row r="2821" spans="1:1" x14ac:dyDescent="0.35">
      <c r="A2821" s="12"/>
    </row>
    <row r="2822" spans="1:1" x14ac:dyDescent="0.35">
      <c r="A2822" s="12"/>
    </row>
    <row r="2823" spans="1:1" x14ac:dyDescent="0.35">
      <c r="A2823" s="12"/>
    </row>
    <row r="2824" spans="1:1" x14ac:dyDescent="0.35">
      <c r="A2824" s="12"/>
    </row>
    <row r="2825" spans="1:1" x14ac:dyDescent="0.35">
      <c r="A2825" s="12"/>
    </row>
    <row r="2826" spans="1:1" x14ac:dyDescent="0.35">
      <c r="A2826" s="12"/>
    </row>
    <row r="2827" spans="1:1" x14ac:dyDescent="0.35">
      <c r="A2827" s="12"/>
    </row>
    <row r="2828" spans="1:1" x14ac:dyDescent="0.35">
      <c r="A2828" s="12"/>
    </row>
    <row r="2829" spans="1:1" x14ac:dyDescent="0.35">
      <c r="A2829" s="12"/>
    </row>
    <row r="2830" spans="1:1" x14ac:dyDescent="0.35">
      <c r="A2830" s="12"/>
    </row>
    <row r="2831" spans="1:1" x14ac:dyDescent="0.35">
      <c r="A2831" s="12"/>
    </row>
    <row r="2832" spans="1:1" x14ac:dyDescent="0.35">
      <c r="A2832" s="12"/>
    </row>
    <row r="2833" spans="1:1" x14ac:dyDescent="0.35">
      <c r="A2833" s="12"/>
    </row>
    <row r="2834" spans="1:1" x14ac:dyDescent="0.35">
      <c r="A2834" s="12"/>
    </row>
    <row r="2835" spans="1:1" x14ac:dyDescent="0.35">
      <c r="A2835" s="12"/>
    </row>
    <row r="2836" spans="1:1" x14ac:dyDescent="0.35">
      <c r="A2836" s="12"/>
    </row>
    <row r="2837" spans="1:1" x14ac:dyDescent="0.35">
      <c r="A2837" s="12"/>
    </row>
    <row r="2838" spans="1:1" x14ac:dyDescent="0.35">
      <c r="A2838" s="12"/>
    </row>
    <row r="2839" spans="1:1" x14ac:dyDescent="0.35">
      <c r="A2839" s="12"/>
    </row>
    <row r="2840" spans="1:1" x14ac:dyDescent="0.35">
      <c r="A2840" s="12"/>
    </row>
    <row r="2841" spans="1:1" x14ac:dyDescent="0.35">
      <c r="A2841" s="12"/>
    </row>
    <row r="2842" spans="1:1" x14ac:dyDescent="0.35">
      <c r="A2842" s="12"/>
    </row>
    <row r="2843" spans="1:1" x14ac:dyDescent="0.35">
      <c r="A2843" s="12"/>
    </row>
    <row r="2844" spans="1:1" x14ac:dyDescent="0.35">
      <c r="A2844" s="12"/>
    </row>
    <row r="2845" spans="1:1" x14ac:dyDescent="0.35">
      <c r="A2845" s="12"/>
    </row>
    <row r="2846" spans="1:1" x14ac:dyDescent="0.35">
      <c r="A2846" s="12"/>
    </row>
    <row r="2847" spans="1:1" x14ac:dyDescent="0.35">
      <c r="A2847" s="12"/>
    </row>
    <row r="2848" spans="1:1" x14ac:dyDescent="0.35">
      <c r="A2848" s="12"/>
    </row>
    <row r="2849" spans="1:1" x14ac:dyDescent="0.35">
      <c r="A2849" s="12"/>
    </row>
    <row r="2850" spans="1:1" x14ac:dyDescent="0.35">
      <c r="A2850" s="12"/>
    </row>
    <row r="2851" spans="1:1" x14ac:dyDescent="0.35">
      <c r="A2851" s="12"/>
    </row>
    <row r="2852" spans="1:1" x14ac:dyDescent="0.35">
      <c r="A2852" s="12"/>
    </row>
    <row r="2853" spans="1:1" x14ac:dyDescent="0.35">
      <c r="A2853" s="12"/>
    </row>
    <row r="2854" spans="1:1" x14ac:dyDescent="0.35">
      <c r="A2854" s="12"/>
    </row>
    <row r="2855" spans="1:1" x14ac:dyDescent="0.35">
      <c r="A2855" s="12"/>
    </row>
    <row r="2856" spans="1:1" x14ac:dyDescent="0.35">
      <c r="A2856" s="12"/>
    </row>
    <row r="2857" spans="1:1" x14ac:dyDescent="0.35">
      <c r="A2857" s="12"/>
    </row>
    <row r="2858" spans="1:1" x14ac:dyDescent="0.35">
      <c r="A2858" s="12"/>
    </row>
    <row r="2859" spans="1:1" x14ac:dyDescent="0.35">
      <c r="A2859" s="12"/>
    </row>
    <row r="2860" spans="1:1" x14ac:dyDescent="0.35">
      <c r="A2860" s="12"/>
    </row>
    <row r="2861" spans="1:1" x14ac:dyDescent="0.35">
      <c r="A2861" s="12"/>
    </row>
    <row r="2862" spans="1:1" x14ac:dyDescent="0.35">
      <c r="A2862" s="12"/>
    </row>
    <row r="2863" spans="1:1" x14ac:dyDescent="0.35">
      <c r="A2863" s="12"/>
    </row>
    <row r="2864" spans="1:1" x14ac:dyDescent="0.35">
      <c r="A2864" s="12"/>
    </row>
    <row r="2865" spans="1:1" x14ac:dyDescent="0.35">
      <c r="A2865" s="12"/>
    </row>
    <row r="2866" spans="1:1" x14ac:dyDescent="0.35">
      <c r="A2866" s="12"/>
    </row>
    <row r="2867" spans="1:1" x14ac:dyDescent="0.35">
      <c r="A2867" s="12"/>
    </row>
    <row r="2868" spans="1:1" x14ac:dyDescent="0.35">
      <c r="A2868" s="12"/>
    </row>
    <row r="2869" spans="1:1" x14ac:dyDescent="0.35">
      <c r="A2869" s="12"/>
    </row>
    <row r="2870" spans="1:1" x14ac:dyDescent="0.35">
      <c r="A2870" s="12"/>
    </row>
    <row r="2871" spans="1:1" x14ac:dyDescent="0.35">
      <c r="A2871" s="12"/>
    </row>
    <row r="2872" spans="1:1" x14ac:dyDescent="0.35">
      <c r="A2872" s="12"/>
    </row>
    <row r="2873" spans="1:1" x14ac:dyDescent="0.35">
      <c r="A2873" s="12"/>
    </row>
    <row r="2874" spans="1:1" x14ac:dyDescent="0.35">
      <c r="A2874" s="12"/>
    </row>
    <row r="2875" spans="1:1" x14ac:dyDescent="0.35">
      <c r="A2875" s="12"/>
    </row>
    <row r="2876" spans="1:1" x14ac:dyDescent="0.35">
      <c r="A2876" s="12"/>
    </row>
    <row r="2877" spans="1:1" x14ac:dyDescent="0.35">
      <c r="A2877" s="12"/>
    </row>
    <row r="2878" spans="1:1" x14ac:dyDescent="0.35">
      <c r="A2878" s="12"/>
    </row>
    <row r="2879" spans="1:1" x14ac:dyDescent="0.35">
      <c r="A2879" s="12"/>
    </row>
    <row r="2880" spans="1:1" x14ac:dyDescent="0.35">
      <c r="A2880" s="12"/>
    </row>
    <row r="2881" spans="1:1" x14ac:dyDescent="0.35">
      <c r="A2881" s="12"/>
    </row>
    <row r="2882" spans="1:1" x14ac:dyDescent="0.35">
      <c r="A2882" s="12"/>
    </row>
    <row r="2883" spans="1:1" x14ac:dyDescent="0.35">
      <c r="A2883" s="12"/>
    </row>
    <row r="2884" spans="1:1" x14ac:dyDescent="0.35">
      <c r="A2884" s="12"/>
    </row>
    <row r="2885" spans="1:1" x14ac:dyDescent="0.35">
      <c r="A2885" s="12"/>
    </row>
    <row r="2886" spans="1:1" x14ac:dyDescent="0.35">
      <c r="A2886" s="12"/>
    </row>
    <row r="2887" spans="1:1" x14ac:dyDescent="0.35">
      <c r="A2887" s="12"/>
    </row>
    <row r="2888" spans="1:1" x14ac:dyDescent="0.35">
      <c r="A2888" s="12"/>
    </row>
    <row r="2889" spans="1:1" x14ac:dyDescent="0.35">
      <c r="A2889" s="12"/>
    </row>
    <row r="2890" spans="1:1" x14ac:dyDescent="0.35">
      <c r="A2890" s="12"/>
    </row>
    <row r="2891" spans="1:1" x14ac:dyDescent="0.35">
      <c r="A2891" s="12"/>
    </row>
    <row r="2892" spans="1:1" x14ac:dyDescent="0.35">
      <c r="A2892" s="12"/>
    </row>
    <row r="2893" spans="1:1" x14ac:dyDescent="0.35">
      <c r="A2893" s="12"/>
    </row>
    <row r="2894" spans="1:1" x14ac:dyDescent="0.35">
      <c r="A2894" s="12"/>
    </row>
    <row r="2895" spans="1:1" x14ac:dyDescent="0.35">
      <c r="A2895" s="12"/>
    </row>
    <row r="2896" spans="1:1" x14ac:dyDescent="0.35">
      <c r="A2896" s="12"/>
    </row>
    <row r="2897" spans="1:1" x14ac:dyDescent="0.35">
      <c r="A2897" s="12"/>
    </row>
    <row r="2898" spans="1:1" x14ac:dyDescent="0.35">
      <c r="A2898" s="12"/>
    </row>
    <row r="2899" spans="1:1" x14ac:dyDescent="0.35">
      <c r="A2899" s="12"/>
    </row>
    <row r="2900" spans="1:1" x14ac:dyDescent="0.35">
      <c r="A2900" s="12"/>
    </row>
    <row r="2901" spans="1:1" x14ac:dyDescent="0.35">
      <c r="A2901" s="12"/>
    </row>
    <row r="2902" spans="1:1" x14ac:dyDescent="0.35">
      <c r="A2902" s="12"/>
    </row>
    <row r="2903" spans="1:1" x14ac:dyDescent="0.35">
      <c r="A2903" s="12"/>
    </row>
    <row r="2904" spans="1:1" x14ac:dyDescent="0.35">
      <c r="A2904" s="12"/>
    </row>
    <row r="2905" spans="1:1" x14ac:dyDescent="0.35">
      <c r="A2905" s="12"/>
    </row>
    <row r="2906" spans="1:1" x14ac:dyDescent="0.35">
      <c r="A2906" s="12"/>
    </row>
    <row r="2907" spans="1:1" x14ac:dyDescent="0.35">
      <c r="A2907" s="12"/>
    </row>
    <row r="2908" spans="1:1" x14ac:dyDescent="0.35">
      <c r="A2908" s="12"/>
    </row>
    <row r="2909" spans="1:1" x14ac:dyDescent="0.35">
      <c r="A2909" s="12"/>
    </row>
    <row r="2910" spans="1:1" x14ac:dyDescent="0.35">
      <c r="A2910" s="12"/>
    </row>
    <row r="2911" spans="1:1" x14ac:dyDescent="0.35">
      <c r="A2911" s="12"/>
    </row>
    <row r="2912" spans="1:1" x14ac:dyDescent="0.35">
      <c r="A2912" s="12"/>
    </row>
    <row r="2913" spans="1:1" x14ac:dyDescent="0.35">
      <c r="A2913" s="12"/>
    </row>
    <row r="2914" spans="1:1" x14ac:dyDescent="0.35">
      <c r="A2914" s="12"/>
    </row>
    <row r="2915" spans="1:1" x14ac:dyDescent="0.35">
      <c r="A2915" s="12"/>
    </row>
    <row r="2916" spans="1:1" x14ac:dyDescent="0.35">
      <c r="A2916" s="12"/>
    </row>
    <row r="2917" spans="1:1" x14ac:dyDescent="0.35">
      <c r="A2917" s="12"/>
    </row>
    <row r="2918" spans="1:1" x14ac:dyDescent="0.35">
      <c r="A2918" s="12"/>
    </row>
    <row r="2919" spans="1:1" x14ac:dyDescent="0.35">
      <c r="A2919" s="12"/>
    </row>
    <row r="2920" spans="1:1" x14ac:dyDescent="0.35">
      <c r="A2920" s="12"/>
    </row>
    <row r="2921" spans="1:1" x14ac:dyDescent="0.35">
      <c r="A2921" s="12"/>
    </row>
    <row r="2922" spans="1:1" x14ac:dyDescent="0.35">
      <c r="A2922" s="12"/>
    </row>
    <row r="2923" spans="1:1" x14ac:dyDescent="0.35">
      <c r="A2923" s="12"/>
    </row>
    <row r="2924" spans="1:1" x14ac:dyDescent="0.35">
      <c r="A2924" s="12"/>
    </row>
    <row r="2925" spans="1:1" x14ac:dyDescent="0.35">
      <c r="A2925" s="12"/>
    </row>
    <row r="2926" spans="1:1" x14ac:dyDescent="0.35">
      <c r="A2926" s="12"/>
    </row>
    <row r="2927" spans="1:1" x14ac:dyDescent="0.35">
      <c r="A2927" s="12"/>
    </row>
    <row r="2928" spans="1:1" x14ac:dyDescent="0.35">
      <c r="A2928" s="12"/>
    </row>
    <row r="2929" spans="1:1" x14ac:dyDescent="0.35">
      <c r="A2929" s="12"/>
    </row>
    <row r="2930" spans="1:1" x14ac:dyDescent="0.35">
      <c r="A2930" s="12"/>
    </row>
    <row r="2931" spans="1:1" x14ac:dyDescent="0.35">
      <c r="A2931" s="12"/>
    </row>
    <row r="2932" spans="1:1" x14ac:dyDescent="0.35">
      <c r="A2932" s="12"/>
    </row>
    <row r="2933" spans="1:1" x14ac:dyDescent="0.35">
      <c r="A2933" s="12"/>
    </row>
    <row r="2934" spans="1:1" x14ac:dyDescent="0.35">
      <c r="A2934" s="12"/>
    </row>
    <row r="2935" spans="1:1" x14ac:dyDescent="0.35">
      <c r="A2935" s="12"/>
    </row>
    <row r="2936" spans="1:1" x14ac:dyDescent="0.35">
      <c r="A2936" s="12"/>
    </row>
    <row r="2937" spans="1:1" x14ac:dyDescent="0.35">
      <c r="A2937" s="12"/>
    </row>
    <row r="2938" spans="1:1" x14ac:dyDescent="0.35">
      <c r="A2938" s="12"/>
    </row>
    <row r="2939" spans="1:1" x14ac:dyDescent="0.35">
      <c r="A2939" s="12"/>
    </row>
    <row r="2940" spans="1:1" x14ac:dyDescent="0.35">
      <c r="A2940" s="12"/>
    </row>
    <row r="2941" spans="1:1" x14ac:dyDescent="0.35">
      <c r="A2941" s="12"/>
    </row>
    <row r="2942" spans="1:1" x14ac:dyDescent="0.35">
      <c r="A2942" s="12"/>
    </row>
    <row r="2943" spans="1:1" x14ac:dyDescent="0.35">
      <c r="A2943" s="12"/>
    </row>
    <row r="2944" spans="1:1" x14ac:dyDescent="0.35">
      <c r="A2944" s="12"/>
    </row>
    <row r="2945" spans="1:1" x14ac:dyDescent="0.35">
      <c r="A2945" s="12"/>
    </row>
    <row r="2946" spans="1:1" x14ac:dyDescent="0.35">
      <c r="A2946" s="12"/>
    </row>
    <row r="2947" spans="1:1" x14ac:dyDescent="0.35">
      <c r="A2947" s="12"/>
    </row>
    <row r="2948" spans="1:1" x14ac:dyDescent="0.35">
      <c r="A2948" s="12"/>
    </row>
    <row r="2949" spans="1:1" x14ac:dyDescent="0.35">
      <c r="A2949" s="12"/>
    </row>
    <row r="2950" spans="1:1" x14ac:dyDescent="0.35">
      <c r="A2950" s="12"/>
    </row>
    <row r="2951" spans="1:1" x14ac:dyDescent="0.35">
      <c r="A2951" s="12"/>
    </row>
    <row r="2952" spans="1:1" x14ac:dyDescent="0.35">
      <c r="A2952" s="12"/>
    </row>
    <row r="2953" spans="1:1" x14ac:dyDescent="0.35">
      <c r="A2953" s="12"/>
    </row>
    <row r="2954" spans="1:1" x14ac:dyDescent="0.35">
      <c r="A2954" s="12"/>
    </row>
    <row r="2955" spans="1:1" x14ac:dyDescent="0.35">
      <c r="A2955" s="12"/>
    </row>
    <row r="2956" spans="1:1" x14ac:dyDescent="0.35">
      <c r="A2956" s="12"/>
    </row>
    <row r="2957" spans="1:1" x14ac:dyDescent="0.35">
      <c r="A2957" s="12"/>
    </row>
    <row r="2958" spans="1:1" x14ac:dyDescent="0.35">
      <c r="A2958" s="12"/>
    </row>
    <row r="2959" spans="1:1" x14ac:dyDescent="0.35">
      <c r="A2959" s="12"/>
    </row>
    <row r="2960" spans="1:1" x14ac:dyDescent="0.35">
      <c r="A2960" s="12"/>
    </row>
    <row r="2961" spans="1:1" x14ac:dyDescent="0.35">
      <c r="A2961" s="12"/>
    </row>
    <row r="2962" spans="1:1" x14ac:dyDescent="0.35">
      <c r="A2962" s="12"/>
    </row>
    <row r="2963" spans="1:1" x14ac:dyDescent="0.35">
      <c r="A2963" s="12"/>
    </row>
    <row r="2964" spans="1:1" x14ac:dyDescent="0.35">
      <c r="A2964" s="12"/>
    </row>
    <row r="2965" spans="1:1" x14ac:dyDescent="0.35">
      <c r="A2965" s="12"/>
    </row>
    <row r="2966" spans="1:1" x14ac:dyDescent="0.35">
      <c r="A2966" s="12"/>
    </row>
    <row r="2967" spans="1:1" x14ac:dyDescent="0.35">
      <c r="A2967" s="12"/>
    </row>
    <row r="2968" spans="1:1" x14ac:dyDescent="0.35">
      <c r="A2968" s="12"/>
    </row>
    <row r="2969" spans="1:1" x14ac:dyDescent="0.35">
      <c r="A2969" s="12"/>
    </row>
    <row r="2970" spans="1:1" x14ac:dyDescent="0.35">
      <c r="A2970" s="12"/>
    </row>
    <row r="2971" spans="1:1" x14ac:dyDescent="0.35">
      <c r="A2971" s="12"/>
    </row>
    <row r="2972" spans="1:1" x14ac:dyDescent="0.35">
      <c r="A2972" s="12"/>
    </row>
    <row r="2973" spans="1:1" x14ac:dyDescent="0.35">
      <c r="A2973" s="12"/>
    </row>
    <row r="2974" spans="1:1" x14ac:dyDescent="0.35">
      <c r="A2974" s="12"/>
    </row>
    <row r="2975" spans="1:1" x14ac:dyDescent="0.35">
      <c r="A2975" s="12"/>
    </row>
    <row r="2976" spans="1:1" x14ac:dyDescent="0.35">
      <c r="A2976" s="12"/>
    </row>
    <row r="2977" spans="1:1" x14ac:dyDescent="0.35">
      <c r="A2977" s="12"/>
    </row>
    <row r="2978" spans="1:1" x14ac:dyDescent="0.35">
      <c r="A2978" s="12"/>
    </row>
    <row r="2979" spans="1:1" x14ac:dyDescent="0.35">
      <c r="A2979" s="12"/>
    </row>
    <row r="2980" spans="1:1" x14ac:dyDescent="0.35">
      <c r="A2980" s="12"/>
    </row>
    <row r="2981" spans="1:1" x14ac:dyDescent="0.35">
      <c r="A2981" s="12"/>
    </row>
    <row r="2982" spans="1:1" x14ac:dyDescent="0.35">
      <c r="A2982" s="12"/>
    </row>
    <row r="2983" spans="1:1" x14ac:dyDescent="0.35">
      <c r="A2983" s="12"/>
    </row>
    <row r="2984" spans="1:1" x14ac:dyDescent="0.35">
      <c r="A2984" s="12"/>
    </row>
    <row r="2985" spans="1:1" x14ac:dyDescent="0.35">
      <c r="A2985" s="12"/>
    </row>
    <row r="2986" spans="1:1" x14ac:dyDescent="0.35">
      <c r="A2986" s="12"/>
    </row>
    <row r="2987" spans="1:1" x14ac:dyDescent="0.35">
      <c r="A2987" s="12"/>
    </row>
    <row r="2988" spans="1:1" x14ac:dyDescent="0.35">
      <c r="A2988" s="12"/>
    </row>
    <row r="2989" spans="1:1" x14ac:dyDescent="0.35">
      <c r="A2989" s="12"/>
    </row>
    <row r="2990" spans="1:1" x14ac:dyDescent="0.35">
      <c r="A2990" s="12"/>
    </row>
    <row r="2991" spans="1:1" x14ac:dyDescent="0.35">
      <c r="A2991" s="12"/>
    </row>
    <row r="2992" spans="1:1" x14ac:dyDescent="0.35">
      <c r="A2992" s="12"/>
    </row>
    <row r="2993" spans="1:1" x14ac:dyDescent="0.35">
      <c r="A2993" s="12"/>
    </row>
    <row r="2994" spans="1:1" x14ac:dyDescent="0.35">
      <c r="A2994" s="12"/>
    </row>
    <row r="2995" spans="1:1" x14ac:dyDescent="0.35">
      <c r="A2995" s="12"/>
    </row>
    <row r="2996" spans="1:1" x14ac:dyDescent="0.35">
      <c r="A2996" s="12"/>
    </row>
    <row r="2997" spans="1:1" x14ac:dyDescent="0.35">
      <c r="A2997" s="12"/>
    </row>
    <row r="2998" spans="1:1" x14ac:dyDescent="0.35">
      <c r="A2998" s="12"/>
    </row>
    <row r="2999" spans="1:1" x14ac:dyDescent="0.35">
      <c r="A2999" s="12"/>
    </row>
    <row r="3000" spans="1:1" x14ac:dyDescent="0.35">
      <c r="A3000" s="12"/>
    </row>
    <row r="3001" spans="1:1" x14ac:dyDescent="0.35">
      <c r="A3001" s="12"/>
    </row>
    <row r="3002" spans="1:1" x14ac:dyDescent="0.35">
      <c r="A3002" s="12"/>
    </row>
    <row r="3003" spans="1:1" x14ac:dyDescent="0.35">
      <c r="A3003" s="12"/>
    </row>
    <row r="3004" spans="1:1" x14ac:dyDescent="0.35">
      <c r="A3004" s="12"/>
    </row>
    <row r="3005" spans="1:1" x14ac:dyDescent="0.35">
      <c r="A3005" s="12"/>
    </row>
    <row r="3006" spans="1:1" x14ac:dyDescent="0.35">
      <c r="A3006" s="12"/>
    </row>
    <row r="3007" spans="1:1" x14ac:dyDescent="0.35">
      <c r="A3007" s="12"/>
    </row>
    <row r="3008" spans="1:1" x14ac:dyDescent="0.35">
      <c r="A3008" s="12"/>
    </row>
    <row r="3009" spans="1:1" x14ac:dyDescent="0.35">
      <c r="A3009" s="12"/>
    </row>
    <row r="3010" spans="1:1" x14ac:dyDescent="0.35">
      <c r="A3010" s="12"/>
    </row>
    <row r="3011" spans="1:1" x14ac:dyDescent="0.35">
      <c r="A3011" s="12"/>
    </row>
    <row r="3012" spans="1:1" x14ac:dyDescent="0.35">
      <c r="A3012" s="12"/>
    </row>
    <row r="3013" spans="1:1" x14ac:dyDescent="0.35">
      <c r="A3013" s="12"/>
    </row>
    <row r="3014" spans="1:1" x14ac:dyDescent="0.35">
      <c r="A3014" s="12"/>
    </row>
    <row r="3015" spans="1:1" x14ac:dyDescent="0.35">
      <c r="A3015" s="12"/>
    </row>
    <row r="3016" spans="1:1" x14ac:dyDescent="0.35">
      <c r="A3016" s="12"/>
    </row>
    <row r="3017" spans="1:1" x14ac:dyDescent="0.35">
      <c r="A3017" s="12"/>
    </row>
    <row r="3018" spans="1:1" x14ac:dyDescent="0.35">
      <c r="A3018" s="12"/>
    </row>
    <row r="3019" spans="1:1" x14ac:dyDescent="0.35">
      <c r="A3019" s="12"/>
    </row>
    <row r="3020" spans="1:1" x14ac:dyDescent="0.35">
      <c r="A3020" s="12"/>
    </row>
    <row r="3021" spans="1:1" x14ac:dyDescent="0.35">
      <c r="A3021" s="12"/>
    </row>
    <row r="3022" spans="1:1" x14ac:dyDescent="0.35">
      <c r="A3022" s="12"/>
    </row>
    <row r="3023" spans="1:1" x14ac:dyDescent="0.35">
      <c r="A3023" s="12"/>
    </row>
    <row r="3024" spans="1:1" x14ac:dyDescent="0.35">
      <c r="A3024" s="12"/>
    </row>
    <row r="3025" spans="1:1" x14ac:dyDescent="0.35">
      <c r="A3025" s="12"/>
    </row>
    <row r="3026" spans="1:1" x14ac:dyDescent="0.35">
      <c r="A3026" s="12"/>
    </row>
    <row r="3027" spans="1:1" x14ac:dyDescent="0.35">
      <c r="A3027" s="12"/>
    </row>
    <row r="3028" spans="1:1" x14ac:dyDescent="0.35">
      <c r="A3028" s="12"/>
    </row>
    <row r="3029" spans="1:1" x14ac:dyDescent="0.35">
      <c r="A3029" s="12"/>
    </row>
    <row r="3030" spans="1:1" x14ac:dyDescent="0.35">
      <c r="A3030" s="12"/>
    </row>
    <row r="3031" spans="1:1" x14ac:dyDescent="0.35">
      <c r="A3031" s="12"/>
    </row>
    <row r="3032" spans="1:1" x14ac:dyDescent="0.35">
      <c r="A3032" s="12"/>
    </row>
    <row r="3033" spans="1:1" x14ac:dyDescent="0.35">
      <c r="A3033" s="12"/>
    </row>
    <row r="3034" spans="1:1" x14ac:dyDescent="0.35">
      <c r="A3034" s="12"/>
    </row>
    <row r="3035" spans="1:1" x14ac:dyDescent="0.35">
      <c r="A3035" s="12"/>
    </row>
    <row r="3036" spans="1:1" x14ac:dyDescent="0.35">
      <c r="A3036" s="12"/>
    </row>
    <row r="3037" spans="1:1" x14ac:dyDescent="0.35">
      <c r="A3037" s="12"/>
    </row>
    <row r="3038" spans="1:1" x14ac:dyDescent="0.35">
      <c r="A3038" s="12"/>
    </row>
    <row r="3039" spans="1:1" x14ac:dyDescent="0.35">
      <c r="A3039" s="12"/>
    </row>
    <row r="3040" spans="1:1" x14ac:dyDescent="0.35">
      <c r="A3040" s="12"/>
    </row>
    <row r="3041" spans="1:1" x14ac:dyDescent="0.35">
      <c r="A3041" s="12"/>
    </row>
    <row r="3042" spans="1:1" x14ac:dyDescent="0.35">
      <c r="A3042" s="12"/>
    </row>
    <row r="3043" spans="1:1" x14ac:dyDescent="0.35">
      <c r="A3043" s="12"/>
    </row>
    <row r="3044" spans="1:1" x14ac:dyDescent="0.35">
      <c r="A3044" s="12"/>
    </row>
    <row r="3045" spans="1:1" x14ac:dyDescent="0.35">
      <c r="A3045" s="12"/>
    </row>
    <row r="3046" spans="1:1" x14ac:dyDescent="0.35">
      <c r="A3046" s="12"/>
    </row>
    <row r="3047" spans="1:1" x14ac:dyDescent="0.35">
      <c r="A3047" s="12"/>
    </row>
    <row r="3048" spans="1:1" x14ac:dyDescent="0.35">
      <c r="A3048" s="12"/>
    </row>
    <row r="3049" spans="1:1" x14ac:dyDescent="0.35">
      <c r="A3049" s="12"/>
    </row>
    <row r="3050" spans="1:1" x14ac:dyDescent="0.35">
      <c r="A3050" s="12"/>
    </row>
    <row r="3051" spans="1:1" x14ac:dyDescent="0.35">
      <c r="A3051" s="12"/>
    </row>
    <row r="3052" spans="1:1" x14ac:dyDescent="0.35">
      <c r="A3052" s="12"/>
    </row>
    <row r="3053" spans="1:1" x14ac:dyDescent="0.35">
      <c r="A3053" s="12"/>
    </row>
    <row r="3054" spans="1:1" x14ac:dyDescent="0.35">
      <c r="A3054" s="12"/>
    </row>
    <row r="3055" spans="1:1" x14ac:dyDescent="0.35">
      <c r="A3055" s="12"/>
    </row>
    <row r="3056" spans="1:1" x14ac:dyDescent="0.35">
      <c r="A3056" s="12"/>
    </row>
    <row r="3057" spans="1:1" x14ac:dyDescent="0.35">
      <c r="A3057" s="12"/>
    </row>
    <row r="3058" spans="1:1" x14ac:dyDescent="0.35">
      <c r="A3058" s="12"/>
    </row>
    <row r="3059" spans="1:1" x14ac:dyDescent="0.35">
      <c r="A3059" s="12"/>
    </row>
    <row r="3060" spans="1:1" x14ac:dyDescent="0.35">
      <c r="A3060" s="12"/>
    </row>
    <row r="3061" spans="1:1" x14ac:dyDescent="0.35">
      <c r="A3061" s="12"/>
    </row>
    <row r="3062" spans="1:1" x14ac:dyDescent="0.35">
      <c r="A3062" s="12"/>
    </row>
    <row r="3063" spans="1:1" x14ac:dyDescent="0.35">
      <c r="A3063" s="12"/>
    </row>
    <row r="3064" spans="1:1" x14ac:dyDescent="0.35">
      <c r="A3064" s="12"/>
    </row>
    <row r="3065" spans="1:1" x14ac:dyDescent="0.35">
      <c r="A3065" s="12"/>
    </row>
    <row r="3066" spans="1:1" x14ac:dyDescent="0.35">
      <c r="A3066" s="12"/>
    </row>
    <row r="3067" spans="1:1" x14ac:dyDescent="0.35">
      <c r="A3067" s="12"/>
    </row>
    <row r="3068" spans="1:1" x14ac:dyDescent="0.35">
      <c r="A3068" s="12"/>
    </row>
    <row r="3069" spans="1:1" x14ac:dyDescent="0.35">
      <c r="A3069" s="12"/>
    </row>
    <row r="3070" spans="1:1" x14ac:dyDescent="0.35">
      <c r="A3070" s="12"/>
    </row>
    <row r="3071" spans="1:1" x14ac:dyDescent="0.35">
      <c r="A3071" s="12"/>
    </row>
    <row r="3072" spans="1:1" x14ac:dyDescent="0.35">
      <c r="A3072" s="12"/>
    </row>
    <row r="3073" spans="1:1" x14ac:dyDescent="0.35">
      <c r="A3073" s="12"/>
    </row>
    <row r="3074" spans="1:1" x14ac:dyDescent="0.35">
      <c r="A3074" s="12"/>
    </row>
    <row r="3075" spans="1:1" x14ac:dyDescent="0.35">
      <c r="A3075" s="12"/>
    </row>
    <row r="3076" spans="1:1" x14ac:dyDescent="0.35">
      <c r="A3076" s="12"/>
    </row>
    <row r="3077" spans="1:1" x14ac:dyDescent="0.35">
      <c r="A3077" s="12"/>
    </row>
    <row r="3078" spans="1:1" x14ac:dyDescent="0.35">
      <c r="A3078" s="12"/>
    </row>
    <row r="3079" spans="1:1" x14ac:dyDescent="0.35">
      <c r="A3079" s="12"/>
    </row>
    <row r="3080" spans="1:1" x14ac:dyDescent="0.35">
      <c r="A3080" s="12"/>
    </row>
    <row r="3081" spans="1:1" x14ac:dyDescent="0.35">
      <c r="A3081" s="12"/>
    </row>
    <row r="3082" spans="1:1" x14ac:dyDescent="0.35">
      <c r="A3082" s="12"/>
    </row>
    <row r="3083" spans="1:1" x14ac:dyDescent="0.35">
      <c r="A3083" s="12"/>
    </row>
    <row r="3084" spans="1:1" x14ac:dyDescent="0.35">
      <c r="A3084" s="12"/>
    </row>
    <row r="3085" spans="1:1" x14ac:dyDescent="0.35">
      <c r="A3085" s="12"/>
    </row>
    <row r="3086" spans="1:1" x14ac:dyDescent="0.35">
      <c r="A3086" s="12"/>
    </row>
    <row r="3087" spans="1:1" x14ac:dyDescent="0.35">
      <c r="A3087" s="12"/>
    </row>
    <row r="3088" spans="1:1" x14ac:dyDescent="0.35">
      <c r="A3088" s="12"/>
    </row>
    <row r="3089" spans="1:1" x14ac:dyDescent="0.35">
      <c r="A3089" s="12"/>
    </row>
    <row r="3090" spans="1:1" x14ac:dyDescent="0.35">
      <c r="A3090" s="12"/>
    </row>
    <row r="3091" spans="1:1" x14ac:dyDescent="0.35">
      <c r="A3091" s="12"/>
    </row>
    <row r="3092" spans="1:1" x14ac:dyDescent="0.35">
      <c r="A3092" s="12"/>
    </row>
    <row r="3093" spans="1:1" x14ac:dyDescent="0.35">
      <c r="A3093" s="12"/>
    </row>
    <row r="3094" spans="1:1" x14ac:dyDescent="0.35">
      <c r="A3094" s="12"/>
    </row>
    <row r="3095" spans="1:1" x14ac:dyDescent="0.35">
      <c r="A3095" s="12"/>
    </row>
    <row r="3096" spans="1:1" x14ac:dyDescent="0.35">
      <c r="A3096" s="12"/>
    </row>
    <row r="3097" spans="1:1" x14ac:dyDescent="0.35">
      <c r="A3097" s="12"/>
    </row>
    <row r="3098" spans="1:1" x14ac:dyDescent="0.35">
      <c r="A3098" s="12"/>
    </row>
    <row r="3099" spans="1:1" x14ac:dyDescent="0.35">
      <c r="A3099" s="12"/>
    </row>
    <row r="3100" spans="1:1" x14ac:dyDescent="0.35">
      <c r="A3100" s="12"/>
    </row>
    <row r="3101" spans="1:1" x14ac:dyDescent="0.35">
      <c r="A3101" s="12"/>
    </row>
    <row r="3102" spans="1:1" x14ac:dyDescent="0.35">
      <c r="A3102" s="12"/>
    </row>
    <row r="3103" spans="1:1" x14ac:dyDescent="0.35">
      <c r="A3103" s="12"/>
    </row>
    <row r="3104" spans="1:1" x14ac:dyDescent="0.35">
      <c r="A3104" s="12"/>
    </row>
    <row r="3105" spans="1:1" x14ac:dyDescent="0.35">
      <c r="A3105" s="12"/>
    </row>
    <row r="3106" spans="1:1" x14ac:dyDescent="0.35">
      <c r="A3106" s="12"/>
    </row>
    <row r="3107" spans="1:1" x14ac:dyDescent="0.35">
      <c r="A3107" s="12"/>
    </row>
    <row r="3108" spans="1:1" x14ac:dyDescent="0.35">
      <c r="A3108" s="12"/>
    </row>
    <row r="3109" spans="1:1" x14ac:dyDescent="0.35">
      <c r="A3109" s="12"/>
    </row>
    <row r="3110" spans="1:1" x14ac:dyDescent="0.35">
      <c r="A3110" s="12"/>
    </row>
    <row r="3111" spans="1:1" x14ac:dyDescent="0.35">
      <c r="A3111" s="12"/>
    </row>
    <row r="3112" spans="1:1" x14ac:dyDescent="0.35">
      <c r="A3112" s="12"/>
    </row>
    <row r="3113" spans="1:1" x14ac:dyDescent="0.35">
      <c r="A3113" s="12"/>
    </row>
    <row r="3114" spans="1:1" x14ac:dyDescent="0.35">
      <c r="A3114" s="12"/>
    </row>
    <row r="3115" spans="1:1" x14ac:dyDescent="0.35">
      <c r="A3115" s="12"/>
    </row>
    <row r="3116" spans="1:1" x14ac:dyDescent="0.35">
      <c r="A3116" s="12"/>
    </row>
    <row r="3117" spans="1:1" x14ac:dyDescent="0.35">
      <c r="A3117" s="12"/>
    </row>
    <row r="3118" spans="1:1" x14ac:dyDescent="0.35">
      <c r="A3118" s="12"/>
    </row>
    <row r="3119" spans="1:1" x14ac:dyDescent="0.35">
      <c r="A3119" s="12"/>
    </row>
    <row r="3120" spans="1:1" x14ac:dyDescent="0.35">
      <c r="A3120" s="12"/>
    </row>
    <row r="3121" spans="1:1" x14ac:dyDescent="0.35">
      <c r="A3121" s="12"/>
    </row>
    <row r="3122" spans="1:1" x14ac:dyDescent="0.35">
      <c r="A3122" s="12"/>
    </row>
    <row r="3123" spans="1:1" x14ac:dyDescent="0.35">
      <c r="A3123" s="12"/>
    </row>
    <row r="3124" spans="1:1" x14ac:dyDescent="0.35">
      <c r="A3124" s="12"/>
    </row>
    <row r="3125" spans="1:1" x14ac:dyDescent="0.35">
      <c r="A3125" s="12"/>
    </row>
    <row r="3126" spans="1:1" x14ac:dyDescent="0.35">
      <c r="A3126" s="12"/>
    </row>
    <row r="3127" spans="1:1" x14ac:dyDescent="0.35">
      <c r="A3127" s="12"/>
    </row>
    <row r="3128" spans="1:1" x14ac:dyDescent="0.35">
      <c r="A3128" s="12"/>
    </row>
    <row r="3129" spans="1:1" x14ac:dyDescent="0.35">
      <c r="A3129" s="12"/>
    </row>
    <row r="3130" spans="1:1" x14ac:dyDescent="0.35">
      <c r="A3130" s="12"/>
    </row>
    <row r="3131" spans="1:1" x14ac:dyDescent="0.35">
      <c r="A3131" s="12"/>
    </row>
    <row r="3132" spans="1:1" x14ac:dyDescent="0.35">
      <c r="A3132" s="12"/>
    </row>
    <row r="3133" spans="1:1" x14ac:dyDescent="0.35">
      <c r="A3133" s="12"/>
    </row>
    <row r="3134" spans="1:1" x14ac:dyDescent="0.35">
      <c r="A3134" s="12"/>
    </row>
    <row r="3135" spans="1:1" x14ac:dyDescent="0.35">
      <c r="A3135" s="12"/>
    </row>
    <row r="3136" spans="1:1" x14ac:dyDescent="0.35">
      <c r="A3136" s="12"/>
    </row>
    <row r="3137" spans="1:1" x14ac:dyDescent="0.35">
      <c r="A3137" s="12"/>
    </row>
    <row r="3138" spans="1:1" x14ac:dyDescent="0.35">
      <c r="A3138" s="12"/>
    </row>
    <row r="3139" spans="1:1" x14ac:dyDescent="0.35">
      <c r="A3139" s="12"/>
    </row>
    <row r="3140" spans="1:1" x14ac:dyDescent="0.35">
      <c r="A3140" s="12"/>
    </row>
    <row r="3141" spans="1:1" x14ac:dyDescent="0.35">
      <c r="A3141" s="12"/>
    </row>
    <row r="3142" spans="1:1" x14ac:dyDescent="0.35">
      <c r="A3142" s="12"/>
    </row>
    <row r="3143" spans="1:1" x14ac:dyDescent="0.35">
      <c r="A3143" s="12"/>
    </row>
    <row r="3144" spans="1:1" x14ac:dyDescent="0.35">
      <c r="A3144" s="12"/>
    </row>
    <row r="3145" spans="1:1" x14ac:dyDescent="0.35">
      <c r="A3145" s="12"/>
    </row>
    <row r="3146" spans="1:1" x14ac:dyDescent="0.35">
      <c r="A3146" s="12"/>
    </row>
    <row r="3147" spans="1:1" x14ac:dyDescent="0.35">
      <c r="A3147" s="12"/>
    </row>
    <row r="3148" spans="1:1" x14ac:dyDescent="0.35">
      <c r="A3148" s="12"/>
    </row>
    <row r="3149" spans="1:1" x14ac:dyDescent="0.35">
      <c r="A3149" s="12"/>
    </row>
    <row r="3150" spans="1:1" x14ac:dyDescent="0.35">
      <c r="A3150" s="12"/>
    </row>
    <row r="3151" spans="1:1" x14ac:dyDescent="0.35">
      <c r="A3151" s="12"/>
    </row>
    <row r="3152" spans="1:1" x14ac:dyDescent="0.35">
      <c r="A3152" s="12"/>
    </row>
    <row r="3153" spans="1:1" x14ac:dyDescent="0.35">
      <c r="A3153" s="12"/>
    </row>
    <row r="3154" spans="1:1" x14ac:dyDescent="0.35">
      <c r="A3154" s="12"/>
    </row>
    <row r="3155" spans="1:1" x14ac:dyDescent="0.35">
      <c r="A3155" s="12"/>
    </row>
    <row r="3156" spans="1:1" x14ac:dyDescent="0.35">
      <c r="A3156" s="12"/>
    </row>
    <row r="3157" spans="1:1" x14ac:dyDescent="0.35">
      <c r="A3157" s="12"/>
    </row>
    <row r="3158" spans="1:1" x14ac:dyDescent="0.35">
      <c r="A3158" s="12"/>
    </row>
    <row r="3159" spans="1:1" x14ac:dyDescent="0.35">
      <c r="A3159" s="12"/>
    </row>
    <row r="3160" spans="1:1" x14ac:dyDescent="0.35">
      <c r="A3160" s="12"/>
    </row>
    <row r="3161" spans="1:1" x14ac:dyDescent="0.35">
      <c r="A3161" s="12"/>
    </row>
    <row r="3162" spans="1:1" x14ac:dyDescent="0.35">
      <c r="A3162" s="12"/>
    </row>
    <row r="3163" spans="1:1" x14ac:dyDescent="0.35">
      <c r="A3163" s="12"/>
    </row>
    <row r="3164" spans="1:1" x14ac:dyDescent="0.35">
      <c r="A3164" s="12"/>
    </row>
    <row r="3165" spans="1:1" x14ac:dyDescent="0.35">
      <c r="A3165" s="12"/>
    </row>
    <row r="3166" spans="1:1" x14ac:dyDescent="0.35">
      <c r="A3166" s="12"/>
    </row>
    <row r="3167" spans="1:1" x14ac:dyDescent="0.35">
      <c r="A3167" s="12"/>
    </row>
    <row r="3168" spans="1:1" x14ac:dyDescent="0.35">
      <c r="A3168" s="12"/>
    </row>
    <row r="3169" spans="1:1" x14ac:dyDescent="0.35">
      <c r="A3169" s="12"/>
    </row>
    <row r="3170" spans="1:1" x14ac:dyDescent="0.35">
      <c r="A3170" s="12"/>
    </row>
    <row r="3171" spans="1:1" x14ac:dyDescent="0.35">
      <c r="A3171" s="12"/>
    </row>
    <row r="3172" spans="1:1" x14ac:dyDescent="0.35">
      <c r="A3172" s="12"/>
    </row>
    <row r="3173" spans="1:1" x14ac:dyDescent="0.35">
      <c r="A3173" s="12"/>
    </row>
    <row r="3174" spans="1:1" x14ac:dyDescent="0.35">
      <c r="A3174" s="12"/>
    </row>
    <row r="3175" spans="1:1" x14ac:dyDescent="0.35">
      <c r="A3175" s="12"/>
    </row>
    <row r="3176" spans="1:1" x14ac:dyDescent="0.35">
      <c r="A3176" s="12"/>
    </row>
    <row r="3177" spans="1:1" x14ac:dyDescent="0.35">
      <c r="A3177" s="12"/>
    </row>
    <row r="3178" spans="1:1" x14ac:dyDescent="0.35">
      <c r="A3178" s="12"/>
    </row>
    <row r="3179" spans="1:1" x14ac:dyDescent="0.35">
      <c r="A3179" s="12"/>
    </row>
    <row r="3180" spans="1:1" x14ac:dyDescent="0.35">
      <c r="A3180" s="12"/>
    </row>
    <row r="3181" spans="1:1" x14ac:dyDescent="0.35">
      <c r="A3181" s="12"/>
    </row>
    <row r="3182" spans="1:1" x14ac:dyDescent="0.35">
      <c r="A3182" s="12"/>
    </row>
    <row r="3183" spans="1:1" x14ac:dyDescent="0.35">
      <c r="A3183" s="12"/>
    </row>
    <row r="3184" spans="1:1" x14ac:dyDescent="0.35">
      <c r="A3184" s="12"/>
    </row>
    <row r="3185" spans="1:1" x14ac:dyDescent="0.35">
      <c r="A3185" s="12"/>
    </row>
    <row r="3186" spans="1:1" x14ac:dyDescent="0.35">
      <c r="A3186" s="12"/>
    </row>
    <row r="3187" spans="1:1" x14ac:dyDescent="0.35">
      <c r="A3187" s="12"/>
    </row>
    <row r="3188" spans="1:1" x14ac:dyDescent="0.35">
      <c r="A3188" s="12"/>
    </row>
    <row r="3189" spans="1:1" x14ac:dyDescent="0.35">
      <c r="A3189" s="12"/>
    </row>
    <row r="3190" spans="1:1" x14ac:dyDescent="0.35">
      <c r="A3190" s="12"/>
    </row>
    <row r="3191" spans="1:1" x14ac:dyDescent="0.35">
      <c r="A3191" s="12"/>
    </row>
    <row r="3192" spans="1:1" x14ac:dyDescent="0.35">
      <c r="A3192" s="12"/>
    </row>
    <row r="3193" spans="1:1" x14ac:dyDescent="0.35">
      <c r="A3193" s="12"/>
    </row>
    <row r="3194" spans="1:1" x14ac:dyDescent="0.35">
      <c r="A3194" s="12"/>
    </row>
    <row r="3195" spans="1:1" x14ac:dyDescent="0.35">
      <c r="A3195" s="12"/>
    </row>
    <row r="3196" spans="1:1" x14ac:dyDescent="0.35">
      <c r="A3196" s="12"/>
    </row>
    <row r="3197" spans="1:1" x14ac:dyDescent="0.35">
      <c r="A3197" s="12"/>
    </row>
    <row r="3198" spans="1:1" x14ac:dyDescent="0.35">
      <c r="A3198" s="12"/>
    </row>
    <row r="3199" spans="1:1" x14ac:dyDescent="0.35">
      <c r="A3199" s="12"/>
    </row>
    <row r="3200" spans="1:1" x14ac:dyDescent="0.35">
      <c r="A3200" s="12"/>
    </row>
    <row r="3201" spans="1:1" x14ac:dyDescent="0.35">
      <c r="A3201" s="12"/>
    </row>
    <row r="3202" spans="1:1" x14ac:dyDescent="0.35">
      <c r="A3202" s="12"/>
    </row>
    <row r="3203" spans="1:1" x14ac:dyDescent="0.35">
      <c r="A3203" s="12"/>
    </row>
    <row r="3204" spans="1:1" x14ac:dyDescent="0.35">
      <c r="A3204" s="12"/>
    </row>
    <row r="3205" spans="1:1" x14ac:dyDescent="0.35">
      <c r="A3205" s="12"/>
    </row>
    <row r="3206" spans="1:1" x14ac:dyDescent="0.35">
      <c r="A3206" s="12"/>
    </row>
    <row r="3207" spans="1:1" x14ac:dyDescent="0.35">
      <c r="A3207" s="12"/>
    </row>
    <row r="3208" spans="1:1" x14ac:dyDescent="0.35">
      <c r="A3208" s="12"/>
    </row>
    <row r="3209" spans="1:1" x14ac:dyDescent="0.35">
      <c r="A3209" s="12"/>
    </row>
    <row r="3210" spans="1:1" x14ac:dyDescent="0.35">
      <c r="A3210" s="12"/>
    </row>
    <row r="3211" spans="1:1" x14ac:dyDescent="0.35">
      <c r="A3211" s="12"/>
    </row>
    <row r="3212" spans="1:1" x14ac:dyDescent="0.35">
      <c r="A3212" s="12"/>
    </row>
    <row r="3213" spans="1:1" x14ac:dyDescent="0.35">
      <c r="A3213" s="12"/>
    </row>
    <row r="3214" spans="1:1" x14ac:dyDescent="0.35">
      <c r="A3214" s="12"/>
    </row>
    <row r="3215" spans="1:1" x14ac:dyDescent="0.35">
      <c r="A3215" s="12"/>
    </row>
    <row r="3216" spans="1:1" x14ac:dyDescent="0.35">
      <c r="A3216" s="12"/>
    </row>
    <row r="3217" spans="1:1" x14ac:dyDescent="0.35">
      <c r="A3217" s="12"/>
    </row>
    <row r="3218" spans="1:1" x14ac:dyDescent="0.35">
      <c r="A3218" s="12"/>
    </row>
    <row r="3219" spans="1:1" x14ac:dyDescent="0.35">
      <c r="A3219" s="12"/>
    </row>
    <row r="3220" spans="1:1" x14ac:dyDescent="0.35">
      <c r="A3220" s="12"/>
    </row>
    <row r="3221" spans="1:1" x14ac:dyDescent="0.35">
      <c r="A3221" s="12"/>
    </row>
    <row r="3222" spans="1:1" x14ac:dyDescent="0.35">
      <c r="A3222" s="12"/>
    </row>
    <row r="3223" spans="1:1" x14ac:dyDescent="0.35">
      <c r="A3223" s="12"/>
    </row>
    <row r="3224" spans="1:1" x14ac:dyDescent="0.35">
      <c r="A3224" s="12"/>
    </row>
    <row r="3225" spans="1:1" x14ac:dyDescent="0.35">
      <c r="A3225" s="12"/>
    </row>
    <row r="3226" spans="1:1" x14ac:dyDescent="0.35">
      <c r="A3226" s="12"/>
    </row>
    <row r="3227" spans="1:1" x14ac:dyDescent="0.35">
      <c r="A3227" s="12"/>
    </row>
    <row r="3228" spans="1:1" x14ac:dyDescent="0.35">
      <c r="A3228" s="12"/>
    </row>
    <row r="3229" spans="1:1" x14ac:dyDescent="0.35">
      <c r="A3229" s="12"/>
    </row>
    <row r="3230" spans="1:1" x14ac:dyDescent="0.35">
      <c r="A3230" s="12"/>
    </row>
    <row r="3231" spans="1:1" x14ac:dyDescent="0.35">
      <c r="A3231" s="12"/>
    </row>
    <row r="3232" spans="1:1" x14ac:dyDescent="0.35">
      <c r="A3232" s="12"/>
    </row>
    <row r="3233" spans="1:1" x14ac:dyDescent="0.35">
      <c r="A3233" s="12"/>
    </row>
    <row r="3234" spans="1:1" x14ac:dyDescent="0.35">
      <c r="A3234" s="12"/>
    </row>
    <row r="3235" spans="1:1" x14ac:dyDescent="0.35">
      <c r="A3235" s="12"/>
    </row>
    <row r="3236" spans="1:1" x14ac:dyDescent="0.35">
      <c r="A3236" s="12"/>
    </row>
    <row r="3237" spans="1:1" x14ac:dyDescent="0.35">
      <c r="A3237" s="12"/>
    </row>
    <row r="3238" spans="1:1" x14ac:dyDescent="0.35">
      <c r="A3238" s="12"/>
    </row>
    <row r="3239" spans="1:1" x14ac:dyDescent="0.35">
      <c r="A3239" s="12"/>
    </row>
    <row r="3240" spans="1:1" x14ac:dyDescent="0.35">
      <c r="A3240" s="12"/>
    </row>
    <row r="3241" spans="1:1" x14ac:dyDescent="0.35">
      <c r="A3241" s="12"/>
    </row>
    <row r="3242" spans="1:1" x14ac:dyDescent="0.35">
      <c r="A3242" s="12"/>
    </row>
    <row r="3243" spans="1:1" x14ac:dyDescent="0.35">
      <c r="A3243" s="12"/>
    </row>
    <row r="3244" spans="1:1" x14ac:dyDescent="0.35">
      <c r="A3244" s="12"/>
    </row>
    <row r="3245" spans="1:1" x14ac:dyDescent="0.35">
      <c r="A3245" s="12"/>
    </row>
    <row r="3246" spans="1:1" x14ac:dyDescent="0.35">
      <c r="A3246" s="12"/>
    </row>
    <row r="3247" spans="1:1" x14ac:dyDescent="0.35">
      <c r="A3247" s="12"/>
    </row>
    <row r="3248" spans="1:1" x14ac:dyDescent="0.35">
      <c r="A3248" s="12"/>
    </row>
    <row r="3249" spans="1:1" x14ac:dyDescent="0.35">
      <c r="A3249" s="12"/>
    </row>
    <row r="3250" spans="1:1" x14ac:dyDescent="0.35">
      <c r="A3250" s="12"/>
    </row>
    <row r="3251" spans="1:1" x14ac:dyDescent="0.35">
      <c r="A3251" s="12"/>
    </row>
    <row r="3252" spans="1:1" x14ac:dyDescent="0.35">
      <c r="A3252" s="12"/>
    </row>
    <row r="3253" spans="1:1" x14ac:dyDescent="0.35">
      <c r="A3253" s="12"/>
    </row>
    <row r="3254" spans="1:1" x14ac:dyDescent="0.35">
      <c r="A3254" s="12"/>
    </row>
    <row r="3255" spans="1:1" x14ac:dyDescent="0.35">
      <c r="A3255" s="12"/>
    </row>
    <row r="3256" spans="1:1" x14ac:dyDescent="0.35">
      <c r="A3256" s="12"/>
    </row>
    <row r="3257" spans="1:1" x14ac:dyDescent="0.35">
      <c r="A3257" s="12"/>
    </row>
    <row r="3258" spans="1:1" x14ac:dyDescent="0.35">
      <c r="A3258" s="12"/>
    </row>
    <row r="3259" spans="1:1" x14ac:dyDescent="0.35">
      <c r="A3259" s="12"/>
    </row>
    <row r="3260" spans="1:1" x14ac:dyDescent="0.35">
      <c r="A3260" s="12"/>
    </row>
    <row r="3261" spans="1:1" x14ac:dyDescent="0.35">
      <c r="A3261" s="12"/>
    </row>
    <row r="3262" spans="1:1" x14ac:dyDescent="0.35">
      <c r="A3262" s="12"/>
    </row>
    <row r="3263" spans="1:1" x14ac:dyDescent="0.35">
      <c r="A3263" s="12"/>
    </row>
    <row r="3264" spans="1:1" x14ac:dyDescent="0.35">
      <c r="A3264" s="12"/>
    </row>
    <row r="3265" spans="1:1" x14ac:dyDescent="0.35">
      <c r="A3265" s="12"/>
    </row>
    <row r="3266" spans="1:1" x14ac:dyDescent="0.35">
      <c r="A3266" s="12"/>
    </row>
    <row r="3267" spans="1:1" x14ac:dyDescent="0.35">
      <c r="A3267" s="12"/>
    </row>
    <row r="3268" spans="1:1" x14ac:dyDescent="0.35">
      <c r="A3268" s="12"/>
    </row>
    <row r="3269" spans="1:1" x14ac:dyDescent="0.35">
      <c r="A3269" s="12"/>
    </row>
    <row r="3270" spans="1:1" x14ac:dyDescent="0.35">
      <c r="A3270" s="12"/>
    </row>
    <row r="3271" spans="1:1" x14ac:dyDescent="0.35">
      <c r="A3271" s="12"/>
    </row>
    <row r="3272" spans="1:1" x14ac:dyDescent="0.35">
      <c r="A3272" s="12"/>
    </row>
    <row r="3273" spans="1:1" x14ac:dyDescent="0.35">
      <c r="A3273" s="12"/>
    </row>
    <row r="3274" spans="1:1" x14ac:dyDescent="0.35">
      <c r="A3274" s="12"/>
    </row>
    <row r="3275" spans="1:1" x14ac:dyDescent="0.35">
      <c r="A3275" s="12"/>
    </row>
    <row r="3276" spans="1:1" x14ac:dyDescent="0.35">
      <c r="A3276" s="12"/>
    </row>
    <row r="3277" spans="1:1" x14ac:dyDescent="0.35">
      <c r="A3277" s="12"/>
    </row>
    <row r="3278" spans="1:1" x14ac:dyDescent="0.35">
      <c r="A3278" s="12"/>
    </row>
    <row r="3279" spans="1:1" x14ac:dyDescent="0.35">
      <c r="A3279" s="12"/>
    </row>
    <row r="3280" spans="1:1" x14ac:dyDescent="0.35">
      <c r="A3280" s="12"/>
    </row>
    <row r="3281" spans="1:1" x14ac:dyDescent="0.35">
      <c r="A3281" s="12"/>
    </row>
    <row r="3282" spans="1:1" x14ac:dyDescent="0.35">
      <c r="A3282" s="12"/>
    </row>
    <row r="3283" spans="1:1" x14ac:dyDescent="0.35">
      <c r="A3283" s="12"/>
    </row>
    <row r="3284" spans="1:1" x14ac:dyDescent="0.35">
      <c r="A3284" s="12"/>
    </row>
    <row r="3285" spans="1:1" x14ac:dyDescent="0.35">
      <c r="A3285" s="12"/>
    </row>
    <row r="3286" spans="1:1" x14ac:dyDescent="0.35">
      <c r="A3286" s="12"/>
    </row>
    <row r="3287" spans="1:1" x14ac:dyDescent="0.35">
      <c r="A3287" s="12"/>
    </row>
    <row r="3288" spans="1:1" x14ac:dyDescent="0.35">
      <c r="A3288" s="12"/>
    </row>
    <row r="3289" spans="1:1" x14ac:dyDescent="0.35">
      <c r="A3289" s="12"/>
    </row>
    <row r="3290" spans="1:1" x14ac:dyDescent="0.35">
      <c r="A3290" s="12"/>
    </row>
    <row r="3291" spans="1:1" x14ac:dyDescent="0.35">
      <c r="A3291" s="12"/>
    </row>
    <row r="3292" spans="1:1" x14ac:dyDescent="0.35">
      <c r="A3292" s="12"/>
    </row>
    <row r="3293" spans="1:1" x14ac:dyDescent="0.35">
      <c r="A3293" s="12"/>
    </row>
    <row r="3294" spans="1:1" x14ac:dyDescent="0.35">
      <c r="A3294" s="12"/>
    </row>
    <row r="3295" spans="1:1" x14ac:dyDescent="0.35">
      <c r="A3295" s="12"/>
    </row>
    <row r="3296" spans="1:1" x14ac:dyDescent="0.35">
      <c r="A3296" s="12"/>
    </row>
    <row r="3297" spans="1:1" x14ac:dyDescent="0.35">
      <c r="A3297" s="12"/>
    </row>
    <row r="3298" spans="1:1" x14ac:dyDescent="0.35">
      <c r="A3298" s="12"/>
    </row>
    <row r="3299" spans="1:1" x14ac:dyDescent="0.35">
      <c r="A3299" s="12"/>
    </row>
    <row r="3300" spans="1:1" x14ac:dyDescent="0.35">
      <c r="A3300" s="12"/>
    </row>
    <row r="3301" spans="1:1" x14ac:dyDescent="0.35">
      <c r="A3301" s="12"/>
    </row>
    <row r="3302" spans="1:1" x14ac:dyDescent="0.35">
      <c r="A3302" s="12"/>
    </row>
    <row r="3303" spans="1:1" x14ac:dyDescent="0.35">
      <c r="A3303" s="12"/>
    </row>
    <row r="3304" spans="1:1" x14ac:dyDescent="0.35">
      <c r="A3304" s="12"/>
    </row>
    <row r="3305" spans="1:1" x14ac:dyDescent="0.35">
      <c r="A3305" s="12"/>
    </row>
    <row r="3306" spans="1:1" x14ac:dyDescent="0.35">
      <c r="A3306" s="12"/>
    </row>
    <row r="3307" spans="1:1" x14ac:dyDescent="0.35">
      <c r="A3307" s="12"/>
    </row>
    <row r="3308" spans="1:1" x14ac:dyDescent="0.35">
      <c r="A3308" s="12"/>
    </row>
    <row r="3309" spans="1:1" x14ac:dyDescent="0.35">
      <c r="A3309" s="12"/>
    </row>
    <row r="3310" spans="1:1" x14ac:dyDescent="0.35">
      <c r="A3310" s="12"/>
    </row>
    <row r="3311" spans="1:1" x14ac:dyDescent="0.35">
      <c r="A3311" s="12"/>
    </row>
    <row r="3312" spans="1:1" x14ac:dyDescent="0.35">
      <c r="A3312" s="12"/>
    </row>
    <row r="3313" spans="1:1" x14ac:dyDescent="0.35">
      <c r="A3313" s="12"/>
    </row>
    <row r="3314" spans="1:1" x14ac:dyDescent="0.35">
      <c r="A3314" s="12"/>
    </row>
    <row r="3315" spans="1:1" x14ac:dyDescent="0.35">
      <c r="A3315" s="12"/>
    </row>
    <row r="3316" spans="1:1" x14ac:dyDescent="0.35">
      <c r="A3316" s="12"/>
    </row>
    <row r="3317" spans="1:1" x14ac:dyDescent="0.35">
      <c r="A3317" s="12"/>
    </row>
    <row r="3318" spans="1:1" x14ac:dyDescent="0.35">
      <c r="A3318" s="12"/>
    </row>
    <row r="3319" spans="1:1" x14ac:dyDescent="0.35">
      <c r="A3319" s="12"/>
    </row>
    <row r="3320" spans="1:1" x14ac:dyDescent="0.35">
      <c r="A3320" s="12"/>
    </row>
    <row r="3321" spans="1:1" x14ac:dyDescent="0.35">
      <c r="A3321" s="12"/>
    </row>
    <row r="3322" spans="1:1" x14ac:dyDescent="0.35">
      <c r="A3322" s="12"/>
    </row>
    <row r="3323" spans="1:1" x14ac:dyDescent="0.35">
      <c r="A3323" s="12"/>
    </row>
    <row r="3324" spans="1:1" x14ac:dyDescent="0.35">
      <c r="A3324" s="12"/>
    </row>
    <row r="3325" spans="1:1" x14ac:dyDescent="0.35">
      <c r="A3325" s="12"/>
    </row>
    <row r="3326" spans="1:1" x14ac:dyDescent="0.35">
      <c r="A3326" s="12"/>
    </row>
    <row r="3327" spans="1:1" x14ac:dyDescent="0.35">
      <c r="A3327" s="12"/>
    </row>
    <row r="3328" spans="1:1" x14ac:dyDescent="0.35">
      <c r="A3328" s="12"/>
    </row>
    <row r="3329" spans="1:1" x14ac:dyDescent="0.35">
      <c r="A3329" s="12"/>
    </row>
    <row r="3330" spans="1:1" x14ac:dyDescent="0.35">
      <c r="A3330" s="12"/>
    </row>
    <row r="3331" spans="1:1" x14ac:dyDescent="0.35">
      <c r="A3331" s="12"/>
    </row>
    <row r="3332" spans="1:1" x14ac:dyDescent="0.35">
      <c r="A3332" s="12"/>
    </row>
    <row r="3333" spans="1:1" x14ac:dyDescent="0.35">
      <c r="A3333" s="12"/>
    </row>
    <row r="3334" spans="1:1" x14ac:dyDescent="0.35">
      <c r="A3334" s="12"/>
    </row>
    <row r="3335" spans="1:1" x14ac:dyDescent="0.35">
      <c r="A3335" s="12"/>
    </row>
    <row r="3336" spans="1:1" x14ac:dyDescent="0.35">
      <c r="A3336" s="12"/>
    </row>
    <row r="3337" spans="1:1" x14ac:dyDescent="0.35">
      <c r="A3337" s="12"/>
    </row>
    <row r="3338" spans="1:1" x14ac:dyDescent="0.35">
      <c r="A3338" s="12"/>
    </row>
    <row r="3339" spans="1:1" x14ac:dyDescent="0.35">
      <c r="A3339" s="12"/>
    </row>
    <row r="3340" spans="1:1" x14ac:dyDescent="0.35">
      <c r="A3340" s="12"/>
    </row>
    <row r="3341" spans="1:1" x14ac:dyDescent="0.35">
      <c r="A3341" s="12"/>
    </row>
    <row r="3342" spans="1:1" x14ac:dyDescent="0.35">
      <c r="A3342" s="12"/>
    </row>
    <row r="3343" spans="1:1" x14ac:dyDescent="0.35">
      <c r="A3343" s="12"/>
    </row>
    <row r="3344" spans="1:1" x14ac:dyDescent="0.35">
      <c r="A3344" s="12"/>
    </row>
    <row r="3345" spans="1:1" x14ac:dyDescent="0.35">
      <c r="A3345" s="12"/>
    </row>
    <row r="3346" spans="1:1" x14ac:dyDescent="0.35">
      <c r="A3346" s="12"/>
    </row>
    <row r="3347" spans="1:1" x14ac:dyDescent="0.35">
      <c r="A3347" s="12"/>
    </row>
    <row r="3348" spans="1:1" x14ac:dyDescent="0.35">
      <c r="A3348" s="12"/>
    </row>
    <row r="3349" spans="1:1" x14ac:dyDescent="0.35">
      <c r="A3349" s="12"/>
    </row>
    <row r="3350" spans="1:1" x14ac:dyDescent="0.35">
      <c r="A3350" s="12"/>
    </row>
    <row r="3351" spans="1:1" x14ac:dyDescent="0.35">
      <c r="A3351" s="12"/>
    </row>
    <row r="3352" spans="1:1" x14ac:dyDescent="0.35">
      <c r="A3352" s="12"/>
    </row>
    <row r="3353" spans="1:1" x14ac:dyDescent="0.35">
      <c r="A3353" s="12"/>
    </row>
    <row r="3354" spans="1:1" x14ac:dyDescent="0.35">
      <c r="A3354" s="12"/>
    </row>
    <row r="3355" spans="1:1" x14ac:dyDescent="0.35">
      <c r="A3355" s="12"/>
    </row>
    <row r="3356" spans="1:1" x14ac:dyDescent="0.35">
      <c r="A3356" s="12"/>
    </row>
    <row r="3357" spans="1:1" x14ac:dyDescent="0.35">
      <c r="A3357" s="12"/>
    </row>
    <row r="3358" spans="1:1" x14ac:dyDescent="0.35">
      <c r="A3358" s="12"/>
    </row>
    <row r="3359" spans="1:1" x14ac:dyDescent="0.35">
      <c r="A3359" s="12"/>
    </row>
    <row r="3360" spans="1:1" x14ac:dyDescent="0.35">
      <c r="A3360" s="12"/>
    </row>
    <row r="3361" spans="1:1" x14ac:dyDescent="0.35">
      <c r="A3361" s="12"/>
    </row>
    <row r="3362" spans="1:1" x14ac:dyDescent="0.35">
      <c r="A3362" s="12"/>
    </row>
    <row r="3363" spans="1:1" x14ac:dyDescent="0.35">
      <c r="A3363" s="12"/>
    </row>
    <row r="3364" spans="1:1" x14ac:dyDescent="0.35">
      <c r="A3364" s="12"/>
    </row>
    <row r="3365" spans="1:1" x14ac:dyDescent="0.35">
      <c r="A3365" s="12"/>
    </row>
    <row r="3366" spans="1:1" x14ac:dyDescent="0.35">
      <c r="A3366" s="12"/>
    </row>
    <row r="3367" spans="1:1" x14ac:dyDescent="0.35">
      <c r="A3367" s="12"/>
    </row>
    <row r="3368" spans="1:1" x14ac:dyDescent="0.35">
      <c r="A3368" s="12"/>
    </row>
    <row r="3369" spans="1:1" x14ac:dyDescent="0.35">
      <c r="A3369" s="12"/>
    </row>
    <row r="3370" spans="1:1" x14ac:dyDescent="0.35">
      <c r="A3370" s="12"/>
    </row>
    <row r="3371" spans="1:1" x14ac:dyDescent="0.35">
      <c r="A3371" s="12"/>
    </row>
    <row r="3372" spans="1:1" x14ac:dyDescent="0.35">
      <c r="A3372" s="12"/>
    </row>
    <row r="3373" spans="1:1" x14ac:dyDescent="0.35">
      <c r="A3373" s="12"/>
    </row>
    <row r="3374" spans="1:1" x14ac:dyDescent="0.35">
      <c r="A3374" s="12"/>
    </row>
    <row r="3375" spans="1:1" x14ac:dyDescent="0.35">
      <c r="A3375" s="12"/>
    </row>
    <row r="3376" spans="1:1" x14ac:dyDescent="0.35">
      <c r="A3376" s="12"/>
    </row>
    <row r="3377" spans="1:1" x14ac:dyDescent="0.35">
      <c r="A3377" s="12"/>
    </row>
    <row r="3378" spans="1:1" x14ac:dyDescent="0.35">
      <c r="A3378" s="12"/>
    </row>
    <row r="3379" spans="1:1" x14ac:dyDescent="0.35">
      <c r="A3379" s="12"/>
    </row>
    <row r="3380" spans="1:1" x14ac:dyDescent="0.35">
      <c r="A3380" s="12"/>
    </row>
    <row r="3381" spans="1:1" x14ac:dyDescent="0.35">
      <c r="A3381" s="12"/>
    </row>
    <row r="3382" spans="1:1" x14ac:dyDescent="0.35">
      <c r="A3382" s="12"/>
    </row>
    <row r="3383" spans="1:1" x14ac:dyDescent="0.35">
      <c r="A3383" s="12"/>
    </row>
    <row r="3384" spans="1:1" x14ac:dyDescent="0.35">
      <c r="A3384" s="12"/>
    </row>
    <row r="3385" spans="1:1" x14ac:dyDescent="0.35">
      <c r="A3385" s="12"/>
    </row>
    <row r="3386" spans="1:1" x14ac:dyDescent="0.35">
      <c r="A3386" s="12"/>
    </row>
    <row r="3387" spans="1:1" x14ac:dyDescent="0.35">
      <c r="A3387" s="12"/>
    </row>
    <row r="3388" spans="1:1" x14ac:dyDescent="0.35">
      <c r="A3388" s="12"/>
    </row>
    <row r="3389" spans="1:1" x14ac:dyDescent="0.35">
      <c r="A3389" s="12"/>
    </row>
    <row r="3390" spans="1:1" x14ac:dyDescent="0.35">
      <c r="A3390" s="12"/>
    </row>
    <row r="3391" spans="1:1" x14ac:dyDescent="0.35">
      <c r="A3391" s="12"/>
    </row>
    <row r="3392" spans="1:1" x14ac:dyDescent="0.35">
      <c r="A3392" s="12"/>
    </row>
    <row r="3393" spans="1:1" x14ac:dyDescent="0.35">
      <c r="A3393" s="12"/>
    </row>
    <row r="3394" spans="1:1" x14ac:dyDescent="0.35">
      <c r="A3394" s="12"/>
    </row>
    <row r="3395" spans="1:1" x14ac:dyDescent="0.35">
      <c r="A3395" s="12"/>
    </row>
    <row r="3396" spans="1:1" x14ac:dyDescent="0.35">
      <c r="A3396" s="12"/>
    </row>
    <row r="3397" spans="1:1" x14ac:dyDescent="0.35">
      <c r="A3397" s="12"/>
    </row>
    <row r="3398" spans="1:1" x14ac:dyDescent="0.35">
      <c r="A3398" s="12"/>
    </row>
    <row r="3399" spans="1:1" x14ac:dyDescent="0.35">
      <c r="A3399" s="12"/>
    </row>
    <row r="3400" spans="1:1" x14ac:dyDescent="0.35">
      <c r="A3400" s="12"/>
    </row>
    <row r="3401" spans="1:1" x14ac:dyDescent="0.35">
      <c r="A3401" s="12"/>
    </row>
    <row r="3402" spans="1:1" x14ac:dyDescent="0.35">
      <c r="A3402" s="12"/>
    </row>
    <row r="3403" spans="1:1" x14ac:dyDescent="0.35">
      <c r="A3403" s="12"/>
    </row>
    <row r="3404" spans="1:1" x14ac:dyDescent="0.35">
      <c r="A3404" s="12"/>
    </row>
    <row r="3405" spans="1:1" x14ac:dyDescent="0.35">
      <c r="A3405" s="12"/>
    </row>
    <row r="3406" spans="1:1" x14ac:dyDescent="0.35">
      <c r="A3406" s="12"/>
    </row>
    <row r="3407" spans="1:1" x14ac:dyDescent="0.35">
      <c r="A3407" s="12"/>
    </row>
    <row r="3408" spans="1:1" x14ac:dyDescent="0.35">
      <c r="A3408" s="12"/>
    </row>
    <row r="3409" spans="1:1" x14ac:dyDescent="0.35">
      <c r="A3409" s="12"/>
    </row>
    <row r="3410" spans="1:1" x14ac:dyDescent="0.35">
      <c r="A3410" s="12"/>
    </row>
    <row r="3411" spans="1:1" x14ac:dyDescent="0.35">
      <c r="A3411" s="12"/>
    </row>
    <row r="3412" spans="1:1" x14ac:dyDescent="0.35">
      <c r="A3412" s="12"/>
    </row>
    <row r="3413" spans="1:1" x14ac:dyDescent="0.35">
      <c r="A3413" s="12"/>
    </row>
    <row r="3414" spans="1:1" x14ac:dyDescent="0.35">
      <c r="A3414" s="12"/>
    </row>
    <row r="3415" spans="1:1" x14ac:dyDescent="0.35">
      <c r="A3415" s="12"/>
    </row>
    <row r="3416" spans="1:1" x14ac:dyDescent="0.35">
      <c r="A3416" s="12"/>
    </row>
    <row r="3417" spans="1:1" x14ac:dyDescent="0.35">
      <c r="A3417" s="12"/>
    </row>
    <row r="3418" spans="1:1" x14ac:dyDescent="0.35">
      <c r="A3418" s="12"/>
    </row>
    <row r="3419" spans="1:1" x14ac:dyDescent="0.35">
      <c r="A3419" s="12"/>
    </row>
    <row r="3420" spans="1:1" x14ac:dyDescent="0.35">
      <c r="A3420" s="12"/>
    </row>
    <row r="3421" spans="1:1" x14ac:dyDescent="0.35">
      <c r="A3421" s="12"/>
    </row>
    <row r="3422" spans="1:1" x14ac:dyDescent="0.35">
      <c r="A3422" s="12"/>
    </row>
    <row r="3423" spans="1:1" x14ac:dyDescent="0.35">
      <c r="A3423" s="12"/>
    </row>
    <row r="3424" spans="1:1" x14ac:dyDescent="0.35">
      <c r="A3424" s="12"/>
    </row>
    <row r="3425" spans="1:1" x14ac:dyDescent="0.35">
      <c r="A3425" s="12"/>
    </row>
    <row r="3426" spans="1:1" x14ac:dyDescent="0.35">
      <c r="A3426" s="12"/>
    </row>
    <row r="3427" spans="1:1" x14ac:dyDescent="0.35">
      <c r="A3427" s="12"/>
    </row>
    <row r="3428" spans="1:1" x14ac:dyDescent="0.35">
      <c r="A3428" s="12"/>
    </row>
    <row r="3429" spans="1:1" x14ac:dyDescent="0.35">
      <c r="A3429" s="12"/>
    </row>
    <row r="3430" spans="1:1" x14ac:dyDescent="0.35">
      <c r="A3430" s="12"/>
    </row>
    <row r="3431" spans="1:1" x14ac:dyDescent="0.35">
      <c r="A3431" s="12"/>
    </row>
    <row r="3432" spans="1:1" x14ac:dyDescent="0.35">
      <c r="A3432" s="12"/>
    </row>
    <row r="3433" spans="1:1" x14ac:dyDescent="0.35">
      <c r="A3433" s="12"/>
    </row>
    <row r="3434" spans="1:1" x14ac:dyDescent="0.35">
      <c r="A3434" s="12"/>
    </row>
    <row r="3435" spans="1:1" x14ac:dyDescent="0.35">
      <c r="A3435" s="12"/>
    </row>
    <row r="3436" spans="1:1" x14ac:dyDescent="0.35">
      <c r="A3436" s="12"/>
    </row>
    <row r="3437" spans="1:1" x14ac:dyDescent="0.35">
      <c r="A3437" s="12"/>
    </row>
    <row r="3438" spans="1:1" x14ac:dyDescent="0.35">
      <c r="A3438" s="12"/>
    </row>
    <row r="3439" spans="1:1" x14ac:dyDescent="0.35">
      <c r="A3439" s="12"/>
    </row>
    <row r="3440" spans="1:1" x14ac:dyDescent="0.35">
      <c r="A3440" s="12"/>
    </row>
    <row r="3441" spans="1:1" x14ac:dyDescent="0.35">
      <c r="A3441" s="12"/>
    </row>
    <row r="3442" spans="1:1" x14ac:dyDescent="0.35">
      <c r="A3442" s="12"/>
    </row>
    <row r="3443" spans="1:1" x14ac:dyDescent="0.35">
      <c r="A3443" s="12"/>
    </row>
    <row r="3444" spans="1:1" x14ac:dyDescent="0.35">
      <c r="A3444" s="12"/>
    </row>
    <row r="3445" spans="1:1" x14ac:dyDescent="0.35">
      <c r="A3445" s="12"/>
    </row>
    <row r="3446" spans="1:1" x14ac:dyDescent="0.35">
      <c r="A3446" s="12"/>
    </row>
    <row r="3447" spans="1:1" x14ac:dyDescent="0.35">
      <c r="A3447" s="12"/>
    </row>
    <row r="3448" spans="1:1" x14ac:dyDescent="0.35">
      <c r="A3448" s="12"/>
    </row>
    <row r="3449" spans="1:1" x14ac:dyDescent="0.35">
      <c r="A3449" s="12"/>
    </row>
    <row r="3450" spans="1:1" x14ac:dyDescent="0.35">
      <c r="A3450" s="12"/>
    </row>
    <row r="3451" spans="1:1" x14ac:dyDescent="0.35">
      <c r="A3451" s="12"/>
    </row>
    <row r="3452" spans="1:1" x14ac:dyDescent="0.35">
      <c r="A3452" s="12"/>
    </row>
    <row r="3453" spans="1:1" x14ac:dyDescent="0.35">
      <c r="A3453" s="12"/>
    </row>
    <row r="3454" spans="1:1" x14ac:dyDescent="0.35">
      <c r="A3454" s="12"/>
    </row>
    <row r="3455" spans="1:1" x14ac:dyDescent="0.35">
      <c r="A3455" s="12"/>
    </row>
    <row r="3456" spans="1:1" x14ac:dyDescent="0.35">
      <c r="A3456" s="12"/>
    </row>
    <row r="3457" spans="1:1" x14ac:dyDescent="0.35">
      <c r="A3457" s="12"/>
    </row>
    <row r="3458" spans="1:1" x14ac:dyDescent="0.35">
      <c r="A3458" s="12"/>
    </row>
    <row r="3459" spans="1:1" x14ac:dyDescent="0.35">
      <c r="A3459" s="12"/>
    </row>
    <row r="3460" spans="1:1" x14ac:dyDescent="0.35">
      <c r="A3460" s="12"/>
    </row>
    <row r="3461" spans="1:1" x14ac:dyDescent="0.35">
      <c r="A3461" s="12"/>
    </row>
    <row r="3462" spans="1:1" x14ac:dyDescent="0.35">
      <c r="A3462" s="12"/>
    </row>
    <row r="3463" spans="1:1" x14ac:dyDescent="0.35">
      <c r="A3463" s="12"/>
    </row>
    <row r="3464" spans="1:1" x14ac:dyDescent="0.35">
      <c r="A3464" s="12"/>
    </row>
    <row r="3465" spans="1:1" x14ac:dyDescent="0.35">
      <c r="A3465" s="12"/>
    </row>
    <row r="3466" spans="1:1" x14ac:dyDescent="0.35">
      <c r="A3466" s="12"/>
    </row>
    <row r="3467" spans="1:1" x14ac:dyDescent="0.35">
      <c r="A3467" s="12"/>
    </row>
    <row r="3468" spans="1:1" x14ac:dyDescent="0.35">
      <c r="A3468" s="12"/>
    </row>
    <row r="3469" spans="1:1" x14ac:dyDescent="0.35">
      <c r="A3469" s="12"/>
    </row>
    <row r="3470" spans="1:1" x14ac:dyDescent="0.35">
      <c r="A3470" s="12"/>
    </row>
    <row r="3471" spans="1:1" x14ac:dyDescent="0.35">
      <c r="A3471" s="12"/>
    </row>
    <row r="3472" spans="1:1" x14ac:dyDescent="0.35">
      <c r="A3472" s="12"/>
    </row>
    <row r="3473" spans="1:1" x14ac:dyDescent="0.35">
      <c r="A3473" s="12"/>
    </row>
    <row r="3474" spans="1:1" x14ac:dyDescent="0.35">
      <c r="A3474" s="12"/>
    </row>
    <row r="3475" spans="1:1" x14ac:dyDescent="0.35">
      <c r="A3475" s="12"/>
    </row>
    <row r="3476" spans="1:1" x14ac:dyDescent="0.35">
      <c r="A3476" s="12"/>
    </row>
    <row r="3477" spans="1:1" x14ac:dyDescent="0.35">
      <c r="A3477" s="12"/>
    </row>
    <row r="3478" spans="1:1" x14ac:dyDescent="0.35">
      <c r="A3478" s="12"/>
    </row>
    <row r="3479" spans="1:1" x14ac:dyDescent="0.35">
      <c r="A3479" s="12"/>
    </row>
    <row r="3480" spans="1:1" x14ac:dyDescent="0.35">
      <c r="A3480" s="12"/>
    </row>
    <row r="3481" spans="1:1" x14ac:dyDescent="0.35">
      <c r="A3481" s="12"/>
    </row>
    <row r="3482" spans="1:1" x14ac:dyDescent="0.35">
      <c r="A3482" s="12"/>
    </row>
    <row r="3483" spans="1:1" x14ac:dyDescent="0.35">
      <c r="A3483" s="12"/>
    </row>
    <row r="3484" spans="1:1" x14ac:dyDescent="0.35">
      <c r="A3484" s="12"/>
    </row>
    <row r="3485" spans="1:1" x14ac:dyDescent="0.35">
      <c r="A3485" s="12"/>
    </row>
    <row r="3486" spans="1:1" x14ac:dyDescent="0.35">
      <c r="A3486" s="12"/>
    </row>
    <row r="3487" spans="1:1" x14ac:dyDescent="0.35">
      <c r="A3487" s="12"/>
    </row>
    <row r="3488" spans="1:1" x14ac:dyDescent="0.35">
      <c r="A3488" s="12"/>
    </row>
    <row r="3489" spans="1:1" x14ac:dyDescent="0.35">
      <c r="A3489" s="12"/>
    </row>
    <row r="3490" spans="1:1" x14ac:dyDescent="0.35">
      <c r="A3490" s="12"/>
    </row>
    <row r="3491" spans="1:1" x14ac:dyDescent="0.35">
      <c r="A3491" s="12"/>
    </row>
    <row r="3492" spans="1:1" x14ac:dyDescent="0.35">
      <c r="A3492" s="12"/>
    </row>
    <row r="3493" spans="1:1" x14ac:dyDescent="0.35">
      <c r="A3493" s="12"/>
    </row>
    <row r="3494" spans="1:1" x14ac:dyDescent="0.35">
      <c r="A3494" s="12"/>
    </row>
    <row r="3495" spans="1:1" x14ac:dyDescent="0.35">
      <c r="A3495" s="12"/>
    </row>
    <row r="3496" spans="1:1" x14ac:dyDescent="0.35">
      <c r="A3496" s="12"/>
    </row>
    <row r="3497" spans="1:1" x14ac:dyDescent="0.35">
      <c r="A3497" s="12"/>
    </row>
    <row r="3498" spans="1:1" x14ac:dyDescent="0.35">
      <c r="A3498" s="12"/>
    </row>
    <row r="3499" spans="1:1" x14ac:dyDescent="0.35">
      <c r="A3499" s="12"/>
    </row>
    <row r="3500" spans="1:1" x14ac:dyDescent="0.35">
      <c r="A3500" s="12"/>
    </row>
    <row r="3501" spans="1:1" x14ac:dyDescent="0.35">
      <c r="A3501" s="12"/>
    </row>
    <row r="3502" spans="1:1" x14ac:dyDescent="0.35">
      <c r="A3502" s="12"/>
    </row>
    <row r="3503" spans="1:1" x14ac:dyDescent="0.35">
      <c r="A3503" s="12"/>
    </row>
    <row r="3504" spans="1:1" x14ac:dyDescent="0.35">
      <c r="A3504" s="12"/>
    </row>
    <row r="3505" spans="1:1" x14ac:dyDescent="0.35">
      <c r="A3505" s="12"/>
    </row>
    <row r="3506" spans="1:1" x14ac:dyDescent="0.35">
      <c r="A3506" s="12"/>
    </row>
    <row r="3507" spans="1:1" x14ac:dyDescent="0.35">
      <c r="A3507" s="12"/>
    </row>
    <row r="3508" spans="1:1" x14ac:dyDescent="0.35">
      <c r="A3508" s="12"/>
    </row>
    <row r="3509" spans="1:1" x14ac:dyDescent="0.35">
      <c r="A3509" s="12"/>
    </row>
    <row r="3510" spans="1:1" x14ac:dyDescent="0.35">
      <c r="A3510" s="12"/>
    </row>
    <row r="3511" spans="1:1" x14ac:dyDescent="0.35">
      <c r="A3511" s="12"/>
    </row>
    <row r="3512" spans="1:1" x14ac:dyDescent="0.35">
      <c r="A3512" s="12"/>
    </row>
    <row r="3513" spans="1:1" x14ac:dyDescent="0.35">
      <c r="A3513" s="12"/>
    </row>
    <row r="3514" spans="1:1" x14ac:dyDescent="0.35">
      <c r="A3514" s="12"/>
    </row>
    <row r="3515" spans="1:1" x14ac:dyDescent="0.35">
      <c r="A3515" s="12"/>
    </row>
    <row r="3516" spans="1:1" x14ac:dyDescent="0.35">
      <c r="A3516" s="12"/>
    </row>
    <row r="3517" spans="1:1" x14ac:dyDescent="0.35">
      <c r="A3517" s="12"/>
    </row>
    <row r="3518" spans="1:1" x14ac:dyDescent="0.35">
      <c r="A3518" s="12"/>
    </row>
    <row r="3519" spans="1:1" x14ac:dyDescent="0.35">
      <c r="A3519" s="12"/>
    </row>
    <row r="3520" spans="1:1" x14ac:dyDescent="0.35">
      <c r="A3520" s="12"/>
    </row>
    <row r="3521" spans="1:1" x14ac:dyDescent="0.35">
      <c r="A3521" s="12"/>
    </row>
    <row r="3522" spans="1:1" x14ac:dyDescent="0.35">
      <c r="A3522" s="12"/>
    </row>
    <row r="3523" spans="1:1" x14ac:dyDescent="0.35">
      <c r="A3523" s="12"/>
    </row>
    <row r="3524" spans="1:1" x14ac:dyDescent="0.35">
      <c r="A3524" s="12"/>
    </row>
    <row r="3525" spans="1:1" x14ac:dyDescent="0.35">
      <c r="A3525" s="12"/>
    </row>
    <row r="3526" spans="1:1" x14ac:dyDescent="0.35">
      <c r="A3526" s="12"/>
    </row>
    <row r="3527" spans="1:1" x14ac:dyDescent="0.35">
      <c r="A3527" s="12"/>
    </row>
    <row r="3528" spans="1:1" x14ac:dyDescent="0.35">
      <c r="A3528" s="12"/>
    </row>
    <row r="3529" spans="1:1" x14ac:dyDescent="0.35">
      <c r="A3529" s="12"/>
    </row>
    <row r="3530" spans="1:1" x14ac:dyDescent="0.35">
      <c r="A3530" s="12"/>
    </row>
    <row r="3531" spans="1:1" x14ac:dyDescent="0.35">
      <c r="A3531" s="12"/>
    </row>
    <row r="3532" spans="1:1" x14ac:dyDescent="0.35">
      <c r="A3532" s="12"/>
    </row>
    <row r="3533" spans="1:1" x14ac:dyDescent="0.35">
      <c r="A3533" s="12"/>
    </row>
    <row r="3534" spans="1:1" x14ac:dyDescent="0.35">
      <c r="A3534" s="12"/>
    </row>
    <row r="3535" spans="1:1" x14ac:dyDescent="0.35">
      <c r="A3535" s="12"/>
    </row>
    <row r="3536" spans="1:1" x14ac:dyDescent="0.35">
      <c r="A3536" s="12"/>
    </row>
    <row r="3537" spans="1:1" x14ac:dyDescent="0.35">
      <c r="A3537" s="12"/>
    </row>
    <row r="3538" spans="1:1" x14ac:dyDescent="0.35">
      <c r="A3538" s="12"/>
    </row>
    <row r="3539" spans="1:1" x14ac:dyDescent="0.35">
      <c r="A3539" s="12"/>
    </row>
    <row r="3540" spans="1:1" x14ac:dyDescent="0.35">
      <c r="A3540" s="12"/>
    </row>
    <row r="3541" spans="1:1" x14ac:dyDescent="0.35">
      <c r="A3541" s="12"/>
    </row>
    <row r="3542" spans="1:1" x14ac:dyDescent="0.35">
      <c r="A3542" s="12"/>
    </row>
    <row r="3543" spans="1:1" x14ac:dyDescent="0.35">
      <c r="A3543" s="12"/>
    </row>
    <row r="3544" spans="1:1" x14ac:dyDescent="0.35">
      <c r="A3544" s="12"/>
    </row>
    <row r="3545" spans="1:1" x14ac:dyDescent="0.35">
      <c r="A3545" s="12"/>
    </row>
    <row r="3546" spans="1:1" x14ac:dyDescent="0.35">
      <c r="A3546" s="12"/>
    </row>
    <row r="3547" spans="1:1" x14ac:dyDescent="0.35">
      <c r="A3547" s="12"/>
    </row>
    <row r="3548" spans="1:1" x14ac:dyDescent="0.35">
      <c r="A3548" s="12"/>
    </row>
    <row r="3549" spans="1:1" x14ac:dyDescent="0.35">
      <c r="A3549" s="12"/>
    </row>
    <row r="3550" spans="1:1" x14ac:dyDescent="0.35">
      <c r="A3550" s="12"/>
    </row>
    <row r="3551" spans="1:1" x14ac:dyDescent="0.35">
      <c r="A3551" s="12"/>
    </row>
    <row r="3552" spans="1:1" x14ac:dyDescent="0.35">
      <c r="A3552" s="12"/>
    </row>
    <row r="3553" spans="1:1" x14ac:dyDescent="0.35">
      <c r="A3553" s="12"/>
    </row>
    <row r="3554" spans="1:1" x14ac:dyDescent="0.35">
      <c r="A3554" s="12"/>
    </row>
    <row r="3555" spans="1:1" x14ac:dyDescent="0.35">
      <c r="A3555" s="12"/>
    </row>
    <row r="3556" spans="1:1" x14ac:dyDescent="0.35">
      <c r="A3556" s="12"/>
    </row>
    <row r="3557" spans="1:1" x14ac:dyDescent="0.35">
      <c r="A3557" s="12"/>
    </row>
    <row r="3558" spans="1:1" x14ac:dyDescent="0.35">
      <c r="A3558" s="12"/>
    </row>
    <row r="3559" spans="1:1" x14ac:dyDescent="0.35">
      <c r="A3559" s="12"/>
    </row>
    <row r="3560" spans="1:1" x14ac:dyDescent="0.35">
      <c r="A3560" s="12"/>
    </row>
    <row r="3561" spans="1:1" x14ac:dyDescent="0.35">
      <c r="A3561" s="12"/>
    </row>
    <row r="3562" spans="1:1" x14ac:dyDescent="0.35">
      <c r="A3562" s="12"/>
    </row>
    <row r="3563" spans="1:1" x14ac:dyDescent="0.35">
      <c r="A3563" s="12"/>
    </row>
    <row r="3564" spans="1:1" x14ac:dyDescent="0.35">
      <c r="A3564" s="12"/>
    </row>
    <row r="3565" spans="1:1" x14ac:dyDescent="0.35">
      <c r="A3565" s="12"/>
    </row>
    <row r="3566" spans="1:1" x14ac:dyDescent="0.35">
      <c r="A3566" s="12"/>
    </row>
    <row r="3567" spans="1:1" x14ac:dyDescent="0.35">
      <c r="A3567" s="12"/>
    </row>
    <row r="3568" spans="1:1" x14ac:dyDescent="0.35">
      <c r="A3568" s="12"/>
    </row>
    <row r="3569" spans="1:1" x14ac:dyDescent="0.35">
      <c r="A3569" s="12"/>
    </row>
    <row r="3570" spans="1:1" x14ac:dyDescent="0.35">
      <c r="A3570" s="12"/>
    </row>
    <row r="3571" spans="1:1" x14ac:dyDescent="0.35">
      <c r="A3571" s="12"/>
    </row>
    <row r="3572" spans="1:1" x14ac:dyDescent="0.35">
      <c r="A3572" s="12"/>
    </row>
    <row r="3573" spans="1:1" x14ac:dyDescent="0.35">
      <c r="A3573" s="12"/>
    </row>
    <row r="3574" spans="1:1" x14ac:dyDescent="0.35">
      <c r="A3574" s="12"/>
    </row>
    <row r="3575" spans="1:1" x14ac:dyDescent="0.35">
      <c r="A3575" s="12"/>
    </row>
    <row r="3576" spans="1:1" x14ac:dyDescent="0.35">
      <c r="A3576" s="12"/>
    </row>
    <row r="3577" spans="1:1" x14ac:dyDescent="0.35">
      <c r="A3577" s="12"/>
    </row>
    <row r="3578" spans="1:1" x14ac:dyDescent="0.35">
      <c r="A3578" s="12"/>
    </row>
    <row r="3579" spans="1:1" x14ac:dyDescent="0.35">
      <c r="A3579" s="12"/>
    </row>
    <row r="3580" spans="1:1" x14ac:dyDescent="0.35">
      <c r="A3580" s="12"/>
    </row>
    <row r="3581" spans="1:1" x14ac:dyDescent="0.35">
      <c r="A3581" s="12"/>
    </row>
    <row r="3582" spans="1:1" x14ac:dyDescent="0.35">
      <c r="A3582" s="12"/>
    </row>
    <row r="3583" spans="1:1" x14ac:dyDescent="0.35">
      <c r="A3583" s="12"/>
    </row>
    <row r="3584" spans="1:1" x14ac:dyDescent="0.35">
      <c r="A3584" s="12"/>
    </row>
    <row r="3585" spans="1:1" x14ac:dyDescent="0.35">
      <c r="A3585" s="12"/>
    </row>
    <row r="3586" spans="1:1" x14ac:dyDescent="0.35">
      <c r="A3586" s="12"/>
    </row>
    <row r="3587" spans="1:1" x14ac:dyDescent="0.35">
      <c r="A3587" s="12"/>
    </row>
    <row r="3588" spans="1:1" x14ac:dyDescent="0.35">
      <c r="A3588" s="12"/>
    </row>
    <row r="3589" spans="1:1" x14ac:dyDescent="0.35">
      <c r="A3589" s="12"/>
    </row>
    <row r="3590" spans="1:1" x14ac:dyDescent="0.35">
      <c r="A3590" s="12"/>
    </row>
    <row r="3591" spans="1:1" x14ac:dyDescent="0.35">
      <c r="A3591" s="12"/>
    </row>
    <row r="3592" spans="1:1" x14ac:dyDescent="0.35">
      <c r="A3592" s="12"/>
    </row>
    <row r="3593" spans="1:1" x14ac:dyDescent="0.35">
      <c r="A3593" s="12"/>
    </row>
    <row r="3594" spans="1:1" x14ac:dyDescent="0.35">
      <c r="A3594" s="12"/>
    </row>
    <row r="3595" spans="1:1" x14ac:dyDescent="0.35">
      <c r="A3595" s="12"/>
    </row>
    <row r="3596" spans="1:1" x14ac:dyDescent="0.35">
      <c r="A3596" s="12"/>
    </row>
    <row r="3597" spans="1:1" x14ac:dyDescent="0.35">
      <c r="A3597" s="12"/>
    </row>
    <row r="3598" spans="1:1" x14ac:dyDescent="0.35">
      <c r="A3598" s="12"/>
    </row>
    <row r="3599" spans="1:1" x14ac:dyDescent="0.35">
      <c r="A3599" s="12"/>
    </row>
    <row r="3600" spans="1:1" x14ac:dyDescent="0.35">
      <c r="A3600" s="12"/>
    </row>
    <row r="3601" spans="1:1" x14ac:dyDescent="0.35">
      <c r="A3601" s="12"/>
    </row>
    <row r="3602" spans="1:1" x14ac:dyDescent="0.35">
      <c r="A3602" s="12"/>
    </row>
    <row r="3603" spans="1:1" x14ac:dyDescent="0.35">
      <c r="A3603" s="12"/>
    </row>
    <row r="3604" spans="1:1" x14ac:dyDescent="0.35">
      <c r="A3604" s="12"/>
    </row>
    <row r="3605" spans="1:1" x14ac:dyDescent="0.35">
      <c r="A3605" s="12"/>
    </row>
    <row r="3606" spans="1:1" x14ac:dyDescent="0.35">
      <c r="A3606" s="12"/>
    </row>
    <row r="3607" spans="1:1" x14ac:dyDescent="0.35">
      <c r="A3607" s="12"/>
    </row>
    <row r="3608" spans="1:1" x14ac:dyDescent="0.35">
      <c r="A3608" s="12"/>
    </row>
    <row r="3609" spans="1:1" x14ac:dyDescent="0.35">
      <c r="A3609" s="12"/>
    </row>
    <row r="3610" spans="1:1" x14ac:dyDescent="0.35">
      <c r="A3610" s="12"/>
    </row>
    <row r="3611" spans="1:1" x14ac:dyDescent="0.35">
      <c r="A3611" s="12"/>
    </row>
    <row r="3612" spans="1:1" x14ac:dyDescent="0.35">
      <c r="A3612" s="12"/>
    </row>
    <row r="3613" spans="1:1" x14ac:dyDescent="0.35">
      <c r="A3613" s="12"/>
    </row>
    <row r="3614" spans="1:1" x14ac:dyDescent="0.35">
      <c r="A3614" s="12"/>
    </row>
    <row r="3615" spans="1:1" x14ac:dyDescent="0.35">
      <c r="A3615" s="12"/>
    </row>
    <row r="3616" spans="1:1" x14ac:dyDescent="0.35">
      <c r="A3616" s="12"/>
    </row>
    <row r="3617" spans="1:1" x14ac:dyDescent="0.35">
      <c r="A3617" s="12"/>
    </row>
    <row r="3618" spans="1:1" x14ac:dyDescent="0.35">
      <c r="A3618" s="12"/>
    </row>
    <row r="3619" spans="1:1" x14ac:dyDescent="0.35">
      <c r="A3619" s="12"/>
    </row>
    <row r="3620" spans="1:1" x14ac:dyDescent="0.35">
      <c r="A3620" s="12"/>
    </row>
    <row r="3621" spans="1:1" x14ac:dyDescent="0.35">
      <c r="A3621" s="12"/>
    </row>
    <row r="3622" spans="1:1" x14ac:dyDescent="0.35">
      <c r="A3622" s="12"/>
    </row>
    <row r="3623" spans="1:1" x14ac:dyDescent="0.35">
      <c r="A3623" s="12"/>
    </row>
    <row r="3624" spans="1:1" x14ac:dyDescent="0.35">
      <c r="A3624" s="12"/>
    </row>
    <row r="3625" spans="1:1" x14ac:dyDescent="0.35">
      <c r="A3625" s="12"/>
    </row>
    <row r="3626" spans="1:1" x14ac:dyDescent="0.35">
      <c r="A3626" s="12"/>
    </row>
    <row r="3627" spans="1:1" x14ac:dyDescent="0.35">
      <c r="A3627" s="12"/>
    </row>
    <row r="3628" spans="1:1" x14ac:dyDescent="0.35">
      <c r="A3628" s="12"/>
    </row>
    <row r="3629" spans="1:1" x14ac:dyDescent="0.35">
      <c r="A3629" s="12"/>
    </row>
    <row r="3630" spans="1:1" x14ac:dyDescent="0.35">
      <c r="A3630" s="12"/>
    </row>
    <row r="3631" spans="1:1" x14ac:dyDescent="0.35">
      <c r="A3631" s="12"/>
    </row>
    <row r="3632" spans="1:1" x14ac:dyDescent="0.35">
      <c r="A3632" s="12"/>
    </row>
    <row r="3633" spans="1:1" x14ac:dyDescent="0.35">
      <c r="A3633" s="12"/>
    </row>
    <row r="3634" spans="1:1" x14ac:dyDescent="0.35">
      <c r="A3634" s="12"/>
    </row>
    <row r="3635" spans="1:1" x14ac:dyDescent="0.35">
      <c r="A3635" s="12"/>
    </row>
    <row r="3636" spans="1:1" x14ac:dyDescent="0.35">
      <c r="A3636" s="12"/>
    </row>
    <row r="3637" spans="1:1" x14ac:dyDescent="0.35">
      <c r="A3637" s="12"/>
    </row>
    <row r="3638" spans="1:1" x14ac:dyDescent="0.35">
      <c r="A3638" s="12"/>
    </row>
    <row r="3639" spans="1:1" x14ac:dyDescent="0.35">
      <c r="A3639" s="12"/>
    </row>
    <row r="3640" spans="1:1" x14ac:dyDescent="0.35">
      <c r="A3640" s="12"/>
    </row>
    <row r="3641" spans="1:1" x14ac:dyDescent="0.35">
      <c r="A3641" s="12"/>
    </row>
    <row r="3642" spans="1:1" x14ac:dyDescent="0.35">
      <c r="A3642" s="12"/>
    </row>
    <row r="3643" spans="1:1" x14ac:dyDescent="0.35">
      <c r="A3643" s="12"/>
    </row>
    <row r="3644" spans="1:1" x14ac:dyDescent="0.35">
      <c r="A3644" s="12"/>
    </row>
    <row r="3645" spans="1:1" x14ac:dyDescent="0.35">
      <c r="A3645" s="12"/>
    </row>
    <row r="3646" spans="1:1" x14ac:dyDescent="0.35">
      <c r="A3646" s="12"/>
    </row>
    <row r="3647" spans="1:1" x14ac:dyDescent="0.35">
      <c r="A3647" s="12"/>
    </row>
    <row r="3648" spans="1:1" x14ac:dyDescent="0.35">
      <c r="A3648" s="12"/>
    </row>
    <row r="3649" spans="1:1" x14ac:dyDescent="0.35">
      <c r="A3649" s="12"/>
    </row>
    <row r="3650" spans="1:1" x14ac:dyDescent="0.35">
      <c r="A3650" s="12"/>
    </row>
    <row r="3651" spans="1:1" x14ac:dyDescent="0.35">
      <c r="A3651" s="12"/>
    </row>
    <row r="3652" spans="1:1" x14ac:dyDescent="0.35">
      <c r="A3652" s="12"/>
    </row>
    <row r="3653" spans="1:1" x14ac:dyDescent="0.35">
      <c r="A3653" s="12"/>
    </row>
    <row r="3654" spans="1:1" x14ac:dyDescent="0.35">
      <c r="A3654" s="12"/>
    </row>
    <row r="3655" spans="1:1" x14ac:dyDescent="0.35">
      <c r="A3655" s="12"/>
    </row>
    <row r="3656" spans="1:1" x14ac:dyDescent="0.35">
      <c r="A3656" s="12"/>
    </row>
    <row r="3657" spans="1:1" x14ac:dyDescent="0.35">
      <c r="A3657" s="12"/>
    </row>
    <row r="3658" spans="1:1" x14ac:dyDescent="0.35">
      <c r="A3658" s="12"/>
    </row>
    <row r="3659" spans="1:1" x14ac:dyDescent="0.35">
      <c r="A3659" s="12"/>
    </row>
    <row r="3660" spans="1:1" x14ac:dyDescent="0.35">
      <c r="A3660" s="12"/>
    </row>
    <row r="3661" spans="1:1" x14ac:dyDescent="0.35">
      <c r="A3661" s="12"/>
    </row>
    <row r="3662" spans="1:1" x14ac:dyDescent="0.35">
      <c r="A3662" s="12"/>
    </row>
    <row r="3663" spans="1:1" x14ac:dyDescent="0.35">
      <c r="A3663" s="12"/>
    </row>
    <row r="3664" spans="1:1" x14ac:dyDescent="0.35">
      <c r="A3664" s="12"/>
    </row>
    <row r="3665" spans="1:1" x14ac:dyDescent="0.35">
      <c r="A3665" s="12"/>
    </row>
    <row r="3666" spans="1:1" x14ac:dyDescent="0.35">
      <c r="A3666" s="12"/>
    </row>
    <row r="3667" spans="1:1" x14ac:dyDescent="0.35">
      <c r="A3667" s="12"/>
    </row>
    <row r="3668" spans="1:1" x14ac:dyDescent="0.35">
      <c r="A3668" s="12"/>
    </row>
    <row r="3669" spans="1:1" x14ac:dyDescent="0.35">
      <c r="A3669" s="12"/>
    </row>
    <row r="3670" spans="1:1" x14ac:dyDescent="0.35">
      <c r="A3670" s="12"/>
    </row>
    <row r="3671" spans="1:1" x14ac:dyDescent="0.35">
      <c r="A3671" s="12"/>
    </row>
    <row r="3672" spans="1:1" x14ac:dyDescent="0.35">
      <c r="A3672" s="12"/>
    </row>
    <row r="3673" spans="1:1" x14ac:dyDescent="0.35">
      <c r="A3673" s="12"/>
    </row>
    <row r="3674" spans="1:1" x14ac:dyDescent="0.35">
      <c r="A3674" s="12"/>
    </row>
    <row r="3675" spans="1:1" x14ac:dyDescent="0.35">
      <c r="A3675" s="12"/>
    </row>
    <row r="3676" spans="1:1" x14ac:dyDescent="0.35">
      <c r="A3676" s="12"/>
    </row>
    <row r="3677" spans="1:1" x14ac:dyDescent="0.35">
      <c r="A3677" s="12"/>
    </row>
    <row r="3678" spans="1:1" x14ac:dyDescent="0.35">
      <c r="A3678" s="12"/>
    </row>
    <row r="3679" spans="1:1" x14ac:dyDescent="0.35">
      <c r="A3679" s="12"/>
    </row>
    <row r="3680" spans="1:1" x14ac:dyDescent="0.35">
      <c r="A3680" s="12"/>
    </row>
    <row r="3681" spans="1:1" x14ac:dyDescent="0.35">
      <c r="A3681" s="12"/>
    </row>
    <row r="3682" spans="1:1" x14ac:dyDescent="0.35">
      <c r="A3682" s="12"/>
    </row>
    <row r="3683" spans="1:1" x14ac:dyDescent="0.35">
      <c r="A3683" s="12"/>
    </row>
    <row r="3684" spans="1:1" x14ac:dyDescent="0.35">
      <c r="A3684" s="12"/>
    </row>
    <row r="3685" spans="1:1" x14ac:dyDescent="0.35">
      <c r="A3685" s="12"/>
    </row>
    <row r="3686" spans="1:1" x14ac:dyDescent="0.35">
      <c r="A3686" s="12"/>
    </row>
    <row r="3687" spans="1:1" x14ac:dyDescent="0.35">
      <c r="A3687" s="12"/>
    </row>
    <row r="3688" spans="1:1" x14ac:dyDescent="0.35">
      <c r="A3688" s="12"/>
    </row>
    <row r="3689" spans="1:1" x14ac:dyDescent="0.35">
      <c r="A3689" s="12"/>
    </row>
    <row r="3690" spans="1:1" x14ac:dyDescent="0.35">
      <c r="A3690" s="12"/>
    </row>
    <row r="3691" spans="1:1" x14ac:dyDescent="0.35">
      <c r="A3691" s="12"/>
    </row>
    <row r="3692" spans="1:1" x14ac:dyDescent="0.35">
      <c r="A3692" s="12"/>
    </row>
    <row r="3693" spans="1:1" x14ac:dyDescent="0.35">
      <c r="A3693" s="12"/>
    </row>
    <row r="3694" spans="1:1" x14ac:dyDescent="0.35">
      <c r="A3694" s="12"/>
    </row>
    <row r="3695" spans="1:1" x14ac:dyDescent="0.35">
      <c r="A3695" s="12"/>
    </row>
    <row r="3696" spans="1:1" x14ac:dyDescent="0.35">
      <c r="A3696" s="12"/>
    </row>
    <row r="3697" spans="1:1" x14ac:dyDescent="0.35">
      <c r="A3697" s="12"/>
    </row>
    <row r="3698" spans="1:1" x14ac:dyDescent="0.35">
      <c r="A3698" s="12"/>
    </row>
    <row r="3699" spans="1:1" x14ac:dyDescent="0.35">
      <c r="A3699" s="12"/>
    </row>
    <row r="3700" spans="1:1" x14ac:dyDescent="0.35">
      <c r="A3700" s="12"/>
    </row>
    <row r="3701" spans="1:1" x14ac:dyDescent="0.35">
      <c r="A3701" s="12"/>
    </row>
    <row r="3702" spans="1:1" x14ac:dyDescent="0.35">
      <c r="A3702" s="12"/>
    </row>
    <row r="3703" spans="1:1" x14ac:dyDescent="0.35">
      <c r="A3703" s="12"/>
    </row>
    <row r="3704" spans="1:1" x14ac:dyDescent="0.35">
      <c r="A3704" s="12"/>
    </row>
    <row r="3705" spans="1:1" x14ac:dyDescent="0.35">
      <c r="A3705" s="12"/>
    </row>
    <row r="3706" spans="1:1" x14ac:dyDescent="0.35">
      <c r="A3706" s="12"/>
    </row>
    <row r="3707" spans="1:1" x14ac:dyDescent="0.35">
      <c r="A3707" s="12"/>
    </row>
    <row r="3708" spans="1:1" x14ac:dyDescent="0.35">
      <c r="A3708" s="12"/>
    </row>
    <row r="3709" spans="1:1" x14ac:dyDescent="0.35">
      <c r="A3709" s="12"/>
    </row>
    <row r="3710" spans="1:1" x14ac:dyDescent="0.35">
      <c r="A3710" s="12"/>
    </row>
    <row r="3711" spans="1:1" x14ac:dyDescent="0.35">
      <c r="A3711" s="12"/>
    </row>
    <row r="3712" spans="1:1" x14ac:dyDescent="0.35">
      <c r="A3712" s="12"/>
    </row>
    <row r="3713" spans="1:1" x14ac:dyDescent="0.35">
      <c r="A3713" s="12"/>
    </row>
    <row r="3714" spans="1:1" x14ac:dyDescent="0.35">
      <c r="A3714" s="12"/>
    </row>
    <row r="3715" spans="1:1" x14ac:dyDescent="0.35">
      <c r="A3715" s="12"/>
    </row>
    <row r="3716" spans="1:1" x14ac:dyDescent="0.35">
      <c r="A3716" s="12"/>
    </row>
    <row r="3717" spans="1:1" x14ac:dyDescent="0.35">
      <c r="A3717" s="12"/>
    </row>
    <row r="3718" spans="1:1" x14ac:dyDescent="0.35">
      <c r="A3718" s="12"/>
    </row>
    <row r="3719" spans="1:1" x14ac:dyDescent="0.35">
      <c r="A3719" s="12"/>
    </row>
    <row r="3720" spans="1:1" x14ac:dyDescent="0.35">
      <c r="A3720" s="12"/>
    </row>
    <row r="3721" spans="1:1" x14ac:dyDescent="0.35">
      <c r="A3721" s="12"/>
    </row>
    <row r="3722" spans="1:1" x14ac:dyDescent="0.35">
      <c r="A3722" s="12"/>
    </row>
    <row r="3723" spans="1:1" x14ac:dyDescent="0.35">
      <c r="A3723" s="12"/>
    </row>
    <row r="3724" spans="1:1" x14ac:dyDescent="0.35">
      <c r="A3724" s="12"/>
    </row>
    <row r="3725" spans="1:1" x14ac:dyDescent="0.35">
      <c r="A3725" s="12"/>
    </row>
    <row r="3726" spans="1:1" x14ac:dyDescent="0.35">
      <c r="A3726" s="12"/>
    </row>
    <row r="3727" spans="1:1" x14ac:dyDescent="0.35">
      <c r="A3727" s="12"/>
    </row>
    <row r="3728" spans="1:1" x14ac:dyDescent="0.35">
      <c r="A3728" s="12"/>
    </row>
    <row r="3729" spans="1:1" x14ac:dyDescent="0.35">
      <c r="A3729" s="12"/>
    </row>
    <row r="3730" spans="1:1" x14ac:dyDescent="0.35">
      <c r="A3730" s="12"/>
    </row>
    <row r="3731" spans="1:1" x14ac:dyDescent="0.35">
      <c r="A3731" s="12"/>
    </row>
    <row r="3732" spans="1:1" x14ac:dyDescent="0.35">
      <c r="A3732" s="12"/>
    </row>
    <row r="3733" spans="1:1" x14ac:dyDescent="0.35">
      <c r="A3733" s="12"/>
    </row>
    <row r="3734" spans="1:1" x14ac:dyDescent="0.35">
      <c r="A3734" s="12"/>
    </row>
    <row r="3735" spans="1:1" x14ac:dyDescent="0.35">
      <c r="A3735" s="12"/>
    </row>
    <row r="3736" spans="1:1" x14ac:dyDescent="0.35">
      <c r="A3736" s="12"/>
    </row>
    <row r="3737" spans="1:1" x14ac:dyDescent="0.35">
      <c r="A3737" s="12"/>
    </row>
    <row r="3738" spans="1:1" x14ac:dyDescent="0.35">
      <c r="A3738" s="12"/>
    </row>
    <row r="3739" spans="1:1" x14ac:dyDescent="0.35">
      <c r="A3739" s="12"/>
    </row>
    <row r="3740" spans="1:1" x14ac:dyDescent="0.35">
      <c r="A3740" s="12"/>
    </row>
    <row r="3741" spans="1:1" x14ac:dyDescent="0.35">
      <c r="A3741" s="12"/>
    </row>
    <row r="3742" spans="1:1" x14ac:dyDescent="0.35">
      <c r="A3742" s="12"/>
    </row>
    <row r="3743" spans="1:1" x14ac:dyDescent="0.35">
      <c r="A3743" s="12"/>
    </row>
    <row r="3744" spans="1:1" x14ac:dyDescent="0.35">
      <c r="A3744" s="12"/>
    </row>
    <row r="3745" spans="1:1" x14ac:dyDescent="0.35">
      <c r="A3745" s="12"/>
    </row>
    <row r="3746" spans="1:1" x14ac:dyDescent="0.35">
      <c r="A3746" s="12"/>
    </row>
    <row r="3747" spans="1:1" x14ac:dyDescent="0.35">
      <c r="A3747" s="12"/>
    </row>
    <row r="3748" spans="1:1" x14ac:dyDescent="0.35">
      <c r="A3748" s="12"/>
    </row>
    <row r="3749" spans="1:1" x14ac:dyDescent="0.35">
      <c r="A3749" s="12"/>
    </row>
    <row r="3750" spans="1:1" x14ac:dyDescent="0.35">
      <c r="A3750" s="12"/>
    </row>
    <row r="3751" spans="1:1" x14ac:dyDescent="0.35">
      <c r="A3751" s="12"/>
    </row>
    <row r="3752" spans="1:1" x14ac:dyDescent="0.35">
      <c r="A3752" s="12"/>
    </row>
    <row r="3753" spans="1:1" x14ac:dyDescent="0.35">
      <c r="A3753" s="12"/>
    </row>
    <row r="3754" spans="1:1" x14ac:dyDescent="0.35">
      <c r="A3754" s="12"/>
    </row>
    <row r="3755" spans="1:1" x14ac:dyDescent="0.35">
      <c r="A3755" s="12"/>
    </row>
    <row r="3756" spans="1:1" x14ac:dyDescent="0.35">
      <c r="A3756" s="12"/>
    </row>
    <row r="3757" spans="1:1" x14ac:dyDescent="0.35">
      <c r="A3757" s="12"/>
    </row>
    <row r="3758" spans="1:1" x14ac:dyDescent="0.35">
      <c r="A3758" s="12"/>
    </row>
    <row r="3759" spans="1:1" x14ac:dyDescent="0.35">
      <c r="A3759" s="12"/>
    </row>
    <row r="3760" spans="1:1" x14ac:dyDescent="0.35">
      <c r="A3760" s="12"/>
    </row>
    <row r="3761" spans="1:1" x14ac:dyDescent="0.35">
      <c r="A3761" s="12"/>
    </row>
    <row r="3762" spans="1:1" x14ac:dyDescent="0.35">
      <c r="A3762" s="12"/>
    </row>
    <row r="3763" spans="1:1" x14ac:dyDescent="0.35">
      <c r="A3763" s="12"/>
    </row>
    <row r="3764" spans="1:1" x14ac:dyDescent="0.35">
      <c r="A3764" s="12"/>
    </row>
    <row r="3765" spans="1:1" x14ac:dyDescent="0.35">
      <c r="A3765" s="12"/>
    </row>
    <row r="3766" spans="1:1" x14ac:dyDescent="0.35">
      <c r="A3766" s="12"/>
    </row>
    <row r="3767" spans="1:1" x14ac:dyDescent="0.35">
      <c r="A3767" s="12"/>
    </row>
    <row r="3768" spans="1:1" x14ac:dyDescent="0.35">
      <c r="A3768" s="12"/>
    </row>
    <row r="3769" spans="1:1" x14ac:dyDescent="0.35">
      <c r="A3769" s="12"/>
    </row>
    <row r="3770" spans="1:1" x14ac:dyDescent="0.35">
      <c r="A3770" s="12"/>
    </row>
    <row r="3771" spans="1:1" x14ac:dyDescent="0.35">
      <c r="A3771" s="12"/>
    </row>
    <row r="3772" spans="1:1" x14ac:dyDescent="0.35">
      <c r="A3772" s="12"/>
    </row>
    <row r="3773" spans="1:1" x14ac:dyDescent="0.35">
      <c r="A3773" s="12"/>
    </row>
    <row r="3774" spans="1:1" x14ac:dyDescent="0.35">
      <c r="A3774" s="12"/>
    </row>
    <row r="3775" spans="1:1" x14ac:dyDescent="0.35">
      <c r="A3775" s="12"/>
    </row>
    <row r="3776" spans="1:1" x14ac:dyDescent="0.35">
      <c r="A3776" s="12"/>
    </row>
    <row r="3777" spans="1:1" x14ac:dyDescent="0.35">
      <c r="A3777" s="12"/>
    </row>
    <row r="3778" spans="1:1" x14ac:dyDescent="0.35">
      <c r="A3778" s="12"/>
    </row>
    <row r="3779" spans="1:1" x14ac:dyDescent="0.35">
      <c r="A3779" s="12"/>
    </row>
    <row r="3780" spans="1:1" x14ac:dyDescent="0.35">
      <c r="A3780" s="12"/>
    </row>
    <row r="3781" spans="1:1" x14ac:dyDescent="0.35">
      <c r="A3781" s="12"/>
    </row>
    <row r="3782" spans="1:1" x14ac:dyDescent="0.35">
      <c r="A3782" s="12"/>
    </row>
    <row r="3783" spans="1:1" x14ac:dyDescent="0.35">
      <c r="A3783" s="12"/>
    </row>
    <row r="3784" spans="1:1" x14ac:dyDescent="0.35">
      <c r="A3784" s="12"/>
    </row>
    <row r="3785" spans="1:1" x14ac:dyDescent="0.35">
      <c r="A3785" s="12"/>
    </row>
    <row r="3786" spans="1:1" x14ac:dyDescent="0.35">
      <c r="A3786" s="12"/>
    </row>
    <row r="3787" spans="1:1" x14ac:dyDescent="0.35">
      <c r="A3787" s="12"/>
    </row>
    <row r="3788" spans="1:1" x14ac:dyDescent="0.35">
      <c r="A3788" s="12"/>
    </row>
    <row r="3789" spans="1:1" x14ac:dyDescent="0.35">
      <c r="A3789" s="12"/>
    </row>
    <row r="3790" spans="1:1" x14ac:dyDescent="0.35">
      <c r="A3790" s="12"/>
    </row>
    <row r="3791" spans="1:1" x14ac:dyDescent="0.35">
      <c r="A3791" s="12"/>
    </row>
    <row r="3792" spans="1:1" x14ac:dyDescent="0.35">
      <c r="A3792" s="12"/>
    </row>
    <row r="3793" spans="1:1" x14ac:dyDescent="0.35">
      <c r="A3793" s="12"/>
    </row>
    <row r="3794" spans="1:1" x14ac:dyDescent="0.35">
      <c r="A3794" s="12"/>
    </row>
    <row r="3795" spans="1:1" x14ac:dyDescent="0.35">
      <c r="A3795" s="12"/>
    </row>
    <row r="3796" spans="1:1" x14ac:dyDescent="0.35">
      <c r="A3796" s="12"/>
    </row>
    <row r="3797" spans="1:1" x14ac:dyDescent="0.35">
      <c r="A3797" s="12"/>
    </row>
    <row r="3798" spans="1:1" x14ac:dyDescent="0.35">
      <c r="A3798" s="12"/>
    </row>
    <row r="3799" spans="1:1" x14ac:dyDescent="0.35">
      <c r="A3799" s="12"/>
    </row>
    <row r="3800" spans="1:1" x14ac:dyDescent="0.35">
      <c r="A3800" s="12"/>
    </row>
    <row r="3801" spans="1:1" x14ac:dyDescent="0.35">
      <c r="A3801" s="12"/>
    </row>
    <row r="3802" spans="1:1" x14ac:dyDescent="0.35">
      <c r="A3802" s="12"/>
    </row>
    <row r="3803" spans="1:1" x14ac:dyDescent="0.35">
      <c r="A3803" s="12"/>
    </row>
    <row r="3804" spans="1:1" x14ac:dyDescent="0.35">
      <c r="A3804" s="12"/>
    </row>
    <row r="3805" spans="1:1" x14ac:dyDescent="0.35">
      <c r="A3805" s="12"/>
    </row>
    <row r="3806" spans="1:1" x14ac:dyDescent="0.35">
      <c r="A3806" s="12"/>
    </row>
    <row r="3807" spans="1:1" x14ac:dyDescent="0.35">
      <c r="A3807" s="12"/>
    </row>
    <row r="3808" spans="1:1" x14ac:dyDescent="0.35">
      <c r="A3808" s="12"/>
    </row>
    <row r="3809" spans="1:1" x14ac:dyDescent="0.35">
      <c r="A3809" s="12"/>
    </row>
    <row r="3810" spans="1:1" x14ac:dyDescent="0.35">
      <c r="A3810" s="12"/>
    </row>
    <row r="3811" spans="1:1" x14ac:dyDescent="0.35">
      <c r="A3811" s="12"/>
    </row>
    <row r="3812" spans="1:1" x14ac:dyDescent="0.35">
      <c r="A3812" s="12"/>
    </row>
    <row r="3813" spans="1:1" x14ac:dyDescent="0.35">
      <c r="A3813" s="12"/>
    </row>
    <row r="3814" spans="1:1" x14ac:dyDescent="0.35">
      <c r="A3814" s="12"/>
    </row>
    <row r="3815" spans="1:1" x14ac:dyDescent="0.35">
      <c r="A3815" s="12"/>
    </row>
    <row r="3816" spans="1:1" x14ac:dyDescent="0.35">
      <c r="A3816" s="12"/>
    </row>
    <row r="3817" spans="1:1" x14ac:dyDescent="0.35">
      <c r="A3817" s="12"/>
    </row>
    <row r="3818" spans="1:1" x14ac:dyDescent="0.35">
      <c r="A3818" s="12"/>
    </row>
    <row r="3819" spans="1:1" x14ac:dyDescent="0.35">
      <c r="A3819" s="12"/>
    </row>
    <row r="3820" spans="1:1" x14ac:dyDescent="0.35">
      <c r="A3820" s="12"/>
    </row>
    <row r="3821" spans="1:1" x14ac:dyDescent="0.35">
      <c r="A3821" s="12"/>
    </row>
    <row r="3822" spans="1:1" x14ac:dyDescent="0.35">
      <c r="A3822" s="12"/>
    </row>
    <row r="3823" spans="1:1" x14ac:dyDescent="0.35">
      <c r="A3823" s="12"/>
    </row>
    <row r="3824" spans="1:1" x14ac:dyDescent="0.35">
      <c r="A3824" s="12"/>
    </row>
    <row r="3825" spans="1:1" x14ac:dyDescent="0.35">
      <c r="A3825" s="12"/>
    </row>
    <row r="3826" spans="1:1" x14ac:dyDescent="0.35">
      <c r="A3826" s="12"/>
    </row>
    <row r="3827" spans="1:1" x14ac:dyDescent="0.35">
      <c r="A3827" s="12"/>
    </row>
    <row r="3828" spans="1:1" x14ac:dyDescent="0.35">
      <c r="A3828" s="12"/>
    </row>
    <row r="3829" spans="1:1" x14ac:dyDescent="0.35">
      <c r="A3829" s="12"/>
    </row>
    <row r="3830" spans="1:1" x14ac:dyDescent="0.35">
      <c r="A3830" s="12"/>
    </row>
    <row r="3831" spans="1:1" x14ac:dyDescent="0.35">
      <c r="A3831" s="12"/>
    </row>
    <row r="3832" spans="1:1" x14ac:dyDescent="0.35">
      <c r="A3832" s="12"/>
    </row>
    <row r="3833" spans="1:1" x14ac:dyDescent="0.35">
      <c r="A3833" s="12"/>
    </row>
    <row r="3834" spans="1:1" x14ac:dyDescent="0.35">
      <c r="A3834" s="12"/>
    </row>
    <row r="3835" spans="1:1" x14ac:dyDescent="0.35">
      <c r="A3835" s="12"/>
    </row>
    <row r="3836" spans="1:1" x14ac:dyDescent="0.35">
      <c r="A3836" s="12"/>
    </row>
    <row r="3837" spans="1:1" x14ac:dyDescent="0.35">
      <c r="A3837" s="12"/>
    </row>
    <row r="3838" spans="1:1" x14ac:dyDescent="0.35">
      <c r="A3838" s="12"/>
    </row>
    <row r="3839" spans="1:1" x14ac:dyDescent="0.35">
      <c r="A3839" s="12"/>
    </row>
    <row r="3840" spans="1:1" x14ac:dyDescent="0.35">
      <c r="A3840" s="12"/>
    </row>
    <row r="3841" spans="1:1" x14ac:dyDescent="0.35">
      <c r="A3841" s="12"/>
    </row>
    <row r="3842" spans="1:1" x14ac:dyDescent="0.35">
      <c r="A3842" s="12"/>
    </row>
    <row r="3843" spans="1:1" x14ac:dyDescent="0.35">
      <c r="A3843" s="12"/>
    </row>
    <row r="3844" spans="1:1" x14ac:dyDescent="0.35">
      <c r="A3844" s="12"/>
    </row>
    <row r="3845" spans="1:1" x14ac:dyDescent="0.35">
      <c r="A3845" s="12"/>
    </row>
    <row r="3846" spans="1:1" x14ac:dyDescent="0.35">
      <c r="A3846" s="12"/>
    </row>
    <row r="3847" spans="1:1" x14ac:dyDescent="0.35">
      <c r="A3847" s="12"/>
    </row>
    <row r="3848" spans="1:1" x14ac:dyDescent="0.35">
      <c r="A3848" s="12"/>
    </row>
    <row r="3849" spans="1:1" x14ac:dyDescent="0.35">
      <c r="A3849" s="12"/>
    </row>
    <row r="3850" spans="1:1" x14ac:dyDescent="0.35">
      <c r="A3850" s="12"/>
    </row>
    <row r="3851" spans="1:1" x14ac:dyDescent="0.35">
      <c r="A3851" s="12"/>
    </row>
    <row r="3852" spans="1:1" x14ac:dyDescent="0.35">
      <c r="A3852" s="12"/>
    </row>
    <row r="3853" spans="1:1" x14ac:dyDescent="0.35">
      <c r="A3853" s="12"/>
    </row>
    <row r="3854" spans="1:1" x14ac:dyDescent="0.35">
      <c r="A3854" s="12"/>
    </row>
    <row r="3855" spans="1:1" x14ac:dyDescent="0.35">
      <c r="A3855" s="12"/>
    </row>
    <row r="3856" spans="1:1" x14ac:dyDescent="0.35">
      <c r="A3856" s="12"/>
    </row>
    <row r="3857" spans="1:1" x14ac:dyDescent="0.35">
      <c r="A3857" s="12"/>
    </row>
    <row r="3858" spans="1:1" x14ac:dyDescent="0.35">
      <c r="A3858" s="12"/>
    </row>
    <row r="3859" spans="1:1" x14ac:dyDescent="0.35">
      <c r="A3859" s="12"/>
    </row>
    <row r="3860" spans="1:1" x14ac:dyDescent="0.35">
      <c r="A3860" s="12"/>
    </row>
    <row r="3861" spans="1:1" x14ac:dyDescent="0.35">
      <c r="A3861" s="12"/>
    </row>
    <row r="3862" spans="1:1" x14ac:dyDescent="0.35">
      <c r="A3862" s="12"/>
    </row>
    <row r="3863" spans="1:1" x14ac:dyDescent="0.35">
      <c r="A3863" s="12"/>
    </row>
    <row r="3864" spans="1:1" x14ac:dyDescent="0.35">
      <c r="A3864" s="12"/>
    </row>
    <row r="3865" spans="1:1" x14ac:dyDescent="0.35">
      <c r="A3865" s="12"/>
    </row>
    <row r="3866" spans="1:1" x14ac:dyDescent="0.35">
      <c r="A3866" s="12"/>
    </row>
    <row r="3867" spans="1:1" x14ac:dyDescent="0.35">
      <c r="A3867" s="12"/>
    </row>
    <row r="3868" spans="1:1" x14ac:dyDescent="0.35">
      <c r="A3868" s="12"/>
    </row>
    <row r="3869" spans="1:1" x14ac:dyDescent="0.35">
      <c r="A3869" s="12"/>
    </row>
    <row r="3870" spans="1:1" x14ac:dyDescent="0.35">
      <c r="A3870" s="12"/>
    </row>
    <row r="3871" spans="1:1" x14ac:dyDescent="0.35">
      <c r="A3871" s="12"/>
    </row>
    <row r="3872" spans="1:1" x14ac:dyDescent="0.35">
      <c r="A3872" s="12"/>
    </row>
    <row r="3873" spans="1:1" x14ac:dyDescent="0.35">
      <c r="A3873" s="12"/>
    </row>
    <row r="3874" spans="1:1" x14ac:dyDescent="0.35">
      <c r="A3874" s="12"/>
    </row>
    <row r="3875" spans="1:1" x14ac:dyDescent="0.35">
      <c r="A3875" s="12"/>
    </row>
    <row r="3876" spans="1:1" x14ac:dyDescent="0.35">
      <c r="A3876" s="12"/>
    </row>
    <row r="3877" spans="1:1" x14ac:dyDescent="0.35">
      <c r="A3877" s="12"/>
    </row>
    <row r="3878" spans="1:1" x14ac:dyDescent="0.35">
      <c r="A3878" s="12"/>
    </row>
    <row r="3879" spans="1:1" x14ac:dyDescent="0.35">
      <c r="A3879" s="12"/>
    </row>
    <row r="3880" spans="1:1" x14ac:dyDescent="0.35">
      <c r="A3880" s="12"/>
    </row>
    <row r="3881" spans="1:1" x14ac:dyDescent="0.35">
      <c r="A3881" s="12"/>
    </row>
    <row r="3882" spans="1:1" x14ac:dyDescent="0.35">
      <c r="A3882" s="12"/>
    </row>
    <row r="3883" spans="1:1" x14ac:dyDescent="0.35">
      <c r="A3883" s="12"/>
    </row>
    <row r="3884" spans="1:1" x14ac:dyDescent="0.35">
      <c r="A3884" s="12"/>
    </row>
    <row r="3885" spans="1:1" x14ac:dyDescent="0.35">
      <c r="A3885" s="12"/>
    </row>
    <row r="3886" spans="1:1" x14ac:dyDescent="0.35">
      <c r="A3886" s="12"/>
    </row>
    <row r="3887" spans="1:1" x14ac:dyDescent="0.35">
      <c r="A3887" s="12"/>
    </row>
    <row r="3888" spans="1:1" x14ac:dyDescent="0.35">
      <c r="A3888" s="12"/>
    </row>
    <row r="3889" spans="1:1" x14ac:dyDescent="0.35">
      <c r="A3889" s="12"/>
    </row>
    <row r="3890" spans="1:1" x14ac:dyDescent="0.35">
      <c r="A3890" s="12"/>
    </row>
    <row r="3891" spans="1:1" x14ac:dyDescent="0.35">
      <c r="A3891" s="12"/>
    </row>
    <row r="3892" spans="1:1" x14ac:dyDescent="0.35">
      <c r="A3892" s="12"/>
    </row>
    <row r="3893" spans="1:1" x14ac:dyDescent="0.35">
      <c r="A3893" s="12"/>
    </row>
    <row r="3894" spans="1:1" x14ac:dyDescent="0.35">
      <c r="A3894" s="12"/>
    </row>
    <row r="3895" spans="1:1" x14ac:dyDescent="0.35">
      <c r="A3895" s="12"/>
    </row>
    <row r="3896" spans="1:1" x14ac:dyDescent="0.35">
      <c r="A3896" s="12"/>
    </row>
    <row r="3897" spans="1:1" x14ac:dyDescent="0.35">
      <c r="A3897" s="12"/>
    </row>
    <row r="3898" spans="1:1" x14ac:dyDescent="0.35">
      <c r="A3898" s="12"/>
    </row>
    <row r="3899" spans="1:1" x14ac:dyDescent="0.35">
      <c r="A3899" s="12"/>
    </row>
    <row r="3900" spans="1:1" x14ac:dyDescent="0.35">
      <c r="A3900" s="12"/>
    </row>
    <row r="3901" spans="1:1" x14ac:dyDescent="0.35">
      <c r="A3901" s="12"/>
    </row>
    <row r="3902" spans="1:1" x14ac:dyDescent="0.35">
      <c r="A3902" s="12"/>
    </row>
    <row r="3903" spans="1:1" x14ac:dyDescent="0.35">
      <c r="A3903" s="12"/>
    </row>
    <row r="3904" spans="1:1" x14ac:dyDescent="0.35">
      <c r="A3904" s="12"/>
    </row>
    <row r="3905" spans="1:1" x14ac:dyDescent="0.35">
      <c r="A3905" s="12"/>
    </row>
    <row r="3906" spans="1:1" x14ac:dyDescent="0.35">
      <c r="A3906" s="12"/>
    </row>
    <row r="3907" spans="1:1" x14ac:dyDescent="0.35">
      <c r="A3907" s="12"/>
    </row>
    <row r="3908" spans="1:1" x14ac:dyDescent="0.35">
      <c r="A3908" s="12"/>
    </row>
    <row r="3909" spans="1:1" x14ac:dyDescent="0.35">
      <c r="A3909" s="12"/>
    </row>
    <row r="3910" spans="1:1" x14ac:dyDescent="0.35">
      <c r="A3910" s="12"/>
    </row>
    <row r="3911" spans="1:1" x14ac:dyDescent="0.35">
      <c r="A3911" s="12"/>
    </row>
    <row r="3912" spans="1:1" x14ac:dyDescent="0.35">
      <c r="A3912" s="12"/>
    </row>
    <row r="3913" spans="1:1" x14ac:dyDescent="0.35">
      <c r="A3913" s="12"/>
    </row>
    <row r="3914" spans="1:1" x14ac:dyDescent="0.35">
      <c r="A3914" s="12"/>
    </row>
    <row r="3915" spans="1:1" x14ac:dyDescent="0.35">
      <c r="A3915" s="12"/>
    </row>
    <row r="3916" spans="1:1" x14ac:dyDescent="0.35">
      <c r="A3916" s="12"/>
    </row>
    <row r="3917" spans="1:1" x14ac:dyDescent="0.35">
      <c r="A3917" s="12"/>
    </row>
    <row r="3918" spans="1:1" x14ac:dyDescent="0.35">
      <c r="A3918" s="12"/>
    </row>
    <row r="3919" spans="1:1" x14ac:dyDescent="0.35">
      <c r="A3919" s="12"/>
    </row>
    <row r="3920" spans="1:1" x14ac:dyDescent="0.35">
      <c r="A3920" s="12"/>
    </row>
    <row r="3921" spans="1:1" x14ac:dyDescent="0.35">
      <c r="A3921" s="12"/>
    </row>
    <row r="3922" spans="1:1" x14ac:dyDescent="0.35">
      <c r="A3922" s="12"/>
    </row>
    <row r="3923" spans="1:1" x14ac:dyDescent="0.35">
      <c r="A3923" s="12"/>
    </row>
    <row r="3924" spans="1:1" x14ac:dyDescent="0.35">
      <c r="A3924" s="12"/>
    </row>
    <row r="3925" spans="1:1" x14ac:dyDescent="0.35">
      <c r="A3925" s="12"/>
    </row>
    <row r="3926" spans="1:1" x14ac:dyDescent="0.35">
      <c r="A3926" s="12"/>
    </row>
    <row r="3927" spans="1:1" x14ac:dyDescent="0.35">
      <c r="A3927" s="12"/>
    </row>
    <row r="3928" spans="1:1" x14ac:dyDescent="0.35">
      <c r="A3928" s="12"/>
    </row>
    <row r="3929" spans="1:1" x14ac:dyDescent="0.35">
      <c r="A3929" s="12"/>
    </row>
    <row r="3930" spans="1:1" x14ac:dyDescent="0.35">
      <c r="A3930" s="12"/>
    </row>
    <row r="3931" spans="1:1" x14ac:dyDescent="0.35">
      <c r="A3931" s="12"/>
    </row>
    <row r="3932" spans="1:1" x14ac:dyDescent="0.35">
      <c r="A3932" s="12"/>
    </row>
    <row r="3933" spans="1:1" x14ac:dyDescent="0.35">
      <c r="A3933" s="12"/>
    </row>
    <row r="3934" spans="1:1" x14ac:dyDescent="0.35">
      <c r="A3934" s="12"/>
    </row>
    <row r="3935" spans="1:1" x14ac:dyDescent="0.35">
      <c r="A3935" s="12"/>
    </row>
    <row r="3936" spans="1:1" x14ac:dyDescent="0.35">
      <c r="A3936" s="12"/>
    </row>
    <row r="3937" spans="1:1" x14ac:dyDescent="0.35">
      <c r="A3937" s="12"/>
    </row>
    <row r="3938" spans="1:1" x14ac:dyDescent="0.35">
      <c r="A3938" s="12"/>
    </row>
    <row r="3939" spans="1:1" x14ac:dyDescent="0.35">
      <c r="A3939" s="12"/>
    </row>
    <row r="3940" spans="1:1" x14ac:dyDescent="0.35">
      <c r="A3940" s="12"/>
    </row>
    <row r="3941" spans="1:1" x14ac:dyDescent="0.35">
      <c r="A3941" s="12"/>
    </row>
    <row r="3942" spans="1:1" x14ac:dyDescent="0.35">
      <c r="A3942" s="12"/>
    </row>
    <row r="3943" spans="1:1" x14ac:dyDescent="0.35">
      <c r="A3943" s="12"/>
    </row>
    <row r="3944" spans="1:1" x14ac:dyDescent="0.35">
      <c r="A3944" s="12"/>
    </row>
    <row r="3945" spans="1:1" x14ac:dyDescent="0.35">
      <c r="A3945" s="12"/>
    </row>
    <row r="3946" spans="1:1" x14ac:dyDescent="0.35">
      <c r="A3946" s="12"/>
    </row>
    <row r="3947" spans="1:1" x14ac:dyDescent="0.35">
      <c r="A3947" s="12"/>
    </row>
    <row r="3948" spans="1:1" x14ac:dyDescent="0.35">
      <c r="A3948" s="12"/>
    </row>
    <row r="3949" spans="1:1" x14ac:dyDescent="0.35">
      <c r="A3949" s="12"/>
    </row>
    <row r="3950" spans="1:1" x14ac:dyDescent="0.35">
      <c r="A3950" s="12"/>
    </row>
    <row r="3951" spans="1:1" x14ac:dyDescent="0.35">
      <c r="A3951" s="12"/>
    </row>
    <row r="3952" spans="1:1" x14ac:dyDescent="0.35">
      <c r="A3952" s="12"/>
    </row>
    <row r="3953" spans="1:1" x14ac:dyDescent="0.35">
      <c r="A3953" s="12"/>
    </row>
    <row r="3954" spans="1:1" x14ac:dyDescent="0.35">
      <c r="A3954" s="12"/>
    </row>
    <row r="3955" spans="1:1" x14ac:dyDescent="0.35">
      <c r="A3955" s="12"/>
    </row>
    <row r="3956" spans="1:1" x14ac:dyDescent="0.35">
      <c r="A3956" s="12"/>
    </row>
    <row r="3957" spans="1:1" x14ac:dyDescent="0.35">
      <c r="A3957" s="12"/>
    </row>
    <row r="3958" spans="1:1" x14ac:dyDescent="0.35">
      <c r="A3958" s="12"/>
    </row>
    <row r="3959" spans="1:1" x14ac:dyDescent="0.35">
      <c r="A3959" s="12"/>
    </row>
    <row r="3960" spans="1:1" x14ac:dyDescent="0.35">
      <c r="A3960" s="12"/>
    </row>
    <row r="3961" spans="1:1" x14ac:dyDescent="0.35">
      <c r="A3961" s="12"/>
    </row>
    <row r="3962" spans="1:1" x14ac:dyDescent="0.35">
      <c r="A3962" s="12"/>
    </row>
    <row r="3963" spans="1:1" x14ac:dyDescent="0.35">
      <c r="A3963" s="12"/>
    </row>
    <row r="3964" spans="1:1" x14ac:dyDescent="0.35">
      <c r="A3964" s="12"/>
    </row>
    <row r="3965" spans="1:1" x14ac:dyDescent="0.35">
      <c r="A3965" s="12"/>
    </row>
    <row r="3966" spans="1:1" x14ac:dyDescent="0.35">
      <c r="A3966" s="12"/>
    </row>
    <row r="3967" spans="1:1" x14ac:dyDescent="0.35">
      <c r="A3967" s="12"/>
    </row>
    <row r="3968" spans="1:1" x14ac:dyDescent="0.35">
      <c r="A3968" s="12"/>
    </row>
    <row r="3969" spans="1:1" x14ac:dyDescent="0.35">
      <c r="A3969" s="12"/>
    </row>
    <row r="3970" spans="1:1" x14ac:dyDescent="0.35">
      <c r="A3970" s="12"/>
    </row>
    <row r="3971" spans="1:1" x14ac:dyDescent="0.35">
      <c r="A3971" s="12"/>
    </row>
    <row r="3972" spans="1:1" x14ac:dyDescent="0.35">
      <c r="A3972" s="12"/>
    </row>
    <row r="3973" spans="1:1" x14ac:dyDescent="0.35">
      <c r="A3973" s="12"/>
    </row>
    <row r="3974" spans="1:1" x14ac:dyDescent="0.35">
      <c r="A3974" s="12"/>
    </row>
    <row r="3975" spans="1:1" x14ac:dyDescent="0.35">
      <c r="A3975" s="12"/>
    </row>
    <row r="3976" spans="1:1" x14ac:dyDescent="0.35">
      <c r="A3976" s="12"/>
    </row>
    <row r="3977" spans="1:1" x14ac:dyDescent="0.35">
      <c r="A3977" s="12"/>
    </row>
    <row r="3978" spans="1:1" x14ac:dyDescent="0.35">
      <c r="A3978" s="12"/>
    </row>
    <row r="3979" spans="1:1" x14ac:dyDescent="0.35">
      <c r="A3979" s="12"/>
    </row>
    <row r="3980" spans="1:1" x14ac:dyDescent="0.35">
      <c r="A3980" s="12"/>
    </row>
    <row r="3981" spans="1:1" x14ac:dyDescent="0.35">
      <c r="A3981" s="12"/>
    </row>
    <row r="3982" spans="1:1" x14ac:dyDescent="0.35">
      <c r="A3982" s="12"/>
    </row>
    <row r="3983" spans="1:1" x14ac:dyDescent="0.35">
      <c r="A3983" s="12"/>
    </row>
    <row r="3984" spans="1:1" x14ac:dyDescent="0.35">
      <c r="A3984" s="12"/>
    </row>
    <row r="3985" spans="1:1" x14ac:dyDescent="0.35">
      <c r="A3985" s="12"/>
    </row>
    <row r="3986" spans="1:1" x14ac:dyDescent="0.35">
      <c r="A3986" s="12"/>
    </row>
    <row r="3987" spans="1:1" x14ac:dyDescent="0.35">
      <c r="A3987" s="12"/>
    </row>
    <row r="3988" spans="1:1" x14ac:dyDescent="0.35">
      <c r="A3988" s="12"/>
    </row>
    <row r="3989" spans="1:1" x14ac:dyDescent="0.35">
      <c r="A3989" s="12"/>
    </row>
    <row r="3990" spans="1:1" x14ac:dyDescent="0.35">
      <c r="A3990" s="12"/>
    </row>
    <row r="3991" spans="1:1" x14ac:dyDescent="0.35">
      <c r="A3991" s="12"/>
    </row>
    <row r="3992" spans="1:1" x14ac:dyDescent="0.35">
      <c r="A3992" s="12"/>
    </row>
    <row r="3993" spans="1:1" x14ac:dyDescent="0.35">
      <c r="A3993" s="12"/>
    </row>
    <row r="3994" spans="1:1" x14ac:dyDescent="0.35">
      <c r="A3994" s="12"/>
    </row>
    <row r="3995" spans="1:1" x14ac:dyDescent="0.35">
      <c r="A3995" s="12"/>
    </row>
    <row r="3996" spans="1:1" x14ac:dyDescent="0.35">
      <c r="A3996" s="12"/>
    </row>
    <row r="3997" spans="1:1" x14ac:dyDescent="0.35">
      <c r="A3997" s="12"/>
    </row>
    <row r="3998" spans="1:1" x14ac:dyDescent="0.35">
      <c r="A3998" s="12"/>
    </row>
    <row r="3999" spans="1:1" x14ac:dyDescent="0.35">
      <c r="A3999" s="12"/>
    </row>
    <row r="4000" spans="1:1" x14ac:dyDescent="0.35">
      <c r="A4000" s="12"/>
    </row>
    <row r="4001" spans="1:1" x14ac:dyDescent="0.35">
      <c r="A4001" s="12"/>
    </row>
    <row r="4002" spans="1:1" x14ac:dyDescent="0.35">
      <c r="A4002" s="12"/>
    </row>
    <row r="4003" spans="1:1" x14ac:dyDescent="0.35">
      <c r="A4003" s="12"/>
    </row>
    <row r="4004" spans="1:1" x14ac:dyDescent="0.35">
      <c r="A4004" s="12"/>
    </row>
    <row r="4005" spans="1:1" x14ac:dyDescent="0.35">
      <c r="A4005" s="12"/>
    </row>
    <row r="4006" spans="1:1" x14ac:dyDescent="0.35">
      <c r="A4006" s="12"/>
    </row>
    <row r="4007" spans="1:1" x14ac:dyDescent="0.35">
      <c r="A4007" s="12"/>
    </row>
    <row r="4008" spans="1:1" x14ac:dyDescent="0.35">
      <c r="A4008" s="12"/>
    </row>
    <row r="4009" spans="1:1" x14ac:dyDescent="0.35">
      <c r="A4009" s="12"/>
    </row>
    <row r="4010" spans="1:1" x14ac:dyDescent="0.35">
      <c r="A4010" s="12"/>
    </row>
    <row r="4011" spans="1:1" x14ac:dyDescent="0.35">
      <c r="A4011" s="12"/>
    </row>
    <row r="4012" spans="1:1" x14ac:dyDescent="0.35">
      <c r="A4012" s="12"/>
    </row>
    <row r="4013" spans="1:1" x14ac:dyDescent="0.35">
      <c r="A4013" s="12"/>
    </row>
    <row r="4014" spans="1:1" x14ac:dyDescent="0.35">
      <c r="A4014" s="12"/>
    </row>
    <row r="4015" spans="1:1" x14ac:dyDescent="0.35">
      <c r="A4015" s="12"/>
    </row>
    <row r="4016" spans="1:1" x14ac:dyDescent="0.35">
      <c r="A4016" s="12"/>
    </row>
    <row r="4017" spans="1:1" x14ac:dyDescent="0.35">
      <c r="A4017" s="12"/>
    </row>
    <row r="4018" spans="1:1" x14ac:dyDescent="0.35">
      <c r="A4018" s="12"/>
    </row>
    <row r="4019" spans="1:1" x14ac:dyDescent="0.35">
      <c r="A4019" s="12"/>
    </row>
    <row r="4020" spans="1:1" x14ac:dyDescent="0.35">
      <c r="A4020" s="12"/>
    </row>
    <row r="4021" spans="1:1" x14ac:dyDescent="0.35">
      <c r="A4021" s="12"/>
    </row>
    <row r="4022" spans="1:1" x14ac:dyDescent="0.35">
      <c r="A4022" s="12"/>
    </row>
    <row r="4023" spans="1:1" x14ac:dyDescent="0.35">
      <c r="A4023" s="12"/>
    </row>
    <row r="4024" spans="1:1" x14ac:dyDescent="0.35">
      <c r="A4024" s="12"/>
    </row>
    <row r="4025" spans="1:1" x14ac:dyDescent="0.35">
      <c r="A4025" s="12"/>
    </row>
    <row r="4026" spans="1:1" x14ac:dyDescent="0.35">
      <c r="A4026" s="12"/>
    </row>
    <row r="4027" spans="1:1" x14ac:dyDescent="0.35">
      <c r="A4027" s="12"/>
    </row>
    <row r="4028" spans="1:1" x14ac:dyDescent="0.35">
      <c r="A4028" s="12"/>
    </row>
    <row r="4029" spans="1:1" x14ac:dyDescent="0.35">
      <c r="A4029" s="12"/>
    </row>
    <row r="4030" spans="1:1" x14ac:dyDescent="0.35">
      <c r="A4030" s="12"/>
    </row>
    <row r="4031" spans="1:1" x14ac:dyDescent="0.35">
      <c r="A4031" s="12"/>
    </row>
    <row r="4032" spans="1:1" x14ac:dyDescent="0.35">
      <c r="A4032" s="12"/>
    </row>
    <row r="4033" spans="1:1" x14ac:dyDescent="0.35">
      <c r="A4033" s="12"/>
    </row>
    <row r="4034" spans="1:1" x14ac:dyDescent="0.35">
      <c r="A4034" s="12"/>
    </row>
    <row r="4035" spans="1:1" x14ac:dyDescent="0.35">
      <c r="A4035" s="12"/>
    </row>
    <row r="4036" spans="1:1" x14ac:dyDescent="0.35">
      <c r="A4036" s="12"/>
    </row>
    <row r="4037" spans="1:1" x14ac:dyDescent="0.35">
      <c r="A4037" s="12"/>
    </row>
    <row r="4038" spans="1:1" x14ac:dyDescent="0.35">
      <c r="A4038" s="12"/>
    </row>
    <row r="4039" spans="1:1" x14ac:dyDescent="0.35">
      <c r="A4039" s="12"/>
    </row>
    <row r="4040" spans="1:1" x14ac:dyDescent="0.35">
      <c r="A4040" s="12"/>
    </row>
    <row r="4041" spans="1:1" x14ac:dyDescent="0.35">
      <c r="A4041" s="12"/>
    </row>
    <row r="4042" spans="1:1" x14ac:dyDescent="0.35">
      <c r="A4042" s="12"/>
    </row>
    <row r="4043" spans="1:1" x14ac:dyDescent="0.35">
      <c r="A4043" s="12"/>
    </row>
    <row r="4044" spans="1:1" x14ac:dyDescent="0.35">
      <c r="A4044" s="12"/>
    </row>
    <row r="4045" spans="1:1" x14ac:dyDescent="0.35">
      <c r="A4045" s="12"/>
    </row>
    <row r="4046" spans="1:1" x14ac:dyDescent="0.35">
      <c r="A4046" s="12"/>
    </row>
    <row r="4047" spans="1:1" x14ac:dyDescent="0.35">
      <c r="A4047" s="12"/>
    </row>
    <row r="4048" spans="1:1" x14ac:dyDescent="0.35">
      <c r="A4048" s="12"/>
    </row>
    <row r="4049" spans="1:1" x14ac:dyDescent="0.35">
      <c r="A4049" s="12"/>
    </row>
    <row r="4050" spans="1:1" x14ac:dyDescent="0.35">
      <c r="A4050" s="12"/>
    </row>
    <row r="4051" spans="1:1" x14ac:dyDescent="0.35">
      <c r="A4051" s="12"/>
    </row>
    <row r="4052" spans="1:1" x14ac:dyDescent="0.35">
      <c r="A4052" s="12"/>
    </row>
    <row r="4053" spans="1:1" x14ac:dyDescent="0.35">
      <c r="A4053" s="12"/>
    </row>
    <row r="4054" spans="1:1" x14ac:dyDescent="0.35">
      <c r="A4054" s="12"/>
    </row>
    <row r="4055" spans="1:1" x14ac:dyDescent="0.35">
      <c r="A4055" s="12"/>
    </row>
    <row r="4056" spans="1:1" x14ac:dyDescent="0.35">
      <c r="A4056" s="12"/>
    </row>
    <row r="4057" spans="1:1" x14ac:dyDescent="0.35">
      <c r="A4057" s="12"/>
    </row>
    <row r="4058" spans="1:1" x14ac:dyDescent="0.35">
      <c r="A4058" s="12"/>
    </row>
    <row r="4059" spans="1:1" x14ac:dyDescent="0.35">
      <c r="A4059" s="12"/>
    </row>
    <row r="4060" spans="1:1" x14ac:dyDescent="0.35">
      <c r="A4060" s="12"/>
    </row>
    <row r="4061" spans="1:1" x14ac:dyDescent="0.35">
      <c r="A4061" s="12"/>
    </row>
    <row r="4062" spans="1:1" x14ac:dyDescent="0.35">
      <c r="A4062" s="12"/>
    </row>
    <row r="4063" spans="1:1" x14ac:dyDescent="0.35">
      <c r="A4063" s="12"/>
    </row>
    <row r="4064" spans="1:1" x14ac:dyDescent="0.35">
      <c r="A4064" s="12"/>
    </row>
    <row r="4065" spans="1:1" x14ac:dyDescent="0.35">
      <c r="A4065" s="12"/>
    </row>
    <row r="4066" spans="1:1" x14ac:dyDescent="0.35">
      <c r="A4066" s="12"/>
    </row>
    <row r="4067" spans="1:1" x14ac:dyDescent="0.35">
      <c r="A4067" s="12"/>
    </row>
    <row r="4068" spans="1:1" x14ac:dyDescent="0.35">
      <c r="A4068" s="12"/>
    </row>
    <row r="4069" spans="1:1" x14ac:dyDescent="0.35">
      <c r="A4069" s="12"/>
    </row>
    <row r="4070" spans="1:1" x14ac:dyDescent="0.35">
      <c r="A4070" s="12"/>
    </row>
    <row r="4071" spans="1:1" x14ac:dyDescent="0.35">
      <c r="A4071" s="12"/>
    </row>
    <row r="4072" spans="1:1" x14ac:dyDescent="0.35">
      <c r="A4072" s="12"/>
    </row>
    <row r="4073" spans="1:1" x14ac:dyDescent="0.35">
      <c r="A4073" s="12"/>
    </row>
    <row r="4074" spans="1:1" x14ac:dyDescent="0.35">
      <c r="A4074" s="12"/>
    </row>
    <row r="4075" spans="1:1" x14ac:dyDescent="0.35">
      <c r="A4075" s="12"/>
    </row>
    <row r="4076" spans="1:1" x14ac:dyDescent="0.35">
      <c r="A4076" s="12"/>
    </row>
    <row r="4077" spans="1:1" x14ac:dyDescent="0.35">
      <c r="A4077" s="12"/>
    </row>
    <row r="4078" spans="1:1" x14ac:dyDescent="0.35">
      <c r="A4078" s="12"/>
    </row>
    <row r="4079" spans="1:1" x14ac:dyDescent="0.35">
      <c r="A4079" s="12"/>
    </row>
    <row r="4080" spans="1:1" x14ac:dyDescent="0.35">
      <c r="A4080" s="12"/>
    </row>
    <row r="4081" spans="1:1" x14ac:dyDescent="0.35">
      <c r="A4081" s="12"/>
    </row>
    <row r="4082" spans="1:1" x14ac:dyDescent="0.35">
      <c r="A4082" s="12"/>
    </row>
    <row r="4083" spans="1:1" x14ac:dyDescent="0.35">
      <c r="A4083" s="12"/>
    </row>
    <row r="4084" spans="1:1" x14ac:dyDescent="0.35">
      <c r="A4084" s="12"/>
    </row>
    <row r="4085" spans="1:1" x14ac:dyDescent="0.35">
      <c r="A4085" s="12"/>
    </row>
    <row r="4086" spans="1:1" x14ac:dyDescent="0.35">
      <c r="A4086" s="12"/>
    </row>
    <row r="4087" spans="1:1" x14ac:dyDescent="0.35">
      <c r="A4087" s="12"/>
    </row>
    <row r="4088" spans="1:1" x14ac:dyDescent="0.35">
      <c r="A4088" s="12"/>
    </row>
    <row r="4089" spans="1:1" x14ac:dyDescent="0.35">
      <c r="A4089" s="12"/>
    </row>
    <row r="4090" spans="1:1" x14ac:dyDescent="0.35">
      <c r="A4090" s="12"/>
    </row>
    <row r="4091" spans="1:1" x14ac:dyDescent="0.35">
      <c r="A4091" s="12"/>
    </row>
    <row r="4092" spans="1:1" x14ac:dyDescent="0.35">
      <c r="A4092" s="12"/>
    </row>
    <row r="4093" spans="1:1" x14ac:dyDescent="0.35">
      <c r="A4093" s="12"/>
    </row>
    <row r="4094" spans="1:1" x14ac:dyDescent="0.35">
      <c r="A4094" s="12"/>
    </row>
    <row r="4095" spans="1:1" x14ac:dyDescent="0.35">
      <c r="A4095" s="12"/>
    </row>
    <row r="4096" spans="1:1" x14ac:dyDescent="0.35">
      <c r="A4096" s="12"/>
    </row>
    <row r="4097" spans="1:1" x14ac:dyDescent="0.35">
      <c r="A4097" s="12"/>
    </row>
    <row r="4098" spans="1:1" x14ac:dyDescent="0.35">
      <c r="A4098" s="12"/>
    </row>
    <row r="4099" spans="1:1" x14ac:dyDescent="0.35">
      <c r="A4099" s="12"/>
    </row>
    <row r="4100" spans="1:1" x14ac:dyDescent="0.35">
      <c r="A4100" s="12"/>
    </row>
    <row r="4101" spans="1:1" x14ac:dyDescent="0.35">
      <c r="A4101" s="12"/>
    </row>
    <row r="4102" spans="1:1" x14ac:dyDescent="0.35">
      <c r="A4102" s="12"/>
    </row>
    <row r="4103" spans="1:1" x14ac:dyDescent="0.35">
      <c r="A4103" s="12"/>
    </row>
    <row r="4104" spans="1:1" x14ac:dyDescent="0.35">
      <c r="A4104" s="12"/>
    </row>
    <row r="4105" spans="1:1" x14ac:dyDescent="0.35">
      <c r="A4105" s="12"/>
    </row>
    <row r="4106" spans="1:1" x14ac:dyDescent="0.35">
      <c r="A4106" s="12"/>
    </row>
    <row r="4107" spans="1:1" x14ac:dyDescent="0.35">
      <c r="A4107" s="12"/>
    </row>
    <row r="4108" spans="1:1" x14ac:dyDescent="0.35">
      <c r="A4108" s="12"/>
    </row>
    <row r="4109" spans="1:1" x14ac:dyDescent="0.35">
      <c r="A4109" s="12"/>
    </row>
    <row r="4110" spans="1:1" x14ac:dyDescent="0.35">
      <c r="A4110" s="12"/>
    </row>
    <row r="4111" spans="1:1" x14ac:dyDescent="0.35">
      <c r="A4111" s="12"/>
    </row>
    <row r="4112" spans="1:1" x14ac:dyDescent="0.35">
      <c r="A4112" s="12"/>
    </row>
    <row r="4113" spans="1:1" x14ac:dyDescent="0.35">
      <c r="A4113" s="12"/>
    </row>
    <row r="4114" spans="1:1" x14ac:dyDescent="0.35">
      <c r="A4114" s="12"/>
    </row>
    <row r="4115" spans="1:1" x14ac:dyDescent="0.35">
      <c r="A4115" s="12"/>
    </row>
    <row r="4116" spans="1:1" x14ac:dyDescent="0.35">
      <c r="A4116" s="12"/>
    </row>
    <row r="4117" spans="1:1" x14ac:dyDescent="0.35">
      <c r="A4117" s="12"/>
    </row>
    <row r="4118" spans="1:1" x14ac:dyDescent="0.35">
      <c r="A4118" s="12"/>
    </row>
    <row r="4119" spans="1:1" x14ac:dyDescent="0.35">
      <c r="A4119" s="12"/>
    </row>
    <row r="4120" spans="1:1" x14ac:dyDescent="0.35">
      <c r="A4120" s="12"/>
    </row>
    <row r="4121" spans="1:1" x14ac:dyDescent="0.35">
      <c r="A4121" s="12"/>
    </row>
    <row r="4122" spans="1:1" x14ac:dyDescent="0.35">
      <c r="A4122" s="12"/>
    </row>
    <row r="4123" spans="1:1" x14ac:dyDescent="0.35">
      <c r="A4123" s="12"/>
    </row>
    <row r="4124" spans="1:1" x14ac:dyDescent="0.35">
      <c r="A4124" s="12"/>
    </row>
    <row r="4125" spans="1:1" x14ac:dyDescent="0.35">
      <c r="A4125" s="12"/>
    </row>
    <row r="4126" spans="1:1" x14ac:dyDescent="0.35">
      <c r="A4126" s="12"/>
    </row>
    <row r="4127" spans="1:1" x14ac:dyDescent="0.35">
      <c r="A4127" s="12"/>
    </row>
    <row r="4128" spans="1:1" x14ac:dyDescent="0.35">
      <c r="A4128" s="12"/>
    </row>
    <row r="4129" spans="1:1" x14ac:dyDescent="0.35">
      <c r="A4129" s="12"/>
    </row>
    <row r="4130" spans="1:1" x14ac:dyDescent="0.35">
      <c r="A4130" s="12"/>
    </row>
    <row r="4131" spans="1:1" x14ac:dyDescent="0.35">
      <c r="A4131" s="12"/>
    </row>
    <row r="4132" spans="1:1" x14ac:dyDescent="0.35">
      <c r="A4132" s="12"/>
    </row>
    <row r="4133" spans="1:1" x14ac:dyDescent="0.35">
      <c r="A4133" s="12"/>
    </row>
    <row r="4134" spans="1:1" x14ac:dyDescent="0.35">
      <c r="A4134" s="12"/>
    </row>
    <row r="4135" spans="1:1" x14ac:dyDescent="0.35">
      <c r="A4135" s="12"/>
    </row>
    <row r="4136" spans="1:1" x14ac:dyDescent="0.35">
      <c r="A4136" s="12"/>
    </row>
    <row r="4137" spans="1:1" x14ac:dyDescent="0.35">
      <c r="A4137" s="12"/>
    </row>
    <row r="4138" spans="1:1" x14ac:dyDescent="0.35">
      <c r="A4138" s="12"/>
    </row>
    <row r="4139" spans="1:1" x14ac:dyDescent="0.35">
      <c r="A4139" s="12"/>
    </row>
    <row r="4140" spans="1:1" x14ac:dyDescent="0.35">
      <c r="A4140" s="12"/>
    </row>
    <row r="4141" spans="1:1" x14ac:dyDescent="0.35">
      <c r="A4141" s="12"/>
    </row>
    <row r="4142" spans="1:1" x14ac:dyDescent="0.35">
      <c r="A4142" s="12"/>
    </row>
    <row r="4143" spans="1:1" x14ac:dyDescent="0.35">
      <c r="A4143" s="12"/>
    </row>
    <row r="4144" spans="1:1" x14ac:dyDescent="0.35">
      <c r="A4144" s="12"/>
    </row>
    <row r="4145" spans="1:1" x14ac:dyDescent="0.35">
      <c r="A4145" s="12"/>
    </row>
    <row r="4146" spans="1:1" x14ac:dyDescent="0.35">
      <c r="A4146" s="12"/>
    </row>
    <row r="4147" spans="1:1" x14ac:dyDescent="0.35">
      <c r="A4147" s="12"/>
    </row>
    <row r="4148" spans="1:1" x14ac:dyDescent="0.35">
      <c r="A4148" s="12"/>
    </row>
    <row r="4149" spans="1:1" x14ac:dyDescent="0.35">
      <c r="A4149" s="12"/>
    </row>
    <row r="4150" spans="1:1" x14ac:dyDescent="0.35">
      <c r="A4150" s="12"/>
    </row>
    <row r="4151" spans="1:1" x14ac:dyDescent="0.35">
      <c r="A4151" s="12"/>
    </row>
    <row r="4152" spans="1:1" x14ac:dyDescent="0.35">
      <c r="A4152" s="12"/>
    </row>
    <row r="4153" spans="1:1" x14ac:dyDescent="0.35">
      <c r="A4153" s="12"/>
    </row>
    <row r="4154" spans="1:1" x14ac:dyDescent="0.35">
      <c r="A4154" s="12"/>
    </row>
    <row r="4155" spans="1:1" x14ac:dyDescent="0.35">
      <c r="A4155" s="12"/>
    </row>
    <row r="4156" spans="1:1" x14ac:dyDescent="0.35">
      <c r="A4156" s="12"/>
    </row>
    <row r="4157" spans="1:1" x14ac:dyDescent="0.35">
      <c r="A4157" s="12"/>
    </row>
    <row r="4158" spans="1:1" x14ac:dyDescent="0.35">
      <c r="A4158" s="12"/>
    </row>
    <row r="4159" spans="1:1" x14ac:dyDescent="0.35">
      <c r="A4159" s="12"/>
    </row>
    <row r="4160" spans="1:1" x14ac:dyDescent="0.35">
      <c r="A4160" s="12"/>
    </row>
    <row r="4161" spans="1:1" x14ac:dyDescent="0.35">
      <c r="A4161" s="12"/>
    </row>
    <row r="4162" spans="1:1" x14ac:dyDescent="0.35">
      <c r="A4162" s="12"/>
    </row>
    <row r="4163" spans="1:1" x14ac:dyDescent="0.35">
      <c r="A4163" s="12"/>
    </row>
    <row r="4164" spans="1:1" x14ac:dyDescent="0.35">
      <c r="A4164" s="12"/>
    </row>
    <row r="4165" spans="1:1" x14ac:dyDescent="0.35">
      <c r="A4165" s="12"/>
    </row>
    <row r="4166" spans="1:1" x14ac:dyDescent="0.35">
      <c r="A4166" s="12"/>
    </row>
    <row r="4167" spans="1:1" x14ac:dyDescent="0.35">
      <c r="A4167" s="12"/>
    </row>
    <row r="4168" spans="1:1" x14ac:dyDescent="0.35">
      <c r="A4168" s="12"/>
    </row>
    <row r="4169" spans="1:1" x14ac:dyDescent="0.35">
      <c r="A4169" s="12"/>
    </row>
    <row r="4170" spans="1:1" x14ac:dyDescent="0.35">
      <c r="A4170" s="12"/>
    </row>
    <row r="4171" spans="1:1" x14ac:dyDescent="0.35">
      <c r="A4171" s="12"/>
    </row>
    <row r="4172" spans="1:1" x14ac:dyDescent="0.35">
      <c r="A4172" s="12"/>
    </row>
    <row r="4173" spans="1:1" x14ac:dyDescent="0.35">
      <c r="A4173" s="12"/>
    </row>
    <row r="4174" spans="1:1" x14ac:dyDescent="0.35">
      <c r="A4174" s="12"/>
    </row>
    <row r="4175" spans="1:1" x14ac:dyDescent="0.35">
      <c r="A4175" s="12"/>
    </row>
    <row r="4176" spans="1:1" x14ac:dyDescent="0.35">
      <c r="A4176" s="12"/>
    </row>
    <row r="4177" spans="1:1" x14ac:dyDescent="0.35">
      <c r="A4177" s="12"/>
    </row>
    <row r="4178" spans="1:1" x14ac:dyDescent="0.35">
      <c r="A4178" s="12"/>
    </row>
    <row r="4179" spans="1:1" x14ac:dyDescent="0.35">
      <c r="A4179" s="12"/>
    </row>
    <row r="4180" spans="1:1" x14ac:dyDescent="0.35">
      <c r="A4180" s="12"/>
    </row>
    <row r="4181" spans="1:1" x14ac:dyDescent="0.35">
      <c r="A4181" s="12"/>
    </row>
    <row r="4182" spans="1:1" x14ac:dyDescent="0.35">
      <c r="A4182" s="12"/>
    </row>
    <row r="4183" spans="1:1" x14ac:dyDescent="0.35">
      <c r="A4183" s="12"/>
    </row>
    <row r="4184" spans="1:1" x14ac:dyDescent="0.35">
      <c r="A4184" s="12"/>
    </row>
    <row r="4185" spans="1:1" x14ac:dyDescent="0.35">
      <c r="A4185" s="12"/>
    </row>
    <row r="4186" spans="1:1" x14ac:dyDescent="0.35">
      <c r="A4186" s="12"/>
    </row>
    <row r="4187" spans="1:1" x14ac:dyDescent="0.35">
      <c r="A4187" s="12"/>
    </row>
    <row r="4188" spans="1:1" x14ac:dyDescent="0.35">
      <c r="A4188" s="12"/>
    </row>
    <row r="4189" spans="1:1" x14ac:dyDescent="0.35">
      <c r="A4189" s="12"/>
    </row>
    <row r="4190" spans="1:1" x14ac:dyDescent="0.35">
      <c r="A4190" s="12"/>
    </row>
    <row r="4191" spans="1:1" x14ac:dyDescent="0.35">
      <c r="A4191" s="12"/>
    </row>
    <row r="4192" spans="1:1" x14ac:dyDescent="0.35">
      <c r="A4192" s="12"/>
    </row>
    <row r="4193" spans="1:1" x14ac:dyDescent="0.35">
      <c r="A4193" s="12"/>
    </row>
    <row r="4194" spans="1:1" x14ac:dyDescent="0.35">
      <c r="A4194" s="12"/>
    </row>
    <row r="4195" spans="1:1" x14ac:dyDescent="0.35">
      <c r="A4195" s="12"/>
    </row>
    <row r="4196" spans="1:1" x14ac:dyDescent="0.35">
      <c r="A4196" s="12"/>
    </row>
    <row r="4197" spans="1:1" x14ac:dyDescent="0.35">
      <c r="A4197" s="12"/>
    </row>
    <row r="4198" spans="1:1" x14ac:dyDescent="0.35">
      <c r="A4198" s="12"/>
    </row>
    <row r="4199" spans="1:1" x14ac:dyDescent="0.35">
      <c r="A4199" s="12"/>
    </row>
    <row r="4200" spans="1:1" x14ac:dyDescent="0.35">
      <c r="A4200" s="12"/>
    </row>
    <row r="4201" spans="1:1" x14ac:dyDescent="0.35">
      <c r="A4201" s="12"/>
    </row>
    <row r="4202" spans="1:1" x14ac:dyDescent="0.35">
      <c r="A4202" s="12"/>
    </row>
    <row r="4203" spans="1:1" x14ac:dyDescent="0.35">
      <c r="A4203" s="12"/>
    </row>
    <row r="4204" spans="1:1" x14ac:dyDescent="0.35">
      <c r="A4204" s="12"/>
    </row>
    <row r="4205" spans="1:1" x14ac:dyDescent="0.35">
      <c r="A4205" s="12"/>
    </row>
    <row r="4206" spans="1:1" x14ac:dyDescent="0.35">
      <c r="A4206" s="12"/>
    </row>
    <row r="4207" spans="1:1" x14ac:dyDescent="0.35">
      <c r="A4207" s="12"/>
    </row>
    <row r="4208" spans="1:1" x14ac:dyDescent="0.35">
      <c r="A4208" s="12"/>
    </row>
    <row r="4209" spans="1:1" x14ac:dyDescent="0.35">
      <c r="A4209" s="12"/>
    </row>
    <row r="4210" spans="1:1" x14ac:dyDescent="0.35">
      <c r="A4210" s="12"/>
    </row>
    <row r="4211" spans="1:1" x14ac:dyDescent="0.35">
      <c r="A4211" s="12"/>
    </row>
    <row r="4212" spans="1:1" x14ac:dyDescent="0.35">
      <c r="A4212" s="12"/>
    </row>
    <row r="4213" spans="1:1" x14ac:dyDescent="0.35">
      <c r="A4213" s="12"/>
    </row>
    <row r="4214" spans="1:1" x14ac:dyDescent="0.35">
      <c r="A4214" s="12"/>
    </row>
    <row r="4215" spans="1:1" x14ac:dyDescent="0.35">
      <c r="A4215" s="12"/>
    </row>
    <row r="4216" spans="1:1" x14ac:dyDescent="0.35">
      <c r="A4216" s="12"/>
    </row>
    <row r="4217" spans="1:1" x14ac:dyDescent="0.35">
      <c r="A4217" s="12"/>
    </row>
    <row r="4218" spans="1:1" x14ac:dyDescent="0.35">
      <c r="A4218" s="12"/>
    </row>
    <row r="4219" spans="1:1" x14ac:dyDescent="0.35">
      <c r="A4219" s="12"/>
    </row>
    <row r="4220" spans="1:1" x14ac:dyDescent="0.35">
      <c r="A4220" s="12"/>
    </row>
    <row r="4221" spans="1:1" x14ac:dyDescent="0.35">
      <c r="A4221" s="12"/>
    </row>
    <row r="4222" spans="1:1" x14ac:dyDescent="0.35">
      <c r="A4222" s="12"/>
    </row>
    <row r="4223" spans="1:1" x14ac:dyDescent="0.35">
      <c r="A4223" s="12"/>
    </row>
    <row r="4224" spans="1:1" x14ac:dyDescent="0.35">
      <c r="A4224" s="12"/>
    </row>
    <row r="4225" spans="1:1" x14ac:dyDescent="0.35">
      <c r="A4225" s="12"/>
    </row>
    <row r="4226" spans="1:1" x14ac:dyDescent="0.35">
      <c r="A4226" s="12"/>
    </row>
    <row r="4227" spans="1:1" x14ac:dyDescent="0.35">
      <c r="A4227" s="12"/>
    </row>
    <row r="4228" spans="1:1" x14ac:dyDescent="0.35">
      <c r="A4228" s="12"/>
    </row>
    <row r="4229" spans="1:1" x14ac:dyDescent="0.35">
      <c r="A4229" s="12"/>
    </row>
    <row r="4230" spans="1:1" x14ac:dyDescent="0.35">
      <c r="A4230" s="12"/>
    </row>
    <row r="4231" spans="1:1" x14ac:dyDescent="0.35">
      <c r="A4231" s="12"/>
    </row>
    <row r="4232" spans="1:1" x14ac:dyDescent="0.35">
      <c r="A4232" s="12"/>
    </row>
    <row r="4233" spans="1:1" x14ac:dyDescent="0.35">
      <c r="A4233" s="12"/>
    </row>
    <row r="4234" spans="1:1" x14ac:dyDescent="0.35">
      <c r="A4234" s="12"/>
    </row>
    <row r="4235" spans="1:1" x14ac:dyDescent="0.35">
      <c r="A4235" s="12"/>
    </row>
    <row r="4236" spans="1:1" x14ac:dyDescent="0.35">
      <c r="A4236" s="12"/>
    </row>
    <row r="4237" spans="1:1" x14ac:dyDescent="0.35">
      <c r="A4237" s="12"/>
    </row>
    <row r="4238" spans="1:1" x14ac:dyDescent="0.35">
      <c r="A4238" s="12"/>
    </row>
    <row r="4239" spans="1:1" x14ac:dyDescent="0.35">
      <c r="A4239" s="12"/>
    </row>
    <row r="4240" spans="1:1" x14ac:dyDescent="0.35">
      <c r="A4240" s="12"/>
    </row>
    <row r="4241" spans="1:1" x14ac:dyDescent="0.35">
      <c r="A4241" s="12"/>
    </row>
    <row r="4242" spans="1:1" x14ac:dyDescent="0.35">
      <c r="A4242" s="12"/>
    </row>
    <row r="4243" spans="1:1" x14ac:dyDescent="0.35">
      <c r="A4243" s="12"/>
    </row>
    <row r="4244" spans="1:1" x14ac:dyDescent="0.35">
      <c r="A4244" s="12"/>
    </row>
    <row r="4245" spans="1:1" x14ac:dyDescent="0.35">
      <c r="A4245" s="12"/>
    </row>
    <row r="4246" spans="1:1" x14ac:dyDescent="0.35">
      <c r="A4246" s="12"/>
    </row>
    <row r="4247" spans="1:1" x14ac:dyDescent="0.35">
      <c r="A4247" s="12"/>
    </row>
    <row r="4248" spans="1:1" x14ac:dyDescent="0.35">
      <c r="A4248" s="12"/>
    </row>
    <row r="4249" spans="1:1" x14ac:dyDescent="0.35">
      <c r="A4249" s="12"/>
    </row>
    <row r="4250" spans="1:1" x14ac:dyDescent="0.35">
      <c r="A4250" s="12"/>
    </row>
    <row r="4251" spans="1:1" x14ac:dyDescent="0.35">
      <c r="A4251" s="12"/>
    </row>
    <row r="4252" spans="1:1" x14ac:dyDescent="0.35">
      <c r="A4252" s="12"/>
    </row>
    <row r="4253" spans="1:1" x14ac:dyDescent="0.35">
      <c r="A4253" s="12"/>
    </row>
    <row r="4254" spans="1:1" x14ac:dyDescent="0.35">
      <c r="A4254" s="12"/>
    </row>
    <row r="4255" spans="1:1" x14ac:dyDescent="0.35">
      <c r="A4255" s="12"/>
    </row>
    <row r="4256" spans="1:1" x14ac:dyDescent="0.35">
      <c r="A4256" s="12"/>
    </row>
    <row r="4257" spans="1:1" x14ac:dyDescent="0.35">
      <c r="A4257" s="12"/>
    </row>
    <row r="4258" spans="1:1" x14ac:dyDescent="0.35">
      <c r="A4258" s="12"/>
    </row>
    <row r="4259" spans="1:1" x14ac:dyDescent="0.35">
      <c r="A4259" s="12"/>
    </row>
    <row r="4260" spans="1:1" x14ac:dyDescent="0.35">
      <c r="A4260" s="12"/>
    </row>
    <row r="4261" spans="1:1" x14ac:dyDescent="0.35">
      <c r="A4261" s="12"/>
    </row>
    <row r="4262" spans="1:1" x14ac:dyDescent="0.35">
      <c r="A4262" s="12"/>
    </row>
    <row r="4263" spans="1:1" x14ac:dyDescent="0.35">
      <c r="A4263" s="12"/>
    </row>
    <row r="4264" spans="1:1" x14ac:dyDescent="0.35">
      <c r="A4264" s="12"/>
    </row>
    <row r="4265" spans="1:1" x14ac:dyDescent="0.35">
      <c r="A4265" s="12"/>
    </row>
    <row r="4266" spans="1:1" x14ac:dyDescent="0.35">
      <c r="A4266" s="12"/>
    </row>
    <row r="4267" spans="1:1" x14ac:dyDescent="0.35">
      <c r="A4267" s="12"/>
    </row>
    <row r="4268" spans="1:1" x14ac:dyDescent="0.35">
      <c r="A4268" s="12"/>
    </row>
    <row r="4269" spans="1:1" x14ac:dyDescent="0.35">
      <c r="A4269" s="12"/>
    </row>
    <row r="4270" spans="1:1" x14ac:dyDescent="0.35">
      <c r="A4270" s="12"/>
    </row>
    <row r="4271" spans="1:1" x14ac:dyDescent="0.35">
      <c r="A4271" s="12"/>
    </row>
    <row r="4272" spans="1:1" x14ac:dyDescent="0.35">
      <c r="A4272" s="12"/>
    </row>
    <row r="4273" spans="1:1" x14ac:dyDescent="0.35">
      <c r="A4273" s="12"/>
    </row>
    <row r="4274" spans="1:1" x14ac:dyDescent="0.35">
      <c r="A4274" s="12"/>
    </row>
    <row r="4275" spans="1:1" x14ac:dyDescent="0.35">
      <c r="A4275" s="12"/>
    </row>
    <row r="4276" spans="1:1" x14ac:dyDescent="0.35">
      <c r="A4276" s="12"/>
    </row>
    <row r="4277" spans="1:1" x14ac:dyDescent="0.35">
      <c r="A4277" s="12"/>
    </row>
    <row r="4278" spans="1:1" x14ac:dyDescent="0.35">
      <c r="A4278" s="12"/>
    </row>
    <row r="4279" spans="1:1" x14ac:dyDescent="0.35">
      <c r="A4279" s="12"/>
    </row>
    <row r="4280" spans="1:1" x14ac:dyDescent="0.35">
      <c r="A4280" s="12"/>
    </row>
    <row r="4281" spans="1:1" x14ac:dyDescent="0.35">
      <c r="A4281" s="12"/>
    </row>
    <row r="4282" spans="1:1" x14ac:dyDescent="0.35">
      <c r="A4282" s="12"/>
    </row>
    <row r="4283" spans="1:1" x14ac:dyDescent="0.35">
      <c r="A4283" s="12"/>
    </row>
    <row r="4284" spans="1:1" x14ac:dyDescent="0.35">
      <c r="A4284" s="12"/>
    </row>
    <row r="4285" spans="1:1" x14ac:dyDescent="0.35">
      <c r="A4285" s="12"/>
    </row>
    <row r="4286" spans="1:1" x14ac:dyDescent="0.35">
      <c r="A4286" s="12"/>
    </row>
    <row r="4287" spans="1:1" x14ac:dyDescent="0.35">
      <c r="A4287" s="12"/>
    </row>
    <row r="4288" spans="1:1" x14ac:dyDescent="0.35">
      <c r="A4288" s="12"/>
    </row>
    <row r="4289" spans="1:1" x14ac:dyDescent="0.35">
      <c r="A4289" s="12"/>
    </row>
    <row r="4290" spans="1:1" x14ac:dyDescent="0.35">
      <c r="A4290" s="12"/>
    </row>
    <row r="4291" spans="1:1" x14ac:dyDescent="0.35">
      <c r="A4291" s="12"/>
    </row>
    <row r="4292" spans="1:1" x14ac:dyDescent="0.35">
      <c r="A4292" s="12"/>
    </row>
    <row r="4293" spans="1:1" x14ac:dyDescent="0.35">
      <c r="A4293" s="12"/>
    </row>
    <row r="4294" spans="1:1" x14ac:dyDescent="0.35">
      <c r="A4294" s="12"/>
    </row>
    <row r="4295" spans="1:1" x14ac:dyDescent="0.35">
      <c r="A4295" s="12"/>
    </row>
    <row r="4296" spans="1:1" x14ac:dyDescent="0.35">
      <c r="A4296" s="12"/>
    </row>
    <row r="4297" spans="1:1" x14ac:dyDescent="0.35">
      <c r="A4297" s="12"/>
    </row>
    <row r="4298" spans="1:1" x14ac:dyDescent="0.35">
      <c r="A4298" s="12"/>
    </row>
    <row r="4299" spans="1:1" x14ac:dyDescent="0.35">
      <c r="A4299" s="12"/>
    </row>
    <row r="4300" spans="1:1" x14ac:dyDescent="0.35">
      <c r="A4300" s="12"/>
    </row>
    <row r="4301" spans="1:1" x14ac:dyDescent="0.35">
      <c r="A4301" s="12"/>
    </row>
    <row r="4302" spans="1:1" x14ac:dyDescent="0.35">
      <c r="A4302" s="12"/>
    </row>
    <row r="4303" spans="1:1" x14ac:dyDescent="0.35">
      <c r="A4303" s="12"/>
    </row>
    <row r="4304" spans="1:1" x14ac:dyDescent="0.35">
      <c r="A4304" s="12"/>
    </row>
    <row r="4305" spans="1:1" x14ac:dyDescent="0.35">
      <c r="A4305" s="12"/>
    </row>
    <row r="4306" spans="1:1" x14ac:dyDescent="0.35">
      <c r="A4306" s="12"/>
    </row>
    <row r="4307" spans="1:1" x14ac:dyDescent="0.35">
      <c r="A4307" s="12"/>
    </row>
    <row r="4308" spans="1:1" x14ac:dyDescent="0.35">
      <c r="A4308" s="12"/>
    </row>
    <row r="4309" spans="1:1" x14ac:dyDescent="0.35">
      <c r="A4309" s="12"/>
    </row>
    <row r="4310" spans="1:1" x14ac:dyDescent="0.35">
      <c r="A4310" s="12"/>
    </row>
    <row r="4311" spans="1:1" x14ac:dyDescent="0.35">
      <c r="A4311" s="12"/>
    </row>
    <row r="4312" spans="1:1" x14ac:dyDescent="0.35">
      <c r="A4312" s="12"/>
    </row>
    <row r="4313" spans="1:1" x14ac:dyDescent="0.35">
      <c r="A4313" s="12"/>
    </row>
    <row r="4314" spans="1:1" x14ac:dyDescent="0.35">
      <c r="A4314" s="12"/>
    </row>
    <row r="4315" spans="1:1" x14ac:dyDescent="0.35">
      <c r="A4315" s="12"/>
    </row>
    <row r="4316" spans="1:1" x14ac:dyDescent="0.35">
      <c r="A4316" s="12"/>
    </row>
    <row r="4317" spans="1:1" x14ac:dyDescent="0.35">
      <c r="A4317" s="12"/>
    </row>
    <row r="4318" spans="1:1" x14ac:dyDescent="0.35">
      <c r="A4318" s="12"/>
    </row>
    <row r="4319" spans="1:1" x14ac:dyDescent="0.35">
      <c r="A4319" s="12"/>
    </row>
    <row r="4320" spans="1:1" x14ac:dyDescent="0.35">
      <c r="A4320" s="12"/>
    </row>
    <row r="4321" spans="1:1" x14ac:dyDescent="0.35">
      <c r="A4321" s="12"/>
    </row>
    <row r="4322" spans="1:1" x14ac:dyDescent="0.35">
      <c r="A4322" s="12"/>
    </row>
    <row r="4323" spans="1:1" x14ac:dyDescent="0.35">
      <c r="A4323" s="12"/>
    </row>
    <row r="4324" spans="1:1" x14ac:dyDescent="0.35">
      <c r="A4324" s="12"/>
    </row>
    <row r="4325" spans="1:1" x14ac:dyDescent="0.35">
      <c r="A4325" s="12"/>
    </row>
    <row r="4326" spans="1:1" x14ac:dyDescent="0.35">
      <c r="A4326" s="12"/>
    </row>
    <row r="4327" spans="1:1" x14ac:dyDescent="0.35">
      <c r="A4327" s="12"/>
    </row>
    <row r="4328" spans="1:1" x14ac:dyDescent="0.35">
      <c r="A4328" s="12"/>
    </row>
    <row r="4329" spans="1:1" x14ac:dyDescent="0.35">
      <c r="A4329" s="12"/>
    </row>
    <row r="4330" spans="1:1" x14ac:dyDescent="0.35">
      <c r="A4330" s="12"/>
    </row>
    <row r="4331" spans="1:1" x14ac:dyDescent="0.35">
      <c r="A4331" s="12"/>
    </row>
    <row r="4332" spans="1:1" x14ac:dyDescent="0.35">
      <c r="A4332" s="12"/>
    </row>
    <row r="4333" spans="1:1" x14ac:dyDescent="0.35">
      <c r="A4333" s="12"/>
    </row>
    <row r="4334" spans="1:1" x14ac:dyDescent="0.35">
      <c r="A4334" s="12"/>
    </row>
    <row r="4335" spans="1:1" x14ac:dyDescent="0.35">
      <c r="A4335" s="12"/>
    </row>
    <row r="4336" spans="1:1" x14ac:dyDescent="0.35">
      <c r="A4336" s="12"/>
    </row>
    <row r="4337" spans="1:1" x14ac:dyDescent="0.35">
      <c r="A4337" s="12"/>
    </row>
    <row r="4338" spans="1:1" x14ac:dyDescent="0.35">
      <c r="A4338" s="12"/>
    </row>
    <row r="4339" spans="1:1" x14ac:dyDescent="0.35">
      <c r="A4339" s="12"/>
    </row>
    <row r="4340" spans="1:1" x14ac:dyDescent="0.35">
      <c r="A4340" s="12"/>
    </row>
    <row r="4341" spans="1:1" x14ac:dyDescent="0.35">
      <c r="A4341" s="12"/>
    </row>
    <row r="4342" spans="1:1" x14ac:dyDescent="0.35">
      <c r="A4342" s="12"/>
    </row>
    <row r="4343" spans="1:1" x14ac:dyDescent="0.35">
      <c r="A4343" s="12"/>
    </row>
    <row r="4344" spans="1:1" x14ac:dyDescent="0.35">
      <c r="A4344" s="12"/>
    </row>
    <row r="4345" spans="1:1" x14ac:dyDescent="0.35">
      <c r="A4345" s="12"/>
    </row>
    <row r="4346" spans="1:1" x14ac:dyDescent="0.35">
      <c r="A4346" s="12"/>
    </row>
    <row r="4347" spans="1:1" x14ac:dyDescent="0.35">
      <c r="A4347" s="12"/>
    </row>
    <row r="4348" spans="1:1" x14ac:dyDescent="0.35">
      <c r="A4348" s="12"/>
    </row>
    <row r="4349" spans="1:1" x14ac:dyDescent="0.35">
      <c r="A4349" s="12"/>
    </row>
    <row r="4350" spans="1:1" x14ac:dyDescent="0.35">
      <c r="A4350" s="12"/>
    </row>
    <row r="4351" spans="1:1" x14ac:dyDescent="0.35">
      <c r="A4351" s="12"/>
    </row>
    <row r="4352" spans="1:1" x14ac:dyDescent="0.35">
      <c r="A4352" s="12"/>
    </row>
    <row r="4353" spans="1:1" x14ac:dyDescent="0.35">
      <c r="A4353" s="12"/>
    </row>
    <row r="4354" spans="1:1" x14ac:dyDescent="0.35">
      <c r="A4354" s="12"/>
    </row>
    <row r="4355" spans="1:1" x14ac:dyDescent="0.35">
      <c r="A4355" s="12"/>
    </row>
    <row r="4356" spans="1:1" x14ac:dyDescent="0.35">
      <c r="A4356" s="12"/>
    </row>
    <row r="4357" spans="1:1" x14ac:dyDescent="0.35">
      <c r="A4357" s="12"/>
    </row>
    <row r="4358" spans="1:1" x14ac:dyDescent="0.35">
      <c r="A4358" s="12"/>
    </row>
    <row r="4359" spans="1:1" x14ac:dyDescent="0.35">
      <c r="A4359" s="12"/>
    </row>
    <row r="4360" spans="1:1" x14ac:dyDescent="0.35">
      <c r="A4360" s="12"/>
    </row>
    <row r="4361" spans="1:1" x14ac:dyDescent="0.35">
      <c r="A4361" s="12"/>
    </row>
    <row r="4362" spans="1:1" x14ac:dyDescent="0.35">
      <c r="A4362" s="12"/>
    </row>
    <row r="4363" spans="1:1" x14ac:dyDescent="0.35">
      <c r="A4363" s="12"/>
    </row>
    <row r="4364" spans="1:1" x14ac:dyDescent="0.35">
      <c r="A4364" s="12"/>
    </row>
    <row r="4365" spans="1:1" x14ac:dyDescent="0.35">
      <c r="A4365" s="12"/>
    </row>
    <row r="4366" spans="1:1" x14ac:dyDescent="0.35">
      <c r="A4366" s="12"/>
    </row>
    <row r="4367" spans="1:1" x14ac:dyDescent="0.35">
      <c r="A4367" s="12"/>
    </row>
    <row r="4368" spans="1:1" x14ac:dyDescent="0.35">
      <c r="A4368" s="12"/>
    </row>
    <row r="4369" spans="1:1" x14ac:dyDescent="0.35">
      <c r="A4369" s="12"/>
    </row>
    <row r="4370" spans="1:1" x14ac:dyDescent="0.35">
      <c r="A4370" s="12"/>
    </row>
    <row r="4371" spans="1:1" x14ac:dyDescent="0.35">
      <c r="A4371" s="12"/>
    </row>
    <row r="4372" spans="1:1" x14ac:dyDescent="0.35">
      <c r="A4372" s="12"/>
    </row>
    <row r="4373" spans="1:1" x14ac:dyDescent="0.35">
      <c r="A4373" s="12"/>
    </row>
    <row r="4374" spans="1:1" x14ac:dyDescent="0.35">
      <c r="A4374" s="12"/>
    </row>
    <row r="4375" spans="1:1" x14ac:dyDescent="0.35">
      <c r="A4375" s="12"/>
    </row>
    <row r="4376" spans="1:1" x14ac:dyDescent="0.35">
      <c r="A4376" s="12"/>
    </row>
    <row r="4377" spans="1:1" x14ac:dyDescent="0.35">
      <c r="A4377" s="12"/>
    </row>
    <row r="4378" spans="1:1" x14ac:dyDescent="0.35">
      <c r="A4378" s="12"/>
    </row>
    <row r="4379" spans="1:1" x14ac:dyDescent="0.35">
      <c r="A4379" s="12"/>
    </row>
    <row r="4380" spans="1:1" x14ac:dyDescent="0.35">
      <c r="A4380" s="12"/>
    </row>
    <row r="4381" spans="1:1" x14ac:dyDescent="0.35">
      <c r="A4381" s="12"/>
    </row>
    <row r="4382" spans="1:1" x14ac:dyDescent="0.35">
      <c r="A4382" s="12"/>
    </row>
    <row r="4383" spans="1:1" x14ac:dyDescent="0.35">
      <c r="A4383" s="12"/>
    </row>
    <row r="4384" spans="1:1" x14ac:dyDescent="0.35">
      <c r="A4384" s="12"/>
    </row>
    <row r="4385" spans="1:1" x14ac:dyDescent="0.35">
      <c r="A4385" s="12"/>
    </row>
    <row r="4386" spans="1:1" x14ac:dyDescent="0.35">
      <c r="A4386" s="12"/>
    </row>
    <row r="4387" spans="1:1" x14ac:dyDescent="0.35">
      <c r="A4387" s="12"/>
    </row>
    <row r="4388" spans="1:1" x14ac:dyDescent="0.35">
      <c r="A4388" s="12"/>
    </row>
    <row r="4389" spans="1:1" x14ac:dyDescent="0.35">
      <c r="A4389" s="12"/>
    </row>
    <row r="4390" spans="1:1" x14ac:dyDescent="0.35">
      <c r="A4390" s="12"/>
    </row>
    <row r="4391" spans="1:1" x14ac:dyDescent="0.35">
      <c r="A4391" s="12"/>
    </row>
    <row r="4392" spans="1:1" x14ac:dyDescent="0.35">
      <c r="A4392" s="12"/>
    </row>
    <row r="4393" spans="1:1" x14ac:dyDescent="0.35">
      <c r="A4393" s="12"/>
    </row>
    <row r="4394" spans="1:1" x14ac:dyDescent="0.35">
      <c r="A4394" s="12"/>
    </row>
    <row r="4395" spans="1:1" x14ac:dyDescent="0.35">
      <c r="A4395" s="12"/>
    </row>
    <row r="4396" spans="1:1" x14ac:dyDescent="0.35">
      <c r="A4396" s="12"/>
    </row>
    <row r="4397" spans="1:1" x14ac:dyDescent="0.35">
      <c r="A4397" s="12"/>
    </row>
    <row r="4398" spans="1:1" x14ac:dyDescent="0.35">
      <c r="A4398" s="12"/>
    </row>
    <row r="4399" spans="1:1" x14ac:dyDescent="0.35">
      <c r="A4399" s="12"/>
    </row>
    <row r="4400" spans="1:1" x14ac:dyDescent="0.35">
      <c r="A4400" s="12"/>
    </row>
    <row r="4401" spans="1:1" x14ac:dyDescent="0.35">
      <c r="A4401" s="12"/>
    </row>
    <row r="4402" spans="1:1" x14ac:dyDescent="0.35">
      <c r="A4402" s="12"/>
    </row>
    <row r="4403" spans="1:1" x14ac:dyDescent="0.35">
      <c r="A4403" s="12"/>
    </row>
    <row r="4404" spans="1:1" x14ac:dyDescent="0.35">
      <c r="A4404" s="12"/>
    </row>
    <row r="4405" spans="1:1" x14ac:dyDescent="0.35">
      <c r="A4405" s="12"/>
    </row>
    <row r="4406" spans="1:1" x14ac:dyDescent="0.35">
      <c r="A4406" s="12"/>
    </row>
    <row r="4407" spans="1:1" x14ac:dyDescent="0.35">
      <c r="A4407" s="12"/>
    </row>
    <row r="4408" spans="1:1" x14ac:dyDescent="0.35">
      <c r="A4408" s="12"/>
    </row>
    <row r="4409" spans="1:1" x14ac:dyDescent="0.35">
      <c r="A4409" s="12"/>
    </row>
    <row r="4410" spans="1:1" x14ac:dyDescent="0.35">
      <c r="A4410" s="12"/>
    </row>
    <row r="4411" spans="1:1" x14ac:dyDescent="0.35">
      <c r="A4411" s="12"/>
    </row>
    <row r="4412" spans="1:1" x14ac:dyDescent="0.35">
      <c r="A4412" s="12"/>
    </row>
    <row r="4413" spans="1:1" x14ac:dyDescent="0.35">
      <c r="A4413" s="12"/>
    </row>
    <row r="4414" spans="1:1" x14ac:dyDescent="0.35">
      <c r="A4414" s="12"/>
    </row>
    <row r="4415" spans="1:1" x14ac:dyDescent="0.35">
      <c r="A4415" s="12"/>
    </row>
    <row r="4416" spans="1:1" x14ac:dyDescent="0.35">
      <c r="A4416" s="12"/>
    </row>
    <row r="4417" spans="1:1" x14ac:dyDescent="0.35">
      <c r="A4417" s="12"/>
    </row>
    <row r="4418" spans="1:1" x14ac:dyDescent="0.35">
      <c r="A4418" s="12"/>
    </row>
    <row r="4419" spans="1:1" x14ac:dyDescent="0.35">
      <c r="A4419" s="12"/>
    </row>
    <row r="4420" spans="1:1" x14ac:dyDescent="0.35">
      <c r="A4420" s="12"/>
    </row>
    <row r="4421" spans="1:1" x14ac:dyDescent="0.35">
      <c r="A4421" s="12"/>
    </row>
    <row r="4422" spans="1:1" x14ac:dyDescent="0.35">
      <c r="A4422" s="12"/>
    </row>
    <row r="4423" spans="1:1" x14ac:dyDescent="0.35">
      <c r="A4423" s="12"/>
    </row>
    <row r="4424" spans="1:1" x14ac:dyDescent="0.35">
      <c r="A4424" s="12"/>
    </row>
    <row r="4425" spans="1:1" x14ac:dyDescent="0.35">
      <c r="A4425" s="12"/>
    </row>
    <row r="4426" spans="1:1" x14ac:dyDescent="0.35">
      <c r="A4426" s="12"/>
    </row>
    <row r="4427" spans="1:1" x14ac:dyDescent="0.35">
      <c r="A4427" s="12"/>
    </row>
    <row r="4428" spans="1:1" x14ac:dyDescent="0.35">
      <c r="A4428" s="12"/>
    </row>
    <row r="4429" spans="1:1" x14ac:dyDescent="0.35">
      <c r="A4429" s="12"/>
    </row>
    <row r="4430" spans="1:1" x14ac:dyDescent="0.35">
      <c r="A4430" s="12"/>
    </row>
    <row r="4431" spans="1:1" x14ac:dyDescent="0.35">
      <c r="A4431" s="12"/>
    </row>
    <row r="4432" spans="1:1" x14ac:dyDescent="0.35">
      <c r="A4432" s="12"/>
    </row>
    <row r="4433" spans="1:1" x14ac:dyDescent="0.35">
      <c r="A4433" s="12"/>
    </row>
    <row r="4434" spans="1:1" x14ac:dyDescent="0.35">
      <c r="A4434" s="12"/>
    </row>
    <row r="4435" spans="1:1" x14ac:dyDescent="0.35">
      <c r="A4435" s="12"/>
    </row>
    <row r="4436" spans="1:1" x14ac:dyDescent="0.35">
      <c r="A4436" s="12"/>
    </row>
    <row r="4437" spans="1:1" x14ac:dyDescent="0.35">
      <c r="A4437" s="12"/>
    </row>
    <row r="4438" spans="1:1" x14ac:dyDescent="0.35">
      <c r="A4438" s="12"/>
    </row>
    <row r="4439" spans="1:1" x14ac:dyDescent="0.35">
      <c r="A4439" s="12"/>
    </row>
    <row r="4440" spans="1:1" x14ac:dyDescent="0.35">
      <c r="A4440" s="12"/>
    </row>
    <row r="4441" spans="1:1" x14ac:dyDescent="0.35">
      <c r="A4441" s="12"/>
    </row>
    <row r="4442" spans="1:1" x14ac:dyDescent="0.35">
      <c r="A4442" s="12"/>
    </row>
    <row r="4443" spans="1:1" x14ac:dyDescent="0.35">
      <c r="A4443" s="12"/>
    </row>
    <row r="4444" spans="1:1" x14ac:dyDescent="0.35">
      <c r="A4444" s="12"/>
    </row>
    <row r="4445" spans="1:1" x14ac:dyDescent="0.35">
      <c r="A4445" s="12"/>
    </row>
    <row r="4446" spans="1:1" x14ac:dyDescent="0.35">
      <c r="A4446" s="12"/>
    </row>
    <row r="4447" spans="1:1" x14ac:dyDescent="0.35">
      <c r="A4447" s="12"/>
    </row>
    <row r="4448" spans="1:1" x14ac:dyDescent="0.35">
      <c r="A4448" s="12"/>
    </row>
    <row r="4449" spans="1:1" x14ac:dyDescent="0.35">
      <c r="A4449" s="12"/>
    </row>
    <row r="4450" spans="1:1" x14ac:dyDescent="0.35">
      <c r="A4450" s="12"/>
    </row>
    <row r="4451" spans="1:1" x14ac:dyDescent="0.35">
      <c r="A4451" s="12"/>
    </row>
    <row r="4452" spans="1:1" x14ac:dyDescent="0.35">
      <c r="A4452" s="12"/>
    </row>
    <row r="4453" spans="1:1" x14ac:dyDescent="0.35">
      <c r="A4453" s="12"/>
    </row>
    <row r="4454" spans="1:1" x14ac:dyDescent="0.35">
      <c r="A4454" s="12"/>
    </row>
    <row r="4455" spans="1:1" x14ac:dyDescent="0.35">
      <c r="A4455" s="12"/>
    </row>
    <row r="4456" spans="1:1" x14ac:dyDescent="0.35">
      <c r="A4456" s="12"/>
    </row>
    <row r="4457" spans="1:1" x14ac:dyDescent="0.35">
      <c r="A4457" s="12"/>
    </row>
    <row r="4458" spans="1:1" x14ac:dyDescent="0.35">
      <c r="A4458" s="12"/>
    </row>
    <row r="4459" spans="1:1" x14ac:dyDescent="0.35">
      <c r="A4459" s="12"/>
    </row>
    <row r="4460" spans="1:1" x14ac:dyDescent="0.35">
      <c r="A4460" s="12"/>
    </row>
    <row r="4461" spans="1:1" x14ac:dyDescent="0.35">
      <c r="A4461" s="12"/>
    </row>
    <row r="4462" spans="1:1" x14ac:dyDescent="0.35">
      <c r="A4462" s="12"/>
    </row>
    <row r="4463" spans="1:1" x14ac:dyDescent="0.35">
      <c r="A4463" s="12"/>
    </row>
    <row r="4464" spans="1:1" x14ac:dyDescent="0.35">
      <c r="A4464" s="12"/>
    </row>
    <row r="4465" spans="1:1" x14ac:dyDescent="0.35">
      <c r="A4465" s="12"/>
    </row>
    <row r="4466" spans="1:1" x14ac:dyDescent="0.35">
      <c r="A4466" s="12"/>
    </row>
    <row r="4467" spans="1:1" x14ac:dyDescent="0.35">
      <c r="A4467" s="12"/>
    </row>
    <row r="4468" spans="1:1" x14ac:dyDescent="0.35">
      <c r="A4468" s="12"/>
    </row>
    <row r="4469" spans="1:1" x14ac:dyDescent="0.35">
      <c r="A4469" s="12"/>
    </row>
    <row r="4470" spans="1:1" x14ac:dyDescent="0.35">
      <c r="A4470" s="12"/>
    </row>
    <row r="4471" spans="1:1" x14ac:dyDescent="0.35">
      <c r="A4471" s="12"/>
    </row>
    <row r="4472" spans="1:1" x14ac:dyDescent="0.35">
      <c r="A4472" s="12"/>
    </row>
    <row r="4473" spans="1:1" x14ac:dyDescent="0.35">
      <c r="A4473" s="12"/>
    </row>
    <row r="4474" spans="1:1" x14ac:dyDescent="0.35">
      <c r="A4474" s="12"/>
    </row>
    <row r="4475" spans="1:1" x14ac:dyDescent="0.35">
      <c r="A4475" s="12"/>
    </row>
    <row r="4476" spans="1:1" x14ac:dyDescent="0.35">
      <c r="A4476" s="12"/>
    </row>
    <row r="4477" spans="1:1" x14ac:dyDescent="0.35">
      <c r="A4477" s="12"/>
    </row>
    <row r="4478" spans="1:1" x14ac:dyDescent="0.35">
      <c r="A4478" s="12"/>
    </row>
    <row r="4479" spans="1:1" x14ac:dyDescent="0.35">
      <c r="A4479" s="12"/>
    </row>
    <row r="4480" spans="1:1" x14ac:dyDescent="0.35">
      <c r="A4480" s="12"/>
    </row>
    <row r="4481" spans="1:1" x14ac:dyDescent="0.35">
      <c r="A4481" s="12"/>
    </row>
    <row r="4482" spans="1:1" x14ac:dyDescent="0.35">
      <c r="A4482" s="12"/>
    </row>
    <row r="4483" spans="1:1" x14ac:dyDescent="0.35">
      <c r="A4483" s="12"/>
    </row>
    <row r="4484" spans="1:1" x14ac:dyDescent="0.35">
      <c r="A4484" s="12"/>
    </row>
    <row r="4485" spans="1:1" x14ac:dyDescent="0.35">
      <c r="A4485" s="12"/>
    </row>
    <row r="4486" spans="1:1" x14ac:dyDescent="0.35">
      <c r="A4486" s="12"/>
    </row>
    <row r="4487" spans="1:1" x14ac:dyDescent="0.35">
      <c r="A4487" s="12"/>
    </row>
    <row r="4488" spans="1:1" x14ac:dyDescent="0.35">
      <c r="A4488" s="12"/>
    </row>
    <row r="4489" spans="1:1" x14ac:dyDescent="0.35">
      <c r="A4489" s="12"/>
    </row>
    <row r="4490" spans="1:1" x14ac:dyDescent="0.35">
      <c r="A4490" s="12"/>
    </row>
    <row r="4491" spans="1:1" x14ac:dyDescent="0.35">
      <c r="A4491" s="12"/>
    </row>
    <row r="4492" spans="1:1" x14ac:dyDescent="0.35">
      <c r="A4492" s="12"/>
    </row>
    <row r="4493" spans="1:1" x14ac:dyDescent="0.35">
      <c r="A4493" s="12"/>
    </row>
    <row r="4494" spans="1:1" x14ac:dyDescent="0.35">
      <c r="A4494" s="12"/>
    </row>
    <row r="4495" spans="1:1" x14ac:dyDescent="0.35">
      <c r="A4495" s="12"/>
    </row>
    <row r="4496" spans="1:1" x14ac:dyDescent="0.35">
      <c r="A4496" s="12"/>
    </row>
    <row r="4497" spans="1:1" x14ac:dyDescent="0.35">
      <c r="A4497" s="12"/>
    </row>
    <row r="4498" spans="1:1" x14ac:dyDescent="0.35">
      <c r="A4498" s="12"/>
    </row>
    <row r="4499" spans="1:1" x14ac:dyDescent="0.35">
      <c r="A4499" s="12"/>
    </row>
    <row r="4500" spans="1:1" x14ac:dyDescent="0.35">
      <c r="A4500" s="12"/>
    </row>
    <row r="4501" spans="1:1" x14ac:dyDescent="0.35">
      <c r="A4501" s="12"/>
    </row>
    <row r="4502" spans="1:1" x14ac:dyDescent="0.35">
      <c r="A4502" s="12"/>
    </row>
    <row r="4503" spans="1:1" x14ac:dyDescent="0.35">
      <c r="A4503" s="12"/>
    </row>
    <row r="4504" spans="1:1" x14ac:dyDescent="0.35">
      <c r="A4504" s="12"/>
    </row>
    <row r="4505" spans="1:1" x14ac:dyDescent="0.35">
      <c r="A4505" s="12"/>
    </row>
    <row r="4506" spans="1:1" x14ac:dyDescent="0.35">
      <c r="A4506" s="12"/>
    </row>
    <row r="4507" spans="1:1" x14ac:dyDescent="0.35">
      <c r="A4507" s="12"/>
    </row>
    <row r="4508" spans="1:1" x14ac:dyDescent="0.35">
      <c r="A4508" s="12"/>
    </row>
    <row r="4509" spans="1:1" x14ac:dyDescent="0.35">
      <c r="A4509" s="12"/>
    </row>
    <row r="4510" spans="1:1" x14ac:dyDescent="0.35">
      <c r="A4510" s="12"/>
    </row>
    <row r="4511" spans="1:1" x14ac:dyDescent="0.35">
      <c r="A4511" s="12"/>
    </row>
    <row r="4512" spans="1:1" x14ac:dyDescent="0.35">
      <c r="A4512" s="12"/>
    </row>
    <row r="4513" spans="1:1" x14ac:dyDescent="0.35">
      <c r="A4513" s="12"/>
    </row>
    <row r="4514" spans="1:1" x14ac:dyDescent="0.35">
      <c r="A4514" s="12"/>
    </row>
    <row r="4515" spans="1:1" x14ac:dyDescent="0.35">
      <c r="A4515" s="12"/>
    </row>
    <row r="4516" spans="1:1" x14ac:dyDescent="0.35">
      <c r="A4516" s="12"/>
    </row>
    <row r="4517" spans="1:1" x14ac:dyDescent="0.35">
      <c r="A4517" s="12"/>
    </row>
    <row r="4518" spans="1:1" x14ac:dyDescent="0.35">
      <c r="A4518" s="12"/>
    </row>
    <row r="4519" spans="1:1" x14ac:dyDescent="0.35">
      <c r="A4519" s="12"/>
    </row>
    <row r="4520" spans="1:1" x14ac:dyDescent="0.35">
      <c r="A4520" s="12"/>
    </row>
    <row r="4521" spans="1:1" x14ac:dyDescent="0.35">
      <c r="A4521" s="12"/>
    </row>
    <row r="4522" spans="1:1" x14ac:dyDescent="0.35">
      <c r="A4522" s="12"/>
    </row>
    <row r="4523" spans="1:1" x14ac:dyDescent="0.35">
      <c r="A4523" s="12"/>
    </row>
    <row r="4524" spans="1:1" x14ac:dyDescent="0.35">
      <c r="A4524" s="12"/>
    </row>
    <row r="4525" spans="1:1" x14ac:dyDescent="0.35">
      <c r="A4525" s="12"/>
    </row>
    <row r="4526" spans="1:1" x14ac:dyDescent="0.35">
      <c r="A4526" s="12"/>
    </row>
    <row r="4527" spans="1:1" x14ac:dyDescent="0.35">
      <c r="A4527" s="12"/>
    </row>
    <row r="4528" spans="1:1" x14ac:dyDescent="0.35">
      <c r="A4528" s="12"/>
    </row>
    <row r="4529" spans="1:1" x14ac:dyDescent="0.35">
      <c r="A4529" s="12"/>
    </row>
    <row r="4530" spans="1:1" x14ac:dyDescent="0.35">
      <c r="A4530" s="12"/>
    </row>
    <row r="4531" spans="1:1" x14ac:dyDescent="0.35">
      <c r="A4531" s="12"/>
    </row>
    <row r="4532" spans="1:1" x14ac:dyDescent="0.35">
      <c r="A4532" s="12"/>
    </row>
    <row r="4533" spans="1:1" x14ac:dyDescent="0.35">
      <c r="A4533" s="12"/>
    </row>
    <row r="4534" spans="1:1" x14ac:dyDescent="0.35">
      <c r="A4534" s="12"/>
    </row>
    <row r="4535" spans="1:1" x14ac:dyDescent="0.35">
      <c r="A4535" s="12"/>
    </row>
    <row r="4536" spans="1:1" x14ac:dyDescent="0.35">
      <c r="A4536" s="12"/>
    </row>
    <row r="4537" spans="1:1" x14ac:dyDescent="0.35">
      <c r="A4537" s="12"/>
    </row>
    <row r="4538" spans="1:1" x14ac:dyDescent="0.35">
      <c r="A4538" s="12"/>
    </row>
    <row r="4539" spans="1:1" x14ac:dyDescent="0.35">
      <c r="A4539" s="12"/>
    </row>
    <row r="4540" spans="1:1" x14ac:dyDescent="0.35">
      <c r="A4540" s="12"/>
    </row>
    <row r="4541" spans="1:1" x14ac:dyDescent="0.35">
      <c r="A4541" s="12"/>
    </row>
    <row r="4542" spans="1:1" x14ac:dyDescent="0.35">
      <c r="A4542" s="12"/>
    </row>
    <row r="4543" spans="1:1" x14ac:dyDescent="0.35">
      <c r="A4543" s="12"/>
    </row>
    <row r="4544" spans="1:1" x14ac:dyDescent="0.35">
      <c r="A4544" s="12"/>
    </row>
    <row r="4545" spans="1:1" x14ac:dyDescent="0.35">
      <c r="A4545" s="12"/>
    </row>
    <row r="4546" spans="1:1" x14ac:dyDescent="0.35">
      <c r="A4546" s="12"/>
    </row>
    <row r="4547" spans="1:1" x14ac:dyDescent="0.35">
      <c r="A4547" s="12"/>
    </row>
    <row r="4548" spans="1:1" x14ac:dyDescent="0.35">
      <c r="A4548" s="12"/>
    </row>
    <row r="4549" spans="1:1" x14ac:dyDescent="0.35">
      <c r="A4549" s="12"/>
    </row>
    <row r="4550" spans="1:1" x14ac:dyDescent="0.35">
      <c r="A4550" s="12"/>
    </row>
    <row r="4551" spans="1:1" x14ac:dyDescent="0.35">
      <c r="A4551" s="12"/>
    </row>
    <row r="4552" spans="1:1" x14ac:dyDescent="0.35">
      <c r="A4552" s="12"/>
    </row>
    <row r="4553" spans="1:1" x14ac:dyDescent="0.35">
      <c r="A4553" s="12"/>
    </row>
    <row r="4554" spans="1:1" x14ac:dyDescent="0.35">
      <c r="A4554" s="12"/>
    </row>
    <row r="4555" spans="1:1" x14ac:dyDescent="0.35">
      <c r="A4555" s="12"/>
    </row>
    <row r="4556" spans="1:1" x14ac:dyDescent="0.35">
      <c r="A4556" s="12"/>
    </row>
    <row r="4557" spans="1:1" x14ac:dyDescent="0.35">
      <c r="A4557" s="12"/>
    </row>
    <row r="4558" spans="1:1" x14ac:dyDescent="0.35">
      <c r="A4558" s="12"/>
    </row>
    <row r="4559" spans="1:1" x14ac:dyDescent="0.35">
      <c r="A4559" s="12"/>
    </row>
    <row r="4560" spans="1:1" x14ac:dyDescent="0.35">
      <c r="A4560" s="12"/>
    </row>
    <row r="4561" spans="1:1" x14ac:dyDescent="0.35">
      <c r="A4561" s="12"/>
    </row>
    <row r="4562" spans="1:1" x14ac:dyDescent="0.35">
      <c r="A4562" s="12"/>
    </row>
    <row r="4563" spans="1:1" x14ac:dyDescent="0.35">
      <c r="A4563" s="12"/>
    </row>
    <row r="4564" spans="1:1" x14ac:dyDescent="0.35">
      <c r="A4564" s="12"/>
    </row>
    <row r="4565" spans="1:1" x14ac:dyDescent="0.35">
      <c r="A4565" s="12"/>
    </row>
    <row r="4566" spans="1:1" x14ac:dyDescent="0.35">
      <c r="A4566" s="12"/>
    </row>
    <row r="4567" spans="1:1" x14ac:dyDescent="0.35">
      <c r="A4567" s="12"/>
    </row>
    <row r="4568" spans="1:1" x14ac:dyDescent="0.35">
      <c r="A4568" s="12"/>
    </row>
    <row r="4569" spans="1:1" x14ac:dyDescent="0.35">
      <c r="A4569" s="12"/>
    </row>
    <row r="4570" spans="1:1" x14ac:dyDescent="0.35">
      <c r="A4570" s="12"/>
    </row>
    <row r="4571" spans="1:1" x14ac:dyDescent="0.35">
      <c r="A4571" s="12"/>
    </row>
    <row r="4572" spans="1:1" x14ac:dyDescent="0.35">
      <c r="A4572" s="12"/>
    </row>
    <row r="4573" spans="1:1" x14ac:dyDescent="0.35">
      <c r="A4573" s="12"/>
    </row>
    <row r="4574" spans="1:1" x14ac:dyDescent="0.35">
      <c r="A4574" s="12"/>
    </row>
    <row r="4575" spans="1:1" x14ac:dyDescent="0.35">
      <c r="A4575" s="12"/>
    </row>
    <row r="4576" spans="1:1" x14ac:dyDescent="0.35">
      <c r="A4576" s="12"/>
    </row>
    <row r="4577" spans="1:1" x14ac:dyDescent="0.35">
      <c r="A4577" s="12"/>
    </row>
    <row r="4578" spans="1:1" x14ac:dyDescent="0.35">
      <c r="A4578" s="12"/>
    </row>
    <row r="4579" spans="1:1" x14ac:dyDescent="0.35">
      <c r="A4579" s="12"/>
    </row>
    <row r="4580" spans="1:1" x14ac:dyDescent="0.35">
      <c r="A4580" s="12"/>
    </row>
    <row r="4581" spans="1:1" x14ac:dyDescent="0.35">
      <c r="A4581" s="12"/>
    </row>
    <row r="4582" spans="1:1" x14ac:dyDescent="0.35">
      <c r="A4582" s="12"/>
    </row>
    <row r="4583" spans="1:1" x14ac:dyDescent="0.35">
      <c r="A4583" s="12"/>
    </row>
    <row r="4584" spans="1:1" x14ac:dyDescent="0.35">
      <c r="A4584" s="12"/>
    </row>
    <row r="4585" spans="1:1" x14ac:dyDescent="0.35">
      <c r="A4585" s="12"/>
    </row>
    <row r="4586" spans="1:1" x14ac:dyDescent="0.35">
      <c r="A4586" s="12"/>
    </row>
    <row r="4587" spans="1:1" x14ac:dyDescent="0.35">
      <c r="A4587" s="12"/>
    </row>
    <row r="4588" spans="1:1" x14ac:dyDescent="0.35">
      <c r="A4588" s="12"/>
    </row>
    <row r="4589" spans="1:1" x14ac:dyDescent="0.35">
      <c r="A4589" s="12"/>
    </row>
    <row r="4590" spans="1:1" x14ac:dyDescent="0.35">
      <c r="A4590" s="12"/>
    </row>
    <row r="4591" spans="1:1" x14ac:dyDescent="0.35">
      <c r="A4591" s="12"/>
    </row>
    <row r="4592" spans="1:1" x14ac:dyDescent="0.35">
      <c r="A4592" s="12"/>
    </row>
    <row r="4593" spans="1:1" x14ac:dyDescent="0.35">
      <c r="A4593" s="12"/>
    </row>
    <row r="4594" spans="1:1" x14ac:dyDescent="0.35">
      <c r="A4594" s="12"/>
    </row>
    <row r="4595" spans="1:1" x14ac:dyDescent="0.35">
      <c r="A4595" s="12"/>
    </row>
    <row r="4596" spans="1:1" x14ac:dyDescent="0.35">
      <c r="A4596" s="12"/>
    </row>
    <row r="4597" spans="1:1" x14ac:dyDescent="0.35">
      <c r="A4597" s="12"/>
    </row>
    <row r="4598" spans="1:1" x14ac:dyDescent="0.35">
      <c r="A4598" s="12"/>
    </row>
    <row r="4599" spans="1:1" x14ac:dyDescent="0.35">
      <c r="A4599" s="12"/>
    </row>
    <row r="4600" spans="1:1" x14ac:dyDescent="0.35">
      <c r="A4600" s="12"/>
    </row>
    <row r="4601" spans="1:1" x14ac:dyDescent="0.35">
      <c r="A4601" s="12"/>
    </row>
    <row r="4602" spans="1:1" x14ac:dyDescent="0.35">
      <c r="A4602" s="12"/>
    </row>
    <row r="4603" spans="1:1" x14ac:dyDescent="0.35">
      <c r="A4603" s="12"/>
    </row>
    <row r="4604" spans="1:1" x14ac:dyDescent="0.35">
      <c r="A4604" s="12"/>
    </row>
    <row r="4605" spans="1:1" x14ac:dyDescent="0.35">
      <c r="A4605" s="12"/>
    </row>
    <row r="4606" spans="1:1" x14ac:dyDescent="0.35">
      <c r="A4606" s="12"/>
    </row>
    <row r="4607" spans="1:1" x14ac:dyDescent="0.35">
      <c r="A4607" s="12"/>
    </row>
    <row r="4608" spans="1:1" x14ac:dyDescent="0.35">
      <c r="A4608" s="12"/>
    </row>
    <row r="4609" spans="1:1" x14ac:dyDescent="0.35">
      <c r="A4609" s="12"/>
    </row>
    <row r="4610" spans="1:1" x14ac:dyDescent="0.35">
      <c r="A4610" s="12"/>
    </row>
    <row r="4611" spans="1:1" x14ac:dyDescent="0.35">
      <c r="A4611" s="12"/>
    </row>
    <row r="4612" spans="1:1" x14ac:dyDescent="0.35">
      <c r="A4612" s="12"/>
    </row>
    <row r="4613" spans="1:1" x14ac:dyDescent="0.35">
      <c r="A4613" s="12"/>
    </row>
    <row r="4614" spans="1:1" x14ac:dyDescent="0.35">
      <c r="A4614" s="12"/>
    </row>
    <row r="4615" spans="1:1" x14ac:dyDescent="0.35">
      <c r="A4615" s="12"/>
    </row>
    <row r="4616" spans="1:1" x14ac:dyDescent="0.35">
      <c r="A4616" s="12"/>
    </row>
    <row r="4617" spans="1:1" x14ac:dyDescent="0.35">
      <c r="A4617" s="12"/>
    </row>
    <row r="4618" spans="1:1" x14ac:dyDescent="0.35">
      <c r="A4618" s="12"/>
    </row>
    <row r="4619" spans="1:1" x14ac:dyDescent="0.35">
      <c r="A4619" s="12"/>
    </row>
    <row r="4620" spans="1:1" x14ac:dyDescent="0.35">
      <c r="A4620" s="12"/>
    </row>
    <row r="4621" spans="1:1" x14ac:dyDescent="0.35">
      <c r="A4621" s="12"/>
    </row>
    <row r="4622" spans="1:1" x14ac:dyDescent="0.35">
      <c r="A4622" s="12"/>
    </row>
    <row r="4623" spans="1:1" x14ac:dyDescent="0.35">
      <c r="A4623" s="12"/>
    </row>
    <row r="4624" spans="1:1" x14ac:dyDescent="0.35">
      <c r="A4624" s="12"/>
    </row>
    <row r="4625" spans="1:1" x14ac:dyDescent="0.35">
      <c r="A4625" s="12"/>
    </row>
    <row r="4626" spans="1:1" x14ac:dyDescent="0.35">
      <c r="A4626" s="12"/>
    </row>
    <row r="4627" spans="1:1" x14ac:dyDescent="0.35">
      <c r="A4627" s="12"/>
    </row>
    <row r="4628" spans="1:1" x14ac:dyDescent="0.35">
      <c r="A4628" s="12"/>
    </row>
    <row r="4629" spans="1:1" x14ac:dyDescent="0.35">
      <c r="A4629" s="12"/>
    </row>
    <row r="4630" spans="1:1" x14ac:dyDescent="0.35">
      <c r="A4630" s="12"/>
    </row>
    <row r="4631" spans="1:1" x14ac:dyDescent="0.35">
      <c r="A4631" s="12"/>
    </row>
    <row r="4632" spans="1:1" x14ac:dyDescent="0.35">
      <c r="A4632" s="12"/>
    </row>
    <row r="4633" spans="1:1" x14ac:dyDescent="0.35">
      <c r="A4633" s="12"/>
    </row>
    <row r="4634" spans="1:1" x14ac:dyDescent="0.35">
      <c r="A4634" s="12"/>
    </row>
    <row r="4635" spans="1:1" x14ac:dyDescent="0.35">
      <c r="A4635" s="12"/>
    </row>
    <row r="4636" spans="1:1" x14ac:dyDescent="0.35">
      <c r="A4636" s="12"/>
    </row>
    <row r="4637" spans="1:1" x14ac:dyDescent="0.35">
      <c r="A4637" s="12"/>
    </row>
    <row r="4638" spans="1:1" x14ac:dyDescent="0.35">
      <c r="A4638" s="12"/>
    </row>
    <row r="4639" spans="1:1" x14ac:dyDescent="0.35">
      <c r="A4639" s="12"/>
    </row>
    <row r="4640" spans="1:1" x14ac:dyDescent="0.35">
      <c r="A4640" s="12"/>
    </row>
    <row r="4641" spans="1:1" x14ac:dyDescent="0.35">
      <c r="A4641" s="12"/>
    </row>
    <row r="4642" spans="1:1" x14ac:dyDescent="0.35">
      <c r="A4642" s="12"/>
    </row>
    <row r="4643" spans="1:1" x14ac:dyDescent="0.35">
      <c r="A4643" s="12"/>
    </row>
    <row r="4644" spans="1:1" x14ac:dyDescent="0.35">
      <c r="A4644" s="12"/>
    </row>
    <row r="4645" spans="1:1" x14ac:dyDescent="0.35">
      <c r="A4645" s="12"/>
    </row>
    <row r="4646" spans="1:1" x14ac:dyDescent="0.35">
      <c r="A4646" s="12"/>
    </row>
    <row r="4647" spans="1:1" x14ac:dyDescent="0.35">
      <c r="A4647" s="12"/>
    </row>
    <row r="4648" spans="1:1" x14ac:dyDescent="0.35">
      <c r="A4648" s="12"/>
    </row>
    <row r="4649" spans="1:1" x14ac:dyDescent="0.35">
      <c r="A4649" s="12"/>
    </row>
    <row r="4650" spans="1:1" x14ac:dyDescent="0.35">
      <c r="A4650" s="12"/>
    </row>
    <row r="4651" spans="1:1" x14ac:dyDescent="0.35">
      <c r="A4651" s="12"/>
    </row>
    <row r="4652" spans="1:1" x14ac:dyDescent="0.35">
      <c r="A4652" s="12"/>
    </row>
    <row r="4653" spans="1:1" x14ac:dyDescent="0.35">
      <c r="A4653" s="12"/>
    </row>
    <row r="4654" spans="1:1" x14ac:dyDescent="0.35">
      <c r="A4654" s="12"/>
    </row>
    <row r="4655" spans="1:1" x14ac:dyDescent="0.35">
      <c r="A4655" s="12"/>
    </row>
    <row r="4656" spans="1:1" x14ac:dyDescent="0.35">
      <c r="A4656" s="12"/>
    </row>
    <row r="4657" spans="1:1" x14ac:dyDescent="0.35">
      <c r="A4657" s="12"/>
    </row>
    <row r="4658" spans="1:1" x14ac:dyDescent="0.35">
      <c r="A4658" s="12"/>
    </row>
    <row r="4659" spans="1:1" x14ac:dyDescent="0.35">
      <c r="A4659" s="12"/>
    </row>
    <row r="4660" spans="1:1" x14ac:dyDescent="0.35">
      <c r="A4660" s="12"/>
    </row>
    <row r="4661" spans="1:1" x14ac:dyDescent="0.35">
      <c r="A4661" s="12"/>
    </row>
    <row r="4662" spans="1:1" x14ac:dyDescent="0.35">
      <c r="A4662" s="12"/>
    </row>
    <row r="4663" spans="1:1" x14ac:dyDescent="0.35">
      <c r="A4663" s="12"/>
    </row>
    <row r="4664" spans="1:1" x14ac:dyDescent="0.35">
      <c r="A4664" s="12"/>
    </row>
    <row r="4665" spans="1:1" x14ac:dyDescent="0.35">
      <c r="A4665" s="12"/>
    </row>
    <row r="4666" spans="1:1" x14ac:dyDescent="0.35">
      <c r="A4666" s="12"/>
    </row>
    <row r="4667" spans="1:1" x14ac:dyDescent="0.35">
      <c r="A4667" s="12"/>
    </row>
    <row r="4668" spans="1:1" x14ac:dyDescent="0.35">
      <c r="A4668" s="12"/>
    </row>
    <row r="4669" spans="1:1" x14ac:dyDescent="0.35">
      <c r="A4669" s="12"/>
    </row>
    <row r="4670" spans="1:1" x14ac:dyDescent="0.35">
      <c r="A4670" s="12"/>
    </row>
    <row r="4671" spans="1:1" x14ac:dyDescent="0.35">
      <c r="A4671" s="12"/>
    </row>
    <row r="4672" spans="1:1" x14ac:dyDescent="0.35">
      <c r="A4672" s="12"/>
    </row>
    <row r="4673" spans="1:1" x14ac:dyDescent="0.35">
      <c r="A4673" s="12"/>
    </row>
    <row r="4674" spans="1:1" x14ac:dyDescent="0.35">
      <c r="A4674" s="12"/>
    </row>
    <row r="4675" spans="1:1" x14ac:dyDescent="0.35">
      <c r="A4675" s="12"/>
    </row>
    <row r="4676" spans="1:1" x14ac:dyDescent="0.35">
      <c r="A4676" s="12"/>
    </row>
    <row r="4677" spans="1:1" x14ac:dyDescent="0.35">
      <c r="A4677" s="12"/>
    </row>
    <row r="4678" spans="1:1" x14ac:dyDescent="0.35">
      <c r="A4678" s="12"/>
    </row>
    <row r="4679" spans="1:1" x14ac:dyDescent="0.35">
      <c r="A4679" s="12"/>
    </row>
    <row r="4680" spans="1:1" x14ac:dyDescent="0.35">
      <c r="A4680" s="12"/>
    </row>
    <row r="4681" spans="1:1" x14ac:dyDescent="0.35">
      <c r="A4681" s="12"/>
    </row>
    <row r="4682" spans="1:1" x14ac:dyDescent="0.35">
      <c r="A4682" s="12"/>
    </row>
    <row r="4683" spans="1:1" x14ac:dyDescent="0.35">
      <c r="A4683" s="12"/>
    </row>
    <row r="4684" spans="1:1" x14ac:dyDescent="0.35">
      <c r="A4684" s="12"/>
    </row>
    <row r="4685" spans="1:1" x14ac:dyDescent="0.35">
      <c r="A4685" s="12"/>
    </row>
    <row r="4686" spans="1:1" x14ac:dyDescent="0.35">
      <c r="A4686" s="12"/>
    </row>
    <row r="4687" spans="1:1" x14ac:dyDescent="0.35">
      <c r="A4687" s="12"/>
    </row>
    <row r="4688" spans="1:1" x14ac:dyDescent="0.35">
      <c r="A4688" s="12"/>
    </row>
    <row r="4689" spans="1:1" x14ac:dyDescent="0.35">
      <c r="A4689" s="12"/>
    </row>
    <row r="4690" spans="1:1" x14ac:dyDescent="0.35">
      <c r="A4690" s="12"/>
    </row>
    <row r="4691" spans="1:1" x14ac:dyDescent="0.35">
      <c r="A4691" s="12"/>
    </row>
    <row r="4692" spans="1:1" x14ac:dyDescent="0.35">
      <c r="A4692" s="12"/>
    </row>
    <row r="4693" spans="1:1" x14ac:dyDescent="0.35">
      <c r="A4693" s="12"/>
    </row>
    <row r="4694" spans="1:1" x14ac:dyDescent="0.35">
      <c r="A4694" s="12"/>
    </row>
    <row r="4695" spans="1:1" x14ac:dyDescent="0.35">
      <c r="A4695" s="12"/>
    </row>
    <row r="4696" spans="1:1" x14ac:dyDescent="0.35">
      <c r="A4696" s="12"/>
    </row>
    <row r="4697" spans="1:1" x14ac:dyDescent="0.35">
      <c r="A4697" s="12"/>
    </row>
    <row r="4698" spans="1:1" x14ac:dyDescent="0.35">
      <c r="A4698" s="12"/>
    </row>
    <row r="4699" spans="1:1" x14ac:dyDescent="0.35">
      <c r="A4699" s="12"/>
    </row>
    <row r="4700" spans="1:1" x14ac:dyDescent="0.35">
      <c r="A4700" s="12"/>
    </row>
    <row r="4701" spans="1:1" x14ac:dyDescent="0.35">
      <c r="A4701" s="12"/>
    </row>
    <row r="4702" spans="1:1" x14ac:dyDescent="0.35">
      <c r="A4702" s="12"/>
    </row>
    <row r="4703" spans="1:1" x14ac:dyDescent="0.35">
      <c r="A4703" s="12"/>
    </row>
    <row r="4704" spans="1:1" x14ac:dyDescent="0.35">
      <c r="A4704" s="12"/>
    </row>
    <row r="4705" spans="1:1" x14ac:dyDescent="0.35">
      <c r="A4705" s="12"/>
    </row>
    <row r="4706" spans="1:1" x14ac:dyDescent="0.35">
      <c r="A4706" s="12"/>
    </row>
    <row r="4707" spans="1:1" x14ac:dyDescent="0.35">
      <c r="A4707" s="12"/>
    </row>
    <row r="4708" spans="1:1" x14ac:dyDescent="0.35">
      <c r="A4708" s="12"/>
    </row>
    <row r="4709" spans="1:1" x14ac:dyDescent="0.35">
      <c r="A4709" s="12"/>
    </row>
    <row r="4710" spans="1:1" x14ac:dyDescent="0.35">
      <c r="A4710" s="12"/>
    </row>
    <row r="4711" spans="1:1" x14ac:dyDescent="0.35">
      <c r="A4711" s="12"/>
    </row>
    <row r="4712" spans="1:1" x14ac:dyDescent="0.35">
      <c r="A4712" s="12"/>
    </row>
    <row r="4713" spans="1:1" x14ac:dyDescent="0.35">
      <c r="A4713" s="12"/>
    </row>
    <row r="4714" spans="1:1" x14ac:dyDescent="0.35">
      <c r="A4714" s="12"/>
    </row>
    <row r="4715" spans="1:1" x14ac:dyDescent="0.35">
      <c r="A4715" s="12"/>
    </row>
    <row r="4716" spans="1:1" x14ac:dyDescent="0.35">
      <c r="A4716" s="12"/>
    </row>
    <row r="4717" spans="1:1" x14ac:dyDescent="0.35">
      <c r="A4717" s="12"/>
    </row>
    <row r="4718" spans="1:1" x14ac:dyDescent="0.35">
      <c r="A4718" s="12"/>
    </row>
    <row r="4719" spans="1:1" x14ac:dyDescent="0.35">
      <c r="A4719" s="12"/>
    </row>
    <row r="4720" spans="1:1" x14ac:dyDescent="0.35">
      <c r="A4720" s="12"/>
    </row>
    <row r="4721" spans="1:1" x14ac:dyDescent="0.35">
      <c r="A4721" s="12"/>
    </row>
    <row r="4722" spans="1:1" x14ac:dyDescent="0.35">
      <c r="A4722" s="12"/>
    </row>
    <row r="4723" spans="1:1" x14ac:dyDescent="0.35">
      <c r="A4723" s="12"/>
    </row>
    <row r="4724" spans="1:1" x14ac:dyDescent="0.35">
      <c r="A4724" s="12"/>
    </row>
    <row r="4725" spans="1:1" x14ac:dyDescent="0.35">
      <c r="A4725" s="12"/>
    </row>
    <row r="4726" spans="1:1" x14ac:dyDescent="0.35">
      <c r="A4726" s="12"/>
    </row>
    <row r="4727" spans="1:1" x14ac:dyDescent="0.35">
      <c r="A4727" s="12"/>
    </row>
    <row r="4728" spans="1:1" x14ac:dyDescent="0.35">
      <c r="A4728" s="12"/>
    </row>
    <row r="4729" spans="1:1" x14ac:dyDescent="0.35">
      <c r="A4729" s="12"/>
    </row>
    <row r="4730" spans="1:1" x14ac:dyDescent="0.35">
      <c r="A4730" s="12"/>
    </row>
    <row r="4731" spans="1:1" x14ac:dyDescent="0.35">
      <c r="A4731" s="12"/>
    </row>
    <row r="4732" spans="1:1" x14ac:dyDescent="0.35">
      <c r="A4732" s="12"/>
    </row>
    <row r="4733" spans="1:1" x14ac:dyDescent="0.35">
      <c r="A4733" s="12"/>
    </row>
    <row r="4734" spans="1:1" x14ac:dyDescent="0.35">
      <c r="A4734" s="12"/>
    </row>
    <row r="4735" spans="1:1" x14ac:dyDescent="0.35">
      <c r="A4735" s="12"/>
    </row>
    <row r="4736" spans="1:1" x14ac:dyDescent="0.35">
      <c r="A4736" s="12"/>
    </row>
    <row r="4737" spans="1:1" x14ac:dyDescent="0.35">
      <c r="A4737" s="12"/>
    </row>
    <row r="4738" spans="1:1" x14ac:dyDescent="0.35">
      <c r="A4738" s="12"/>
    </row>
    <row r="4739" spans="1:1" x14ac:dyDescent="0.35">
      <c r="A4739" s="12"/>
    </row>
    <row r="4740" spans="1:1" x14ac:dyDescent="0.35">
      <c r="A4740" s="12"/>
    </row>
    <row r="4741" spans="1:1" x14ac:dyDescent="0.35">
      <c r="A4741" s="12"/>
    </row>
    <row r="4742" spans="1:1" x14ac:dyDescent="0.35">
      <c r="A4742" s="12"/>
    </row>
    <row r="4743" spans="1:1" x14ac:dyDescent="0.35">
      <c r="A4743" s="12"/>
    </row>
    <row r="4744" spans="1:1" x14ac:dyDescent="0.35">
      <c r="A4744" s="12"/>
    </row>
    <row r="4745" spans="1:1" x14ac:dyDescent="0.35">
      <c r="A4745" s="12"/>
    </row>
    <row r="4746" spans="1:1" x14ac:dyDescent="0.35">
      <c r="A4746" s="12"/>
    </row>
    <row r="4747" spans="1:1" x14ac:dyDescent="0.35">
      <c r="A4747" s="12"/>
    </row>
    <row r="4748" spans="1:1" x14ac:dyDescent="0.35">
      <c r="A4748" s="12"/>
    </row>
    <row r="4749" spans="1:1" x14ac:dyDescent="0.35">
      <c r="A4749" s="12"/>
    </row>
    <row r="4750" spans="1:1" x14ac:dyDescent="0.35">
      <c r="A4750" s="12"/>
    </row>
    <row r="4751" spans="1:1" x14ac:dyDescent="0.35">
      <c r="A4751" s="12"/>
    </row>
    <row r="4752" spans="1:1" x14ac:dyDescent="0.35">
      <c r="A4752" s="12"/>
    </row>
    <row r="4753" spans="1:1" x14ac:dyDescent="0.35">
      <c r="A4753" s="12"/>
    </row>
    <row r="4754" spans="1:1" x14ac:dyDescent="0.35">
      <c r="A4754" s="12"/>
    </row>
    <row r="4755" spans="1:1" x14ac:dyDescent="0.35">
      <c r="A4755" s="12"/>
    </row>
    <row r="4756" spans="1:1" x14ac:dyDescent="0.35">
      <c r="A4756" s="12"/>
    </row>
    <row r="4757" spans="1:1" x14ac:dyDescent="0.35">
      <c r="A4757" s="12"/>
    </row>
    <row r="4758" spans="1:1" x14ac:dyDescent="0.35">
      <c r="A4758" s="12"/>
    </row>
    <row r="4759" spans="1:1" x14ac:dyDescent="0.35">
      <c r="A4759" s="12"/>
    </row>
    <row r="4760" spans="1:1" x14ac:dyDescent="0.35">
      <c r="A4760" s="12"/>
    </row>
    <row r="4761" spans="1:1" x14ac:dyDescent="0.35">
      <c r="A4761" s="12"/>
    </row>
    <row r="4762" spans="1:1" x14ac:dyDescent="0.35">
      <c r="A4762" s="12"/>
    </row>
    <row r="4763" spans="1:1" x14ac:dyDescent="0.35">
      <c r="A4763" s="12"/>
    </row>
    <row r="4764" spans="1:1" x14ac:dyDescent="0.35">
      <c r="A4764" s="12"/>
    </row>
    <row r="4765" spans="1:1" x14ac:dyDescent="0.35">
      <c r="A4765" s="12"/>
    </row>
    <row r="4766" spans="1:1" x14ac:dyDescent="0.35">
      <c r="A4766" s="12"/>
    </row>
    <row r="4767" spans="1:1" x14ac:dyDescent="0.35">
      <c r="A4767" s="12"/>
    </row>
    <row r="4768" spans="1:1" x14ac:dyDescent="0.35">
      <c r="A4768" s="12"/>
    </row>
    <row r="4769" spans="1:1" x14ac:dyDescent="0.35">
      <c r="A4769" s="12"/>
    </row>
    <row r="4770" spans="1:1" x14ac:dyDescent="0.35">
      <c r="A4770" s="12"/>
    </row>
    <row r="4771" spans="1:1" x14ac:dyDescent="0.35">
      <c r="A4771" s="12"/>
    </row>
    <row r="4772" spans="1:1" x14ac:dyDescent="0.35">
      <c r="A4772" s="12"/>
    </row>
    <row r="4773" spans="1:1" x14ac:dyDescent="0.35">
      <c r="A4773" s="12"/>
    </row>
    <row r="4774" spans="1:1" x14ac:dyDescent="0.35">
      <c r="A4774" s="12"/>
    </row>
    <row r="4775" spans="1:1" x14ac:dyDescent="0.35">
      <c r="A4775" s="12"/>
    </row>
    <row r="4776" spans="1:1" x14ac:dyDescent="0.35">
      <c r="A4776" s="12"/>
    </row>
    <row r="4777" spans="1:1" x14ac:dyDescent="0.35">
      <c r="A4777" s="12"/>
    </row>
    <row r="4778" spans="1:1" x14ac:dyDescent="0.35">
      <c r="A4778" s="12"/>
    </row>
    <row r="4779" spans="1:1" x14ac:dyDescent="0.35">
      <c r="A4779" s="12"/>
    </row>
    <row r="4780" spans="1:1" x14ac:dyDescent="0.35">
      <c r="A4780" s="12"/>
    </row>
    <row r="4781" spans="1:1" x14ac:dyDescent="0.35">
      <c r="A4781" s="12"/>
    </row>
    <row r="4782" spans="1:1" x14ac:dyDescent="0.35">
      <c r="A4782" s="12"/>
    </row>
    <row r="4783" spans="1:1" x14ac:dyDescent="0.35">
      <c r="A4783" s="12"/>
    </row>
    <row r="4784" spans="1:1" x14ac:dyDescent="0.35">
      <c r="A4784" s="12"/>
    </row>
    <row r="4785" spans="1:1" x14ac:dyDescent="0.35">
      <c r="A4785" s="12"/>
    </row>
    <row r="4786" spans="1:1" x14ac:dyDescent="0.35">
      <c r="A4786" s="12"/>
    </row>
    <row r="4787" spans="1:1" x14ac:dyDescent="0.35">
      <c r="A4787" s="12"/>
    </row>
    <row r="4788" spans="1:1" x14ac:dyDescent="0.35">
      <c r="A4788" s="12"/>
    </row>
    <row r="4789" spans="1:1" x14ac:dyDescent="0.35">
      <c r="A4789" s="12"/>
    </row>
    <row r="4790" spans="1:1" x14ac:dyDescent="0.35">
      <c r="A4790" s="12"/>
    </row>
    <row r="4791" spans="1:1" x14ac:dyDescent="0.35">
      <c r="A4791" s="12"/>
    </row>
    <row r="4792" spans="1:1" x14ac:dyDescent="0.35">
      <c r="A4792" s="12"/>
    </row>
    <row r="4793" spans="1:1" x14ac:dyDescent="0.35">
      <c r="A4793" s="12"/>
    </row>
    <row r="4794" spans="1:1" x14ac:dyDescent="0.35">
      <c r="A4794" s="12"/>
    </row>
    <row r="4795" spans="1:1" x14ac:dyDescent="0.35">
      <c r="A4795" s="12"/>
    </row>
    <row r="4796" spans="1:1" x14ac:dyDescent="0.35">
      <c r="A4796" s="12"/>
    </row>
    <row r="4797" spans="1:1" x14ac:dyDescent="0.35">
      <c r="A4797" s="12"/>
    </row>
    <row r="4798" spans="1:1" x14ac:dyDescent="0.35">
      <c r="A4798" s="12"/>
    </row>
    <row r="4799" spans="1:1" x14ac:dyDescent="0.35">
      <c r="A4799" s="12"/>
    </row>
    <row r="4800" spans="1:1" x14ac:dyDescent="0.35">
      <c r="A4800" s="12"/>
    </row>
    <row r="4801" spans="1:1" x14ac:dyDescent="0.35">
      <c r="A4801" s="12"/>
    </row>
    <row r="4802" spans="1:1" x14ac:dyDescent="0.35">
      <c r="A4802" s="12"/>
    </row>
    <row r="4803" spans="1:1" x14ac:dyDescent="0.35">
      <c r="A4803" s="12"/>
    </row>
    <row r="4804" spans="1:1" x14ac:dyDescent="0.35">
      <c r="A4804" s="12"/>
    </row>
    <row r="4805" spans="1:1" x14ac:dyDescent="0.35">
      <c r="A4805" s="12"/>
    </row>
    <row r="4806" spans="1:1" x14ac:dyDescent="0.35">
      <c r="A4806" s="12"/>
    </row>
    <row r="4807" spans="1:1" x14ac:dyDescent="0.35">
      <c r="A4807" s="12"/>
    </row>
    <row r="4808" spans="1:1" x14ac:dyDescent="0.35">
      <c r="A4808" s="12"/>
    </row>
    <row r="4809" spans="1:1" x14ac:dyDescent="0.35">
      <c r="A4809" s="12"/>
    </row>
    <row r="4810" spans="1:1" x14ac:dyDescent="0.35">
      <c r="A4810" s="12"/>
    </row>
    <row r="4811" spans="1:1" x14ac:dyDescent="0.35">
      <c r="A4811" s="12"/>
    </row>
    <row r="4812" spans="1:1" x14ac:dyDescent="0.35">
      <c r="A4812" s="12"/>
    </row>
    <row r="4813" spans="1:1" x14ac:dyDescent="0.35">
      <c r="A4813" s="12"/>
    </row>
    <row r="4814" spans="1:1" x14ac:dyDescent="0.35">
      <c r="A4814" s="12"/>
    </row>
    <row r="4815" spans="1:1" x14ac:dyDescent="0.35">
      <c r="A4815" s="12"/>
    </row>
    <row r="4816" spans="1:1" x14ac:dyDescent="0.35">
      <c r="A4816" s="12"/>
    </row>
    <row r="4817" spans="1:1" x14ac:dyDescent="0.35">
      <c r="A4817" s="12"/>
    </row>
    <row r="4818" spans="1:1" x14ac:dyDescent="0.35">
      <c r="A4818" s="12"/>
    </row>
    <row r="4819" spans="1:1" x14ac:dyDescent="0.35">
      <c r="A4819" s="12"/>
    </row>
    <row r="4820" spans="1:1" x14ac:dyDescent="0.35">
      <c r="A4820" s="12"/>
    </row>
    <row r="4821" spans="1:1" x14ac:dyDescent="0.35">
      <c r="A4821" s="12"/>
    </row>
    <row r="4822" spans="1:1" x14ac:dyDescent="0.35">
      <c r="A4822" s="12"/>
    </row>
    <row r="4823" spans="1:1" x14ac:dyDescent="0.35">
      <c r="A4823" s="12"/>
    </row>
    <row r="4824" spans="1:1" x14ac:dyDescent="0.35">
      <c r="A4824" s="12"/>
    </row>
    <row r="4825" spans="1:1" x14ac:dyDescent="0.35">
      <c r="A4825" s="12"/>
    </row>
    <row r="4826" spans="1:1" x14ac:dyDescent="0.35">
      <c r="A4826" s="12"/>
    </row>
    <row r="4827" spans="1:1" x14ac:dyDescent="0.35">
      <c r="A4827" s="12"/>
    </row>
    <row r="4828" spans="1:1" x14ac:dyDescent="0.35">
      <c r="A4828" s="12"/>
    </row>
    <row r="4829" spans="1:1" x14ac:dyDescent="0.35">
      <c r="A4829" s="12"/>
    </row>
    <row r="4830" spans="1:1" x14ac:dyDescent="0.35">
      <c r="A4830" s="12"/>
    </row>
    <row r="4831" spans="1:1" x14ac:dyDescent="0.35">
      <c r="A4831" s="12"/>
    </row>
    <row r="4832" spans="1:1" x14ac:dyDescent="0.35">
      <c r="A4832" s="12"/>
    </row>
    <row r="4833" spans="1:1" x14ac:dyDescent="0.35">
      <c r="A4833" s="12"/>
    </row>
    <row r="4834" spans="1:1" x14ac:dyDescent="0.35">
      <c r="A4834" s="12"/>
    </row>
    <row r="4835" spans="1:1" x14ac:dyDescent="0.35">
      <c r="A4835" s="12"/>
    </row>
    <row r="4836" spans="1:1" x14ac:dyDescent="0.35">
      <c r="A4836" s="12"/>
    </row>
    <row r="4837" spans="1:1" x14ac:dyDescent="0.35">
      <c r="A4837" s="12"/>
    </row>
    <row r="4838" spans="1:1" x14ac:dyDescent="0.35">
      <c r="A4838" s="12"/>
    </row>
    <row r="4839" spans="1:1" x14ac:dyDescent="0.35">
      <c r="A4839" s="12"/>
    </row>
    <row r="4840" spans="1:1" x14ac:dyDescent="0.35">
      <c r="A4840" s="12"/>
    </row>
    <row r="4841" spans="1:1" x14ac:dyDescent="0.35">
      <c r="A4841" s="12"/>
    </row>
    <row r="4842" spans="1:1" x14ac:dyDescent="0.35">
      <c r="A4842" s="12"/>
    </row>
    <row r="4843" spans="1:1" x14ac:dyDescent="0.35">
      <c r="A4843" s="12"/>
    </row>
    <row r="4844" spans="1:1" x14ac:dyDescent="0.35">
      <c r="A4844" s="12"/>
    </row>
    <row r="4845" spans="1:1" x14ac:dyDescent="0.35">
      <c r="A4845" s="12"/>
    </row>
    <row r="4846" spans="1:1" x14ac:dyDescent="0.35">
      <c r="A4846" s="12"/>
    </row>
    <row r="4847" spans="1:1" x14ac:dyDescent="0.35">
      <c r="A4847" s="12"/>
    </row>
    <row r="4848" spans="1:1" x14ac:dyDescent="0.35">
      <c r="A4848" s="12"/>
    </row>
    <row r="4849" spans="1:1" x14ac:dyDescent="0.35">
      <c r="A4849" s="12"/>
    </row>
    <row r="4850" spans="1:1" x14ac:dyDescent="0.35">
      <c r="A4850" s="12"/>
    </row>
    <row r="4851" spans="1:1" x14ac:dyDescent="0.35">
      <c r="A4851" s="12"/>
    </row>
    <row r="4852" spans="1:1" x14ac:dyDescent="0.35">
      <c r="A4852" s="12"/>
    </row>
    <row r="4853" spans="1:1" x14ac:dyDescent="0.35">
      <c r="A4853" s="12"/>
    </row>
    <row r="4854" spans="1:1" x14ac:dyDescent="0.35">
      <c r="A4854" s="12"/>
    </row>
    <row r="4855" spans="1:1" x14ac:dyDescent="0.35">
      <c r="A4855" s="12"/>
    </row>
    <row r="4856" spans="1:1" x14ac:dyDescent="0.35">
      <c r="A4856" s="12"/>
    </row>
    <row r="4857" spans="1:1" x14ac:dyDescent="0.35">
      <c r="A4857" s="12"/>
    </row>
    <row r="4858" spans="1:1" x14ac:dyDescent="0.35">
      <c r="A4858" s="12"/>
    </row>
    <row r="4859" spans="1:1" x14ac:dyDescent="0.35">
      <c r="A4859" s="12"/>
    </row>
    <row r="4860" spans="1:1" x14ac:dyDescent="0.35">
      <c r="A4860" s="12"/>
    </row>
    <row r="4861" spans="1:1" x14ac:dyDescent="0.35">
      <c r="A4861" s="12"/>
    </row>
    <row r="4862" spans="1:1" x14ac:dyDescent="0.35">
      <c r="A4862" s="12"/>
    </row>
    <row r="4863" spans="1:1" x14ac:dyDescent="0.35">
      <c r="A4863" s="12"/>
    </row>
    <row r="4864" spans="1:1" x14ac:dyDescent="0.35">
      <c r="A4864" s="12"/>
    </row>
    <row r="4865" spans="1:1" x14ac:dyDescent="0.35">
      <c r="A4865" s="12"/>
    </row>
    <row r="4866" spans="1:1" x14ac:dyDescent="0.35">
      <c r="A4866" s="12"/>
    </row>
    <row r="4867" spans="1:1" x14ac:dyDescent="0.35">
      <c r="A4867" s="12"/>
    </row>
    <row r="4868" spans="1:1" x14ac:dyDescent="0.35">
      <c r="A4868" s="12"/>
    </row>
    <row r="4869" spans="1:1" x14ac:dyDescent="0.35">
      <c r="A4869" s="12"/>
    </row>
    <row r="4870" spans="1:1" x14ac:dyDescent="0.35">
      <c r="A4870" s="12"/>
    </row>
    <row r="4871" spans="1:1" x14ac:dyDescent="0.35">
      <c r="A4871" s="12"/>
    </row>
    <row r="4872" spans="1:1" x14ac:dyDescent="0.35">
      <c r="A4872" s="12"/>
    </row>
    <row r="4873" spans="1:1" x14ac:dyDescent="0.35">
      <c r="A4873" s="12"/>
    </row>
    <row r="4874" spans="1:1" x14ac:dyDescent="0.35">
      <c r="A4874" s="12"/>
    </row>
    <row r="4875" spans="1:1" x14ac:dyDescent="0.35">
      <c r="A4875" s="12"/>
    </row>
    <row r="4876" spans="1:1" x14ac:dyDescent="0.35">
      <c r="A4876" s="12"/>
    </row>
    <row r="4877" spans="1:1" x14ac:dyDescent="0.35">
      <c r="A4877" s="12"/>
    </row>
    <row r="4878" spans="1:1" x14ac:dyDescent="0.35">
      <c r="A4878" s="12"/>
    </row>
    <row r="4879" spans="1:1" x14ac:dyDescent="0.35">
      <c r="A4879" s="12"/>
    </row>
    <row r="4880" spans="1:1" x14ac:dyDescent="0.35">
      <c r="A4880" s="12"/>
    </row>
    <row r="4881" spans="1:1" x14ac:dyDescent="0.35">
      <c r="A4881" s="12"/>
    </row>
    <row r="4882" spans="1:1" x14ac:dyDescent="0.35">
      <c r="A4882" s="12"/>
    </row>
    <row r="4883" spans="1:1" x14ac:dyDescent="0.35">
      <c r="A4883" s="12"/>
    </row>
    <row r="4884" spans="1:1" x14ac:dyDescent="0.35">
      <c r="A4884" s="12"/>
    </row>
    <row r="4885" spans="1:1" x14ac:dyDescent="0.35">
      <c r="A4885" s="12"/>
    </row>
    <row r="4886" spans="1:1" x14ac:dyDescent="0.35">
      <c r="A4886" s="12"/>
    </row>
    <row r="4887" spans="1:1" x14ac:dyDescent="0.35">
      <c r="A4887" s="12"/>
    </row>
    <row r="4888" spans="1:1" x14ac:dyDescent="0.35">
      <c r="A4888" s="12"/>
    </row>
    <row r="4889" spans="1:1" x14ac:dyDescent="0.35">
      <c r="A4889" s="12"/>
    </row>
    <row r="4890" spans="1:1" x14ac:dyDescent="0.35">
      <c r="A4890" s="12"/>
    </row>
    <row r="4891" spans="1:1" x14ac:dyDescent="0.35">
      <c r="A4891" s="12"/>
    </row>
    <row r="4892" spans="1:1" x14ac:dyDescent="0.35">
      <c r="A4892" s="12"/>
    </row>
    <row r="4893" spans="1:1" x14ac:dyDescent="0.35">
      <c r="A4893" s="12"/>
    </row>
    <row r="4894" spans="1:1" x14ac:dyDescent="0.35">
      <c r="A4894" s="12"/>
    </row>
    <row r="4895" spans="1:1" x14ac:dyDescent="0.35">
      <c r="A4895" s="12"/>
    </row>
    <row r="4896" spans="1:1" x14ac:dyDescent="0.35">
      <c r="A4896" s="12"/>
    </row>
    <row r="4897" spans="1:1" x14ac:dyDescent="0.35">
      <c r="A4897" s="12"/>
    </row>
    <row r="4898" spans="1:1" x14ac:dyDescent="0.35">
      <c r="A4898" s="12"/>
    </row>
    <row r="4899" spans="1:1" x14ac:dyDescent="0.35">
      <c r="A4899" s="12"/>
    </row>
    <row r="4900" spans="1:1" x14ac:dyDescent="0.35">
      <c r="A4900" s="12"/>
    </row>
    <row r="4901" spans="1:1" x14ac:dyDescent="0.35">
      <c r="A4901" s="12"/>
    </row>
    <row r="4902" spans="1:1" x14ac:dyDescent="0.35">
      <c r="A4902" s="12"/>
    </row>
    <row r="4903" spans="1:1" x14ac:dyDescent="0.35">
      <c r="A4903" s="12"/>
    </row>
    <row r="4904" spans="1:1" x14ac:dyDescent="0.35">
      <c r="A4904" s="12"/>
    </row>
    <row r="4905" spans="1:1" x14ac:dyDescent="0.35">
      <c r="A4905" s="12"/>
    </row>
    <row r="4906" spans="1:1" x14ac:dyDescent="0.35">
      <c r="A4906" s="12"/>
    </row>
    <row r="4907" spans="1:1" x14ac:dyDescent="0.35">
      <c r="A4907" s="12"/>
    </row>
    <row r="4908" spans="1:1" x14ac:dyDescent="0.35">
      <c r="A4908" s="12"/>
    </row>
    <row r="4909" spans="1:1" x14ac:dyDescent="0.35">
      <c r="A4909" s="12"/>
    </row>
    <row r="4910" spans="1:1" x14ac:dyDescent="0.35">
      <c r="A4910" s="12"/>
    </row>
    <row r="4911" spans="1:1" x14ac:dyDescent="0.35">
      <c r="A4911" s="12"/>
    </row>
    <row r="4912" spans="1:1" x14ac:dyDescent="0.35">
      <c r="A4912" s="12"/>
    </row>
    <row r="4913" spans="1:1" x14ac:dyDescent="0.35">
      <c r="A4913" s="12"/>
    </row>
    <row r="4914" spans="1:1" x14ac:dyDescent="0.35">
      <c r="A4914" s="12"/>
    </row>
    <row r="4915" spans="1:1" x14ac:dyDescent="0.35">
      <c r="A4915" s="12"/>
    </row>
    <row r="4916" spans="1:1" x14ac:dyDescent="0.35">
      <c r="A4916" s="12"/>
    </row>
    <row r="4917" spans="1:1" x14ac:dyDescent="0.35">
      <c r="A4917" s="12"/>
    </row>
    <row r="4918" spans="1:1" x14ac:dyDescent="0.35">
      <c r="A4918" s="12"/>
    </row>
    <row r="4919" spans="1:1" x14ac:dyDescent="0.35">
      <c r="A4919" s="12"/>
    </row>
    <row r="4920" spans="1:1" x14ac:dyDescent="0.35">
      <c r="A4920" s="12"/>
    </row>
    <row r="4921" spans="1:1" x14ac:dyDescent="0.35">
      <c r="A4921" s="12"/>
    </row>
    <row r="4922" spans="1:1" x14ac:dyDescent="0.35">
      <c r="A4922" s="12"/>
    </row>
    <row r="4923" spans="1:1" x14ac:dyDescent="0.35">
      <c r="A4923" s="12"/>
    </row>
    <row r="4924" spans="1:1" x14ac:dyDescent="0.35">
      <c r="A4924" s="12"/>
    </row>
    <row r="4925" spans="1:1" x14ac:dyDescent="0.35">
      <c r="A4925" s="12"/>
    </row>
    <row r="4926" spans="1:1" x14ac:dyDescent="0.35">
      <c r="A4926" s="12"/>
    </row>
    <row r="4927" spans="1:1" x14ac:dyDescent="0.35">
      <c r="A4927" s="12"/>
    </row>
    <row r="4928" spans="1:1" x14ac:dyDescent="0.35">
      <c r="A4928" s="12"/>
    </row>
    <row r="4929" spans="1:1" x14ac:dyDescent="0.35">
      <c r="A4929" s="12"/>
    </row>
    <row r="4930" spans="1:1" x14ac:dyDescent="0.35">
      <c r="A4930" s="12"/>
    </row>
    <row r="4931" spans="1:1" x14ac:dyDescent="0.35">
      <c r="A4931" s="12"/>
    </row>
    <row r="4932" spans="1:1" x14ac:dyDescent="0.35">
      <c r="A4932" s="12"/>
    </row>
    <row r="4933" spans="1:1" x14ac:dyDescent="0.35">
      <c r="A4933" s="12"/>
    </row>
    <row r="4934" spans="1:1" x14ac:dyDescent="0.35">
      <c r="A4934" s="12"/>
    </row>
    <row r="4935" spans="1:1" x14ac:dyDescent="0.35">
      <c r="A4935" s="12"/>
    </row>
    <row r="4936" spans="1:1" x14ac:dyDescent="0.35">
      <c r="A4936" s="12"/>
    </row>
    <row r="4937" spans="1:1" x14ac:dyDescent="0.35">
      <c r="A4937" s="12"/>
    </row>
    <row r="4938" spans="1:1" x14ac:dyDescent="0.35">
      <c r="A4938" s="12"/>
    </row>
    <row r="4939" spans="1:1" x14ac:dyDescent="0.35">
      <c r="A4939" s="12"/>
    </row>
    <row r="4940" spans="1:1" x14ac:dyDescent="0.35">
      <c r="A4940" s="12"/>
    </row>
    <row r="4941" spans="1:1" x14ac:dyDescent="0.35">
      <c r="A4941" s="12"/>
    </row>
    <row r="4942" spans="1:1" x14ac:dyDescent="0.35">
      <c r="A4942" s="12"/>
    </row>
    <row r="4943" spans="1:1" x14ac:dyDescent="0.35">
      <c r="A4943" s="12"/>
    </row>
    <row r="4944" spans="1:1" x14ac:dyDescent="0.35">
      <c r="A4944" s="12"/>
    </row>
    <row r="4945" spans="1:1" x14ac:dyDescent="0.35">
      <c r="A4945" s="12"/>
    </row>
    <row r="4946" spans="1:1" x14ac:dyDescent="0.35">
      <c r="A4946" s="12"/>
    </row>
    <row r="4947" spans="1:1" x14ac:dyDescent="0.35">
      <c r="A4947" s="12"/>
    </row>
    <row r="4948" spans="1:1" x14ac:dyDescent="0.35">
      <c r="A4948" s="12"/>
    </row>
    <row r="4949" spans="1:1" x14ac:dyDescent="0.35">
      <c r="A4949" s="12"/>
    </row>
    <row r="4950" spans="1:1" x14ac:dyDescent="0.35">
      <c r="A4950" s="12"/>
    </row>
    <row r="4951" spans="1:1" x14ac:dyDescent="0.35">
      <c r="A4951" s="12"/>
    </row>
    <row r="4952" spans="1:1" x14ac:dyDescent="0.35">
      <c r="A4952" s="12"/>
    </row>
    <row r="4953" spans="1:1" x14ac:dyDescent="0.35">
      <c r="A4953" s="12"/>
    </row>
    <row r="4954" spans="1:1" x14ac:dyDescent="0.35">
      <c r="A4954" s="12"/>
    </row>
    <row r="4955" spans="1:1" x14ac:dyDescent="0.35">
      <c r="A4955" s="12"/>
    </row>
    <row r="4956" spans="1:1" x14ac:dyDescent="0.35">
      <c r="A4956" s="12"/>
    </row>
    <row r="4957" spans="1:1" x14ac:dyDescent="0.35">
      <c r="A4957" s="12"/>
    </row>
    <row r="4958" spans="1:1" x14ac:dyDescent="0.35">
      <c r="A4958" s="12"/>
    </row>
    <row r="4959" spans="1:1" x14ac:dyDescent="0.35">
      <c r="A4959" s="12"/>
    </row>
    <row r="4960" spans="1:1" x14ac:dyDescent="0.35">
      <c r="A4960" s="12"/>
    </row>
    <row r="4961" spans="1:1" x14ac:dyDescent="0.35">
      <c r="A4961" s="12"/>
    </row>
    <row r="4962" spans="1:1" x14ac:dyDescent="0.35">
      <c r="A4962" s="12"/>
    </row>
    <row r="4963" spans="1:1" x14ac:dyDescent="0.35">
      <c r="A4963" s="12"/>
    </row>
    <row r="4964" spans="1:1" x14ac:dyDescent="0.35">
      <c r="A4964" s="12"/>
    </row>
    <row r="4965" spans="1:1" x14ac:dyDescent="0.35">
      <c r="A4965" s="12"/>
    </row>
    <row r="4966" spans="1:1" x14ac:dyDescent="0.35">
      <c r="A4966" s="12"/>
    </row>
    <row r="4967" spans="1:1" x14ac:dyDescent="0.35">
      <c r="A4967" s="12"/>
    </row>
    <row r="4968" spans="1:1" x14ac:dyDescent="0.35">
      <c r="A4968" s="12"/>
    </row>
    <row r="4969" spans="1:1" x14ac:dyDescent="0.35">
      <c r="A4969" s="12"/>
    </row>
    <row r="4970" spans="1:1" x14ac:dyDescent="0.35">
      <c r="A4970" s="12"/>
    </row>
    <row r="4971" spans="1:1" x14ac:dyDescent="0.35">
      <c r="A4971" s="12"/>
    </row>
    <row r="4972" spans="1:1" x14ac:dyDescent="0.35">
      <c r="A4972" s="12"/>
    </row>
    <row r="4973" spans="1:1" x14ac:dyDescent="0.35">
      <c r="A4973" s="12"/>
    </row>
    <row r="4974" spans="1:1" x14ac:dyDescent="0.35">
      <c r="A4974" s="12"/>
    </row>
    <row r="4975" spans="1:1" x14ac:dyDescent="0.35">
      <c r="A4975" s="12"/>
    </row>
    <row r="4976" spans="1:1" x14ac:dyDescent="0.35">
      <c r="A4976" s="12"/>
    </row>
    <row r="4977" spans="1:1" x14ac:dyDescent="0.35">
      <c r="A4977" s="12"/>
    </row>
    <row r="4978" spans="1:1" x14ac:dyDescent="0.35">
      <c r="A4978" s="12"/>
    </row>
    <row r="4979" spans="1:1" x14ac:dyDescent="0.35">
      <c r="A4979" s="12"/>
    </row>
    <row r="4980" spans="1:1" x14ac:dyDescent="0.35">
      <c r="A4980" s="12"/>
    </row>
    <row r="4981" spans="1:1" x14ac:dyDescent="0.35">
      <c r="A4981" s="12"/>
    </row>
    <row r="4982" spans="1:1" x14ac:dyDescent="0.35">
      <c r="A4982" s="12"/>
    </row>
    <row r="4983" spans="1:1" x14ac:dyDescent="0.35">
      <c r="A4983" s="12"/>
    </row>
    <row r="4984" spans="1:1" x14ac:dyDescent="0.35">
      <c r="A4984" s="12"/>
    </row>
    <row r="4985" spans="1:1" x14ac:dyDescent="0.35">
      <c r="A4985" s="12"/>
    </row>
    <row r="4986" spans="1:1" x14ac:dyDescent="0.35">
      <c r="A4986" s="12"/>
    </row>
    <row r="4987" spans="1:1" x14ac:dyDescent="0.35">
      <c r="A4987" s="12"/>
    </row>
    <row r="4988" spans="1:1" x14ac:dyDescent="0.35">
      <c r="A4988" s="12"/>
    </row>
    <row r="4989" spans="1:1" x14ac:dyDescent="0.35">
      <c r="A4989" s="12"/>
    </row>
    <row r="4990" spans="1:1" x14ac:dyDescent="0.35">
      <c r="A4990" s="12"/>
    </row>
    <row r="4991" spans="1:1" x14ac:dyDescent="0.35">
      <c r="A4991" s="12"/>
    </row>
    <row r="4992" spans="1:1" x14ac:dyDescent="0.35">
      <c r="A4992" s="12"/>
    </row>
    <row r="4993" spans="1:1" x14ac:dyDescent="0.35">
      <c r="A4993" s="12"/>
    </row>
    <row r="4994" spans="1:1" x14ac:dyDescent="0.35">
      <c r="A4994" s="12"/>
    </row>
    <row r="4995" spans="1:1" x14ac:dyDescent="0.35">
      <c r="A4995" s="12"/>
    </row>
    <row r="4996" spans="1:1" x14ac:dyDescent="0.35">
      <c r="A4996" s="12"/>
    </row>
    <row r="4997" spans="1:1" x14ac:dyDescent="0.35">
      <c r="A4997" s="12"/>
    </row>
    <row r="4998" spans="1:1" x14ac:dyDescent="0.35">
      <c r="A4998" s="12"/>
    </row>
    <row r="4999" spans="1:1" x14ac:dyDescent="0.35">
      <c r="A4999" s="12"/>
    </row>
    <row r="5000" spans="1:1" x14ac:dyDescent="0.35">
      <c r="A5000" s="12"/>
    </row>
    <row r="5001" spans="1:1" x14ac:dyDescent="0.35">
      <c r="A5001" s="12"/>
    </row>
    <row r="5002" spans="1:1" x14ac:dyDescent="0.35">
      <c r="A5002" s="12"/>
    </row>
    <row r="5003" spans="1:1" x14ac:dyDescent="0.35">
      <c r="A5003" s="12"/>
    </row>
    <row r="5004" spans="1:1" x14ac:dyDescent="0.35">
      <c r="A5004" s="12"/>
    </row>
    <row r="5005" spans="1:1" x14ac:dyDescent="0.35">
      <c r="A5005" s="12"/>
    </row>
    <row r="5006" spans="1:1" x14ac:dyDescent="0.35">
      <c r="A5006" s="12"/>
    </row>
    <row r="5007" spans="1:1" x14ac:dyDescent="0.35">
      <c r="A5007" s="12"/>
    </row>
    <row r="5008" spans="1:1" x14ac:dyDescent="0.35">
      <c r="A5008" s="12"/>
    </row>
    <row r="5009" spans="1:1" x14ac:dyDescent="0.35">
      <c r="A5009" s="12"/>
    </row>
    <row r="5010" spans="1:1" x14ac:dyDescent="0.35">
      <c r="A5010" s="12"/>
    </row>
    <row r="5011" spans="1:1" x14ac:dyDescent="0.35">
      <c r="A5011" s="12"/>
    </row>
    <row r="5012" spans="1:1" x14ac:dyDescent="0.35">
      <c r="A5012" s="12"/>
    </row>
    <row r="5013" spans="1:1" x14ac:dyDescent="0.35">
      <c r="A5013" s="12"/>
    </row>
    <row r="5014" spans="1:1" x14ac:dyDescent="0.35">
      <c r="A5014" s="12"/>
    </row>
    <row r="5015" spans="1:1" x14ac:dyDescent="0.35">
      <c r="A5015" s="12"/>
    </row>
    <row r="5016" spans="1:1" x14ac:dyDescent="0.35">
      <c r="A5016" s="12"/>
    </row>
    <row r="5017" spans="1:1" x14ac:dyDescent="0.35">
      <c r="A5017" s="12"/>
    </row>
    <row r="5018" spans="1:1" x14ac:dyDescent="0.35">
      <c r="A5018" s="12"/>
    </row>
    <row r="5019" spans="1:1" x14ac:dyDescent="0.35">
      <c r="A5019" s="12"/>
    </row>
    <row r="5020" spans="1:1" x14ac:dyDescent="0.35">
      <c r="A5020" s="12"/>
    </row>
    <row r="5021" spans="1:1" x14ac:dyDescent="0.35">
      <c r="A5021" s="12"/>
    </row>
    <row r="5022" spans="1:1" x14ac:dyDescent="0.35">
      <c r="A5022" s="12"/>
    </row>
    <row r="5023" spans="1:1" x14ac:dyDescent="0.35">
      <c r="A5023" s="12"/>
    </row>
    <row r="5024" spans="1:1" x14ac:dyDescent="0.35">
      <c r="A5024" s="12"/>
    </row>
    <row r="5025" spans="1:1" x14ac:dyDescent="0.35">
      <c r="A5025" s="12"/>
    </row>
    <row r="5026" spans="1:1" x14ac:dyDescent="0.35">
      <c r="A5026" s="12"/>
    </row>
    <row r="5027" spans="1:1" x14ac:dyDescent="0.35">
      <c r="A5027" s="12"/>
    </row>
    <row r="5028" spans="1:1" x14ac:dyDescent="0.35">
      <c r="A5028" s="12"/>
    </row>
    <row r="5029" spans="1:1" x14ac:dyDescent="0.35">
      <c r="A5029" s="12"/>
    </row>
    <row r="5030" spans="1:1" x14ac:dyDescent="0.35">
      <c r="A5030" s="12"/>
    </row>
    <row r="5031" spans="1:1" x14ac:dyDescent="0.35">
      <c r="A5031" s="12"/>
    </row>
    <row r="5032" spans="1:1" x14ac:dyDescent="0.35">
      <c r="A5032" s="12"/>
    </row>
    <row r="5033" spans="1:1" x14ac:dyDescent="0.35">
      <c r="A5033" s="12"/>
    </row>
    <row r="5034" spans="1:1" x14ac:dyDescent="0.35">
      <c r="A5034" s="12"/>
    </row>
    <row r="5035" spans="1:1" x14ac:dyDescent="0.35">
      <c r="A5035" s="12"/>
    </row>
    <row r="5036" spans="1:1" x14ac:dyDescent="0.35">
      <c r="A5036" s="12"/>
    </row>
    <row r="5037" spans="1:1" x14ac:dyDescent="0.35">
      <c r="A5037" s="12"/>
    </row>
    <row r="5038" spans="1:1" x14ac:dyDescent="0.35">
      <c r="A5038" s="12"/>
    </row>
    <row r="5039" spans="1:1" x14ac:dyDescent="0.35">
      <c r="A5039" s="12"/>
    </row>
    <row r="5040" spans="1:1" x14ac:dyDescent="0.35">
      <c r="A5040" s="12"/>
    </row>
    <row r="5041" spans="1:1" x14ac:dyDescent="0.35">
      <c r="A5041" s="12"/>
    </row>
    <row r="5042" spans="1:1" x14ac:dyDescent="0.35">
      <c r="A5042" s="12"/>
    </row>
    <row r="5043" spans="1:1" x14ac:dyDescent="0.35">
      <c r="A5043" s="12"/>
    </row>
    <row r="5044" spans="1:1" x14ac:dyDescent="0.35">
      <c r="A5044" s="12"/>
    </row>
    <row r="5045" spans="1:1" x14ac:dyDescent="0.35">
      <c r="A5045" s="12"/>
    </row>
    <row r="5046" spans="1:1" x14ac:dyDescent="0.35">
      <c r="A5046" s="12"/>
    </row>
    <row r="5047" spans="1:1" x14ac:dyDescent="0.35">
      <c r="A5047" s="12"/>
    </row>
    <row r="5048" spans="1:1" x14ac:dyDescent="0.35">
      <c r="A5048" s="12"/>
    </row>
    <row r="5049" spans="1:1" x14ac:dyDescent="0.35">
      <c r="A5049" s="12"/>
    </row>
    <row r="5050" spans="1:1" x14ac:dyDescent="0.35">
      <c r="A5050" s="12"/>
    </row>
    <row r="5051" spans="1:1" x14ac:dyDescent="0.35">
      <c r="A5051" s="12"/>
    </row>
    <row r="5052" spans="1:1" x14ac:dyDescent="0.35">
      <c r="A5052" s="12"/>
    </row>
    <row r="5053" spans="1:1" x14ac:dyDescent="0.35">
      <c r="A5053" s="12"/>
    </row>
    <row r="5054" spans="1:1" x14ac:dyDescent="0.35">
      <c r="A5054" s="12"/>
    </row>
    <row r="5055" spans="1:1" x14ac:dyDescent="0.35">
      <c r="A5055" s="12"/>
    </row>
    <row r="5056" spans="1:1" x14ac:dyDescent="0.35">
      <c r="A5056" s="12"/>
    </row>
    <row r="5057" spans="1:1" x14ac:dyDescent="0.35">
      <c r="A5057" s="12"/>
    </row>
    <row r="5058" spans="1:1" x14ac:dyDescent="0.35">
      <c r="A5058" s="12"/>
    </row>
    <row r="5059" spans="1:1" x14ac:dyDescent="0.35">
      <c r="A5059" s="12"/>
    </row>
    <row r="5060" spans="1:1" x14ac:dyDescent="0.35">
      <c r="A5060" s="12"/>
    </row>
    <row r="5061" spans="1:1" x14ac:dyDescent="0.35">
      <c r="A5061" s="12"/>
    </row>
    <row r="5062" spans="1:1" x14ac:dyDescent="0.35">
      <c r="A5062" s="12"/>
    </row>
    <row r="5063" spans="1:1" x14ac:dyDescent="0.35">
      <c r="A5063" s="12"/>
    </row>
    <row r="5064" spans="1:1" x14ac:dyDescent="0.35">
      <c r="A5064" s="12"/>
    </row>
    <row r="5065" spans="1:1" x14ac:dyDescent="0.35">
      <c r="A5065" s="12"/>
    </row>
    <row r="5066" spans="1:1" x14ac:dyDescent="0.35">
      <c r="A5066" s="12"/>
    </row>
    <row r="5067" spans="1:1" x14ac:dyDescent="0.35">
      <c r="A5067" s="12"/>
    </row>
    <row r="5068" spans="1:1" x14ac:dyDescent="0.35">
      <c r="A5068" s="12"/>
    </row>
    <row r="5069" spans="1:1" x14ac:dyDescent="0.35">
      <c r="A5069" s="12"/>
    </row>
    <row r="5070" spans="1:1" x14ac:dyDescent="0.35">
      <c r="A5070" s="12"/>
    </row>
    <row r="5071" spans="1:1" x14ac:dyDescent="0.35">
      <c r="A5071" s="12"/>
    </row>
    <row r="5072" spans="1:1" x14ac:dyDescent="0.35">
      <c r="A5072" s="12"/>
    </row>
    <row r="5073" spans="1:1" x14ac:dyDescent="0.35">
      <c r="A5073" s="12"/>
    </row>
    <row r="5074" spans="1:1" x14ac:dyDescent="0.35">
      <c r="A5074" s="12"/>
    </row>
    <row r="5075" spans="1:1" x14ac:dyDescent="0.35">
      <c r="A5075" s="12"/>
    </row>
    <row r="5076" spans="1:1" x14ac:dyDescent="0.35">
      <c r="A5076" s="12"/>
    </row>
    <row r="5077" spans="1:1" x14ac:dyDescent="0.35">
      <c r="A5077" s="12"/>
    </row>
    <row r="5078" spans="1:1" x14ac:dyDescent="0.35">
      <c r="A5078" s="12"/>
    </row>
    <row r="5079" spans="1:1" x14ac:dyDescent="0.35">
      <c r="A5079" s="12"/>
    </row>
    <row r="5080" spans="1:1" x14ac:dyDescent="0.35">
      <c r="A5080" s="12"/>
    </row>
    <row r="5081" spans="1:1" x14ac:dyDescent="0.35">
      <c r="A5081" s="12"/>
    </row>
    <row r="5082" spans="1:1" x14ac:dyDescent="0.35">
      <c r="A5082" s="12"/>
    </row>
    <row r="5083" spans="1:1" x14ac:dyDescent="0.35">
      <c r="A5083" s="12"/>
    </row>
    <row r="5084" spans="1:1" x14ac:dyDescent="0.35">
      <c r="A5084" s="12"/>
    </row>
    <row r="5085" spans="1:1" x14ac:dyDescent="0.35">
      <c r="A5085" s="12"/>
    </row>
    <row r="5086" spans="1:1" x14ac:dyDescent="0.35">
      <c r="A5086" s="12"/>
    </row>
    <row r="5087" spans="1:1" x14ac:dyDescent="0.35">
      <c r="A5087" s="12"/>
    </row>
    <row r="5088" spans="1:1" x14ac:dyDescent="0.35">
      <c r="A5088" s="12"/>
    </row>
    <row r="5089" spans="1:1" x14ac:dyDescent="0.35">
      <c r="A5089" s="12"/>
    </row>
    <row r="5090" spans="1:1" x14ac:dyDescent="0.35">
      <c r="A5090" s="12"/>
    </row>
    <row r="5091" spans="1:1" x14ac:dyDescent="0.35">
      <c r="A5091" s="12"/>
    </row>
    <row r="5092" spans="1:1" x14ac:dyDescent="0.35">
      <c r="A5092" s="12"/>
    </row>
    <row r="5093" spans="1:1" x14ac:dyDescent="0.35">
      <c r="A5093" s="12"/>
    </row>
    <row r="5094" spans="1:1" x14ac:dyDescent="0.35">
      <c r="A5094" s="12"/>
    </row>
    <row r="5095" spans="1:1" x14ac:dyDescent="0.35">
      <c r="A5095" s="12"/>
    </row>
    <row r="5096" spans="1:1" x14ac:dyDescent="0.35">
      <c r="A5096" s="12"/>
    </row>
    <row r="5097" spans="1:1" x14ac:dyDescent="0.35">
      <c r="A5097" s="12"/>
    </row>
    <row r="5098" spans="1:1" x14ac:dyDescent="0.35">
      <c r="A5098" s="12"/>
    </row>
    <row r="5099" spans="1:1" x14ac:dyDescent="0.35">
      <c r="A5099" s="12"/>
    </row>
    <row r="5100" spans="1:1" x14ac:dyDescent="0.35">
      <c r="A5100" s="12"/>
    </row>
    <row r="5101" spans="1:1" x14ac:dyDescent="0.35">
      <c r="A5101" s="12"/>
    </row>
    <row r="5102" spans="1:1" x14ac:dyDescent="0.35">
      <c r="A5102" s="12"/>
    </row>
    <row r="5103" spans="1:1" x14ac:dyDescent="0.35">
      <c r="A5103" s="12"/>
    </row>
    <row r="5104" spans="1:1" x14ac:dyDescent="0.35">
      <c r="A5104" s="12"/>
    </row>
    <row r="5105" spans="1:1" x14ac:dyDescent="0.35">
      <c r="A5105" s="12"/>
    </row>
    <row r="5106" spans="1:1" x14ac:dyDescent="0.35">
      <c r="A5106" s="12"/>
    </row>
    <row r="5107" spans="1:1" x14ac:dyDescent="0.35">
      <c r="A5107" s="12"/>
    </row>
    <row r="5108" spans="1:1" x14ac:dyDescent="0.35">
      <c r="A5108" s="12"/>
    </row>
    <row r="5109" spans="1:1" x14ac:dyDescent="0.35">
      <c r="A5109" s="12"/>
    </row>
    <row r="5110" spans="1:1" x14ac:dyDescent="0.35">
      <c r="A5110" s="12"/>
    </row>
    <row r="5111" spans="1:1" x14ac:dyDescent="0.35">
      <c r="A5111" s="12"/>
    </row>
    <row r="5112" spans="1:1" x14ac:dyDescent="0.35">
      <c r="A5112" s="12"/>
    </row>
    <row r="5113" spans="1:1" x14ac:dyDescent="0.35">
      <c r="A5113" s="12"/>
    </row>
    <row r="5114" spans="1:1" x14ac:dyDescent="0.35">
      <c r="A5114" s="12"/>
    </row>
    <row r="5115" spans="1:1" x14ac:dyDescent="0.35">
      <c r="A5115" s="12"/>
    </row>
    <row r="5116" spans="1:1" x14ac:dyDescent="0.35">
      <c r="A5116" s="12"/>
    </row>
    <row r="5117" spans="1:1" x14ac:dyDescent="0.35">
      <c r="A5117" s="12"/>
    </row>
    <row r="5118" spans="1:1" x14ac:dyDescent="0.35">
      <c r="A5118" s="12"/>
    </row>
    <row r="5119" spans="1:1" x14ac:dyDescent="0.35">
      <c r="A5119" s="12"/>
    </row>
    <row r="5120" spans="1:1" x14ac:dyDescent="0.35">
      <c r="A5120" s="12"/>
    </row>
    <row r="5121" spans="1:1" x14ac:dyDescent="0.35">
      <c r="A5121" s="12"/>
    </row>
    <row r="5122" spans="1:1" x14ac:dyDescent="0.35">
      <c r="A5122" s="12"/>
    </row>
    <row r="5123" spans="1:1" x14ac:dyDescent="0.35">
      <c r="A5123" s="12"/>
    </row>
    <row r="5124" spans="1:1" x14ac:dyDescent="0.35">
      <c r="A5124" s="12"/>
    </row>
    <row r="5125" spans="1:1" x14ac:dyDescent="0.35">
      <c r="A5125" s="12"/>
    </row>
    <row r="5126" spans="1:1" x14ac:dyDescent="0.35">
      <c r="A5126" s="12"/>
    </row>
    <row r="5127" spans="1:1" x14ac:dyDescent="0.35">
      <c r="A5127" s="12"/>
    </row>
    <row r="5128" spans="1:1" x14ac:dyDescent="0.35">
      <c r="A5128" s="12"/>
    </row>
    <row r="5129" spans="1:1" x14ac:dyDescent="0.35">
      <c r="A5129" s="12"/>
    </row>
    <row r="5130" spans="1:1" x14ac:dyDescent="0.35">
      <c r="A5130" s="12"/>
    </row>
    <row r="5131" spans="1:1" x14ac:dyDescent="0.35">
      <c r="A5131" s="12"/>
    </row>
    <row r="5132" spans="1:1" x14ac:dyDescent="0.35">
      <c r="A5132" s="12"/>
    </row>
    <row r="5133" spans="1:1" x14ac:dyDescent="0.35">
      <c r="A5133" s="12"/>
    </row>
    <row r="5134" spans="1:1" x14ac:dyDescent="0.35">
      <c r="A5134" s="12"/>
    </row>
    <row r="5135" spans="1:1" x14ac:dyDescent="0.35">
      <c r="A5135" s="12"/>
    </row>
    <row r="5136" spans="1:1" x14ac:dyDescent="0.35">
      <c r="A5136" s="12"/>
    </row>
    <row r="5137" spans="1:1" x14ac:dyDescent="0.35">
      <c r="A5137" s="12"/>
    </row>
    <row r="5138" spans="1:1" x14ac:dyDescent="0.35">
      <c r="A5138" s="12"/>
    </row>
    <row r="5139" spans="1:1" x14ac:dyDescent="0.35">
      <c r="A5139" s="12"/>
    </row>
    <row r="5140" spans="1:1" x14ac:dyDescent="0.35">
      <c r="A5140" s="12"/>
    </row>
    <row r="5141" spans="1:1" x14ac:dyDescent="0.35">
      <c r="A5141" s="12"/>
    </row>
    <row r="5142" spans="1:1" x14ac:dyDescent="0.35">
      <c r="A5142" s="12"/>
    </row>
    <row r="5143" spans="1:1" x14ac:dyDescent="0.35">
      <c r="A5143" s="12"/>
    </row>
    <row r="5144" spans="1:1" x14ac:dyDescent="0.35">
      <c r="A5144" s="12"/>
    </row>
    <row r="5145" spans="1:1" x14ac:dyDescent="0.35">
      <c r="A5145" s="12"/>
    </row>
    <row r="5146" spans="1:1" x14ac:dyDescent="0.35">
      <c r="A5146" s="12"/>
    </row>
    <row r="5147" spans="1:1" x14ac:dyDescent="0.35">
      <c r="A5147" s="12"/>
    </row>
    <row r="5148" spans="1:1" x14ac:dyDescent="0.35">
      <c r="A5148" s="12"/>
    </row>
    <row r="5149" spans="1:1" x14ac:dyDescent="0.35">
      <c r="A5149" s="12"/>
    </row>
    <row r="5150" spans="1:1" x14ac:dyDescent="0.35">
      <c r="A5150" s="12"/>
    </row>
    <row r="5151" spans="1:1" x14ac:dyDescent="0.35">
      <c r="A5151" s="12"/>
    </row>
    <row r="5152" spans="1:1" x14ac:dyDescent="0.35">
      <c r="A5152" s="12"/>
    </row>
    <row r="5153" spans="1:1" x14ac:dyDescent="0.35">
      <c r="A5153" s="12"/>
    </row>
    <row r="5154" spans="1:1" x14ac:dyDescent="0.35">
      <c r="A5154" s="12"/>
    </row>
    <row r="5155" spans="1:1" x14ac:dyDescent="0.35">
      <c r="A5155" s="12"/>
    </row>
    <row r="5156" spans="1:1" x14ac:dyDescent="0.35">
      <c r="A5156" s="12"/>
    </row>
    <row r="5157" spans="1:1" x14ac:dyDescent="0.35">
      <c r="A5157" s="12"/>
    </row>
    <row r="5158" spans="1:1" x14ac:dyDescent="0.35">
      <c r="A5158" s="12"/>
    </row>
    <row r="5159" spans="1:1" x14ac:dyDescent="0.35">
      <c r="A5159" s="12"/>
    </row>
    <row r="5160" spans="1:1" x14ac:dyDescent="0.35">
      <c r="A5160" s="12"/>
    </row>
    <row r="5161" spans="1:1" x14ac:dyDescent="0.35">
      <c r="A5161" s="12"/>
    </row>
    <row r="5162" spans="1:1" x14ac:dyDescent="0.35">
      <c r="A5162" s="12"/>
    </row>
    <row r="5163" spans="1:1" x14ac:dyDescent="0.35">
      <c r="A5163" s="12"/>
    </row>
    <row r="5164" spans="1:1" x14ac:dyDescent="0.35">
      <c r="A5164" s="12"/>
    </row>
    <row r="5165" spans="1:1" x14ac:dyDescent="0.35">
      <c r="A5165" s="12"/>
    </row>
    <row r="5166" spans="1:1" x14ac:dyDescent="0.35">
      <c r="A5166" s="12"/>
    </row>
    <row r="5167" spans="1:1" x14ac:dyDescent="0.35">
      <c r="A5167" s="12"/>
    </row>
    <row r="5168" spans="1:1" x14ac:dyDescent="0.35">
      <c r="A5168" s="12"/>
    </row>
    <row r="5169" spans="1:1" x14ac:dyDescent="0.35">
      <c r="A5169" s="12"/>
    </row>
    <row r="5170" spans="1:1" x14ac:dyDescent="0.35">
      <c r="A5170" s="12"/>
    </row>
    <row r="5171" spans="1:1" x14ac:dyDescent="0.35">
      <c r="A5171" s="12"/>
    </row>
    <row r="5172" spans="1:1" x14ac:dyDescent="0.35">
      <c r="A5172" s="12"/>
    </row>
    <row r="5173" spans="1:1" x14ac:dyDescent="0.35">
      <c r="A5173" s="12"/>
    </row>
    <row r="5174" spans="1:1" x14ac:dyDescent="0.35">
      <c r="A5174" s="12"/>
    </row>
    <row r="5175" spans="1:1" x14ac:dyDescent="0.35">
      <c r="A5175" s="12"/>
    </row>
    <row r="5176" spans="1:1" x14ac:dyDescent="0.35">
      <c r="A5176" s="12"/>
    </row>
    <row r="5177" spans="1:1" x14ac:dyDescent="0.35">
      <c r="A5177" s="12"/>
    </row>
    <row r="5178" spans="1:1" x14ac:dyDescent="0.35">
      <c r="A5178" s="12"/>
    </row>
    <row r="5179" spans="1:1" x14ac:dyDescent="0.35">
      <c r="A5179" s="12"/>
    </row>
    <row r="5180" spans="1:1" x14ac:dyDescent="0.35">
      <c r="A5180" s="12"/>
    </row>
    <row r="5181" spans="1:1" x14ac:dyDescent="0.35">
      <c r="A5181" s="12"/>
    </row>
    <row r="5182" spans="1:1" x14ac:dyDescent="0.35">
      <c r="A5182" s="12"/>
    </row>
    <row r="5183" spans="1:1" x14ac:dyDescent="0.35">
      <c r="A5183" s="12"/>
    </row>
    <row r="5184" spans="1:1" x14ac:dyDescent="0.35">
      <c r="A5184" s="12"/>
    </row>
    <row r="5185" spans="1:1" x14ac:dyDescent="0.35">
      <c r="A5185" s="12"/>
    </row>
    <row r="5186" spans="1:1" x14ac:dyDescent="0.35">
      <c r="A5186" s="12"/>
    </row>
    <row r="5187" spans="1:1" x14ac:dyDescent="0.35">
      <c r="A5187" s="12"/>
    </row>
    <row r="5188" spans="1:1" x14ac:dyDescent="0.35">
      <c r="A5188" s="12"/>
    </row>
    <row r="5189" spans="1:1" x14ac:dyDescent="0.35">
      <c r="A5189" s="12"/>
    </row>
    <row r="5190" spans="1:1" x14ac:dyDescent="0.35">
      <c r="A5190" s="12"/>
    </row>
    <row r="5191" spans="1:1" x14ac:dyDescent="0.35">
      <c r="A5191" s="12"/>
    </row>
    <row r="5192" spans="1:1" x14ac:dyDescent="0.35">
      <c r="A5192" s="12"/>
    </row>
    <row r="5193" spans="1:1" x14ac:dyDescent="0.35">
      <c r="A5193" s="12"/>
    </row>
    <row r="5194" spans="1:1" x14ac:dyDescent="0.35">
      <c r="A5194" s="12"/>
    </row>
    <row r="5195" spans="1:1" x14ac:dyDescent="0.35">
      <c r="A5195" s="12"/>
    </row>
    <row r="5196" spans="1:1" x14ac:dyDescent="0.35">
      <c r="A5196" s="12"/>
    </row>
    <row r="5197" spans="1:1" x14ac:dyDescent="0.35">
      <c r="A5197" s="12"/>
    </row>
    <row r="5198" spans="1:1" x14ac:dyDescent="0.35">
      <c r="A5198" s="12"/>
    </row>
    <row r="5199" spans="1:1" x14ac:dyDescent="0.35">
      <c r="A5199" s="12"/>
    </row>
    <row r="5200" spans="1:1" x14ac:dyDescent="0.35">
      <c r="A5200" s="12"/>
    </row>
    <row r="5201" spans="1:1" x14ac:dyDescent="0.35">
      <c r="A5201" s="12"/>
    </row>
    <row r="5202" spans="1:1" x14ac:dyDescent="0.35">
      <c r="A5202" s="12"/>
    </row>
    <row r="5203" spans="1:1" x14ac:dyDescent="0.35">
      <c r="A5203" s="12"/>
    </row>
    <row r="5204" spans="1:1" x14ac:dyDescent="0.35">
      <c r="A5204" s="12"/>
    </row>
    <row r="5205" spans="1:1" x14ac:dyDescent="0.35">
      <c r="A5205" s="12"/>
    </row>
    <row r="5206" spans="1:1" x14ac:dyDescent="0.35">
      <c r="A5206" s="12"/>
    </row>
    <row r="5207" spans="1:1" x14ac:dyDescent="0.35">
      <c r="A5207" s="12"/>
    </row>
    <row r="5208" spans="1:1" x14ac:dyDescent="0.35">
      <c r="A5208" s="12"/>
    </row>
    <row r="5209" spans="1:1" x14ac:dyDescent="0.35">
      <c r="A5209" s="12"/>
    </row>
    <row r="5210" spans="1:1" x14ac:dyDescent="0.35">
      <c r="A5210" s="12"/>
    </row>
    <row r="5211" spans="1:1" x14ac:dyDescent="0.35">
      <c r="A5211" s="12"/>
    </row>
    <row r="5212" spans="1:1" x14ac:dyDescent="0.35">
      <c r="A5212" s="12"/>
    </row>
    <row r="5213" spans="1:1" x14ac:dyDescent="0.35">
      <c r="A5213" s="12"/>
    </row>
    <row r="5214" spans="1:1" x14ac:dyDescent="0.35">
      <c r="A5214" s="12"/>
    </row>
    <row r="5215" spans="1:1" x14ac:dyDescent="0.35">
      <c r="A5215" s="12"/>
    </row>
    <row r="5216" spans="1:1" x14ac:dyDescent="0.35">
      <c r="A5216" s="12"/>
    </row>
    <row r="5217" spans="1:1" x14ac:dyDescent="0.35">
      <c r="A5217" s="12"/>
    </row>
    <row r="5218" spans="1:1" x14ac:dyDescent="0.35">
      <c r="A5218" s="12"/>
    </row>
    <row r="5219" spans="1:1" x14ac:dyDescent="0.35">
      <c r="A5219" s="12"/>
    </row>
    <row r="5220" spans="1:1" x14ac:dyDescent="0.35">
      <c r="A5220" s="12"/>
    </row>
    <row r="5221" spans="1:1" x14ac:dyDescent="0.35">
      <c r="A5221" s="12"/>
    </row>
    <row r="5222" spans="1:1" x14ac:dyDescent="0.35">
      <c r="A5222" s="12"/>
    </row>
    <row r="5223" spans="1:1" x14ac:dyDescent="0.35">
      <c r="A5223" s="12"/>
    </row>
    <row r="5224" spans="1:1" x14ac:dyDescent="0.35">
      <c r="A5224" s="12"/>
    </row>
    <row r="5225" spans="1:1" x14ac:dyDescent="0.35">
      <c r="A5225" s="12"/>
    </row>
    <row r="5226" spans="1:1" x14ac:dyDescent="0.35">
      <c r="A5226" s="12"/>
    </row>
    <row r="5227" spans="1:1" x14ac:dyDescent="0.35">
      <c r="A5227" s="12"/>
    </row>
    <row r="5228" spans="1:1" x14ac:dyDescent="0.35">
      <c r="A5228" s="12"/>
    </row>
    <row r="5229" spans="1:1" x14ac:dyDescent="0.35">
      <c r="A5229" s="12"/>
    </row>
    <row r="5230" spans="1:1" x14ac:dyDescent="0.35">
      <c r="A5230" s="12"/>
    </row>
    <row r="5231" spans="1:1" x14ac:dyDescent="0.35">
      <c r="A5231" s="12"/>
    </row>
    <row r="5232" spans="1:1" x14ac:dyDescent="0.35">
      <c r="A5232" s="12"/>
    </row>
    <row r="5233" spans="1:1" x14ac:dyDescent="0.35">
      <c r="A5233" s="12"/>
    </row>
    <row r="5234" spans="1:1" x14ac:dyDescent="0.35">
      <c r="A5234" s="12"/>
    </row>
    <row r="5235" spans="1:1" x14ac:dyDescent="0.35">
      <c r="A5235" s="12"/>
    </row>
    <row r="5236" spans="1:1" x14ac:dyDescent="0.35">
      <c r="A5236" s="12"/>
    </row>
    <row r="5237" spans="1:1" x14ac:dyDescent="0.35">
      <c r="A5237" s="12"/>
    </row>
    <row r="5238" spans="1:1" x14ac:dyDescent="0.35">
      <c r="A5238" s="12"/>
    </row>
    <row r="5239" spans="1:1" x14ac:dyDescent="0.35">
      <c r="A5239" s="12"/>
    </row>
    <row r="5240" spans="1:1" x14ac:dyDescent="0.35">
      <c r="A5240" s="12"/>
    </row>
    <row r="5241" spans="1:1" x14ac:dyDescent="0.35">
      <c r="A5241" s="12"/>
    </row>
    <row r="5242" spans="1:1" x14ac:dyDescent="0.35">
      <c r="A5242" s="12"/>
    </row>
    <row r="5243" spans="1:1" x14ac:dyDescent="0.35">
      <c r="A5243" s="12"/>
    </row>
    <row r="5244" spans="1:1" x14ac:dyDescent="0.35">
      <c r="A5244" s="12"/>
    </row>
    <row r="5245" spans="1:1" x14ac:dyDescent="0.35">
      <c r="A5245" s="12"/>
    </row>
    <row r="5246" spans="1:1" x14ac:dyDescent="0.35">
      <c r="A5246" s="12"/>
    </row>
    <row r="5247" spans="1:1" x14ac:dyDescent="0.35">
      <c r="A5247" s="12"/>
    </row>
    <row r="5248" spans="1:1" x14ac:dyDescent="0.35">
      <c r="A5248" s="12"/>
    </row>
    <row r="5249" spans="1:1" x14ac:dyDescent="0.35">
      <c r="A5249" s="12"/>
    </row>
    <row r="5250" spans="1:1" x14ac:dyDescent="0.35">
      <c r="A5250" s="12"/>
    </row>
    <row r="5251" spans="1:1" x14ac:dyDescent="0.35">
      <c r="A5251" s="12"/>
    </row>
    <row r="5252" spans="1:1" x14ac:dyDescent="0.35">
      <c r="A5252" s="12"/>
    </row>
    <row r="5253" spans="1:1" x14ac:dyDescent="0.35">
      <c r="A5253" s="12"/>
    </row>
    <row r="5254" spans="1:1" x14ac:dyDescent="0.35">
      <c r="A5254" s="12"/>
    </row>
    <row r="5255" spans="1:1" x14ac:dyDescent="0.35">
      <c r="A5255" s="12"/>
    </row>
    <row r="5256" spans="1:1" x14ac:dyDescent="0.35">
      <c r="A5256" s="12"/>
    </row>
    <row r="5257" spans="1:1" x14ac:dyDescent="0.35">
      <c r="A5257" s="12"/>
    </row>
    <row r="5258" spans="1:1" x14ac:dyDescent="0.35">
      <c r="A5258" s="12"/>
    </row>
    <row r="5259" spans="1:1" x14ac:dyDescent="0.35">
      <c r="A5259" s="12"/>
    </row>
    <row r="5260" spans="1:1" x14ac:dyDescent="0.35">
      <c r="A5260" s="12"/>
    </row>
    <row r="5261" spans="1:1" x14ac:dyDescent="0.35">
      <c r="A5261" s="12"/>
    </row>
    <row r="5262" spans="1:1" x14ac:dyDescent="0.35">
      <c r="A5262" s="12"/>
    </row>
    <row r="5263" spans="1:1" x14ac:dyDescent="0.35">
      <c r="A5263" s="12"/>
    </row>
    <row r="5264" spans="1:1" x14ac:dyDescent="0.35">
      <c r="A5264" s="12"/>
    </row>
    <row r="5265" spans="1:1" x14ac:dyDescent="0.35">
      <c r="A5265" s="12"/>
    </row>
    <row r="5266" spans="1:1" x14ac:dyDescent="0.35">
      <c r="A5266" s="12"/>
    </row>
    <row r="5267" spans="1:1" x14ac:dyDescent="0.35">
      <c r="A5267" s="12"/>
    </row>
    <row r="5268" spans="1:1" x14ac:dyDescent="0.35">
      <c r="A5268" s="12"/>
    </row>
    <row r="5269" spans="1:1" x14ac:dyDescent="0.35">
      <c r="A5269" s="12"/>
    </row>
    <row r="5270" spans="1:1" x14ac:dyDescent="0.35">
      <c r="A5270" s="12"/>
    </row>
    <row r="5271" spans="1:1" x14ac:dyDescent="0.35">
      <c r="A5271" s="12"/>
    </row>
    <row r="5272" spans="1:1" x14ac:dyDescent="0.35">
      <c r="A5272" s="12"/>
    </row>
    <row r="5273" spans="1:1" x14ac:dyDescent="0.35">
      <c r="A5273" s="12"/>
    </row>
    <row r="5274" spans="1:1" x14ac:dyDescent="0.35">
      <c r="A5274" s="12"/>
    </row>
    <row r="5275" spans="1:1" x14ac:dyDescent="0.35">
      <c r="A5275" s="12"/>
    </row>
    <row r="5276" spans="1:1" x14ac:dyDescent="0.35">
      <c r="A5276" s="12"/>
    </row>
    <row r="5277" spans="1:1" x14ac:dyDescent="0.35">
      <c r="A5277" s="12"/>
    </row>
    <row r="5278" spans="1:1" x14ac:dyDescent="0.35">
      <c r="A5278" s="12"/>
    </row>
    <row r="5279" spans="1:1" x14ac:dyDescent="0.35">
      <c r="A5279" s="12"/>
    </row>
    <row r="5280" spans="1:1" x14ac:dyDescent="0.35">
      <c r="A5280" s="12"/>
    </row>
    <row r="5281" spans="1:1" x14ac:dyDescent="0.35">
      <c r="A5281" s="12"/>
    </row>
    <row r="5282" spans="1:1" x14ac:dyDescent="0.35">
      <c r="A5282" s="12"/>
    </row>
    <row r="5283" spans="1:1" x14ac:dyDescent="0.35">
      <c r="A5283" s="12"/>
    </row>
    <row r="5284" spans="1:1" x14ac:dyDescent="0.35">
      <c r="A5284" s="12"/>
    </row>
    <row r="5285" spans="1:1" x14ac:dyDescent="0.35">
      <c r="A5285" s="12"/>
    </row>
    <row r="5286" spans="1:1" x14ac:dyDescent="0.35">
      <c r="A5286" s="12"/>
    </row>
    <row r="5287" spans="1:1" x14ac:dyDescent="0.35">
      <c r="A5287" s="12"/>
    </row>
    <row r="5288" spans="1:1" x14ac:dyDescent="0.35">
      <c r="A5288" s="12"/>
    </row>
    <row r="5289" spans="1:1" x14ac:dyDescent="0.35">
      <c r="A5289" s="12"/>
    </row>
    <row r="5290" spans="1:1" x14ac:dyDescent="0.35">
      <c r="A5290" s="12"/>
    </row>
    <row r="5291" spans="1:1" x14ac:dyDescent="0.35">
      <c r="A5291" s="12"/>
    </row>
    <row r="5292" spans="1:1" x14ac:dyDescent="0.35">
      <c r="A5292" s="12"/>
    </row>
    <row r="5293" spans="1:1" x14ac:dyDescent="0.35">
      <c r="A5293" s="12"/>
    </row>
    <row r="5294" spans="1:1" x14ac:dyDescent="0.35">
      <c r="A5294" s="12"/>
    </row>
    <row r="5295" spans="1:1" x14ac:dyDescent="0.35">
      <c r="A5295" s="12"/>
    </row>
    <row r="5296" spans="1:1" x14ac:dyDescent="0.35">
      <c r="A5296" s="12"/>
    </row>
    <row r="5297" spans="1:1" x14ac:dyDescent="0.35">
      <c r="A5297" s="12"/>
    </row>
    <row r="5298" spans="1:1" x14ac:dyDescent="0.35">
      <c r="A5298" s="12"/>
    </row>
    <row r="5299" spans="1:1" x14ac:dyDescent="0.35">
      <c r="A5299" s="12"/>
    </row>
    <row r="5300" spans="1:1" x14ac:dyDescent="0.35">
      <c r="A5300" s="12"/>
    </row>
    <row r="5301" spans="1:1" x14ac:dyDescent="0.35">
      <c r="A5301" s="12"/>
    </row>
    <row r="5302" spans="1:1" x14ac:dyDescent="0.35">
      <c r="A5302" s="12"/>
    </row>
    <row r="5303" spans="1:1" x14ac:dyDescent="0.35">
      <c r="A5303" s="12"/>
    </row>
    <row r="5304" spans="1:1" x14ac:dyDescent="0.35">
      <c r="A5304" s="12"/>
    </row>
    <row r="5305" spans="1:1" x14ac:dyDescent="0.35">
      <c r="A5305" s="12"/>
    </row>
    <row r="5306" spans="1:1" x14ac:dyDescent="0.35">
      <c r="A5306" s="12"/>
    </row>
    <row r="5307" spans="1:1" x14ac:dyDescent="0.35">
      <c r="A5307" s="12"/>
    </row>
    <row r="5308" spans="1:1" x14ac:dyDescent="0.35">
      <c r="A5308" s="12"/>
    </row>
    <row r="5309" spans="1:1" x14ac:dyDescent="0.35">
      <c r="A5309" s="12"/>
    </row>
    <row r="5310" spans="1:1" x14ac:dyDescent="0.35">
      <c r="A5310" s="12"/>
    </row>
    <row r="5311" spans="1:1" x14ac:dyDescent="0.35">
      <c r="A5311" s="12"/>
    </row>
    <row r="5312" spans="1:1" x14ac:dyDescent="0.35">
      <c r="A5312" s="12"/>
    </row>
    <row r="5313" spans="1:1" x14ac:dyDescent="0.35">
      <c r="A5313" s="12"/>
    </row>
    <row r="5314" spans="1:1" x14ac:dyDescent="0.35">
      <c r="A5314" s="12"/>
    </row>
    <row r="5315" spans="1:1" x14ac:dyDescent="0.35">
      <c r="A5315" s="12"/>
    </row>
    <row r="5316" spans="1:1" x14ac:dyDescent="0.35">
      <c r="A5316" s="12"/>
    </row>
    <row r="5317" spans="1:1" x14ac:dyDescent="0.35">
      <c r="A5317" s="12"/>
    </row>
    <row r="5318" spans="1:1" x14ac:dyDescent="0.35">
      <c r="A5318" s="12"/>
    </row>
    <row r="5319" spans="1:1" x14ac:dyDescent="0.35">
      <c r="A5319" s="12"/>
    </row>
    <row r="5320" spans="1:1" x14ac:dyDescent="0.35">
      <c r="A5320" s="12"/>
    </row>
    <row r="5321" spans="1:1" x14ac:dyDescent="0.35">
      <c r="A5321" s="12"/>
    </row>
    <row r="5322" spans="1:1" x14ac:dyDescent="0.35">
      <c r="A5322" s="12"/>
    </row>
    <row r="5323" spans="1:1" x14ac:dyDescent="0.35">
      <c r="A5323" s="12"/>
    </row>
    <row r="5324" spans="1:1" x14ac:dyDescent="0.35">
      <c r="A5324" s="12"/>
    </row>
    <row r="5325" spans="1:1" x14ac:dyDescent="0.35">
      <c r="A5325" s="12"/>
    </row>
    <row r="5326" spans="1:1" x14ac:dyDescent="0.35">
      <c r="A5326" s="12"/>
    </row>
    <row r="5327" spans="1:1" x14ac:dyDescent="0.35">
      <c r="A5327" s="12"/>
    </row>
    <row r="5328" spans="1:1" x14ac:dyDescent="0.35">
      <c r="A5328" s="12"/>
    </row>
    <row r="5329" spans="1:1" x14ac:dyDescent="0.35">
      <c r="A5329" s="12"/>
    </row>
    <row r="5330" spans="1:1" x14ac:dyDescent="0.35">
      <c r="A5330" s="12"/>
    </row>
    <row r="5331" spans="1:1" x14ac:dyDescent="0.35">
      <c r="A5331" s="12"/>
    </row>
    <row r="5332" spans="1:1" x14ac:dyDescent="0.35">
      <c r="A5332" s="12"/>
    </row>
    <row r="5333" spans="1:1" x14ac:dyDescent="0.35">
      <c r="A5333" s="12"/>
    </row>
    <row r="5334" spans="1:1" x14ac:dyDescent="0.35">
      <c r="A5334" s="12"/>
    </row>
    <row r="5335" spans="1:1" x14ac:dyDescent="0.35">
      <c r="A5335" s="12"/>
    </row>
    <row r="5336" spans="1:1" x14ac:dyDescent="0.35">
      <c r="A5336" s="12"/>
    </row>
    <row r="5337" spans="1:1" x14ac:dyDescent="0.35">
      <c r="A5337" s="12"/>
    </row>
    <row r="5338" spans="1:1" x14ac:dyDescent="0.35">
      <c r="A5338" s="12"/>
    </row>
    <row r="5339" spans="1:1" x14ac:dyDescent="0.35">
      <c r="A5339" s="12"/>
    </row>
    <row r="5340" spans="1:1" x14ac:dyDescent="0.35">
      <c r="A5340" s="12"/>
    </row>
    <row r="5341" spans="1:1" x14ac:dyDescent="0.35">
      <c r="A5341" s="12"/>
    </row>
    <row r="5342" spans="1:1" x14ac:dyDescent="0.35">
      <c r="A5342" s="12"/>
    </row>
    <row r="5343" spans="1:1" x14ac:dyDescent="0.35">
      <c r="A5343" s="12"/>
    </row>
    <row r="5344" spans="1:1" x14ac:dyDescent="0.35">
      <c r="A5344" s="12"/>
    </row>
    <row r="5345" spans="1:1" x14ac:dyDescent="0.35">
      <c r="A5345" s="12"/>
    </row>
    <row r="5346" spans="1:1" x14ac:dyDescent="0.35">
      <c r="A5346" s="12"/>
    </row>
    <row r="5347" spans="1:1" x14ac:dyDescent="0.35">
      <c r="A5347" s="12"/>
    </row>
    <row r="5348" spans="1:1" x14ac:dyDescent="0.35">
      <c r="A5348" s="12"/>
    </row>
    <row r="5349" spans="1:1" x14ac:dyDescent="0.35">
      <c r="A5349" s="12"/>
    </row>
    <row r="5350" spans="1:1" x14ac:dyDescent="0.35">
      <c r="A5350" s="12"/>
    </row>
    <row r="5351" spans="1:1" x14ac:dyDescent="0.35">
      <c r="A5351" s="12"/>
    </row>
    <row r="5352" spans="1:1" x14ac:dyDescent="0.35">
      <c r="A5352" s="12"/>
    </row>
    <row r="5353" spans="1:1" x14ac:dyDescent="0.35">
      <c r="A5353" s="12"/>
    </row>
    <row r="5354" spans="1:1" x14ac:dyDescent="0.35">
      <c r="A5354" s="12"/>
    </row>
    <row r="5355" spans="1:1" x14ac:dyDescent="0.35">
      <c r="A5355" s="12"/>
    </row>
    <row r="5356" spans="1:1" x14ac:dyDescent="0.35">
      <c r="A5356" s="12"/>
    </row>
    <row r="5357" spans="1:1" x14ac:dyDescent="0.35">
      <c r="A5357" s="12"/>
    </row>
    <row r="5358" spans="1:1" x14ac:dyDescent="0.35">
      <c r="A5358" s="12"/>
    </row>
    <row r="5359" spans="1:1" x14ac:dyDescent="0.35">
      <c r="A5359" s="12"/>
    </row>
    <row r="5360" spans="1:1" x14ac:dyDescent="0.35">
      <c r="A5360" s="12"/>
    </row>
    <row r="5361" spans="1:1" x14ac:dyDescent="0.35">
      <c r="A5361" s="12"/>
    </row>
    <row r="5362" spans="1:1" x14ac:dyDescent="0.35">
      <c r="A5362" s="12"/>
    </row>
    <row r="5363" spans="1:1" x14ac:dyDescent="0.35">
      <c r="A5363" s="12"/>
    </row>
    <row r="5364" spans="1:1" x14ac:dyDescent="0.35">
      <c r="A5364" s="12"/>
    </row>
    <row r="5365" spans="1:1" x14ac:dyDescent="0.35">
      <c r="A5365" s="12"/>
    </row>
    <row r="5366" spans="1:1" x14ac:dyDescent="0.35">
      <c r="A5366" s="12"/>
    </row>
    <row r="5367" spans="1:1" x14ac:dyDescent="0.35">
      <c r="A5367" s="12"/>
    </row>
    <row r="5368" spans="1:1" x14ac:dyDescent="0.35">
      <c r="A5368" s="12"/>
    </row>
    <row r="5369" spans="1:1" x14ac:dyDescent="0.35">
      <c r="A5369" s="12"/>
    </row>
    <row r="5370" spans="1:1" x14ac:dyDescent="0.35">
      <c r="A5370" s="12"/>
    </row>
    <row r="5371" spans="1:1" x14ac:dyDescent="0.35">
      <c r="A5371" s="12"/>
    </row>
    <row r="5372" spans="1:1" x14ac:dyDescent="0.35">
      <c r="A5372" s="12"/>
    </row>
    <row r="5373" spans="1:1" x14ac:dyDescent="0.35">
      <c r="A5373" s="12"/>
    </row>
    <row r="5374" spans="1:1" x14ac:dyDescent="0.35">
      <c r="A5374" s="12"/>
    </row>
    <row r="5375" spans="1:1" x14ac:dyDescent="0.35">
      <c r="A5375" s="12"/>
    </row>
    <row r="5376" spans="1:1" x14ac:dyDescent="0.35">
      <c r="A5376" s="12"/>
    </row>
    <row r="5377" spans="1:1" x14ac:dyDescent="0.35">
      <c r="A5377" s="12"/>
    </row>
    <row r="5378" spans="1:1" x14ac:dyDescent="0.35">
      <c r="A5378" s="12"/>
    </row>
    <row r="5379" spans="1:1" x14ac:dyDescent="0.35">
      <c r="A5379" s="12"/>
    </row>
    <row r="5380" spans="1:1" x14ac:dyDescent="0.35">
      <c r="A5380" s="12"/>
    </row>
    <row r="5381" spans="1:1" x14ac:dyDescent="0.35">
      <c r="A5381" s="12"/>
    </row>
    <row r="5382" spans="1:1" x14ac:dyDescent="0.35">
      <c r="A5382" s="12"/>
    </row>
    <row r="5383" spans="1:1" x14ac:dyDescent="0.35">
      <c r="A5383" s="12"/>
    </row>
    <row r="5384" spans="1:1" x14ac:dyDescent="0.35">
      <c r="A5384" s="12"/>
    </row>
    <row r="5385" spans="1:1" x14ac:dyDescent="0.35">
      <c r="A5385" s="12"/>
    </row>
    <row r="5386" spans="1:1" x14ac:dyDescent="0.35">
      <c r="A5386" s="12"/>
    </row>
    <row r="5387" spans="1:1" x14ac:dyDescent="0.35">
      <c r="A5387" s="12"/>
    </row>
    <row r="5388" spans="1:1" x14ac:dyDescent="0.35">
      <c r="A5388" s="12"/>
    </row>
    <row r="5389" spans="1:1" x14ac:dyDescent="0.35">
      <c r="A5389" s="12"/>
    </row>
    <row r="5390" spans="1:1" x14ac:dyDescent="0.35">
      <c r="A5390" s="12"/>
    </row>
    <row r="5391" spans="1:1" x14ac:dyDescent="0.35">
      <c r="A5391" s="12"/>
    </row>
    <row r="5392" spans="1:1" x14ac:dyDescent="0.35">
      <c r="A5392" s="12"/>
    </row>
    <row r="5393" spans="1:1" x14ac:dyDescent="0.35">
      <c r="A5393" s="12"/>
    </row>
    <row r="5394" spans="1:1" x14ac:dyDescent="0.35">
      <c r="A5394" s="12"/>
    </row>
    <row r="5395" spans="1:1" x14ac:dyDescent="0.35">
      <c r="A5395" s="12"/>
    </row>
    <row r="5396" spans="1:1" x14ac:dyDescent="0.35">
      <c r="A5396" s="12"/>
    </row>
    <row r="5397" spans="1:1" x14ac:dyDescent="0.35">
      <c r="A5397" s="12"/>
    </row>
    <row r="5398" spans="1:1" x14ac:dyDescent="0.35">
      <c r="A5398" s="12"/>
    </row>
    <row r="5399" spans="1:1" x14ac:dyDescent="0.35">
      <c r="A5399" s="12"/>
    </row>
    <row r="5400" spans="1:1" x14ac:dyDescent="0.35">
      <c r="A5400" s="12"/>
    </row>
    <row r="5401" spans="1:1" x14ac:dyDescent="0.35">
      <c r="A5401" s="12"/>
    </row>
    <row r="5402" spans="1:1" x14ac:dyDescent="0.35">
      <c r="A5402" s="12"/>
    </row>
    <row r="5403" spans="1:1" x14ac:dyDescent="0.35">
      <c r="A5403" s="12"/>
    </row>
    <row r="5404" spans="1:1" x14ac:dyDescent="0.35">
      <c r="A5404" s="12"/>
    </row>
    <row r="5405" spans="1:1" x14ac:dyDescent="0.35">
      <c r="A5405" s="12"/>
    </row>
    <row r="5406" spans="1:1" x14ac:dyDescent="0.35">
      <c r="A5406" s="12"/>
    </row>
    <row r="5407" spans="1:1" x14ac:dyDescent="0.35">
      <c r="A5407" s="12"/>
    </row>
    <row r="5408" spans="1:1" x14ac:dyDescent="0.35">
      <c r="A5408" s="12"/>
    </row>
    <row r="5409" spans="1:1" x14ac:dyDescent="0.35">
      <c r="A5409" s="12"/>
    </row>
    <row r="5410" spans="1:1" x14ac:dyDescent="0.35">
      <c r="A5410" s="12"/>
    </row>
    <row r="5411" spans="1:1" x14ac:dyDescent="0.35">
      <c r="A5411" s="12"/>
    </row>
    <row r="5412" spans="1:1" x14ac:dyDescent="0.35">
      <c r="A5412" s="12"/>
    </row>
    <row r="5413" spans="1:1" x14ac:dyDescent="0.35">
      <c r="A5413" s="12"/>
    </row>
    <row r="5414" spans="1:1" x14ac:dyDescent="0.35">
      <c r="A5414" s="12"/>
    </row>
    <row r="5415" spans="1:1" x14ac:dyDescent="0.35">
      <c r="A5415" s="12"/>
    </row>
    <row r="5416" spans="1:1" x14ac:dyDescent="0.35">
      <c r="A5416" s="12"/>
    </row>
    <row r="5417" spans="1:1" x14ac:dyDescent="0.35">
      <c r="A5417" s="12"/>
    </row>
    <row r="5418" spans="1:1" x14ac:dyDescent="0.35">
      <c r="A5418" s="12"/>
    </row>
    <row r="5419" spans="1:1" x14ac:dyDescent="0.35">
      <c r="A5419" s="12"/>
    </row>
    <row r="5420" spans="1:1" x14ac:dyDescent="0.35">
      <c r="A5420" s="12"/>
    </row>
    <row r="5421" spans="1:1" x14ac:dyDescent="0.35">
      <c r="A5421" s="12"/>
    </row>
    <row r="5422" spans="1:1" x14ac:dyDescent="0.35">
      <c r="A5422" s="12"/>
    </row>
    <row r="5423" spans="1:1" x14ac:dyDescent="0.35">
      <c r="A5423" s="12"/>
    </row>
    <row r="5424" spans="1:1" x14ac:dyDescent="0.35">
      <c r="A5424" s="12"/>
    </row>
    <row r="5425" spans="1:1" x14ac:dyDescent="0.35">
      <c r="A5425" s="12"/>
    </row>
    <row r="5426" spans="1:1" x14ac:dyDescent="0.35">
      <c r="A5426" s="12"/>
    </row>
    <row r="5427" spans="1:1" x14ac:dyDescent="0.35">
      <c r="A5427" s="12"/>
    </row>
    <row r="5428" spans="1:1" x14ac:dyDescent="0.35">
      <c r="A5428" s="12"/>
    </row>
    <row r="5429" spans="1:1" x14ac:dyDescent="0.35">
      <c r="A5429" s="12"/>
    </row>
    <row r="5430" spans="1:1" x14ac:dyDescent="0.35">
      <c r="A5430" s="12"/>
    </row>
    <row r="5431" spans="1:1" x14ac:dyDescent="0.35">
      <c r="A5431" s="12"/>
    </row>
    <row r="5432" spans="1:1" x14ac:dyDescent="0.35">
      <c r="A5432" s="12"/>
    </row>
    <row r="5433" spans="1:1" x14ac:dyDescent="0.35">
      <c r="A5433" s="12"/>
    </row>
    <row r="5434" spans="1:1" x14ac:dyDescent="0.35">
      <c r="A5434" s="12"/>
    </row>
    <row r="5435" spans="1:1" x14ac:dyDescent="0.35">
      <c r="A5435" s="12"/>
    </row>
    <row r="5436" spans="1:1" x14ac:dyDescent="0.35">
      <c r="A5436" s="12"/>
    </row>
    <row r="5437" spans="1:1" x14ac:dyDescent="0.35">
      <c r="A5437" s="12"/>
    </row>
    <row r="5438" spans="1:1" x14ac:dyDescent="0.35">
      <c r="A5438" s="12"/>
    </row>
    <row r="5439" spans="1:1" x14ac:dyDescent="0.35">
      <c r="A5439" s="12"/>
    </row>
    <row r="5440" spans="1:1" x14ac:dyDescent="0.35">
      <c r="A5440" s="12"/>
    </row>
    <row r="5441" spans="1:1" x14ac:dyDescent="0.35">
      <c r="A5441" s="12"/>
    </row>
    <row r="5442" spans="1:1" x14ac:dyDescent="0.35">
      <c r="A5442" s="12"/>
    </row>
    <row r="5443" spans="1:1" x14ac:dyDescent="0.35">
      <c r="A5443" s="12"/>
    </row>
    <row r="5444" spans="1:1" x14ac:dyDescent="0.35">
      <c r="A5444" s="12"/>
    </row>
    <row r="5445" spans="1:1" x14ac:dyDescent="0.35">
      <c r="A5445" s="12"/>
    </row>
    <row r="5446" spans="1:1" x14ac:dyDescent="0.35">
      <c r="A5446" s="12"/>
    </row>
    <row r="5447" spans="1:1" x14ac:dyDescent="0.35">
      <c r="A5447" s="12"/>
    </row>
    <row r="5448" spans="1:1" x14ac:dyDescent="0.35">
      <c r="A5448" s="12"/>
    </row>
    <row r="5449" spans="1:1" x14ac:dyDescent="0.35">
      <c r="A5449" s="12"/>
    </row>
    <row r="5450" spans="1:1" x14ac:dyDescent="0.35">
      <c r="A5450" s="12"/>
    </row>
    <row r="5451" spans="1:1" x14ac:dyDescent="0.35">
      <c r="A5451" s="12"/>
    </row>
    <row r="5452" spans="1:1" x14ac:dyDescent="0.35">
      <c r="A5452" s="12"/>
    </row>
    <row r="5453" spans="1:1" x14ac:dyDescent="0.35">
      <c r="A5453" s="12"/>
    </row>
    <row r="5454" spans="1:1" x14ac:dyDescent="0.35">
      <c r="A5454" s="12"/>
    </row>
    <row r="5455" spans="1:1" x14ac:dyDescent="0.35">
      <c r="A5455" s="12"/>
    </row>
    <row r="5456" spans="1:1" x14ac:dyDescent="0.35">
      <c r="A5456" s="12"/>
    </row>
    <row r="5457" spans="1:1" x14ac:dyDescent="0.35">
      <c r="A5457" s="12"/>
    </row>
    <row r="5458" spans="1:1" x14ac:dyDescent="0.35">
      <c r="A5458" s="12"/>
    </row>
    <row r="5459" spans="1:1" x14ac:dyDescent="0.35">
      <c r="A5459" s="12"/>
    </row>
    <row r="5460" spans="1:1" x14ac:dyDescent="0.35">
      <c r="A5460" s="12"/>
    </row>
    <row r="5461" spans="1:1" x14ac:dyDescent="0.35">
      <c r="A5461" s="12"/>
    </row>
    <row r="5462" spans="1:1" x14ac:dyDescent="0.35">
      <c r="A5462" s="12"/>
    </row>
    <row r="5463" spans="1:1" x14ac:dyDescent="0.35">
      <c r="A5463" s="12"/>
    </row>
    <row r="5464" spans="1:1" x14ac:dyDescent="0.35">
      <c r="A5464" s="12"/>
    </row>
    <row r="5465" spans="1:1" x14ac:dyDescent="0.35">
      <c r="A5465" s="12"/>
    </row>
    <row r="5466" spans="1:1" x14ac:dyDescent="0.35">
      <c r="A5466" s="12"/>
    </row>
    <row r="5467" spans="1:1" x14ac:dyDescent="0.35">
      <c r="A5467" s="12"/>
    </row>
    <row r="5468" spans="1:1" x14ac:dyDescent="0.35">
      <c r="A5468" s="12"/>
    </row>
    <row r="5469" spans="1:1" x14ac:dyDescent="0.35">
      <c r="A5469" s="12"/>
    </row>
    <row r="5470" spans="1:1" x14ac:dyDescent="0.35">
      <c r="A5470" s="12"/>
    </row>
    <row r="5471" spans="1:1" x14ac:dyDescent="0.35">
      <c r="A5471" s="12"/>
    </row>
    <row r="5472" spans="1:1" x14ac:dyDescent="0.35">
      <c r="A5472" s="12"/>
    </row>
    <row r="5473" spans="1:1" x14ac:dyDescent="0.35">
      <c r="A5473" s="12"/>
    </row>
    <row r="5474" spans="1:1" x14ac:dyDescent="0.35">
      <c r="A5474" s="12"/>
    </row>
    <row r="5475" spans="1:1" x14ac:dyDescent="0.35">
      <c r="A5475" s="12"/>
    </row>
    <row r="5476" spans="1:1" x14ac:dyDescent="0.35">
      <c r="A5476" s="12"/>
    </row>
    <row r="5477" spans="1:1" x14ac:dyDescent="0.35">
      <c r="A5477" s="12"/>
    </row>
    <row r="5478" spans="1:1" x14ac:dyDescent="0.35">
      <c r="A5478" s="12"/>
    </row>
    <row r="5479" spans="1:1" x14ac:dyDescent="0.35">
      <c r="A5479" s="12"/>
    </row>
    <row r="5480" spans="1:1" x14ac:dyDescent="0.35">
      <c r="A5480" s="12"/>
    </row>
    <row r="5481" spans="1:1" x14ac:dyDescent="0.35">
      <c r="A5481" s="12"/>
    </row>
    <row r="5482" spans="1:1" x14ac:dyDescent="0.35">
      <c r="A5482" s="12"/>
    </row>
    <row r="5483" spans="1:1" x14ac:dyDescent="0.35">
      <c r="A5483" s="12"/>
    </row>
    <row r="5484" spans="1:1" x14ac:dyDescent="0.35">
      <c r="A5484" s="12"/>
    </row>
    <row r="5485" spans="1:1" x14ac:dyDescent="0.35">
      <c r="A5485" s="12"/>
    </row>
    <row r="5486" spans="1:1" x14ac:dyDescent="0.35">
      <c r="A5486" s="12"/>
    </row>
    <row r="5487" spans="1:1" x14ac:dyDescent="0.35">
      <c r="A5487" s="12"/>
    </row>
    <row r="5488" spans="1:1" x14ac:dyDescent="0.35">
      <c r="A5488" s="12"/>
    </row>
    <row r="5489" spans="1:1" x14ac:dyDescent="0.35">
      <c r="A5489" s="12"/>
    </row>
    <row r="5490" spans="1:1" x14ac:dyDescent="0.35">
      <c r="A5490" s="12"/>
    </row>
    <row r="5491" spans="1:1" x14ac:dyDescent="0.35">
      <c r="A5491" s="12"/>
    </row>
    <row r="5492" spans="1:1" x14ac:dyDescent="0.35">
      <c r="A5492" s="12"/>
    </row>
    <row r="5493" spans="1:1" x14ac:dyDescent="0.35">
      <c r="A5493" s="12"/>
    </row>
    <row r="5494" spans="1:1" x14ac:dyDescent="0.35">
      <c r="A5494" s="12"/>
    </row>
    <row r="5495" spans="1:1" x14ac:dyDescent="0.35">
      <c r="A5495" s="12"/>
    </row>
    <row r="5496" spans="1:1" x14ac:dyDescent="0.35">
      <c r="A5496" s="12"/>
    </row>
    <row r="5497" spans="1:1" x14ac:dyDescent="0.35">
      <c r="A5497" s="12"/>
    </row>
    <row r="5498" spans="1:1" x14ac:dyDescent="0.35">
      <c r="A5498" s="12"/>
    </row>
    <row r="5499" spans="1:1" x14ac:dyDescent="0.35">
      <c r="A5499" s="12"/>
    </row>
    <row r="5500" spans="1:1" x14ac:dyDescent="0.35">
      <c r="A5500" s="12"/>
    </row>
    <row r="5501" spans="1:1" x14ac:dyDescent="0.35">
      <c r="A5501" s="12"/>
    </row>
    <row r="5502" spans="1:1" x14ac:dyDescent="0.35">
      <c r="A5502" s="12"/>
    </row>
    <row r="5503" spans="1:1" x14ac:dyDescent="0.35">
      <c r="A5503" s="12"/>
    </row>
    <row r="5504" spans="1:1" x14ac:dyDescent="0.35">
      <c r="A5504" s="12"/>
    </row>
    <row r="5505" spans="1:1" x14ac:dyDescent="0.35">
      <c r="A5505" s="12"/>
    </row>
    <row r="5506" spans="1:1" x14ac:dyDescent="0.35">
      <c r="A5506" s="12"/>
    </row>
    <row r="5507" spans="1:1" x14ac:dyDescent="0.35">
      <c r="A5507" s="12"/>
    </row>
    <row r="5508" spans="1:1" x14ac:dyDescent="0.35">
      <c r="A5508" s="12"/>
    </row>
    <row r="5509" spans="1:1" x14ac:dyDescent="0.35">
      <c r="A5509" s="12"/>
    </row>
    <row r="5510" spans="1:1" x14ac:dyDescent="0.35">
      <c r="A5510" s="12"/>
    </row>
    <row r="5511" spans="1:1" x14ac:dyDescent="0.35">
      <c r="A5511" s="12"/>
    </row>
    <row r="5512" spans="1:1" x14ac:dyDescent="0.35">
      <c r="A5512" s="12"/>
    </row>
    <row r="5513" spans="1:1" x14ac:dyDescent="0.35">
      <c r="A5513" s="12"/>
    </row>
    <row r="5514" spans="1:1" x14ac:dyDescent="0.35">
      <c r="A5514" s="12"/>
    </row>
    <row r="5515" spans="1:1" x14ac:dyDescent="0.35">
      <c r="A5515" s="12"/>
    </row>
    <row r="5516" spans="1:1" x14ac:dyDescent="0.35">
      <c r="A5516" s="12"/>
    </row>
    <row r="5517" spans="1:1" x14ac:dyDescent="0.35">
      <c r="A5517" s="12"/>
    </row>
    <row r="5518" spans="1:1" x14ac:dyDescent="0.35">
      <c r="A5518" s="12"/>
    </row>
    <row r="5519" spans="1:1" x14ac:dyDescent="0.35">
      <c r="A5519" s="12"/>
    </row>
    <row r="5520" spans="1:1" x14ac:dyDescent="0.35">
      <c r="A5520" s="12"/>
    </row>
    <row r="5521" spans="1:1" x14ac:dyDescent="0.35">
      <c r="A5521" s="12"/>
    </row>
    <row r="5522" spans="1:1" x14ac:dyDescent="0.35">
      <c r="A5522" s="12"/>
    </row>
    <row r="5523" spans="1:1" x14ac:dyDescent="0.35">
      <c r="A5523" s="12"/>
    </row>
    <row r="5524" spans="1:1" x14ac:dyDescent="0.35">
      <c r="A5524" s="12"/>
    </row>
    <row r="5525" spans="1:1" x14ac:dyDescent="0.35">
      <c r="A5525" s="12"/>
    </row>
    <row r="5526" spans="1:1" x14ac:dyDescent="0.35">
      <c r="A5526" s="12"/>
    </row>
    <row r="5527" spans="1:1" x14ac:dyDescent="0.35">
      <c r="A5527" s="12"/>
    </row>
    <row r="5528" spans="1:1" x14ac:dyDescent="0.35">
      <c r="A5528" s="12"/>
    </row>
    <row r="5529" spans="1:1" x14ac:dyDescent="0.35">
      <c r="A5529" s="12"/>
    </row>
    <row r="5530" spans="1:1" x14ac:dyDescent="0.35">
      <c r="A5530" s="12"/>
    </row>
    <row r="5531" spans="1:1" x14ac:dyDescent="0.35">
      <c r="A5531" s="12"/>
    </row>
    <row r="5532" spans="1:1" x14ac:dyDescent="0.35">
      <c r="A5532" s="12"/>
    </row>
    <row r="5533" spans="1:1" x14ac:dyDescent="0.35">
      <c r="A5533" s="12"/>
    </row>
    <row r="5534" spans="1:1" x14ac:dyDescent="0.35">
      <c r="A5534" s="12"/>
    </row>
    <row r="5535" spans="1:1" x14ac:dyDescent="0.35">
      <c r="A5535" s="12"/>
    </row>
    <row r="5536" spans="1:1" x14ac:dyDescent="0.35">
      <c r="A5536" s="12"/>
    </row>
    <row r="5537" spans="1:1" x14ac:dyDescent="0.35">
      <c r="A5537" s="12"/>
    </row>
    <row r="5538" spans="1:1" x14ac:dyDescent="0.35">
      <c r="A5538" s="12"/>
    </row>
    <row r="5539" spans="1:1" x14ac:dyDescent="0.35">
      <c r="A5539" s="12"/>
    </row>
    <row r="5540" spans="1:1" x14ac:dyDescent="0.35">
      <c r="A5540" s="12"/>
    </row>
    <row r="5541" spans="1:1" x14ac:dyDescent="0.35">
      <c r="A5541" s="12"/>
    </row>
    <row r="5542" spans="1:1" x14ac:dyDescent="0.35">
      <c r="A5542" s="12"/>
    </row>
    <row r="5543" spans="1:1" x14ac:dyDescent="0.35">
      <c r="A5543" s="12"/>
    </row>
    <row r="5544" spans="1:1" x14ac:dyDescent="0.35">
      <c r="A5544" s="12"/>
    </row>
    <row r="5545" spans="1:1" x14ac:dyDescent="0.35">
      <c r="A5545" s="12"/>
    </row>
    <row r="5546" spans="1:1" x14ac:dyDescent="0.35">
      <c r="A5546" s="12"/>
    </row>
    <row r="5547" spans="1:1" x14ac:dyDescent="0.35">
      <c r="A5547" s="12"/>
    </row>
    <row r="5548" spans="1:1" x14ac:dyDescent="0.35">
      <c r="A5548" s="12"/>
    </row>
    <row r="5549" spans="1:1" x14ac:dyDescent="0.35">
      <c r="A5549" s="12"/>
    </row>
    <row r="5550" spans="1:1" x14ac:dyDescent="0.35">
      <c r="A5550" s="12"/>
    </row>
    <row r="5551" spans="1:1" x14ac:dyDescent="0.35">
      <c r="A5551" s="12"/>
    </row>
    <row r="5552" spans="1:1" x14ac:dyDescent="0.35">
      <c r="A5552" s="12"/>
    </row>
    <row r="5553" spans="1:1" x14ac:dyDescent="0.35">
      <c r="A5553" s="12"/>
    </row>
    <row r="5554" spans="1:1" x14ac:dyDescent="0.35">
      <c r="A5554" s="12"/>
    </row>
    <row r="5555" spans="1:1" x14ac:dyDescent="0.35">
      <c r="A5555" s="12"/>
    </row>
    <row r="5556" spans="1:1" x14ac:dyDescent="0.35">
      <c r="A5556" s="12"/>
    </row>
    <row r="5557" spans="1:1" x14ac:dyDescent="0.35">
      <c r="A5557" s="12"/>
    </row>
    <row r="5558" spans="1:1" x14ac:dyDescent="0.35">
      <c r="A5558" s="12"/>
    </row>
    <row r="5559" spans="1:1" x14ac:dyDescent="0.35">
      <c r="A5559" s="12"/>
    </row>
    <row r="5560" spans="1:1" x14ac:dyDescent="0.35">
      <c r="A5560" s="12"/>
    </row>
    <row r="5561" spans="1:1" x14ac:dyDescent="0.35">
      <c r="A5561" s="12"/>
    </row>
    <row r="5562" spans="1:1" x14ac:dyDescent="0.35">
      <c r="A5562" s="12"/>
    </row>
    <row r="5563" spans="1:1" x14ac:dyDescent="0.35">
      <c r="A5563" s="12"/>
    </row>
    <row r="5564" spans="1:1" x14ac:dyDescent="0.35">
      <c r="A5564" s="12"/>
    </row>
    <row r="5565" spans="1:1" x14ac:dyDescent="0.35">
      <c r="A5565" s="12"/>
    </row>
    <row r="5566" spans="1:1" x14ac:dyDescent="0.35">
      <c r="A5566" s="12"/>
    </row>
    <row r="5567" spans="1:1" x14ac:dyDescent="0.35">
      <c r="A5567" s="12"/>
    </row>
    <row r="5568" spans="1:1" x14ac:dyDescent="0.35">
      <c r="A5568" s="12"/>
    </row>
    <row r="5569" spans="1:1" x14ac:dyDescent="0.35">
      <c r="A5569" s="12"/>
    </row>
    <row r="5570" spans="1:1" x14ac:dyDescent="0.35">
      <c r="A5570" s="12"/>
    </row>
    <row r="5571" spans="1:1" x14ac:dyDescent="0.35">
      <c r="A5571" s="12"/>
    </row>
    <row r="5572" spans="1:1" x14ac:dyDescent="0.35">
      <c r="A5572" s="12"/>
    </row>
    <row r="5573" spans="1:1" x14ac:dyDescent="0.35">
      <c r="A5573" s="12"/>
    </row>
    <row r="5574" spans="1:1" x14ac:dyDescent="0.35">
      <c r="A5574" s="12"/>
    </row>
    <row r="5575" spans="1:1" x14ac:dyDescent="0.35">
      <c r="A5575" s="12"/>
    </row>
    <row r="5576" spans="1:1" x14ac:dyDescent="0.35">
      <c r="A5576" s="12"/>
    </row>
    <row r="5577" spans="1:1" x14ac:dyDescent="0.35">
      <c r="A5577" s="12"/>
    </row>
    <row r="5578" spans="1:1" x14ac:dyDescent="0.35">
      <c r="A5578" s="12"/>
    </row>
    <row r="5579" spans="1:1" x14ac:dyDescent="0.35">
      <c r="A5579" s="12"/>
    </row>
    <row r="5580" spans="1:1" x14ac:dyDescent="0.35">
      <c r="A5580" s="12"/>
    </row>
    <row r="5581" spans="1:1" x14ac:dyDescent="0.35">
      <c r="A5581" s="12"/>
    </row>
    <row r="5582" spans="1:1" x14ac:dyDescent="0.35">
      <c r="A5582" s="12"/>
    </row>
    <row r="5583" spans="1:1" x14ac:dyDescent="0.35">
      <c r="A5583" s="12"/>
    </row>
    <row r="5584" spans="1:1" x14ac:dyDescent="0.35">
      <c r="A5584" s="12"/>
    </row>
    <row r="5585" spans="1:1" x14ac:dyDescent="0.35">
      <c r="A5585" s="12"/>
    </row>
    <row r="5586" spans="1:1" x14ac:dyDescent="0.35">
      <c r="A5586" s="12"/>
    </row>
    <row r="5587" spans="1:1" x14ac:dyDescent="0.35">
      <c r="A5587" s="12"/>
    </row>
    <row r="5588" spans="1:1" x14ac:dyDescent="0.35">
      <c r="A5588" s="12"/>
    </row>
    <row r="5589" spans="1:1" x14ac:dyDescent="0.35">
      <c r="A5589" s="12"/>
    </row>
    <row r="5590" spans="1:1" x14ac:dyDescent="0.35">
      <c r="A5590" s="12"/>
    </row>
    <row r="5591" spans="1:1" x14ac:dyDescent="0.35">
      <c r="A5591" s="12"/>
    </row>
    <row r="5592" spans="1:1" x14ac:dyDescent="0.35">
      <c r="A5592" s="12"/>
    </row>
    <row r="5593" spans="1:1" x14ac:dyDescent="0.35">
      <c r="A5593" s="12"/>
    </row>
    <row r="5594" spans="1:1" x14ac:dyDescent="0.35">
      <c r="A5594" s="12"/>
    </row>
    <row r="5595" spans="1:1" x14ac:dyDescent="0.35">
      <c r="A5595" s="12"/>
    </row>
    <row r="5596" spans="1:1" x14ac:dyDescent="0.35">
      <c r="A5596" s="12"/>
    </row>
    <row r="5597" spans="1:1" x14ac:dyDescent="0.35">
      <c r="A5597" s="12"/>
    </row>
    <row r="5598" spans="1:1" x14ac:dyDescent="0.35">
      <c r="A5598" s="12"/>
    </row>
    <row r="5599" spans="1:1" x14ac:dyDescent="0.35">
      <c r="A5599" s="12"/>
    </row>
    <row r="5600" spans="1:1" x14ac:dyDescent="0.35">
      <c r="A5600" s="12"/>
    </row>
    <row r="5601" spans="1:1" x14ac:dyDescent="0.35">
      <c r="A5601" s="12"/>
    </row>
    <row r="5602" spans="1:1" x14ac:dyDescent="0.35">
      <c r="A5602" s="12"/>
    </row>
    <row r="5603" spans="1:1" x14ac:dyDescent="0.35">
      <c r="A5603" s="12"/>
    </row>
    <row r="5604" spans="1:1" x14ac:dyDescent="0.35">
      <c r="A5604" s="12"/>
    </row>
    <row r="5605" spans="1:1" x14ac:dyDescent="0.35">
      <c r="A5605" s="12"/>
    </row>
    <row r="5606" spans="1:1" x14ac:dyDescent="0.35">
      <c r="A5606" s="12"/>
    </row>
    <row r="5607" spans="1:1" x14ac:dyDescent="0.35">
      <c r="A5607" s="12"/>
    </row>
    <row r="5608" spans="1:1" x14ac:dyDescent="0.35">
      <c r="A5608" s="12"/>
    </row>
    <row r="5609" spans="1:1" x14ac:dyDescent="0.35">
      <c r="A5609" s="12"/>
    </row>
    <row r="5610" spans="1:1" x14ac:dyDescent="0.35">
      <c r="A5610" s="12"/>
    </row>
    <row r="5611" spans="1:1" x14ac:dyDescent="0.35">
      <c r="A5611" s="12"/>
    </row>
    <row r="5612" spans="1:1" x14ac:dyDescent="0.35">
      <c r="A5612" s="12"/>
    </row>
    <row r="5613" spans="1:1" x14ac:dyDescent="0.35">
      <c r="A5613" s="12"/>
    </row>
    <row r="5614" spans="1:1" x14ac:dyDescent="0.35">
      <c r="A5614" s="12"/>
    </row>
    <row r="5615" spans="1:1" x14ac:dyDescent="0.35">
      <c r="A5615" s="12"/>
    </row>
    <row r="5616" spans="1:1" x14ac:dyDescent="0.35">
      <c r="A5616" s="12"/>
    </row>
    <row r="5617" spans="1:1" x14ac:dyDescent="0.35">
      <c r="A5617" s="12"/>
    </row>
    <row r="5618" spans="1:1" x14ac:dyDescent="0.35">
      <c r="A5618" s="12"/>
    </row>
    <row r="5619" spans="1:1" x14ac:dyDescent="0.35">
      <c r="A5619" s="12"/>
    </row>
    <row r="5620" spans="1:1" x14ac:dyDescent="0.35">
      <c r="A5620" s="12"/>
    </row>
    <row r="5621" spans="1:1" x14ac:dyDescent="0.35">
      <c r="A5621" s="12"/>
    </row>
    <row r="5622" spans="1:1" x14ac:dyDescent="0.35">
      <c r="A5622" s="12"/>
    </row>
    <row r="5623" spans="1:1" x14ac:dyDescent="0.35">
      <c r="A5623" s="12"/>
    </row>
    <row r="5624" spans="1:1" x14ac:dyDescent="0.35">
      <c r="A5624" s="12"/>
    </row>
    <row r="5625" spans="1:1" x14ac:dyDescent="0.35">
      <c r="A5625" s="12"/>
    </row>
    <row r="5626" spans="1:1" x14ac:dyDescent="0.35">
      <c r="A5626" s="12"/>
    </row>
    <row r="5627" spans="1:1" x14ac:dyDescent="0.35">
      <c r="A5627" s="12"/>
    </row>
    <row r="5628" spans="1:1" x14ac:dyDescent="0.35">
      <c r="A5628" s="12"/>
    </row>
    <row r="5629" spans="1:1" x14ac:dyDescent="0.35">
      <c r="A5629" s="12"/>
    </row>
    <row r="5630" spans="1:1" x14ac:dyDescent="0.35">
      <c r="A5630" s="12"/>
    </row>
    <row r="5631" spans="1:1" x14ac:dyDescent="0.35">
      <c r="A5631" s="12"/>
    </row>
    <row r="5632" spans="1:1" x14ac:dyDescent="0.35">
      <c r="A5632" s="12"/>
    </row>
    <row r="5633" spans="1:1" x14ac:dyDescent="0.35">
      <c r="A5633" s="12"/>
    </row>
    <row r="5634" spans="1:1" x14ac:dyDescent="0.35">
      <c r="A5634" s="12"/>
    </row>
    <row r="5635" spans="1:1" x14ac:dyDescent="0.35">
      <c r="A5635" s="12"/>
    </row>
    <row r="5636" spans="1:1" x14ac:dyDescent="0.35">
      <c r="A5636" s="12"/>
    </row>
    <row r="5637" spans="1:1" x14ac:dyDescent="0.35">
      <c r="A5637" s="12"/>
    </row>
    <row r="5638" spans="1:1" x14ac:dyDescent="0.35">
      <c r="A5638" s="12"/>
    </row>
    <row r="5639" spans="1:1" x14ac:dyDescent="0.35">
      <c r="A5639" s="12"/>
    </row>
    <row r="5640" spans="1:1" x14ac:dyDescent="0.35">
      <c r="A5640" s="12"/>
    </row>
    <row r="5641" spans="1:1" x14ac:dyDescent="0.35">
      <c r="A5641" s="12"/>
    </row>
    <row r="5642" spans="1:1" x14ac:dyDescent="0.35">
      <c r="A5642" s="12"/>
    </row>
    <row r="5643" spans="1:1" x14ac:dyDescent="0.35">
      <c r="A5643" s="12"/>
    </row>
    <row r="5644" spans="1:1" x14ac:dyDescent="0.35">
      <c r="A5644" s="12"/>
    </row>
    <row r="5645" spans="1:1" x14ac:dyDescent="0.35">
      <c r="A5645" s="12"/>
    </row>
    <row r="5646" spans="1:1" x14ac:dyDescent="0.35">
      <c r="A5646" s="12"/>
    </row>
    <row r="5647" spans="1:1" x14ac:dyDescent="0.35">
      <c r="A5647" s="12"/>
    </row>
    <row r="5648" spans="1:1" x14ac:dyDescent="0.35">
      <c r="A5648" s="12"/>
    </row>
    <row r="5649" spans="1:1" x14ac:dyDescent="0.35">
      <c r="A5649" s="12"/>
    </row>
    <row r="5650" spans="1:1" x14ac:dyDescent="0.35">
      <c r="A5650" s="12"/>
    </row>
    <row r="5651" spans="1:1" x14ac:dyDescent="0.35">
      <c r="A5651" s="12"/>
    </row>
    <row r="5652" spans="1:1" x14ac:dyDescent="0.35">
      <c r="A5652" s="12"/>
    </row>
    <row r="5653" spans="1:1" x14ac:dyDescent="0.35">
      <c r="A5653" s="12"/>
    </row>
    <row r="5654" spans="1:1" x14ac:dyDescent="0.35">
      <c r="A5654" s="12"/>
    </row>
    <row r="5655" spans="1:1" x14ac:dyDescent="0.35">
      <c r="A5655" s="12"/>
    </row>
    <row r="5656" spans="1:1" x14ac:dyDescent="0.35">
      <c r="A5656" s="12"/>
    </row>
    <row r="5657" spans="1:1" x14ac:dyDescent="0.35">
      <c r="A5657" s="12"/>
    </row>
    <row r="5658" spans="1:1" x14ac:dyDescent="0.35">
      <c r="A5658" s="12"/>
    </row>
    <row r="5659" spans="1:1" x14ac:dyDescent="0.35">
      <c r="A5659" s="12"/>
    </row>
    <row r="5660" spans="1:1" x14ac:dyDescent="0.35">
      <c r="A5660" s="12"/>
    </row>
    <row r="5661" spans="1:1" x14ac:dyDescent="0.35">
      <c r="A5661" s="12"/>
    </row>
    <row r="5662" spans="1:1" x14ac:dyDescent="0.35">
      <c r="A5662" s="12"/>
    </row>
    <row r="5663" spans="1:1" x14ac:dyDescent="0.35">
      <c r="A5663" s="12"/>
    </row>
    <row r="5664" spans="1:1" x14ac:dyDescent="0.35">
      <c r="A5664" s="12"/>
    </row>
    <row r="5665" spans="1:1" x14ac:dyDescent="0.35">
      <c r="A5665" s="12"/>
    </row>
    <row r="5666" spans="1:1" x14ac:dyDescent="0.35">
      <c r="A5666" s="12"/>
    </row>
    <row r="5667" spans="1:1" x14ac:dyDescent="0.35">
      <c r="A5667" s="12"/>
    </row>
    <row r="5668" spans="1:1" x14ac:dyDescent="0.35">
      <c r="A5668" s="12"/>
    </row>
    <row r="5669" spans="1:1" x14ac:dyDescent="0.35">
      <c r="A5669" s="12"/>
    </row>
    <row r="5670" spans="1:1" x14ac:dyDescent="0.35">
      <c r="A5670" s="12"/>
    </row>
    <row r="5671" spans="1:1" x14ac:dyDescent="0.35">
      <c r="A5671" s="12"/>
    </row>
    <row r="5672" spans="1:1" x14ac:dyDescent="0.35">
      <c r="A5672" s="12"/>
    </row>
    <row r="5673" spans="1:1" x14ac:dyDescent="0.35">
      <c r="A5673" s="12"/>
    </row>
    <row r="5674" spans="1:1" x14ac:dyDescent="0.35">
      <c r="A5674" s="12"/>
    </row>
    <row r="5675" spans="1:1" x14ac:dyDescent="0.35">
      <c r="A5675" s="12"/>
    </row>
    <row r="5676" spans="1:1" x14ac:dyDescent="0.35">
      <c r="A5676" s="12"/>
    </row>
    <row r="5677" spans="1:1" x14ac:dyDescent="0.35">
      <c r="A5677" s="12"/>
    </row>
    <row r="5678" spans="1:1" x14ac:dyDescent="0.35">
      <c r="A5678" s="12"/>
    </row>
    <row r="5679" spans="1:1" x14ac:dyDescent="0.35">
      <c r="A5679" s="12"/>
    </row>
    <row r="5680" spans="1:1" x14ac:dyDescent="0.35">
      <c r="A5680" s="12"/>
    </row>
    <row r="5681" spans="1:1" x14ac:dyDescent="0.35">
      <c r="A5681" s="12"/>
    </row>
    <row r="5682" spans="1:1" x14ac:dyDescent="0.35">
      <c r="A5682" s="12"/>
    </row>
    <row r="5683" spans="1:1" x14ac:dyDescent="0.35">
      <c r="A5683" s="12"/>
    </row>
    <row r="5684" spans="1:1" x14ac:dyDescent="0.35">
      <c r="A5684" s="12"/>
    </row>
    <row r="5685" spans="1:1" x14ac:dyDescent="0.35">
      <c r="A5685" s="12"/>
    </row>
    <row r="5686" spans="1:1" x14ac:dyDescent="0.35">
      <c r="A5686" s="12"/>
    </row>
    <row r="5687" spans="1:1" x14ac:dyDescent="0.35">
      <c r="A5687" s="12"/>
    </row>
    <row r="5688" spans="1:1" x14ac:dyDescent="0.35">
      <c r="A5688" s="12"/>
    </row>
    <row r="5689" spans="1:1" x14ac:dyDescent="0.35">
      <c r="A5689" s="12"/>
    </row>
    <row r="5690" spans="1:1" x14ac:dyDescent="0.35">
      <c r="A5690" s="12"/>
    </row>
    <row r="5691" spans="1:1" x14ac:dyDescent="0.35">
      <c r="A5691" s="12"/>
    </row>
    <row r="5692" spans="1:1" x14ac:dyDescent="0.35">
      <c r="A5692" s="12"/>
    </row>
    <row r="5693" spans="1:1" x14ac:dyDescent="0.35">
      <c r="A5693" s="12"/>
    </row>
    <row r="5694" spans="1:1" x14ac:dyDescent="0.35">
      <c r="A5694" s="12"/>
    </row>
    <row r="5695" spans="1:1" x14ac:dyDescent="0.35">
      <c r="A5695" s="12"/>
    </row>
    <row r="5696" spans="1:1" x14ac:dyDescent="0.35">
      <c r="A5696" s="12"/>
    </row>
    <row r="5697" spans="1:1" x14ac:dyDescent="0.35">
      <c r="A5697" s="12"/>
    </row>
    <row r="5698" spans="1:1" x14ac:dyDescent="0.35">
      <c r="A5698" s="12"/>
    </row>
    <row r="5699" spans="1:1" x14ac:dyDescent="0.35">
      <c r="A5699" s="12"/>
    </row>
    <row r="5700" spans="1:1" x14ac:dyDescent="0.35">
      <c r="A5700" s="12"/>
    </row>
    <row r="5701" spans="1:1" x14ac:dyDescent="0.35">
      <c r="A5701" s="12"/>
    </row>
    <row r="5702" spans="1:1" x14ac:dyDescent="0.35">
      <c r="A5702" s="12"/>
    </row>
    <row r="5703" spans="1:1" x14ac:dyDescent="0.35">
      <c r="A5703" s="12"/>
    </row>
    <row r="5704" spans="1:1" x14ac:dyDescent="0.35">
      <c r="A5704" s="12"/>
    </row>
    <row r="5705" spans="1:1" x14ac:dyDescent="0.35">
      <c r="A5705" s="12"/>
    </row>
    <row r="5706" spans="1:1" x14ac:dyDescent="0.35">
      <c r="A5706" s="12"/>
    </row>
    <row r="5707" spans="1:1" x14ac:dyDescent="0.35">
      <c r="A5707" s="12"/>
    </row>
    <row r="5708" spans="1:1" x14ac:dyDescent="0.35">
      <c r="A5708" s="12"/>
    </row>
    <row r="5709" spans="1:1" x14ac:dyDescent="0.35">
      <c r="A5709" s="12"/>
    </row>
    <row r="5710" spans="1:1" x14ac:dyDescent="0.35">
      <c r="A5710" s="12"/>
    </row>
    <row r="5711" spans="1:1" x14ac:dyDescent="0.35">
      <c r="A5711" s="12"/>
    </row>
    <row r="5712" spans="1:1" x14ac:dyDescent="0.35">
      <c r="A5712" s="12"/>
    </row>
    <row r="5713" spans="1:1" x14ac:dyDescent="0.35">
      <c r="A5713" s="12"/>
    </row>
    <row r="5714" spans="1:1" x14ac:dyDescent="0.35">
      <c r="A5714" s="12"/>
    </row>
    <row r="5715" spans="1:1" x14ac:dyDescent="0.35">
      <c r="A5715" s="12"/>
    </row>
    <row r="5716" spans="1:1" x14ac:dyDescent="0.35">
      <c r="A5716" s="12"/>
    </row>
    <row r="5717" spans="1:1" x14ac:dyDescent="0.35">
      <c r="A5717" s="12"/>
    </row>
    <row r="5718" spans="1:1" x14ac:dyDescent="0.35">
      <c r="A5718" s="12"/>
    </row>
    <row r="5719" spans="1:1" x14ac:dyDescent="0.35">
      <c r="A5719" s="12"/>
    </row>
    <row r="5720" spans="1:1" x14ac:dyDescent="0.35">
      <c r="A5720" s="12"/>
    </row>
    <row r="5721" spans="1:1" x14ac:dyDescent="0.35">
      <c r="A5721" s="12"/>
    </row>
    <row r="5722" spans="1:1" x14ac:dyDescent="0.35">
      <c r="A5722" s="12"/>
    </row>
    <row r="5723" spans="1:1" x14ac:dyDescent="0.35">
      <c r="A5723" s="12"/>
    </row>
    <row r="5724" spans="1:1" x14ac:dyDescent="0.35">
      <c r="A5724" s="12"/>
    </row>
    <row r="5725" spans="1:1" x14ac:dyDescent="0.35">
      <c r="A5725" s="12"/>
    </row>
    <row r="5726" spans="1:1" x14ac:dyDescent="0.35">
      <c r="A5726" s="12"/>
    </row>
    <row r="5727" spans="1:1" x14ac:dyDescent="0.35">
      <c r="A5727" s="12"/>
    </row>
    <row r="5728" spans="1:1" x14ac:dyDescent="0.35">
      <c r="A5728" s="12"/>
    </row>
    <row r="5729" spans="1:1" x14ac:dyDescent="0.35">
      <c r="A5729" s="12"/>
    </row>
    <row r="5730" spans="1:1" x14ac:dyDescent="0.35">
      <c r="A5730" s="12"/>
    </row>
    <row r="5731" spans="1:1" x14ac:dyDescent="0.35">
      <c r="A5731" s="12"/>
    </row>
    <row r="5732" spans="1:1" x14ac:dyDescent="0.35">
      <c r="A5732" s="12"/>
    </row>
    <row r="5733" spans="1:1" x14ac:dyDescent="0.35">
      <c r="A5733" s="12"/>
    </row>
    <row r="5734" spans="1:1" x14ac:dyDescent="0.35">
      <c r="A5734" s="12"/>
    </row>
    <row r="5735" spans="1:1" x14ac:dyDescent="0.35">
      <c r="A5735" s="12"/>
    </row>
    <row r="5736" spans="1:1" x14ac:dyDescent="0.35">
      <c r="A5736" s="12"/>
    </row>
    <row r="5737" spans="1:1" x14ac:dyDescent="0.35">
      <c r="A5737" s="12"/>
    </row>
    <row r="5738" spans="1:1" x14ac:dyDescent="0.35">
      <c r="A5738" s="12"/>
    </row>
    <row r="5739" spans="1:1" x14ac:dyDescent="0.35">
      <c r="A5739" s="12"/>
    </row>
    <row r="5740" spans="1:1" x14ac:dyDescent="0.35">
      <c r="A5740" s="12"/>
    </row>
    <row r="5741" spans="1:1" x14ac:dyDescent="0.35">
      <c r="A5741" s="12"/>
    </row>
    <row r="5742" spans="1:1" x14ac:dyDescent="0.35">
      <c r="A5742" s="12"/>
    </row>
    <row r="5743" spans="1:1" x14ac:dyDescent="0.35">
      <c r="A5743" s="12"/>
    </row>
    <row r="5744" spans="1:1" x14ac:dyDescent="0.35">
      <c r="A5744" s="12"/>
    </row>
    <row r="5745" spans="1:1" x14ac:dyDescent="0.35">
      <c r="A5745" s="12"/>
    </row>
    <row r="5746" spans="1:1" x14ac:dyDescent="0.35">
      <c r="A5746" s="12"/>
    </row>
    <row r="5747" spans="1:1" x14ac:dyDescent="0.35">
      <c r="A5747" s="12"/>
    </row>
    <row r="5748" spans="1:1" x14ac:dyDescent="0.35">
      <c r="A5748" s="12"/>
    </row>
    <row r="5749" spans="1:1" x14ac:dyDescent="0.35">
      <c r="A5749" s="12"/>
    </row>
    <row r="5750" spans="1:1" x14ac:dyDescent="0.35">
      <c r="A5750" s="12"/>
    </row>
    <row r="5751" spans="1:1" x14ac:dyDescent="0.35">
      <c r="A5751" s="12"/>
    </row>
    <row r="5752" spans="1:1" x14ac:dyDescent="0.35">
      <c r="A5752" s="12"/>
    </row>
    <row r="5753" spans="1:1" x14ac:dyDescent="0.35">
      <c r="A5753" s="12"/>
    </row>
    <row r="5754" spans="1:1" x14ac:dyDescent="0.35">
      <c r="A5754" s="12"/>
    </row>
    <row r="5755" spans="1:1" x14ac:dyDescent="0.35">
      <c r="A5755" s="12"/>
    </row>
    <row r="5756" spans="1:1" x14ac:dyDescent="0.35">
      <c r="A5756" s="12"/>
    </row>
    <row r="5757" spans="1:1" x14ac:dyDescent="0.35">
      <c r="A5757" s="12"/>
    </row>
    <row r="5758" spans="1:1" x14ac:dyDescent="0.35">
      <c r="A5758" s="12"/>
    </row>
    <row r="5759" spans="1:1" x14ac:dyDescent="0.35">
      <c r="A5759" s="12"/>
    </row>
    <row r="5760" spans="1:1" x14ac:dyDescent="0.35">
      <c r="A5760" s="12"/>
    </row>
    <row r="5761" spans="1:1" x14ac:dyDescent="0.35">
      <c r="A5761" s="12"/>
    </row>
    <row r="5762" spans="1:1" x14ac:dyDescent="0.35">
      <c r="A5762" s="12"/>
    </row>
    <row r="5763" spans="1:1" x14ac:dyDescent="0.35">
      <c r="A5763" s="12"/>
    </row>
    <row r="5764" spans="1:1" x14ac:dyDescent="0.35">
      <c r="A5764" s="12"/>
    </row>
    <row r="5765" spans="1:1" x14ac:dyDescent="0.35">
      <c r="A5765" s="12"/>
    </row>
    <row r="5766" spans="1:1" x14ac:dyDescent="0.35">
      <c r="A5766" s="12"/>
    </row>
    <row r="5767" spans="1:1" x14ac:dyDescent="0.35">
      <c r="A5767" s="12"/>
    </row>
    <row r="5768" spans="1:1" x14ac:dyDescent="0.35">
      <c r="A5768" s="12"/>
    </row>
    <row r="5769" spans="1:1" x14ac:dyDescent="0.35">
      <c r="A5769" s="12"/>
    </row>
    <row r="5770" spans="1:1" x14ac:dyDescent="0.35">
      <c r="A5770" s="12"/>
    </row>
    <row r="5771" spans="1:1" x14ac:dyDescent="0.35">
      <c r="A5771" s="12"/>
    </row>
    <row r="5772" spans="1:1" x14ac:dyDescent="0.35">
      <c r="A5772" s="12"/>
    </row>
    <row r="5773" spans="1:1" x14ac:dyDescent="0.35">
      <c r="A5773" s="12"/>
    </row>
    <row r="5774" spans="1:1" x14ac:dyDescent="0.35">
      <c r="A5774" s="12"/>
    </row>
    <row r="5775" spans="1:1" x14ac:dyDescent="0.35">
      <c r="A5775" s="12"/>
    </row>
    <row r="5776" spans="1:1" x14ac:dyDescent="0.35">
      <c r="A5776" s="12"/>
    </row>
    <row r="5777" spans="1:1" x14ac:dyDescent="0.35">
      <c r="A5777" s="12"/>
    </row>
    <row r="5778" spans="1:1" x14ac:dyDescent="0.35">
      <c r="A5778" s="12"/>
    </row>
    <row r="5779" spans="1:1" x14ac:dyDescent="0.35">
      <c r="A5779" s="12"/>
    </row>
    <row r="5780" spans="1:1" x14ac:dyDescent="0.35">
      <c r="A5780" s="12"/>
    </row>
    <row r="5781" spans="1:1" x14ac:dyDescent="0.35">
      <c r="A5781" s="12"/>
    </row>
    <row r="5782" spans="1:1" x14ac:dyDescent="0.35">
      <c r="A5782" s="12"/>
    </row>
    <row r="5783" spans="1:1" x14ac:dyDescent="0.35">
      <c r="A5783" s="12"/>
    </row>
    <row r="5784" spans="1:1" x14ac:dyDescent="0.35">
      <c r="A5784" s="12"/>
    </row>
    <row r="5785" spans="1:1" x14ac:dyDescent="0.35">
      <c r="A5785" s="12"/>
    </row>
    <row r="5786" spans="1:1" x14ac:dyDescent="0.35">
      <c r="A5786" s="12"/>
    </row>
    <row r="5787" spans="1:1" x14ac:dyDescent="0.35">
      <c r="A5787" s="12"/>
    </row>
    <row r="5788" spans="1:1" x14ac:dyDescent="0.35">
      <c r="A5788" s="12"/>
    </row>
    <row r="5789" spans="1:1" x14ac:dyDescent="0.35">
      <c r="A5789" s="12"/>
    </row>
    <row r="5790" spans="1:1" x14ac:dyDescent="0.35">
      <c r="A5790" s="12"/>
    </row>
    <row r="5791" spans="1:1" x14ac:dyDescent="0.35">
      <c r="A5791" s="12"/>
    </row>
    <row r="5792" spans="1:1" x14ac:dyDescent="0.35">
      <c r="A5792" s="12"/>
    </row>
    <row r="5793" spans="1:1" x14ac:dyDescent="0.35">
      <c r="A5793" s="12"/>
    </row>
    <row r="5794" spans="1:1" x14ac:dyDescent="0.35">
      <c r="A5794" s="12"/>
    </row>
    <row r="5795" spans="1:1" x14ac:dyDescent="0.35">
      <c r="A5795" s="12"/>
    </row>
    <row r="5796" spans="1:1" x14ac:dyDescent="0.35">
      <c r="A5796" s="12"/>
    </row>
    <row r="5797" spans="1:1" x14ac:dyDescent="0.35">
      <c r="A5797" s="12"/>
    </row>
    <row r="5798" spans="1:1" x14ac:dyDescent="0.35">
      <c r="A5798" s="12"/>
    </row>
    <row r="5799" spans="1:1" x14ac:dyDescent="0.35">
      <c r="A5799" s="12"/>
    </row>
    <row r="5800" spans="1:1" x14ac:dyDescent="0.35">
      <c r="A5800" s="12"/>
    </row>
    <row r="5801" spans="1:1" x14ac:dyDescent="0.35">
      <c r="A5801" s="12"/>
    </row>
    <row r="5802" spans="1:1" x14ac:dyDescent="0.35">
      <c r="A5802" s="12"/>
    </row>
    <row r="5803" spans="1:1" x14ac:dyDescent="0.35">
      <c r="A5803" s="12"/>
    </row>
    <row r="5804" spans="1:1" x14ac:dyDescent="0.35">
      <c r="A5804" s="12"/>
    </row>
    <row r="5805" spans="1:1" x14ac:dyDescent="0.35">
      <c r="A5805" s="12"/>
    </row>
    <row r="5806" spans="1:1" x14ac:dyDescent="0.35">
      <c r="A5806" s="12"/>
    </row>
    <row r="5807" spans="1:1" x14ac:dyDescent="0.35">
      <c r="A5807" s="12"/>
    </row>
    <row r="5808" spans="1:1" x14ac:dyDescent="0.35">
      <c r="A5808" s="12"/>
    </row>
    <row r="5809" spans="1:1" x14ac:dyDescent="0.35">
      <c r="A5809" s="12"/>
    </row>
    <row r="5810" spans="1:1" x14ac:dyDescent="0.35">
      <c r="A5810" s="12"/>
    </row>
    <row r="5811" spans="1:1" x14ac:dyDescent="0.35">
      <c r="A5811" s="12"/>
    </row>
    <row r="5812" spans="1:1" x14ac:dyDescent="0.35">
      <c r="A5812" s="12"/>
    </row>
    <row r="5813" spans="1:1" x14ac:dyDescent="0.35">
      <c r="A5813" s="12"/>
    </row>
    <row r="5814" spans="1:1" x14ac:dyDescent="0.35">
      <c r="A5814" s="12"/>
    </row>
    <row r="5815" spans="1:1" x14ac:dyDescent="0.35">
      <c r="A5815" s="12"/>
    </row>
    <row r="5816" spans="1:1" x14ac:dyDescent="0.35">
      <c r="A5816" s="12"/>
    </row>
    <row r="5817" spans="1:1" x14ac:dyDescent="0.35">
      <c r="A5817" s="12"/>
    </row>
    <row r="5818" spans="1:1" x14ac:dyDescent="0.35">
      <c r="A5818" s="12"/>
    </row>
    <row r="5819" spans="1:1" x14ac:dyDescent="0.35">
      <c r="A5819" s="12"/>
    </row>
    <row r="5820" spans="1:1" x14ac:dyDescent="0.35">
      <c r="A5820" s="12"/>
    </row>
    <row r="5821" spans="1:1" x14ac:dyDescent="0.35">
      <c r="A5821" s="12"/>
    </row>
    <row r="5822" spans="1:1" x14ac:dyDescent="0.35">
      <c r="A5822" s="12"/>
    </row>
    <row r="5823" spans="1:1" x14ac:dyDescent="0.35">
      <c r="A5823" s="12"/>
    </row>
    <row r="5824" spans="1:1" x14ac:dyDescent="0.35">
      <c r="A5824" s="12"/>
    </row>
    <row r="5825" spans="1:1" x14ac:dyDescent="0.35">
      <c r="A5825" s="12"/>
    </row>
    <row r="5826" spans="1:1" x14ac:dyDescent="0.35">
      <c r="A5826" s="12"/>
    </row>
    <row r="5827" spans="1:1" x14ac:dyDescent="0.35">
      <c r="A5827" s="12"/>
    </row>
    <row r="5828" spans="1:1" x14ac:dyDescent="0.35">
      <c r="A5828" s="12"/>
    </row>
    <row r="5829" spans="1:1" x14ac:dyDescent="0.35">
      <c r="A5829" s="12"/>
    </row>
    <row r="5830" spans="1:1" x14ac:dyDescent="0.35">
      <c r="A5830" s="12"/>
    </row>
    <row r="5831" spans="1:1" x14ac:dyDescent="0.35">
      <c r="A5831" s="12"/>
    </row>
    <row r="5832" spans="1:1" x14ac:dyDescent="0.35">
      <c r="A5832" s="12"/>
    </row>
    <row r="5833" spans="1:1" x14ac:dyDescent="0.35">
      <c r="A5833" s="12"/>
    </row>
    <row r="5834" spans="1:1" x14ac:dyDescent="0.35">
      <c r="A5834" s="12"/>
    </row>
    <row r="5835" spans="1:1" x14ac:dyDescent="0.35">
      <c r="A5835" s="12"/>
    </row>
    <row r="5836" spans="1:1" x14ac:dyDescent="0.35">
      <c r="A5836" s="12"/>
    </row>
    <row r="5837" spans="1:1" x14ac:dyDescent="0.35">
      <c r="A5837" s="12"/>
    </row>
    <row r="5838" spans="1:1" x14ac:dyDescent="0.35">
      <c r="A5838" s="12"/>
    </row>
    <row r="5839" spans="1:1" x14ac:dyDescent="0.35">
      <c r="A5839" s="12"/>
    </row>
    <row r="5840" spans="1:1" x14ac:dyDescent="0.35">
      <c r="A5840" s="12"/>
    </row>
    <row r="5841" spans="1:1" x14ac:dyDescent="0.35">
      <c r="A5841" s="12"/>
    </row>
    <row r="5842" spans="1:1" x14ac:dyDescent="0.35">
      <c r="A5842" s="12"/>
    </row>
    <row r="5843" spans="1:1" x14ac:dyDescent="0.35">
      <c r="A5843" s="12"/>
    </row>
    <row r="5844" spans="1:1" x14ac:dyDescent="0.35">
      <c r="A5844" s="12"/>
    </row>
    <row r="5845" spans="1:1" x14ac:dyDescent="0.35">
      <c r="A5845" s="12"/>
    </row>
    <row r="5846" spans="1:1" x14ac:dyDescent="0.35">
      <c r="A5846" s="12"/>
    </row>
    <row r="5847" spans="1:1" x14ac:dyDescent="0.35">
      <c r="A5847" s="12"/>
    </row>
    <row r="5848" spans="1:1" x14ac:dyDescent="0.35">
      <c r="A5848" s="12"/>
    </row>
    <row r="5849" spans="1:1" x14ac:dyDescent="0.35">
      <c r="A5849" s="12"/>
    </row>
    <row r="5850" spans="1:1" x14ac:dyDescent="0.35">
      <c r="A5850" s="12"/>
    </row>
    <row r="5851" spans="1:1" x14ac:dyDescent="0.35">
      <c r="A5851" s="12"/>
    </row>
    <row r="5852" spans="1:1" x14ac:dyDescent="0.35">
      <c r="A5852" s="12"/>
    </row>
    <row r="5853" spans="1:1" x14ac:dyDescent="0.35">
      <c r="A5853" s="12"/>
    </row>
    <row r="5854" spans="1:1" x14ac:dyDescent="0.35">
      <c r="A5854" s="12"/>
    </row>
    <row r="5855" spans="1:1" x14ac:dyDescent="0.35">
      <c r="A5855" s="12"/>
    </row>
    <row r="5856" spans="1:1" x14ac:dyDescent="0.35">
      <c r="A5856" s="12"/>
    </row>
    <row r="5857" spans="1:1" x14ac:dyDescent="0.35">
      <c r="A5857" s="12"/>
    </row>
    <row r="5858" spans="1:1" x14ac:dyDescent="0.35">
      <c r="A5858" s="12"/>
    </row>
    <row r="5859" spans="1:1" x14ac:dyDescent="0.35">
      <c r="A5859" s="12"/>
    </row>
    <row r="5860" spans="1:1" x14ac:dyDescent="0.35">
      <c r="A5860" s="12"/>
    </row>
    <row r="5861" spans="1:1" x14ac:dyDescent="0.35">
      <c r="A5861" s="12"/>
    </row>
    <row r="5862" spans="1:1" x14ac:dyDescent="0.35">
      <c r="A5862" s="12"/>
    </row>
    <row r="5863" spans="1:1" x14ac:dyDescent="0.35">
      <c r="A5863" s="12"/>
    </row>
    <row r="5864" spans="1:1" x14ac:dyDescent="0.35">
      <c r="A5864" s="12"/>
    </row>
    <row r="5865" spans="1:1" x14ac:dyDescent="0.35">
      <c r="A5865" s="12"/>
    </row>
    <row r="5866" spans="1:1" x14ac:dyDescent="0.35">
      <c r="A5866" s="12"/>
    </row>
    <row r="5867" spans="1:1" x14ac:dyDescent="0.35">
      <c r="A5867" s="12"/>
    </row>
    <row r="5868" spans="1:1" x14ac:dyDescent="0.35">
      <c r="A5868" s="12"/>
    </row>
    <row r="5869" spans="1:1" x14ac:dyDescent="0.35">
      <c r="A5869" s="12"/>
    </row>
    <row r="5870" spans="1:1" x14ac:dyDescent="0.35">
      <c r="A5870" s="12"/>
    </row>
    <row r="5871" spans="1:1" x14ac:dyDescent="0.35">
      <c r="A5871" s="12"/>
    </row>
    <row r="5872" spans="1:1" x14ac:dyDescent="0.35">
      <c r="A5872" s="12"/>
    </row>
    <row r="5873" spans="1:1" x14ac:dyDescent="0.35">
      <c r="A5873" s="12"/>
    </row>
    <row r="5874" spans="1:1" x14ac:dyDescent="0.35">
      <c r="A5874" s="12"/>
    </row>
    <row r="5875" spans="1:1" x14ac:dyDescent="0.35">
      <c r="A5875" s="12"/>
    </row>
    <row r="5876" spans="1:1" x14ac:dyDescent="0.35">
      <c r="A5876" s="12"/>
    </row>
    <row r="5877" spans="1:1" x14ac:dyDescent="0.35">
      <c r="A5877" s="12"/>
    </row>
    <row r="5878" spans="1:1" x14ac:dyDescent="0.35">
      <c r="A5878" s="12"/>
    </row>
    <row r="5879" spans="1:1" x14ac:dyDescent="0.35">
      <c r="A5879" s="12"/>
    </row>
    <row r="5880" spans="1:1" x14ac:dyDescent="0.35">
      <c r="A5880" s="12"/>
    </row>
    <row r="5881" spans="1:1" x14ac:dyDescent="0.35">
      <c r="A5881" s="12"/>
    </row>
    <row r="5882" spans="1:1" x14ac:dyDescent="0.35">
      <c r="A5882" s="12"/>
    </row>
    <row r="5883" spans="1:1" x14ac:dyDescent="0.35">
      <c r="A5883" s="12"/>
    </row>
    <row r="5884" spans="1:1" x14ac:dyDescent="0.35">
      <c r="A5884" s="12"/>
    </row>
    <row r="5885" spans="1:1" x14ac:dyDescent="0.35">
      <c r="A5885" s="12"/>
    </row>
    <row r="5886" spans="1:1" x14ac:dyDescent="0.35">
      <c r="A5886" s="12"/>
    </row>
    <row r="5887" spans="1:1" x14ac:dyDescent="0.35">
      <c r="A5887" s="12"/>
    </row>
    <row r="5888" spans="1:1" x14ac:dyDescent="0.35">
      <c r="A5888" s="12"/>
    </row>
    <row r="5889" spans="1:1" x14ac:dyDescent="0.35">
      <c r="A5889" s="12"/>
    </row>
    <row r="5890" spans="1:1" x14ac:dyDescent="0.35">
      <c r="A5890" s="12"/>
    </row>
    <row r="5891" spans="1:1" x14ac:dyDescent="0.35">
      <c r="A5891" s="12"/>
    </row>
    <row r="5892" spans="1:1" x14ac:dyDescent="0.35">
      <c r="A5892" s="12"/>
    </row>
    <row r="5893" spans="1:1" x14ac:dyDescent="0.35">
      <c r="A5893" s="12"/>
    </row>
    <row r="5894" spans="1:1" x14ac:dyDescent="0.35">
      <c r="A5894" s="12"/>
    </row>
    <row r="5895" spans="1:1" x14ac:dyDescent="0.35">
      <c r="A5895" s="12"/>
    </row>
    <row r="5896" spans="1:1" x14ac:dyDescent="0.35">
      <c r="A5896" s="12"/>
    </row>
    <row r="5897" spans="1:1" x14ac:dyDescent="0.35">
      <c r="A5897" s="12"/>
    </row>
    <row r="5898" spans="1:1" x14ac:dyDescent="0.35">
      <c r="A5898" s="12"/>
    </row>
    <row r="5899" spans="1:1" x14ac:dyDescent="0.35">
      <c r="A5899" s="12"/>
    </row>
    <row r="5900" spans="1:1" x14ac:dyDescent="0.35">
      <c r="A5900" s="12"/>
    </row>
    <row r="5901" spans="1:1" x14ac:dyDescent="0.35">
      <c r="A5901" s="12"/>
    </row>
    <row r="5902" spans="1:1" x14ac:dyDescent="0.35">
      <c r="A5902" s="12"/>
    </row>
    <row r="5903" spans="1:1" x14ac:dyDescent="0.35">
      <c r="A5903" s="12"/>
    </row>
    <row r="5904" spans="1:1" x14ac:dyDescent="0.35">
      <c r="A5904" s="12"/>
    </row>
    <row r="5905" spans="1:1" x14ac:dyDescent="0.35">
      <c r="A5905" s="12"/>
    </row>
    <row r="5906" spans="1:1" x14ac:dyDescent="0.35">
      <c r="A5906" s="12"/>
    </row>
    <row r="5907" spans="1:1" x14ac:dyDescent="0.35">
      <c r="A5907" s="12"/>
    </row>
    <row r="5908" spans="1:1" x14ac:dyDescent="0.35">
      <c r="A5908" s="12"/>
    </row>
    <row r="5909" spans="1:1" x14ac:dyDescent="0.35">
      <c r="A5909" s="12"/>
    </row>
    <row r="5910" spans="1:1" x14ac:dyDescent="0.35">
      <c r="A5910" s="12"/>
    </row>
    <row r="5911" spans="1:1" x14ac:dyDescent="0.35">
      <c r="A5911" s="12"/>
    </row>
    <row r="5912" spans="1:1" x14ac:dyDescent="0.35">
      <c r="A5912" s="12"/>
    </row>
    <row r="5913" spans="1:1" x14ac:dyDescent="0.35">
      <c r="A5913" s="12"/>
    </row>
    <row r="5914" spans="1:1" x14ac:dyDescent="0.35">
      <c r="A5914" s="12"/>
    </row>
    <row r="5915" spans="1:1" x14ac:dyDescent="0.35">
      <c r="A5915" s="12"/>
    </row>
    <row r="5916" spans="1:1" x14ac:dyDescent="0.35">
      <c r="A5916" s="12"/>
    </row>
    <row r="5917" spans="1:1" x14ac:dyDescent="0.35">
      <c r="A5917" s="12"/>
    </row>
    <row r="5918" spans="1:1" x14ac:dyDescent="0.35">
      <c r="A5918" s="12"/>
    </row>
    <row r="5919" spans="1:1" x14ac:dyDescent="0.35">
      <c r="A5919" s="12"/>
    </row>
    <row r="5920" spans="1:1" x14ac:dyDescent="0.35">
      <c r="A5920" s="12"/>
    </row>
    <row r="5921" spans="1:1" x14ac:dyDescent="0.35">
      <c r="A5921" s="12"/>
    </row>
    <row r="5922" spans="1:1" x14ac:dyDescent="0.35">
      <c r="A5922" s="12"/>
    </row>
    <row r="5923" spans="1:1" x14ac:dyDescent="0.35">
      <c r="A5923" s="12"/>
    </row>
    <row r="5924" spans="1:1" x14ac:dyDescent="0.35">
      <c r="A5924" s="12"/>
    </row>
    <row r="5925" spans="1:1" x14ac:dyDescent="0.35">
      <c r="A5925" s="12"/>
    </row>
    <row r="5926" spans="1:1" x14ac:dyDescent="0.35">
      <c r="A5926" s="12"/>
    </row>
    <row r="5927" spans="1:1" x14ac:dyDescent="0.35">
      <c r="A5927" s="12"/>
    </row>
    <row r="5928" spans="1:1" x14ac:dyDescent="0.35">
      <c r="A5928" s="12"/>
    </row>
    <row r="5929" spans="1:1" x14ac:dyDescent="0.35">
      <c r="A5929" s="12"/>
    </row>
    <row r="5930" spans="1:1" x14ac:dyDescent="0.35">
      <c r="A5930" s="12"/>
    </row>
    <row r="5931" spans="1:1" x14ac:dyDescent="0.35">
      <c r="A5931" s="12"/>
    </row>
    <row r="5932" spans="1:1" x14ac:dyDescent="0.35">
      <c r="A5932" s="12"/>
    </row>
    <row r="5933" spans="1:1" x14ac:dyDescent="0.35">
      <c r="A5933" s="12"/>
    </row>
    <row r="5934" spans="1:1" x14ac:dyDescent="0.35">
      <c r="A5934" s="12"/>
    </row>
    <row r="5935" spans="1:1" x14ac:dyDescent="0.35">
      <c r="A5935" s="12"/>
    </row>
    <row r="5936" spans="1:1" x14ac:dyDescent="0.35">
      <c r="A5936" s="12"/>
    </row>
    <row r="5937" spans="1:1" x14ac:dyDescent="0.35">
      <c r="A5937" s="12"/>
    </row>
    <row r="5938" spans="1:1" x14ac:dyDescent="0.35">
      <c r="A5938" s="12"/>
    </row>
    <row r="5939" spans="1:1" x14ac:dyDescent="0.35">
      <c r="A5939" s="12"/>
    </row>
    <row r="5940" spans="1:1" x14ac:dyDescent="0.35">
      <c r="A5940" s="12"/>
    </row>
    <row r="5941" spans="1:1" x14ac:dyDescent="0.35">
      <c r="A5941" s="12"/>
    </row>
    <row r="5942" spans="1:1" x14ac:dyDescent="0.35">
      <c r="A5942" s="12"/>
    </row>
    <row r="5943" spans="1:1" x14ac:dyDescent="0.35">
      <c r="A5943" s="12"/>
    </row>
    <row r="5944" spans="1:1" x14ac:dyDescent="0.35">
      <c r="A5944" s="12"/>
    </row>
    <row r="5945" spans="1:1" x14ac:dyDescent="0.35">
      <c r="A5945" s="12"/>
    </row>
    <row r="5946" spans="1:1" x14ac:dyDescent="0.35">
      <c r="A5946" s="12"/>
    </row>
    <row r="5947" spans="1:1" x14ac:dyDescent="0.35">
      <c r="A5947" s="12"/>
    </row>
    <row r="5948" spans="1:1" x14ac:dyDescent="0.35">
      <c r="A5948" s="12"/>
    </row>
    <row r="5949" spans="1:1" x14ac:dyDescent="0.35">
      <c r="A5949" s="12"/>
    </row>
    <row r="5950" spans="1:1" x14ac:dyDescent="0.35">
      <c r="A5950" s="12"/>
    </row>
    <row r="5951" spans="1:1" x14ac:dyDescent="0.35">
      <c r="A5951" s="12"/>
    </row>
    <row r="5952" spans="1:1" x14ac:dyDescent="0.35">
      <c r="A5952" s="12"/>
    </row>
    <row r="5953" spans="1:1" x14ac:dyDescent="0.35">
      <c r="A5953" s="12"/>
    </row>
    <row r="5954" spans="1:1" x14ac:dyDescent="0.35">
      <c r="A5954" s="12"/>
    </row>
    <row r="5955" spans="1:1" x14ac:dyDescent="0.35">
      <c r="A5955" s="12"/>
    </row>
    <row r="5956" spans="1:1" x14ac:dyDescent="0.35">
      <c r="A5956" s="12"/>
    </row>
    <row r="5957" spans="1:1" x14ac:dyDescent="0.35">
      <c r="A5957" s="12"/>
    </row>
    <row r="5958" spans="1:1" x14ac:dyDescent="0.35">
      <c r="A5958" s="12"/>
    </row>
    <row r="5959" spans="1:1" x14ac:dyDescent="0.35">
      <c r="A5959" s="12"/>
    </row>
    <row r="5960" spans="1:1" x14ac:dyDescent="0.35">
      <c r="A5960" s="12"/>
    </row>
    <row r="5961" spans="1:1" x14ac:dyDescent="0.35">
      <c r="A5961" s="12"/>
    </row>
    <row r="5962" spans="1:1" x14ac:dyDescent="0.35">
      <c r="A5962" s="12"/>
    </row>
    <row r="5963" spans="1:1" x14ac:dyDescent="0.35">
      <c r="A5963" s="12"/>
    </row>
    <row r="5964" spans="1:1" x14ac:dyDescent="0.35">
      <c r="A5964" s="12"/>
    </row>
    <row r="5965" spans="1:1" x14ac:dyDescent="0.35">
      <c r="A5965" s="12"/>
    </row>
    <row r="5966" spans="1:1" x14ac:dyDescent="0.35">
      <c r="A5966" s="12"/>
    </row>
    <row r="5967" spans="1:1" x14ac:dyDescent="0.35">
      <c r="A5967" s="12"/>
    </row>
    <row r="5968" spans="1:1" x14ac:dyDescent="0.35">
      <c r="A5968" s="12"/>
    </row>
    <row r="5969" spans="1:1" x14ac:dyDescent="0.35">
      <c r="A5969" s="12"/>
    </row>
    <row r="5970" spans="1:1" x14ac:dyDescent="0.35">
      <c r="A5970" s="12"/>
    </row>
    <row r="5971" spans="1:1" x14ac:dyDescent="0.35">
      <c r="A5971" s="12"/>
    </row>
    <row r="5972" spans="1:1" x14ac:dyDescent="0.35">
      <c r="A5972" s="12"/>
    </row>
    <row r="5973" spans="1:1" x14ac:dyDescent="0.35">
      <c r="A5973" s="12"/>
    </row>
    <row r="5974" spans="1:1" x14ac:dyDescent="0.35">
      <c r="A5974" s="12"/>
    </row>
    <row r="5975" spans="1:1" x14ac:dyDescent="0.35">
      <c r="A5975" s="12"/>
    </row>
    <row r="5976" spans="1:1" x14ac:dyDescent="0.35">
      <c r="A5976" s="12"/>
    </row>
    <row r="5977" spans="1:1" x14ac:dyDescent="0.35">
      <c r="A5977" s="12"/>
    </row>
    <row r="5978" spans="1:1" x14ac:dyDescent="0.35">
      <c r="A5978" s="12"/>
    </row>
    <row r="5979" spans="1:1" x14ac:dyDescent="0.35">
      <c r="A5979" s="12"/>
    </row>
    <row r="5980" spans="1:1" x14ac:dyDescent="0.35">
      <c r="A5980" s="12"/>
    </row>
    <row r="5981" spans="1:1" x14ac:dyDescent="0.35">
      <c r="A5981" s="12"/>
    </row>
    <row r="5982" spans="1:1" x14ac:dyDescent="0.35">
      <c r="A5982" s="12"/>
    </row>
    <row r="5983" spans="1:1" x14ac:dyDescent="0.35">
      <c r="A5983" s="12"/>
    </row>
    <row r="5984" spans="1:1" x14ac:dyDescent="0.35">
      <c r="A5984" s="12"/>
    </row>
    <row r="5985" spans="1:1" x14ac:dyDescent="0.35">
      <c r="A5985" s="12"/>
    </row>
    <row r="5986" spans="1:1" x14ac:dyDescent="0.35">
      <c r="A5986" s="12"/>
    </row>
    <row r="5987" spans="1:1" x14ac:dyDescent="0.35">
      <c r="A5987" s="12"/>
    </row>
    <row r="5988" spans="1:1" x14ac:dyDescent="0.35">
      <c r="A5988" s="12"/>
    </row>
    <row r="5989" spans="1:1" x14ac:dyDescent="0.35">
      <c r="A5989" s="12"/>
    </row>
    <row r="5990" spans="1:1" x14ac:dyDescent="0.35">
      <c r="A5990" s="12"/>
    </row>
    <row r="5991" spans="1:1" x14ac:dyDescent="0.35">
      <c r="A5991" s="12"/>
    </row>
    <row r="5992" spans="1:1" x14ac:dyDescent="0.35">
      <c r="A5992" s="12"/>
    </row>
    <row r="5993" spans="1:1" x14ac:dyDescent="0.35">
      <c r="A5993" s="12"/>
    </row>
    <row r="5994" spans="1:1" x14ac:dyDescent="0.35">
      <c r="A5994" s="12"/>
    </row>
    <row r="5995" spans="1:1" x14ac:dyDescent="0.35">
      <c r="A5995" s="12"/>
    </row>
    <row r="5996" spans="1:1" x14ac:dyDescent="0.35">
      <c r="A5996" s="12"/>
    </row>
    <row r="5997" spans="1:1" x14ac:dyDescent="0.35">
      <c r="A5997" s="12"/>
    </row>
    <row r="5998" spans="1:1" x14ac:dyDescent="0.35">
      <c r="A5998" s="12"/>
    </row>
    <row r="5999" spans="1:1" x14ac:dyDescent="0.35">
      <c r="A5999" s="12"/>
    </row>
    <row r="6000" spans="1:1" x14ac:dyDescent="0.35">
      <c r="A6000" s="12"/>
    </row>
    <row r="6001" spans="1:1" x14ac:dyDescent="0.35">
      <c r="A6001" s="12"/>
    </row>
    <row r="6002" spans="1:1" x14ac:dyDescent="0.35">
      <c r="A6002" s="12"/>
    </row>
    <row r="6003" spans="1:1" x14ac:dyDescent="0.35">
      <c r="A6003" s="12"/>
    </row>
    <row r="6004" spans="1:1" x14ac:dyDescent="0.35">
      <c r="A6004" s="12"/>
    </row>
    <row r="6005" spans="1:1" x14ac:dyDescent="0.35">
      <c r="A6005" s="12"/>
    </row>
    <row r="6006" spans="1:1" x14ac:dyDescent="0.35">
      <c r="A6006" s="12"/>
    </row>
    <row r="6007" spans="1:1" x14ac:dyDescent="0.35">
      <c r="A6007" s="12"/>
    </row>
    <row r="6008" spans="1:1" x14ac:dyDescent="0.35">
      <c r="A6008" s="12"/>
    </row>
    <row r="6009" spans="1:1" x14ac:dyDescent="0.35">
      <c r="A6009" s="12"/>
    </row>
    <row r="6010" spans="1:1" x14ac:dyDescent="0.35">
      <c r="A6010" s="12"/>
    </row>
    <row r="6011" spans="1:1" x14ac:dyDescent="0.35">
      <c r="A6011" s="12"/>
    </row>
    <row r="6012" spans="1:1" x14ac:dyDescent="0.35">
      <c r="A6012" s="12"/>
    </row>
    <row r="6013" spans="1:1" x14ac:dyDescent="0.35">
      <c r="A6013" s="12"/>
    </row>
    <row r="6014" spans="1:1" x14ac:dyDescent="0.35">
      <c r="A6014" s="12"/>
    </row>
    <row r="6015" spans="1:1" x14ac:dyDescent="0.35">
      <c r="A6015" s="12"/>
    </row>
    <row r="6016" spans="1:1" x14ac:dyDescent="0.35">
      <c r="A6016" s="12"/>
    </row>
    <row r="6017" spans="1:1" x14ac:dyDescent="0.35">
      <c r="A6017" s="12"/>
    </row>
    <row r="6018" spans="1:1" x14ac:dyDescent="0.35">
      <c r="A6018" s="12"/>
    </row>
    <row r="6019" spans="1:1" x14ac:dyDescent="0.35">
      <c r="A6019" s="12"/>
    </row>
    <row r="6020" spans="1:1" x14ac:dyDescent="0.35">
      <c r="A6020" s="12"/>
    </row>
    <row r="6021" spans="1:1" x14ac:dyDescent="0.35">
      <c r="A6021" s="12"/>
    </row>
    <row r="6022" spans="1:1" x14ac:dyDescent="0.35">
      <c r="A6022" s="12"/>
    </row>
    <row r="6023" spans="1:1" x14ac:dyDescent="0.35">
      <c r="A6023" s="12"/>
    </row>
    <row r="6024" spans="1:1" x14ac:dyDescent="0.35">
      <c r="A6024" s="12"/>
    </row>
    <row r="6025" spans="1:1" x14ac:dyDescent="0.35">
      <c r="A6025" s="12"/>
    </row>
    <row r="6026" spans="1:1" x14ac:dyDescent="0.35">
      <c r="A6026" s="12"/>
    </row>
    <row r="6027" spans="1:1" x14ac:dyDescent="0.35">
      <c r="A6027" s="12"/>
    </row>
    <row r="6028" spans="1:1" x14ac:dyDescent="0.35">
      <c r="A6028" s="12"/>
    </row>
    <row r="6029" spans="1:1" x14ac:dyDescent="0.35">
      <c r="A6029" s="12"/>
    </row>
    <row r="6030" spans="1:1" x14ac:dyDescent="0.35">
      <c r="A6030" s="12"/>
    </row>
    <row r="6031" spans="1:1" x14ac:dyDescent="0.35">
      <c r="A6031" s="12"/>
    </row>
    <row r="6032" spans="1:1" x14ac:dyDescent="0.35">
      <c r="A6032" s="12"/>
    </row>
    <row r="6033" spans="1:1" x14ac:dyDescent="0.35">
      <c r="A6033" s="12"/>
    </row>
    <row r="6034" spans="1:1" x14ac:dyDescent="0.35">
      <c r="A6034" s="12"/>
    </row>
    <row r="6035" spans="1:1" x14ac:dyDescent="0.35">
      <c r="A6035" s="12"/>
    </row>
    <row r="6036" spans="1:1" x14ac:dyDescent="0.35">
      <c r="A6036" s="12"/>
    </row>
    <row r="6037" spans="1:1" x14ac:dyDescent="0.35">
      <c r="A6037" s="12"/>
    </row>
    <row r="6038" spans="1:1" x14ac:dyDescent="0.35">
      <c r="A6038" s="12"/>
    </row>
    <row r="6039" spans="1:1" x14ac:dyDescent="0.35">
      <c r="A6039" s="12"/>
    </row>
    <row r="6040" spans="1:1" x14ac:dyDescent="0.35">
      <c r="A6040" s="12"/>
    </row>
    <row r="6041" spans="1:1" x14ac:dyDescent="0.35">
      <c r="A6041" s="12"/>
    </row>
    <row r="6042" spans="1:1" x14ac:dyDescent="0.35">
      <c r="A6042" s="12"/>
    </row>
    <row r="6043" spans="1:1" x14ac:dyDescent="0.35">
      <c r="A6043" s="12"/>
    </row>
    <row r="6044" spans="1:1" x14ac:dyDescent="0.35">
      <c r="A6044" s="12"/>
    </row>
    <row r="6045" spans="1:1" x14ac:dyDescent="0.35">
      <c r="A6045" s="12"/>
    </row>
    <row r="6046" spans="1:1" x14ac:dyDescent="0.35">
      <c r="A6046" s="12"/>
    </row>
    <row r="6047" spans="1:1" x14ac:dyDescent="0.35">
      <c r="A6047" s="12"/>
    </row>
    <row r="6048" spans="1:1" x14ac:dyDescent="0.35">
      <c r="A6048" s="12"/>
    </row>
    <row r="6049" spans="1:1" x14ac:dyDescent="0.35">
      <c r="A6049" s="12"/>
    </row>
    <row r="6050" spans="1:1" x14ac:dyDescent="0.35">
      <c r="A6050" s="12"/>
    </row>
    <row r="6051" spans="1:1" x14ac:dyDescent="0.35">
      <c r="A6051" s="12"/>
    </row>
    <row r="6052" spans="1:1" x14ac:dyDescent="0.35">
      <c r="A6052" s="12"/>
    </row>
    <row r="6053" spans="1:1" x14ac:dyDescent="0.35">
      <c r="A6053" s="12"/>
    </row>
    <row r="6054" spans="1:1" x14ac:dyDescent="0.35">
      <c r="A6054" s="12"/>
    </row>
    <row r="6055" spans="1:1" x14ac:dyDescent="0.35">
      <c r="A6055" s="12"/>
    </row>
    <row r="6056" spans="1:1" x14ac:dyDescent="0.35">
      <c r="A6056" s="12"/>
    </row>
    <row r="6057" spans="1:1" x14ac:dyDescent="0.35">
      <c r="A6057" s="12"/>
    </row>
    <row r="6058" spans="1:1" x14ac:dyDescent="0.35">
      <c r="A6058" s="12"/>
    </row>
    <row r="6059" spans="1:1" x14ac:dyDescent="0.35">
      <c r="A6059" s="12"/>
    </row>
    <row r="6060" spans="1:1" x14ac:dyDescent="0.35">
      <c r="A6060" s="12"/>
    </row>
    <row r="6061" spans="1:1" x14ac:dyDescent="0.35">
      <c r="A6061" s="12"/>
    </row>
    <row r="6062" spans="1:1" x14ac:dyDescent="0.35">
      <c r="A6062" s="12"/>
    </row>
    <row r="6063" spans="1:1" x14ac:dyDescent="0.35">
      <c r="A6063" s="12"/>
    </row>
    <row r="6064" spans="1:1" x14ac:dyDescent="0.35">
      <c r="A6064" s="12"/>
    </row>
    <row r="6065" spans="1:1" x14ac:dyDescent="0.35">
      <c r="A6065" s="12"/>
    </row>
    <row r="6066" spans="1:1" x14ac:dyDescent="0.35">
      <c r="A6066" s="12"/>
    </row>
    <row r="6067" spans="1:1" x14ac:dyDescent="0.35">
      <c r="A6067" s="12"/>
    </row>
    <row r="6068" spans="1:1" x14ac:dyDescent="0.35">
      <c r="A6068" s="12"/>
    </row>
    <row r="6069" spans="1:1" x14ac:dyDescent="0.35">
      <c r="A6069" s="12"/>
    </row>
    <row r="6070" spans="1:1" x14ac:dyDescent="0.35">
      <c r="A6070" s="12"/>
    </row>
    <row r="6071" spans="1:1" x14ac:dyDescent="0.35">
      <c r="A6071" s="12"/>
    </row>
    <row r="6072" spans="1:1" x14ac:dyDescent="0.35">
      <c r="A6072" s="12"/>
    </row>
    <row r="6073" spans="1:1" x14ac:dyDescent="0.35">
      <c r="A6073" s="12"/>
    </row>
    <row r="6074" spans="1:1" x14ac:dyDescent="0.35">
      <c r="A6074" s="12"/>
    </row>
    <row r="6075" spans="1:1" x14ac:dyDescent="0.35">
      <c r="A6075" s="12"/>
    </row>
    <row r="6076" spans="1:1" x14ac:dyDescent="0.35">
      <c r="A6076" s="12"/>
    </row>
    <row r="6077" spans="1:1" x14ac:dyDescent="0.35">
      <c r="A6077" s="12"/>
    </row>
    <row r="6078" spans="1:1" x14ac:dyDescent="0.35">
      <c r="A6078" s="12"/>
    </row>
    <row r="6079" spans="1:1" x14ac:dyDescent="0.35">
      <c r="A6079" s="12"/>
    </row>
    <row r="6080" spans="1:1" x14ac:dyDescent="0.35">
      <c r="A6080" s="12"/>
    </row>
    <row r="6081" spans="1:1" x14ac:dyDescent="0.35">
      <c r="A6081" s="12"/>
    </row>
    <row r="6082" spans="1:1" x14ac:dyDescent="0.35">
      <c r="A6082" s="12"/>
    </row>
    <row r="6083" spans="1:1" x14ac:dyDescent="0.35">
      <c r="A6083" s="12"/>
    </row>
    <row r="6084" spans="1:1" x14ac:dyDescent="0.35">
      <c r="A6084" s="12"/>
    </row>
    <row r="6085" spans="1:1" x14ac:dyDescent="0.35">
      <c r="A6085" s="12"/>
    </row>
    <row r="6086" spans="1:1" x14ac:dyDescent="0.35">
      <c r="A6086" s="12"/>
    </row>
    <row r="6087" spans="1:1" x14ac:dyDescent="0.35">
      <c r="A6087" s="12"/>
    </row>
    <row r="6088" spans="1:1" x14ac:dyDescent="0.35">
      <c r="A6088" s="12"/>
    </row>
    <row r="6089" spans="1:1" x14ac:dyDescent="0.35">
      <c r="A6089" s="12"/>
    </row>
    <row r="6090" spans="1:1" x14ac:dyDescent="0.35">
      <c r="A6090" s="12"/>
    </row>
    <row r="6091" spans="1:1" x14ac:dyDescent="0.35">
      <c r="A6091" s="12"/>
    </row>
    <row r="6092" spans="1:1" x14ac:dyDescent="0.35">
      <c r="A6092" s="12"/>
    </row>
    <row r="6093" spans="1:1" x14ac:dyDescent="0.35">
      <c r="A6093" s="12"/>
    </row>
    <row r="6094" spans="1:1" x14ac:dyDescent="0.35">
      <c r="A6094" s="12"/>
    </row>
    <row r="6095" spans="1:1" x14ac:dyDescent="0.35">
      <c r="A6095" s="12"/>
    </row>
    <row r="6096" spans="1:1" x14ac:dyDescent="0.35">
      <c r="A6096" s="12"/>
    </row>
    <row r="6097" spans="1:1" x14ac:dyDescent="0.35">
      <c r="A6097" s="12"/>
    </row>
    <row r="6098" spans="1:1" x14ac:dyDescent="0.35">
      <c r="A6098" s="12"/>
    </row>
    <row r="6099" spans="1:1" x14ac:dyDescent="0.35">
      <c r="A6099" s="12"/>
    </row>
    <row r="6100" spans="1:1" x14ac:dyDescent="0.35">
      <c r="A6100" s="12"/>
    </row>
    <row r="6101" spans="1:1" x14ac:dyDescent="0.35">
      <c r="A6101" s="12"/>
    </row>
    <row r="6102" spans="1:1" x14ac:dyDescent="0.35">
      <c r="A6102" s="12"/>
    </row>
    <row r="6103" spans="1:1" x14ac:dyDescent="0.35">
      <c r="A6103" s="12"/>
    </row>
    <row r="6104" spans="1:1" x14ac:dyDescent="0.35">
      <c r="A6104" s="12"/>
    </row>
    <row r="6105" spans="1:1" x14ac:dyDescent="0.35">
      <c r="A6105" s="12"/>
    </row>
    <row r="6106" spans="1:1" x14ac:dyDescent="0.35">
      <c r="A6106" s="12"/>
    </row>
    <row r="6107" spans="1:1" x14ac:dyDescent="0.35">
      <c r="A6107" s="12"/>
    </row>
    <row r="6108" spans="1:1" x14ac:dyDescent="0.35">
      <c r="A6108" s="12"/>
    </row>
    <row r="6109" spans="1:1" x14ac:dyDescent="0.35">
      <c r="A6109" s="12"/>
    </row>
    <row r="6110" spans="1:1" x14ac:dyDescent="0.35">
      <c r="A6110" s="12"/>
    </row>
    <row r="6111" spans="1:1" x14ac:dyDescent="0.35">
      <c r="A6111" s="12"/>
    </row>
    <row r="6112" spans="1:1" x14ac:dyDescent="0.35">
      <c r="A6112" s="12"/>
    </row>
    <row r="6113" spans="1:1" x14ac:dyDescent="0.35">
      <c r="A6113" s="12"/>
    </row>
    <row r="6114" spans="1:1" x14ac:dyDescent="0.35">
      <c r="A6114" s="12"/>
    </row>
    <row r="6115" spans="1:1" x14ac:dyDescent="0.35">
      <c r="A6115" s="12"/>
    </row>
    <row r="6116" spans="1:1" x14ac:dyDescent="0.35">
      <c r="A6116" s="12"/>
    </row>
    <row r="6117" spans="1:1" x14ac:dyDescent="0.35">
      <c r="A6117" s="12"/>
    </row>
    <row r="6118" spans="1:1" x14ac:dyDescent="0.35">
      <c r="A6118" s="12"/>
    </row>
    <row r="6119" spans="1:1" x14ac:dyDescent="0.35">
      <c r="A6119" s="12"/>
    </row>
    <row r="6120" spans="1:1" x14ac:dyDescent="0.35">
      <c r="A6120" s="12"/>
    </row>
    <row r="6121" spans="1:1" x14ac:dyDescent="0.35">
      <c r="A6121" s="12"/>
    </row>
    <row r="6122" spans="1:1" x14ac:dyDescent="0.35">
      <c r="A6122" s="12"/>
    </row>
    <row r="6123" spans="1:1" x14ac:dyDescent="0.35">
      <c r="A6123" s="12"/>
    </row>
    <row r="6124" spans="1:1" x14ac:dyDescent="0.35">
      <c r="A6124" s="12"/>
    </row>
    <row r="6125" spans="1:1" x14ac:dyDescent="0.35">
      <c r="A6125" s="12"/>
    </row>
    <row r="6126" spans="1:1" x14ac:dyDescent="0.35">
      <c r="A6126" s="12"/>
    </row>
    <row r="6127" spans="1:1" x14ac:dyDescent="0.35">
      <c r="A6127" s="12"/>
    </row>
    <row r="6128" spans="1:1" x14ac:dyDescent="0.35">
      <c r="A6128" s="12"/>
    </row>
    <row r="6129" spans="1:1" x14ac:dyDescent="0.35">
      <c r="A6129" s="12"/>
    </row>
    <row r="6130" spans="1:1" x14ac:dyDescent="0.35">
      <c r="A6130" s="12"/>
    </row>
    <row r="6131" spans="1:1" x14ac:dyDescent="0.35">
      <c r="A6131" s="12"/>
    </row>
    <row r="6132" spans="1:1" x14ac:dyDescent="0.35">
      <c r="A6132" s="12"/>
    </row>
    <row r="6133" spans="1:1" x14ac:dyDescent="0.35">
      <c r="A6133" s="12"/>
    </row>
    <row r="6134" spans="1:1" x14ac:dyDescent="0.35">
      <c r="A6134" s="12"/>
    </row>
    <row r="6135" spans="1:1" x14ac:dyDescent="0.35">
      <c r="A6135" s="12"/>
    </row>
    <row r="6136" spans="1:1" x14ac:dyDescent="0.35">
      <c r="A6136" s="12"/>
    </row>
    <row r="6137" spans="1:1" x14ac:dyDescent="0.35">
      <c r="A6137" s="12"/>
    </row>
    <row r="6138" spans="1:1" x14ac:dyDescent="0.35">
      <c r="A6138" s="12"/>
    </row>
    <row r="6139" spans="1:1" x14ac:dyDescent="0.35">
      <c r="A6139" s="12"/>
    </row>
    <row r="6140" spans="1:1" x14ac:dyDescent="0.35">
      <c r="A6140" s="12"/>
    </row>
    <row r="6141" spans="1:1" x14ac:dyDescent="0.35">
      <c r="A6141" s="12"/>
    </row>
    <row r="6142" spans="1:1" x14ac:dyDescent="0.35">
      <c r="A6142" s="12"/>
    </row>
    <row r="6143" spans="1:1" x14ac:dyDescent="0.35">
      <c r="A6143" s="12"/>
    </row>
    <row r="6144" spans="1:1" x14ac:dyDescent="0.35">
      <c r="A6144" s="12"/>
    </row>
    <row r="6145" spans="1:1" x14ac:dyDescent="0.35">
      <c r="A6145" s="12"/>
    </row>
    <row r="6146" spans="1:1" x14ac:dyDescent="0.35">
      <c r="A6146" s="12"/>
    </row>
    <row r="6147" spans="1:1" x14ac:dyDescent="0.35">
      <c r="A6147" s="12"/>
    </row>
    <row r="6148" spans="1:1" x14ac:dyDescent="0.35">
      <c r="A6148" s="12"/>
    </row>
    <row r="6149" spans="1:1" x14ac:dyDescent="0.35">
      <c r="A6149" s="12"/>
    </row>
    <row r="6150" spans="1:1" x14ac:dyDescent="0.35">
      <c r="A6150" s="12"/>
    </row>
    <row r="6151" spans="1:1" x14ac:dyDescent="0.35">
      <c r="A6151" s="12"/>
    </row>
    <row r="6152" spans="1:1" x14ac:dyDescent="0.35">
      <c r="A6152" s="12"/>
    </row>
    <row r="6153" spans="1:1" x14ac:dyDescent="0.35">
      <c r="A6153" s="12"/>
    </row>
    <row r="6154" spans="1:1" x14ac:dyDescent="0.35">
      <c r="A6154" s="12"/>
    </row>
    <row r="6155" spans="1:1" x14ac:dyDescent="0.35">
      <c r="A6155" s="12"/>
    </row>
    <row r="6156" spans="1:1" x14ac:dyDescent="0.35">
      <c r="A6156" s="12"/>
    </row>
    <row r="6157" spans="1:1" x14ac:dyDescent="0.35">
      <c r="A6157" s="12"/>
    </row>
    <row r="6158" spans="1:1" x14ac:dyDescent="0.35">
      <c r="A6158" s="12"/>
    </row>
    <row r="6159" spans="1:1" x14ac:dyDescent="0.35">
      <c r="A6159" s="12"/>
    </row>
    <row r="6160" spans="1:1" x14ac:dyDescent="0.35">
      <c r="A6160" s="12"/>
    </row>
    <row r="6161" spans="1:1" x14ac:dyDescent="0.35">
      <c r="A6161" s="12"/>
    </row>
    <row r="6162" spans="1:1" x14ac:dyDescent="0.35">
      <c r="A6162" s="12"/>
    </row>
    <row r="6163" spans="1:1" x14ac:dyDescent="0.35">
      <c r="A6163" s="12"/>
    </row>
    <row r="6164" spans="1:1" x14ac:dyDescent="0.35">
      <c r="A6164" s="12"/>
    </row>
    <row r="6165" spans="1:1" x14ac:dyDescent="0.35">
      <c r="A6165" s="12"/>
    </row>
    <row r="6166" spans="1:1" x14ac:dyDescent="0.35">
      <c r="A6166" s="12"/>
    </row>
    <row r="6167" spans="1:1" x14ac:dyDescent="0.35">
      <c r="A6167" s="12"/>
    </row>
    <row r="6168" spans="1:1" x14ac:dyDescent="0.35">
      <c r="A6168" s="12"/>
    </row>
    <row r="6169" spans="1:1" x14ac:dyDescent="0.35">
      <c r="A6169" s="12"/>
    </row>
    <row r="6170" spans="1:1" x14ac:dyDescent="0.35">
      <c r="A6170" s="12"/>
    </row>
    <row r="6171" spans="1:1" x14ac:dyDescent="0.35">
      <c r="A6171" s="12"/>
    </row>
    <row r="6172" spans="1:1" x14ac:dyDescent="0.35">
      <c r="A6172" s="12"/>
    </row>
    <row r="6173" spans="1:1" x14ac:dyDescent="0.35">
      <c r="A6173" s="12"/>
    </row>
    <row r="6174" spans="1:1" x14ac:dyDescent="0.35">
      <c r="A6174" s="12"/>
    </row>
    <row r="6175" spans="1:1" x14ac:dyDescent="0.35">
      <c r="A6175" s="12"/>
    </row>
    <row r="6176" spans="1:1" x14ac:dyDescent="0.35">
      <c r="A6176" s="12"/>
    </row>
    <row r="6177" spans="1:1" x14ac:dyDescent="0.35">
      <c r="A6177" s="12"/>
    </row>
    <row r="6178" spans="1:1" x14ac:dyDescent="0.35">
      <c r="A6178" s="12"/>
    </row>
    <row r="6179" spans="1:1" x14ac:dyDescent="0.35">
      <c r="A6179" s="12"/>
    </row>
    <row r="6180" spans="1:1" x14ac:dyDescent="0.35">
      <c r="A6180" s="12"/>
    </row>
    <row r="6181" spans="1:1" x14ac:dyDescent="0.35">
      <c r="A6181" s="12"/>
    </row>
    <row r="6182" spans="1:1" x14ac:dyDescent="0.35">
      <c r="A6182" s="12"/>
    </row>
    <row r="6183" spans="1:1" x14ac:dyDescent="0.35">
      <c r="A6183" s="12"/>
    </row>
    <row r="6184" spans="1:1" x14ac:dyDescent="0.35">
      <c r="A6184" s="12"/>
    </row>
    <row r="6185" spans="1:1" x14ac:dyDescent="0.35">
      <c r="A6185" s="12"/>
    </row>
    <row r="6186" spans="1:1" x14ac:dyDescent="0.35">
      <c r="A6186" s="12"/>
    </row>
    <row r="6187" spans="1:1" x14ac:dyDescent="0.35">
      <c r="A6187" s="12"/>
    </row>
    <row r="6188" spans="1:1" x14ac:dyDescent="0.35">
      <c r="A6188" s="12"/>
    </row>
    <row r="6189" spans="1:1" x14ac:dyDescent="0.35">
      <c r="A6189" s="12"/>
    </row>
    <row r="6190" spans="1:1" x14ac:dyDescent="0.35">
      <c r="A6190" s="12"/>
    </row>
    <row r="6191" spans="1:1" x14ac:dyDescent="0.35">
      <c r="A6191" s="12"/>
    </row>
    <row r="6192" spans="1:1" x14ac:dyDescent="0.35">
      <c r="A6192" s="12"/>
    </row>
    <row r="6193" spans="1:1" x14ac:dyDescent="0.35">
      <c r="A6193" s="12"/>
    </row>
    <row r="6194" spans="1:1" x14ac:dyDescent="0.35">
      <c r="A6194" s="12"/>
    </row>
    <row r="6195" spans="1:1" x14ac:dyDescent="0.35">
      <c r="A6195" s="12"/>
    </row>
    <row r="6196" spans="1:1" x14ac:dyDescent="0.35">
      <c r="A6196" s="12"/>
    </row>
    <row r="6197" spans="1:1" x14ac:dyDescent="0.35">
      <c r="A6197" s="12"/>
    </row>
    <row r="6198" spans="1:1" x14ac:dyDescent="0.35">
      <c r="A6198" s="12"/>
    </row>
    <row r="6199" spans="1:1" x14ac:dyDescent="0.35">
      <c r="A6199" s="12"/>
    </row>
    <row r="6200" spans="1:1" x14ac:dyDescent="0.35">
      <c r="A6200" s="12"/>
    </row>
    <row r="6201" spans="1:1" x14ac:dyDescent="0.35">
      <c r="A6201" s="12"/>
    </row>
    <row r="6202" spans="1:1" x14ac:dyDescent="0.35">
      <c r="A6202" s="12"/>
    </row>
    <row r="6203" spans="1:1" x14ac:dyDescent="0.35">
      <c r="A6203" s="12"/>
    </row>
    <row r="6204" spans="1:1" x14ac:dyDescent="0.35">
      <c r="A6204" s="12"/>
    </row>
    <row r="6205" spans="1:1" x14ac:dyDescent="0.35">
      <c r="A6205" s="12"/>
    </row>
    <row r="6206" spans="1:1" x14ac:dyDescent="0.35">
      <c r="A6206" s="12"/>
    </row>
    <row r="6207" spans="1:1" x14ac:dyDescent="0.35">
      <c r="A6207" s="12"/>
    </row>
    <row r="6208" spans="1:1" x14ac:dyDescent="0.35">
      <c r="A6208" s="12"/>
    </row>
    <row r="6209" spans="1:1" x14ac:dyDescent="0.35">
      <c r="A6209" s="12"/>
    </row>
    <row r="6210" spans="1:1" x14ac:dyDescent="0.35">
      <c r="A6210" s="12"/>
    </row>
    <row r="6211" spans="1:1" x14ac:dyDescent="0.35">
      <c r="A6211" s="12"/>
    </row>
    <row r="6212" spans="1:1" x14ac:dyDescent="0.35">
      <c r="A6212" s="12"/>
    </row>
    <row r="6213" spans="1:1" x14ac:dyDescent="0.35">
      <c r="A6213" s="12"/>
    </row>
    <row r="6214" spans="1:1" x14ac:dyDescent="0.35">
      <c r="A6214" s="12"/>
    </row>
    <row r="6215" spans="1:1" x14ac:dyDescent="0.35">
      <c r="A6215" s="12"/>
    </row>
    <row r="6216" spans="1:1" x14ac:dyDescent="0.35">
      <c r="A6216" s="12"/>
    </row>
    <row r="6217" spans="1:1" x14ac:dyDescent="0.35">
      <c r="A6217" s="12"/>
    </row>
    <row r="6218" spans="1:1" x14ac:dyDescent="0.35">
      <c r="A6218" s="12"/>
    </row>
    <row r="6219" spans="1:1" x14ac:dyDescent="0.35">
      <c r="A6219" s="12"/>
    </row>
    <row r="6220" spans="1:1" x14ac:dyDescent="0.35">
      <c r="A6220" s="12"/>
    </row>
    <row r="6221" spans="1:1" x14ac:dyDescent="0.35">
      <c r="A6221" s="12"/>
    </row>
    <row r="6222" spans="1:1" x14ac:dyDescent="0.35">
      <c r="A6222" s="12"/>
    </row>
    <row r="6223" spans="1:1" x14ac:dyDescent="0.35">
      <c r="A6223" s="12"/>
    </row>
    <row r="6224" spans="1:1" x14ac:dyDescent="0.35">
      <c r="A6224" s="12"/>
    </row>
    <row r="6225" spans="1:1" x14ac:dyDescent="0.35">
      <c r="A6225" s="12"/>
    </row>
    <row r="6226" spans="1:1" x14ac:dyDescent="0.35">
      <c r="A6226" s="12"/>
    </row>
    <row r="6227" spans="1:1" x14ac:dyDescent="0.35">
      <c r="A6227" s="12"/>
    </row>
    <row r="6228" spans="1:1" x14ac:dyDescent="0.35">
      <c r="A6228" s="12"/>
    </row>
    <row r="6229" spans="1:1" x14ac:dyDescent="0.35">
      <c r="A6229" s="12"/>
    </row>
    <row r="6230" spans="1:1" x14ac:dyDescent="0.35">
      <c r="A6230" s="12"/>
    </row>
    <row r="6231" spans="1:1" x14ac:dyDescent="0.35">
      <c r="A6231" s="12"/>
    </row>
    <row r="6232" spans="1:1" x14ac:dyDescent="0.35">
      <c r="A6232" s="12"/>
    </row>
    <row r="6233" spans="1:1" x14ac:dyDescent="0.35">
      <c r="A6233" s="12"/>
    </row>
    <row r="6234" spans="1:1" x14ac:dyDescent="0.35">
      <c r="A6234" s="12"/>
    </row>
    <row r="6235" spans="1:1" x14ac:dyDescent="0.35">
      <c r="A6235" s="12"/>
    </row>
    <row r="6236" spans="1:1" x14ac:dyDescent="0.35">
      <c r="A6236" s="12"/>
    </row>
    <row r="6237" spans="1:1" x14ac:dyDescent="0.35">
      <c r="A6237" s="12"/>
    </row>
    <row r="6238" spans="1:1" x14ac:dyDescent="0.35">
      <c r="A6238" s="12"/>
    </row>
    <row r="6239" spans="1:1" x14ac:dyDescent="0.35">
      <c r="A6239" s="12"/>
    </row>
    <row r="6240" spans="1:1" x14ac:dyDescent="0.35">
      <c r="A6240" s="12"/>
    </row>
    <row r="6241" spans="1:1" x14ac:dyDescent="0.35">
      <c r="A6241" s="12"/>
    </row>
    <row r="6242" spans="1:1" x14ac:dyDescent="0.35">
      <c r="A6242" s="12"/>
    </row>
    <row r="6243" spans="1:1" x14ac:dyDescent="0.35">
      <c r="A6243" s="12"/>
    </row>
    <row r="6244" spans="1:1" x14ac:dyDescent="0.35">
      <c r="A6244" s="12"/>
    </row>
    <row r="6245" spans="1:1" x14ac:dyDescent="0.35">
      <c r="A6245" s="12"/>
    </row>
    <row r="6246" spans="1:1" x14ac:dyDescent="0.35">
      <c r="A6246" s="12"/>
    </row>
    <row r="6247" spans="1:1" x14ac:dyDescent="0.35">
      <c r="A6247" s="12"/>
    </row>
    <row r="6248" spans="1:1" x14ac:dyDescent="0.35">
      <c r="A6248" s="12"/>
    </row>
    <row r="6249" spans="1:1" x14ac:dyDescent="0.35">
      <c r="A6249" s="12"/>
    </row>
    <row r="6250" spans="1:1" x14ac:dyDescent="0.35">
      <c r="A6250" s="12"/>
    </row>
    <row r="6251" spans="1:1" x14ac:dyDescent="0.35">
      <c r="A6251" s="12"/>
    </row>
    <row r="6252" spans="1:1" x14ac:dyDescent="0.35">
      <c r="A6252" s="12"/>
    </row>
    <row r="6253" spans="1:1" x14ac:dyDescent="0.35">
      <c r="A6253" s="12"/>
    </row>
    <row r="6254" spans="1:1" x14ac:dyDescent="0.35">
      <c r="A6254" s="12"/>
    </row>
    <row r="6255" spans="1:1" x14ac:dyDescent="0.35">
      <c r="A6255" s="12"/>
    </row>
    <row r="6256" spans="1:1" x14ac:dyDescent="0.35">
      <c r="A6256" s="12"/>
    </row>
    <row r="6257" spans="1:1" x14ac:dyDescent="0.35">
      <c r="A6257" s="12"/>
    </row>
    <row r="6258" spans="1:1" x14ac:dyDescent="0.35">
      <c r="A6258" s="12"/>
    </row>
    <row r="6259" spans="1:1" x14ac:dyDescent="0.35">
      <c r="A6259" s="12"/>
    </row>
    <row r="6260" spans="1:1" x14ac:dyDescent="0.35">
      <c r="A6260" s="12"/>
    </row>
    <row r="6261" spans="1:1" x14ac:dyDescent="0.35">
      <c r="A6261" s="12"/>
    </row>
    <row r="6262" spans="1:1" x14ac:dyDescent="0.35">
      <c r="A6262" s="12"/>
    </row>
    <row r="6263" spans="1:1" x14ac:dyDescent="0.35">
      <c r="A6263" s="12"/>
    </row>
    <row r="6264" spans="1:1" x14ac:dyDescent="0.35">
      <c r="A6264" s="12"/>
    </row>
    <row r="6265" spans="1:1" x14ac:dyDescent="0.35">
      <c r="A6265" s="12"/>
    </row>
    <row r="6266" spans="1:1" x14ac:dyDescent="0.35">
      <c r="A6266" s="12"/>
    </row>
    <row r="6267" spans="1:1" x14ac:dyDescent="0.35">
      <c r="A6267" s="12"/>
    </row>
    <row r="6268" spans="1:1" x14ac:dyDescent="0.35">
      <c r="A6268" s="12"/>
    </row>
    <row r="6269" spans="1:1" x14ac:dyDescent="0.35">
      <c r="A6269" s="12"/>
    </row>
    <row r="6270" spans="1:1" x14ac:dyDescent="0.35">
      <c r="A6270" s="12"/>
    </row>
    <row r="6271" spans="1:1" x14ac:dyDescent="0.35">
      <c r="A6271" s="12"/>
    </row>
    <row r="6272" spans="1:1" x14ac:dyDescent="0.35">
      <c r="A6272" s="12"/>
    </row>
    <row r="6273" spans="1:1" x14ac:dyDescent="0.35">
      <c r="A6273" s="12"/>
    </row>
    <row r="6274" spans="1:1" x14ac:dyDescent="0.35">
      <c r="A6274" s="12"/>
    </row>
    <row r="6275" spans="1:1" x14ac:dyDescent="0.35">
      <c r="A6275" s="12"/>
    </row>
    <row r="6276" spans="1:1" x14ac:dyDescent="0.35">
      <c r="A6276" s="12"/>
    </row>
    <row r="6277" spans="1:1" x14ac:dyDescent="0.35">
      <c r="A6277" s="12"/>
    </row>
    <row r="6278" spans="1:1" x14ac:dyDescent="0.35">
      <c r="A6278" s="12"/>
    </row>
    <row r="6279" spans="1:1" x14ac:dyDescent="0.35">
      <c r="A6279" s="12"/>
    </row>
    <row r="6280" spans="1:1" x14ac:dyDescent="0.35">
      <c r="A6280" s="12"/>
    </row>
    <row r="6281" spans="1:1" x14ac:dyDescent="0.35">
      <c r="A6281" s="12"/>
    </row>
    <row r="6282" spans="1:1" x14ac:dyDescent="0.35">
      <c r="A6282" s="12"/>
    </row>
    <row r="6283" spans="1:1" x14ac:dyDescent="0.35">
      <c r="A6283" s="12"/>
    </row>
    <row r="6284" spans="1:1" x14ac:dyDescent="0.35">
      <c r="A6284" s="12"/>
    </row>
    <row r="6285" spans="1:1" x14ac:dyDescent="0.35">
      <c r="A6285" s="12"/>
    </row>
    <row r="6286" spans="1:1" x14ac:dyDescent="0.35">
      <c r="A6286" s="12"/>
    </row>
    <row r="6287" spans="1:1" x14ac:dyDescent="0.35">
      <c r="A6287" s="12"/>
    </row>
    <row r="6288" spans="1:1" x14ac:dyDescent="0.35">
      <c r="A6288" s="12"/>
    </row>
    <row r="6289" spans="1:1" x14ac:dyDescent="0.35">
      <c r="A6289" s="12"/>
    </row>
    <row r="6290" spans="1:1" x14ac:dyDescent="0.35">
      <c r="A6290" s="12"/>
    </row>
    <row r="6291" spans="1:1" x14ac:dyDescent="0.35">
      <c r="A6291" s="12"/>
    </row>
    <row r="6292" spans="1:1" x14ac:dyDescent="0.35">
      <c r="A6292" s="12"/>
    </row>
    <row r="6293" spans="1:1" x14ac:dyDescent="0.35">
      <c r="A6293" s="12"/>
    </row>
    <row r="6294" spans="1:1" x14ac:dyDescent="0.35">
      <c r="A6294" s="12"/>
    </row>
    <row r="6295" spans="1:1" x14ac:dyDescent="0.35">
      <c r="A6295" s="12"/>
    </row>
    <row r="6296" spans="1:1" x14ac:dyDescent="0.35">
      <c r="A6296" s="12"/>
    </row>
    <row r="6297" spans="1:1" x14ac:dyDescent="0.35">
      <c r="A6297" s="12"/>
    </row>
    <row r="6298" spans="1:1" x14ac:dyDescent="0.35">
      <c r="A6298" s="12"/>
    </row>
    <row r="6299" spans="1:1" x14ac:dyDescent="0.35">
      <c r="A6299" s="12"/>
    </row>
    <row r="6300" spans="1:1" x14ac:dyDescent="0.35">
      <c r="A6300" s="12"/>
    </row>
    <row r="6301" spans="1:1" x14ac:dyDescent="0.35">
      <c r="A6301" s="12"/>
    </row>
    <row r="6302" spans="1:1" x14ac:dyDescent="0.35">
      <c r="A6302" s="12"/>
    </row>
    <row r="6303" spans="1:1" x14ac:dyDescent="0.35">
      <c r="A6303" s="12"/>
    </row>
    <row r="6304" spans="1:1" x14ac:dyDescent="0.35">
      <c r="A6304" s="12"/>
    </row>
    <row r="6305" spans="1:1" x14ac:dyDescent="0.35">
      <c r="A6305" s="12"/>
    </row>
    <row r="6306" spans="1:1" x14ac:dyDescent="0.35">
      <c r="A6306" s="12"/>
    </row>
    <row r="6307" spans="1:1" x14ac:dyDescent="0.35">
      <c r="A6307" s="12"/>
    </row>
    <row r="6308" spans="1:1" x14ac:dyDescent="0.35">
      <c r="A6308" s="12"/>
    </row>
    <row r="6309" spans="1:1" x14ac:dyDescent="0.35">
      <c r="A6309" s="12"/>
    </row>
    <row r="6310" spans="1:1" x14ac:dyDescent="0.35">
      <c r="A6310" s="12"/>
    </row>
    <row r="6311" spans="1:1" x14ac:dyDescent="0.35">
      <c r="A6311" s="12"/>
    </row>
    <row r="6312" spans="1:1" x14ac:dyDescent="0.35">
      <c r="A6312" s="12"/>
    </row>
    <row r="6313" spans="1:1" x14ac:dyDescent="0.35">
      <c r="A6313" s="12"/>
    </row>
    <row r="6314" spans="1:1" x14ac:dyDescent="0.35">
      <c r="A6314" s="12"/>
    </row>
    <row r="6315" spans="1:1" x14ac:dyDescent="0.35">
      <c r="A6315" s="12"/>
    </row>
    <row r="6316" spans="1:1" x14ac:dyDescent="0.35">
      <c r="A6316" s="12"/>
    </row>
    <row r="6317" spans="1:1" x14ac:dyDescent="0.35">
      <c r="A6317" s="12"/>
    </row>
    <row r="6318" spans="1:1" x14ac:dyDescent="0.35">
      <c r="A6318" s="12"/>
    </row>
    <row r="6319" spans="1:1" x14ac:dyDescent="0.35">
      <c r="A6319" s="12"/>
    </row>
    <row r="6320" spans="1:1" x14ac:dyDescent="0.35">
      <c r="A6320" s="12"/>
    </row>
    <row r="6321" spans="1:1" x14ac:dyDescent="0.35">
      <c r="A6321" s="12"/>
    </row>
    <row r="6322" spans="1:1" x14ac:dyDescent="0.35">
      <c r="A6322" s="12"/>
    </row>
    <row r="6323" spans="1:1" x14ac:dyDescent="0.35">
      <c r="A6323" s="12"/>
    </row>
    <row r="6324" spans="1:1" x14ac:dyDescent="0.35">
      <c r="A6324" s="12"/>
    </row>
    <row r="6325" spans="1:1" x14ac:dyDescent="0.35">
      <c r="A6325" s="12"/>
    </row>
    <row r="6326" spans="1:1" x14ac:dyDescent="0.35">
      <c r="A6326" s="12"/>
    </row>
    <row r="6327" spans="1:1" x14ac:dyDescent="0.35">
      <c r="A6327" s="12"/>
    </row>
    <row r="6328" spans="1:1" x14ac:dyDescent="0.35">
      <c r="A6328" s="12"/>
    </row>
    <row r="6329" spans="1:1" x14ac:dyDescent="0.35">
      <c r="A6329" s="12"/>
    </row>
    <row r="6330" spans="1:1" x14ac:dyDescent="0.35">
      <c r="A6330" s="12"/>
    </row>
    <row r="6331" spans="1:1" x14ac:dyDescent="0.35">
      <c r="A6331" s="12"/>
    </row>
    <row r="6332" spans="1:1" x14ac:dyDescent="0.35">
      <c r="A6332" s="12"/>
    </row>
    <row r="6333" spans="1:1" x14ac:dyDescent="0.35">
      <c r="A6333" s="12"/>
    </row>
    <row r="6334" spans="1:1" x14ac:dyDescent="0.35">
      <c r="A6334" s="12"/>
    </row>
    <row r="6335" spans="1:1" x14ac:dyDescent="0.35">
      <c r="A6335" s="12"/>
    </row>
    <row r="6336" spans="1:1" x14ac:dyDescent="0.35">
      <c r="A6336" s="12"/>
    </row>
    <row r="6337" spans="1:1" x14ac:dyDescent="0.35">
      <c r="A6337" s="12"/>
    </row>
    <row r="6338" spans="1:1" x14ac:dyDescent="0.35">
      <c r="A6338" s="12"/>
    </row>
    <row r="6339" spans="1:1" x14ac:dyDescent="0.35">
      <c r="A6339" s="12"/>
    </row>
    <row r="6340" spans="1:1" x14ac:dyDescent="0.35">
      <c r="A6340" s="12"/>
    </row>
    <row r="6341" spans="1:1" x14ac:dyDescent="0.35">
      <c r="A6341" s="12"/>
    </row>
    <row r="6342" spans="1:1" x14ac:dyDescent="0.35">
      <c r="A6342" s="12"/>
    </row>
    <row r="6343" spans="1:1" x14ac:dyDescent="0.35">
      <c r="A6343" s="12"/>
    </row>
    <row r="6344" spans="1:1" x14ac:dyDescent="0.35">
      <c r="A6344" s="12"/>
    </row>
    <row r="6345" spans="1:1" x14ac:dyDescent="0.35">
      <c r="A6345" s="12"/>
    </row>
    <row r="6346" spans="1:1" x14ac:dyDescent="0.35">
      <c r="A6346" s="12"/>
    </row>
    <row r="6347" spans="1:1" x14ac:dyDescent="0.35">
      <c r="A6347" s="12"/>
    </row>
    <row r="6348" spans="1:1" x14ac:dyDescent="0.35">
      <c r="A6348" s="12"/>
    </row>
    <row r="6349" spans="1:1" x14ac:dyDescent="0.35">
      <c r="A6349" s="12"/>
    </row>
    <row r="6350" spans="1:1" x14ac:dyDescent="0.35">
      <c r="A6350" s="12"/>
    </row>
    <row r="6351" spans="1:1" x14ac:dyDescent="0.35">
      <c r="A6351" s="12"/>
    </row>
    <row r="6352" spans="1:1" x14ac:dyDescent="0.35">
      <c r="A6352" s="12"/>
    </row>
    <row r="6353" spans="1:1" x14ac:dyDescent="0.35">
      <c r="A6353" s="12"/>
    </row>
    <row r="6354" spans="1:1" x14ac:dyDescent="0.35">
      <c r="A6354" s="12"/>
    </row>
    <row r="6355" spans="1:1" x14ac:dyDescent="0.35">
      <c r="A6355" s="12"/>
    </row>
    <row r="6356" spans="1:1" x14ac:dyDescent="0.35">
      <c r="A6356" s="12"/>
    </row>
    <row r="6357" spans="1:1" x14ac:dyDescent="0.35">
      <c r="A6357" s="12"/>
    </row>
    <row r="6358" spans="1:1" x14ac:dyDescent="0.35">
      <c r="A6358" s="12"/>
    </row>
    <row r="6359" spans="1:1" x14ac:dyDescent="0.35">
      <c r="A6359" s="12"/>
    </row>
    <row r="6360" spans="1:1" x14ac:dyDescent="0.35">
      <c r="A6360" s="12"/>
    </row>
    <row r="6361" spans="1:1" x14ac:dyDescent="0.35">
      <c r="A6361" s="12"/>
    </row>
    <row r="6362" spans="1:1" x14ac:dyDescent="0.35">
      <c r="A6362" s="12"/>
    </row>
    <row r="6363" spans="1:1" x14ac:dyDescent="0.35">
      <c r="A6363" s="12"/>
    </row>
    <row r="6364" spans="1:1" x14ac:dyDescent="0.35">
      <c r="A6364" s="12"/>
    </row>
    <row r="6365" spans="1:1" x14ac:dyDescent="0.35">
      <c r="A6365" s="12"/>
    </row>
    <row r="6366" spans="1:1" x14ac:dyDescent="0.35">
      <c r="A6366" s="12"/>
    </row>
    <row r="6367" spans="1:1" x14ac:dyDescent="0.35">
      <c r="A6367" s="12"/>
    </row>
    <row r="6368" spans="1:1" x14ac:dyDescent="0.35">
      <c r="A6368" s="12"/>
    </row>
    <row r="6369" spans="1:1" x14ac:dyDescent="0.35">
      <c r="A6369" s="12"/>
    </row>
    <row r="6370" spans="1:1" x14ac:dyDescent="0.35">
      <c r="A6370" s="12"/>
    </row>
    <row r="6371" spans="1:1" x14ac:dyDescent="0.35">
      <c r="A6371" s="12"/>
    </row>
    <row r="6372" spans="1:1" x14ac:dyDescent="0.35">
      <c r="A6372" s="12"/>
    </row>
    <row r="6373" spans="1:1" x14ac:dyDescent="0.35">
      <c r="A6373" s="12"/>
    </row>
    <row r="6374" spans="1:1" x14ac:dyDescent="0.35">
      <c r="A6374" s="12"/>
    </row>
    <row r="6375" spans="1:1" x14ac:dyDescent="0.35">
      <c r="A6375" s="12"/>
    </row>
    <row r="6376" spans="1:1" x14ac:dyDescent="0.35">
      <c r="A6376" s="12"/>
    </row>
    <row r="6377" spans="1:1" x14ac:dyDescent="0.35">
      <c r="A6377" s="12"/>
    </row>
    <row r="6378" spans="1:1" x14ac:dyDescent="0.35">
      <c r="A6378" s="12"/>
    </row>
    <row r="6379" spans="1:1" x14ac:dyDescent="0.35">
      <c r="A6379" s="12"/>
    </row>
    <row r="6380" spans="1:1" x14ac:dyDescent="0.35">
      <c r="A6380" s="12"/>
    </row>
    <row r="6381" spans="1:1" x14ac:dyDescent="0.35">
      <c r="A6381" s="12"/>
    </row>
    <row r="6382" spans="1:1" x14ac:dyDescent="0.35">
      <c r="A6382" s="12"/>
    </row>
    <row r="6383" spans="1:1" x14ac:dyDescent="0.35">
      <c r="A6383" s="12"/>
    </row>
    <row r="6384" spans="1:1" x14ac:dyDescent="0.35">
      <c r="A6384" s="12"/>
    </row>
    <row r="6385" spans="1:1" x14ac:dyDescent="0.35">
      <c r="A6385" s="12"/>
    </row>
    <row r="6386" spans="1:1" x14ac:dyDescent="0.35">
      <c r="A6386" s="12"/>
    </row>
    <row r="6387" spans="1:1" x14ac:dyDescent="0.35">
      <c r="A6387" s="12"/>
    </row>
    <row r="6388" spans="1:1" x14ac:dyDescent="0.35">
      <c r="A6388" s="12"/>
    </row>
    <row r="6389" spans="1:1" x14ac:dyDescent="0.35">
      <c r="A6389" s="12"/>
    </row>
    <row r="6390" spans="1:1" x14ac:dyDescent="0.35">
      <c r="A6390" s="12"/>
    </row>
    <row r="6391" spans="1:1" x14ac:dyDescent="0.35">
      <c r="A6391" s="12"/>
    </row>
    <row r="6392" spans="1:1" x14ac:dyDescent="0.35">
      <c r="A6392" s="12"/>
    </row>
    <row r="6393" spans="1:1" x14ac:dyDescent="0.35">
      <c r="A6393" s="12"/>
    </row>
    <row r="6394" spans="1:1" x14ac:dyDescent="0.35">
      <c r="A6394" s="12"/>
    </row>
    <row r="6395" spans="1:1" x14ac:dyDescent="0.35">
      <c r="A6395" s="12"/>
    </row>
    <row r="6396" spans="1:1" x14ac:dyDescent="0.35">
      <c r="A6396" s="12"/>
    </row>
    <row r="6397" spans="1:1" x14ac:dyDescent="0.35">
      <c r="A6397" s="12"/>
    </row>
    <row r="6398" spans="1:1" x14ac:dyDescent="0.35">
      <c r="A6398" s="12"/>
    </row>
    <row r="6399" spans="1:1" x14ac:dyDescent="0.35">
      <c r="A6399" s="12"/>
    </row>
    <row r="6400" spans="1:1" x14ac:dyDescent="0.35">
      <c r="A6400" s="12"/>
    </row>
    <row r="6401" spans="1:1" x14ac:dyDescent="0.35">
      <c r="A6401" s="12"/>
    </row>
    <row r="6402" spans="1:1" x14ac:dyDescent="0.35">
      <c r="A6402" s="12"/>
    </row>
    <row r="6403" spans="1:1" x14ac:dyDescent="0.35">
      <c r="A6403" s="12"/>
    </row>
    <row r="6404" spans="1:1" x14ac:dyDescent="0.35">
      <c r="A6404" s="12"/>
    </row>
    <row r="6405" spans="1:1" x14ac:dyDescent="0.35">
      <c r="A6405" s="12"/>
    </row>
    <row r="6406" spans="1:1" x14ac:dyDescent="0.35">
      <c r="A6406" s="12"/>
    </row>
    <row r="6407" spans="1:1" x14ac:dyDescent="0.35">
      <c r="A6407" s="12"/>
    </row>
    <row r="6408" spans="1:1" x14ac:dyDescent="0.35">
      <c r="A6408" s="12"/>
    </row>
    <row r="6409" spans="1:1" x14ac:dyDescent="0.35">
      <c r="A6409" s="12"/>
    </row>
    <row r="6410" spans="1:1" x14ac:dyDescent="0.35">
      <c r="A6410" s="12"/>
    </row>
    <row r="6411" spans="1:1" x14ac:dyDescent="0.35">
      <c r="A6411" s="12"/>
    </row>
    <row r="6412" spans="1:1" x14ac:dyDescent="0.35">
      <c r="A6412" s="12"/>
    </row>
    <row r="6413" spans="1:1" x14ac:dyDescent="0.35">
      <c r="A6413" s="12"/>
    </row>
    <row r="6414" spans="1:1" x14ac:dyDescent="0.35">
      <c r="A6414" s="12"/>
    </row>
    <row r="6415" spans="1:1" x14ac:dyDescent="0.35">
      <c r="A6415" s="12"/>
    </row>
    <row r="6416" spans="1:1" x14ac:dyDescent="0.35">
      <c r="A6416" s="12"/>
    </row>
    <row r="6417" spans="1:1" x14ac:dyDescent="0.35">
      <c r="A6417" s="12"/>
    </row>
    <row r="6418" spans="1:1" x14ac:dyDescent="0.35">
      <c r="A6418" s="12"/>
    </row>
    <row r="6419" spans="1:1" x14ac:dyDescent="0.35">
      <c r="A6419" s="12"/>
    </row>
    <row r="6420" spans="1:1" x14ac:dyDescent="0.35">
      <c r="A6420" s="12"/>
    </row>
    <row r="6421" spans="1:1" x14ac:dyDescent="0.35">
      <c r="A6421" s="12"/>
    </row>
    <row r="6422" spans="1:1" x14ac:dyDescent="0.35">
      <c r="A6422" s="12"/>
    </row>
    <row r="6423" spans="1:1" x14ac:dyDescent="0.35">
      <c r="A6423" s="12"/>
    </row>
    <row r="6424" spans="1:1" x14ac:dyDescent="0.35">
      <c r="A6424" s="12"/>
    </row>
    <row r="6425" spans="1:1" x14ac:dyDescent="0.35">
      <c r="A6425" s="12"/>
    </row>
    <row r="6426" spans="1:1" x14ac:dyDescent="0.35">
      <c r="A6426" s="12"/>
    </row>
    <row r="6427" spans="1:1" x14ac:dyDescent="0.35">
      <c r="A6427" s="12"/>
    </row>
    <row r="6428" spans="1:1" x14ac:dyDescent="0.35">
      <c r="A6428" s="12"/>
    </row>
    <row r="6429" spans="1:1" x14ac:dyDescent="0.35">
      <c r="A6429" s="12"/>
    </row>
    <row r="6430" spans="1:1" x14ac:dyDescent="0.35">
      <c r="A6430" s="12"/>
    </row>
    <row r="6431" spans="1:1" x14ac:dyDescent="0.35">
      <c r="A6431" s="12"/>
    </row>
    <row r="6432" spans="1:1" x14ac:dyDescent="0.35">
      <c r="A6432" s="12"/>
    </row>
    <row r="6433" spans="1:1" x14ac:dyDescent="0.35">
      <c r="A6433" s="12"/>
    </row>
    <row r="6434" spans="1:1" x14ac:dyDescent="0.35">
      <c r="A6434" s="12"/>
    </row>
    <row r="6435" spans="1:1" x14ac:dyDescent="0.35">
      <c r="A6435" s="12"/>
    </row>
    <row r="6436" spans="1:1" x14ac:dyDescent="0.35">
      <c r="A6436" s="12"/>
    </row>
    <row r="6437" spans="1:1" x14ac:dyDescent="0.35">
      <c r="A6437" s="12"/>
    </row>
    <row r="6438" spans="1:1" x14ac:dyDescent="0.35">
      <c r="A6438" s="12"/>
    </row>
    <row r="6439" spans="1:1" x14ac:dyDescent="0.35">
      <c r="A6439" s="12"/>
    </row>
    <row r="6440" spans="1:1" x14ac:dyDescent="0.35">
      <c r="A6440" s="12"/>
    </row>
    <row r="6441" spans="1:1" x14ac:dyDescent="0.35">
      <c r="A6441" s="12"/>
    </row>
    <row r="6442" spans="1:1" x14ac:dyDescent="0.35">
      <c r="A6442" s="12"/>
    </row>
    <row r="6443" spans="1:1" x14ac:dyDescent="0.35">
      <c r="A6443" s="12"/>
    </row>
    <row r="6444" spans="1:1" x14ac:dyDescent="0.35">
      <c r="A6444" s="12"/>
    </row>
    <row r="6445" spans="1:1" x14ac:dyDescent="0.35">
      <c r="A6445" s="12"/>
    </row>
    <row r="6446" spans="1:1" x14ac:dyDescent="0.35">
      <c r="A6446" s="12"/>
    </row>
    <row r="6447" spans="1:1" x14ac:dyDescent="0.35">
      <c r="A6447" s="12"/>
    </row>
    <row r="6448" spans="1:1" x14ac:dyDescent="0.35">
      <c r="A6448" s="12"/>
    </row>
    <row r="6449" spans="1:1" x14ac:dyDescent="0.35">
      <c r="A6449" s="12"/>
    </row>
    <row r="6450" spans="1:1" x14ac:dyDescent="0.35">
      <c r="A6450" s="12"/>
    </row>
    <row r="6451" spans="1:1" x14ac:dyDescent="0.35">
      <c r="A6451" s="12"/>
    </row>
    <row r="6452" spans="1:1" x14ac:dyDescent="0.35">
      <c r="A6452" s="12"/>
    </row>
    <row r="6453" spans="1:1" x14ac:dyDescent="0.35">
      <c r="A6453" s="12"/>
    </row>
    <row r="6454" spans="1:1" x14ac:dyDescent="0.35">
      <c r="A6454" s="12"/>
    </row>
    <row r="6455" spans="1:1" x14ac:dyDescent="0.35">
      <c r="A6455" s="12"/>
    </row>
    <row r="6456" spans="1:1" x14ac:dyDescent="0.35">
      <c r="A6456" s="12"/>
    </row>
    <row r="6457" spans="1:1" x14ac:dyDescent="0.35">
      <c r="A6457" s="12"/>
    </row>
    <row r="6458" spans="1:1" x14ac:dyDescent="0.35">
      <c r="A6458" s="12"/>
    </row>
    <row r="6459" spans="1:1" x14ac:dyDescent="0.35">
      <c r="A6459" s="12"/>
    </row>
    <row r="6460" spans="1:1" x14ac:dyDescent="0.35">
      <c r="A6460" s="12"/>
    </row>
    <row r="6461" spans="1:1" x14ac:dyDescent="0.35">
      <c r="A6461" s="12"/>
    </row>
    <row r="6462" spans="1:1" x14ac:dyDescent="0.35">
      <c r="A6462" s="12"/>
    </row>
    <row r="6463" spans="1:1" x14ac:dyDescent="0.35">
      <c r="A6463" s="12"/>
    </row>
    <row r="6464" spans="1:1" x14ac:dyDescent="0.35">
      <c r="A6464" s="12"/>
    </row>
    <row r="6465" spans="1:1" x14ac:dyDescent="0.35">
      <c r="A6465" s="12"/>
    </row>
    <row r="6466" spans="1:1" x14ac:dyDescent="0.35">
      <c r="A6466" s="12"/>
    </row>
    <row r="6467" spans="1:1" x14ac:dyDescent="0.35">
      <c r="A6467" s="12"/>
    </row>
    <row r="6468" spans="1:1" x14ac:dyDescent="0.35">
      <c r="A6468" s="12"/>
    </row>
    <row r="6469" spans="1:1" x14ac:dyDescent="0.35">
      <c r="A6469" s="12"/>
    </row>
    <row r="6470" spans="1:1" x14ac:dyDescent="0.35">
      <c r="A6470" s="12"/>
    </row>
    <row r="6471" spans="1:1" x14ac:dyDescent="0.35">
      <c r="A6471" s="12"/>
    </row>
    <row r="6472" spans="1:1" x14ac:dyDescent="0.35">
      <c r="A6472" s="12"/>
    </row>
    <row r="6473" spans="1:1" x14ac:dyDescent="0.35">
      <c r="A6473" s="12"/>
    </row>
    <row r="6474" spans="1:1" x14ac:dyDescent="0.35">
      <c r="A6474" s="12"/>
    </row>
    <row r="6475" spans="1:1" x14ac:dyDescent="0.35">
      <c r="A6475" s="12"/>
    </row>
    <row r="6476" spans="1:1" x14ac:dyDescent="0.35">
      <c r="A6476" s="12"/>
    </row>
    <row r="6477" spans="1:1" x14ac:dyDescent="0.35">
      <c r="A6477" s="12"/>
    </row>
    <row r="6478" spans="1:1" x14ac:dyDescent="0.35">
      <c r="A6478" s="12"/>
    </row>
    <row r="6479" spans="1:1" x14ac:dyDescent="0.35">
      <c r="A6479" s="12"/>
    </row>
    <row r="6480" spans="1:1" x14ac:dyDescent="0.35">
      <c r="A6480" s="12"/>
    </row>
    <row r="6481" spans="1:1" x14ac:dyDescent="0.35">
      <c r="A6481" s="12"/>
    </row>
    <row r="6482" spans="1:1" x14ac:dyDescent="0.35">
      <c r="A6482" s="12"/>
    </row>
    <row r="6483" spans="1:1" x14ac:dyDescent="0.35">
      <c r="A6483" s="12"/>
    </row>
    <row r="6484" spans="1:1" x14ac:dyDescent="0.35">
      <c r="A6484" s="12"/>
    </row>
    <row r="6485" spans="1:1" x14ac:dyDescent="0.35">
      <c r="A6485" s="12"/>
    </row>
    <row r="6486" spans="1:1" x14ac:dyDescent="0.35">
      <c r="A6486" s="12"/>
    </row>
    <row r="6487" spans="1:1" x14ac:dyDescent="0.35">
      <c r="A6487" s="12"/>
    </row>
    <row r="6488" spans="1:1" x14ac:dyDescent="0.35">
      <c r="A6488" s="12"/>
    </row>
    <row r="6489" spans="1:1" x14ac:dyDescent="0.35">
      <c r="A6489" s="12"/>
    </row>
    <row r="6490" spans="1:1" x14ac:dyDescent="0.35">
      <c r="A6490" s="12"/>
    </row>
    <row r="6491" spans="1:1" x14ac:dyDescent="0.35">
      <c r="A6491" s="12"/>
    </row>
    <row r="6492" spans="1:1" x14ac:dyDescent="0.35">
      <c r="A6492" s="12"/>
    </row>
    <row r="6493" spans="1:1" x14ac:dyDescent="0.35">
      <c r="A6493" s="12"/>
    </row>
    <row r="6494" spans="1:1" x14ac:dyDescent="0.35">
      <c r="A6494" s="12"/>
    </row>
    <row r="6495" spans="1:1" x14ac:dyDescent="0.35">
      <c r="A6495" s="12"/>
    </row>
    <row r="6496" spans="1:1" x14ac:dyDescent="0.35">
      <c r="A6496" s="12"/>
    </row>
    <row r="6497" spans="1:1" x14ac:dyDescent="0.35">
      <c r="A6497" s="12"/>
    </row>
    <row r="6498" spans="1:1" x14ac:dyDescent="0.35">
      <c r="A6498" s="12"/>
    </row>
    <row r="6499" spans="1:1" x14ac:dyDescent="0.35">
      <c r="A6499" s="12"/>
    </row>
    <row r="6500" spans="1:1" x14ac:dyDescent="0.35">
      <c r="A6500" s="12"/>
    </row>
    <row r="6501" spans="1:1" x14ac:dyDescent="0.35">
      <c r="A6501" s="12"/>
    </row>
    <row r="6502" spans="1:1" x14ac:dyDescent="0.35">
      <c r="A6502" s="12"/>
    </row>
    <row r="6503" spans="1:1" x14ac:dyDescent="0.35">
      <c r="A6503" s="12"/>
    </row>
    <row r="6504" spans="1:1" x14ac:dyDescent="0.35">
      <c r="A6504" s="12"/>
    </row>
    <row r="6505" spans="1:1" x14ac:dyDescent="0.35">
      <c r="A6505" s="12"/>
    </row>
    <row r="6506" spans="1:1" x14ac:dyDescent="0.35">
      <c r="A6506" s="12"/>
    </row>
    <row r="6507" spans="1:1" x14ac:dyDescent="0.35">
      <c r="A6507" s="12"/>
    </row>
    <row r="6508" spans="1:1" x14ac:dyDescent="0.35">
      <c r="A6508" s="12"/>
    </row>
    <row r="6509" spans="1:1" x14ac:dyDescent="0.35">
      <c r="A6509" s="12"/>
    </row>
    <row r="6510" spans="1:1" x14ac:dyDescent="0.35">
      <c r="A6510" s="12"/>
    </row>
    <row r="6511" spans="1:1" x14ac:dyDescent="0.35">
      <c r="A6511" s="12"/>
    </row>
    <row r="6512" spans="1:1" x14ac:dyDescent="0.35">
      <c r="A6512" s="12"/>
    </row>
    <row r="6513" spans="1:1" x14ac:dyDescent="0.35">
      <c r="A6513" s="12"/>
    </row>
    <row r="6514" spans="1:1" x14ac:dyDescent="0.35">
      <c r="A6514" s="12"/>
    </row>
    <row r="6515" spans="1:1" x14ac:dyDescent="0.35">
      <c r="A6515" s="12"/>
    </row>
    <row r="6516" spans="1:1" x14ac:dyDescent="0.35">
      <c r="A6516" s="12"/>
    </row>
    <row r="6517" spans="1:1" x14ac:dyDescent="0.35">
      <c r="A6517" s="12"/>
    </row>
    <row r="6518" spans="1:1" x14ac:dyDescent="0.35">
      <c r="A6518" s="12"/>
    </row>
    <row r="6519" spans="1:1" x14ac:dyDescent="0.35">
      <c r="A6519" s="12"/>
    </row>
    <row r="6520" spans="1:1" x14ac:dyDescent="0.35">
      <c r="A6520" s="12"/>
    </row>
    <row r="6521" spans="1:1" x14ac:dyDescent="0.35">
      <c r="A6521" s="12"/>
    </row>
    <row r="6522" spans="1:1" x14ac:dyDescent="0.35">
      <c r="A6522" s="12"/>
    </row>
    <row r="6523" spans="1:1" x14ac:dyDescent="0.35">
      <c r="A6523" s="12"/>
    </row>
    <row r="6524" spans="1:1" x14ac:dyDescent="0.35">
      <c r="A6524" s="12"/>
    </row>
    <row r="6525" spans="1:1" x14ac:dyDescent="0.35">
      <c r="A6525" s="12"/>
    </row>
    <row r="6526" spans="1:1" x14ac:dyDescent="0.35">
      <c r="A6526" s="12"/>
    </row>
    <row r="6527" spans="1:1" x14ac:dyDescent="0.35">
      <c r="A6527" s="12"/>
    </row>
    <row r="6528" spans="1:1" x14ac:dyDescent="0.35">
      <c r="A6528" s="12"/>
    </row>
    <row r="6529" spans="1:1" x14ac:dyDescent="0.35">
      <c r="A6529" s="12"/>
    </row>
    <row r="6530" spans="1:1" x14ac:dyDescent="0.35">
      <c r="A6530" s="12"/>
    </row>
    <row r="6531" spans="1:1" x14ac:dyDescent="0.35">
      <c r="A6531" s="12"/>
    </row>
    <row r="6532" spans="1:1" x14ac:dyDescent="0.35">
      <c r="A6532" s="12"/>
    </row>
    <row r="6533" spans="1:1" x14ac:dyDescent="0.35">
      <c r="A6533" s="12"/>
    </row>
    <row r="6534" spans="1:1" x14ac:dyDescent="0.35">
      <c r="A6534" s="12"/>
    </row>
    <row r="6535" spans="1:1" x14ac:dyDescent="0.35">
      <c r="A6535" s="12"/>
    </row>
    <row r="6536" spans="1:1" x14ac:dyDescent="0.35">
      <c r="A6536" s="12"/>
    </row>
    <row r="6537" spans="1:1" x14ac:dyDescent="0.35">
      <c r="A6537" s="12"/>
    </row>
    <row r="6538" spans="1:1" x14ac:dyDescent="0.35">
      <c r="A6538" s="12"/>
    </row>
    <row r="6539" spans="1:1" x14ac:dyDescent="0.35">
      <c r="A6539" s="12"/>
    </row>
    <row r="6540" spans="1:1" x14ac:dyDescent="0.35">
      <c r="A6540" s="12"/>
    </row>
    <row r="6541" spans="1:1" x14ac:dyDescent="0.35">
      <c r="A6541" s="12"/>
    </row>
    <row r="6542" spans="1:1" x14ac:dyDescent="0.35">
      <c r="A6542" s="12"/>
    </row>
    <row r="6543" spans="1:1" x14ac:dyDescent="0.35">
      <c r="A6543" s="12"/>
    </row>
    <row r="6544" spans="1:1" x14ac:dyDescent="0.35">
      <c r="A6544" s="12"/>
    </row>
    <row r="6545" spans="1:1" x14ac:dyDescent="0.35">
      <c r="A6545" s="12"/>
    </row>
    <row r="6546" spans="1:1" x14ac:dyDescent="0.35">
      <c r="A6546" s="12"/>
    </row>
    <row r="6547" spans="1:1" x14ac:dyDescent="0.35">
      <c r="A6547" s="12"/>
    </row>
    <row r="6548" spans="1:1" x14ac:dyDescent="0.35">
      <c r="A6548" s="12"/>
    </row>
    <row r="6549" spans="1:1" x14ac:dyDescent="0.35">
      <c r="A6549" s="12"/>
    </row>
    <row r="6550" spans="1:1" x14ac:dyDescent="0.35">
      <c r="A6550" s="12"/>
    </row>
    <row r="6551" spans="1:1" x14ac:dyDescent="0.35">
      <c r="A6551" s="12"/>
    </row>
    <row r="6552" spans="1:1" x14ac:dyDescent="0.35">
      <c r="A6552" s="12"/>
    </row>
    <row r="6553" spans="1:1" x14ac:dyDescent="0.35">
      <c r="A6553" s="12"/>
    </row>
    <row r="6554" spans="1:1" x14ac:dyDescent="0.35">
      <c r="A6554" s="12"/>
    </row>
    <row r="6555" spans="1:1" x14ac:dyDescent="0.35">
      <c r="A6555" s="12"/>
    </row>
    <row r="6556" spans="1:1" x14ac:dyDescent="0.35">
      <c r="A6556" s="12"/>
    </row>
    <row r="6557" spans="1:1" x14ac:dyDescent="0.35">
      <c r="A6557" s="12"/>
    </row>
    <row r="6558" spans="1:1" x14ac:dyDescent="0.35">
      <c r="A6558" s="12"/>
    </row>
    <row r="6559" spans="1:1" x14ac:dyDescent="0.35">
      <c r="A6559" s="12"/>
    </row>
    <row r="6560" spans="1:1" x14ac:dyDescent="0.35">
      <c r="A6560" s="12"/>
    </row>
    <row r="6561" spans="1:1" x14ac:dyDescent="0.35">
      <c r="A6561" s="12"/>
    </row>
    <row r="6562" spans="1:1" x14ac:dyDescent="0.35">
      <c r="A6562" s="12"/>
    </row>
    <row r="6563" spans="1:1" x14ac:dyDescent="0.35">
      <c r="A6563" s="12"/>
    </row>
    <row r="6564" spans="1:1" x14ac:dyDescent="0.35">
      <c r="A6564" s="12"/>
    </row>
    <row r="6565" spans="1:1" x14ac:dyDescent="0.35">
      <c r="A6565" s="12"/>
    </row>
    <row r="6566" spans="1:1" x14ac:dyDescent="0.35">
      <c r="A6566" s="12"/>
    </row>
    <row r="6567" spans="1:1" x14ac:dyDescent="0.35">
      <c r="A6567" s="12"/>
    </row>
    <row r="6568" spans="1:1" x14ac:dyDescent="0.35">
      <c r="A6568" s="12"/>
    </row>
    <row r="6569" spans="1:1" x14ac:dyDescent="0.35">
      <c r="A6569" s="12"/>
    </row>
    <row r="6570" spans="1:1" x14ac:dyDescent="0.35">
      <c r="A6570" s="12"/>
    </row>
    <row r="6571" spans="1:1" x14ac:dyDescent="0.35">
      <c r="A6571" s="12"/>
    </row>
    <row r="6572" spans="1:1" x14ac:dyDescent="0.35">
      <c r="A6572" s="12"/>
    </row>
    <row r="6573" spans="1:1" x14ac:dyDescent="0.35">
      <c r="A6573" s="12"/>
    </row>
    <row r="6574" spans="1:1" x14ac:dyDescent="0.35">
      <c r="A6574" s="12"/>
    </row>
    <row r="6575" spans="1:1" x14ac:dyDescent="0.35">
      <c r="A6575" s="12"/>
    </row>
    <row r="6576" spans="1:1" x14ac:dyDescent="0.35">
      <c r="A6576" s="12"/>
    </row>
    <row r="6577" spans="1:1" x14ac:dyDescent="0.35">
      <c r="A6577" s="12"/>
    </row>
    <row r="6578" spans="1:1" x14ac:dyDescent="0.35">
      <c r="A6578" s="12"/>
    </row>
    <row r="6579" spans="1:1" x14ac:dyDescent="0.35">
      <c r="A6579" s="12"/>
    </row>
    <row r="6580" spans="1:1" x14ac:dyDescent="0.35">
      <c r="A6580" s="12"/>
    </row>
    <row r="6581" spans="1:1" x14ac:dyDescent="0.35">
      <c r="A6581" s="12"/>
    </row>
    <row r="6582" spans="1:1" x14ac:dyDescent="0.35">
      <c r="A6582" s="12"/>
    </row>
    <row r="6583" spans="1:1" x14ac:dyDescent="0.35">
      <c r="A6583" s="12"/>
    </row>
    <row r="6584" spans="1:1" x14ac:dyDescent="0.35">
      <c r="A6584" s="12"/>
    </row>
    <row r="6585" spans="1:1" x14ac:dyDescent="0.35">
      <c r="A6585" s="12"/>
    </row>
    <row r="6586" spans="1:1" x14ac:dyDescent="0.35">
      <c r="A6586" s="12"/>
    </row>
    <row r="6587" spans="1:1" x14ac:dyDescent="0.35">
      <c r="A6587" s="12"/>
    </row>
    <row r="6588" spans="1:1" x14ac:dyDescent="0.35">
      <c r="A6588" s="12"/>
    </row>
    <row r="6589" spans="1:1" x14ac:dyDescent="0.35">
      <c r="A6589" s="12"/>
    </row>
    <row r="6590" spans="1:1" x14ac:dyDescent="0.35">
      <c r="A6590" s="12"/>
    </row>
    <row r="6591" spans="1:1" x14ac:dyDescent="0.35">
      <c r="A6591" s="12"/>
    </row>
    <row r="6592" spans="1:1" x14ac:dyDescent="0.35">
      <c r="A6592" s="12"/>
    </row>
    <row r="6593" spans="1:1" x14ac:dyDescent="0.35">
      <c r="A6593" s="12"/>
    </row>
    <row r="6594" spans="1:1" x14ac:dyDescent="0.35">
      <c r="A6594" s="12"/>
    </row>
    <row r="6595" spans="1:1" x14ac:dyDescent="0.35">
      <c r="A6595" s="12"/>
    </row>
    <row r="6596" spans="1:1" x14ac:dyDescent="0.35">
      <c r="A6596" s="12"/>
    </row>
    <row r="6597" spans="1:1" x14ac:dyDescent="0.35">
      <c r="A6597" s="12"/>
    </row>
    <row r="6598" spans="1:1" x14ac:dyDescent="0.35">
      <c r="A6598" s="12"/>
    </row>
    <row r="6599" spans="1:1" x14ac:dyDescent="0.35">
      <c r="A6599" s="12"/>
    </row>
    <row r="6600" spans="1:1" x14ac:dyDescent="0.35">
      <c r="A6600" s="12"/>
    </row>
    <row r="6601" spans="1:1" x14ac:dyDescent="0.35">
      <c r="A6601" s="12"/>
    </row>
    <row r="6602" spans="1:1" x14ac:dyDescent="0.35">
      <c r="A6602" s="12"/>
    </row>
    <row r="6603" spans="1:1" x14ac:dyDescent="0.35">
      <c r="A6603" s="12"/>
    </row>
    <row r="6604" spans="1:1" x14ac:dyDescent="0.35">
      <c r="A6604" s="12"/>
    </row>
    <row r="6605" spans="1:1" x14ac:dyDescent="0.35">
      <c r="A6605" s="12"/>
    </row>
    <row r="6606" spans="1:1" x14ac:dyDescent="0.35">
      <c r="A6606" s="12"/>
    </row>
    <row r="6607" spans="1:1" x14ac:dyDescent="0.35">
      <c r="A6607" s="12"/>
    </row>
    <row r="6608" spans="1:1" x14ac:dyDescent="0.35">
      <c r="A6608" s="12"/>
    </row>
    <row r="6609" spans="1:1" x14ac:dyDescent="0.35">
      <c r="A6609" s="12"/>
    </row>
    <row r="6610" spans="1:1" x14ac:dyDescent="0.35">
      <c r="A6610" s="12"/>
    </row>
    <row r="6611" spans="1:1" x14ac:dyDescent="0.35">
      <c r="A6611" s="12"/>
    </row>
    <row r="6612" spans="1:1" x14ac:dyDescent="0.35">
      <c r="A6612" s="12"/>
    </row>
    <row r="6613" spans="1:1" x14ac:dyDescent="0.35">
      <c r="A6613" s="12"/>
    </row>
    <row r="6614" spans="1:1" x14ac:dyDescent="0.35">
      <c r="A6614" s="12"/>
    </row>
    <row r="6615" spans="1:1" x14ac:dyDescent="0.35">
      <c r="A6615" s="12"/>
    </row>
    <row r="6616" spans="1:1" x14ac:dyDescent="0.35">
      <c r="A6616" s="12"/>
    </row>
    <row r="6617" spans="1:1" x14ac:dyDescent="0.35">
      <c r="A6617" s="12"/>
    </row>
    <row r="6618" spans="1:1" x14ac:dyDescent="0.35">
      <c r="A6618" s="12"/>
    </row>
    <row r="6619" spans="1:1" x14ac:dyDescent="0.35">
      <c r="A6619" s="12"/>
    </row>
    <row r="6620" spans="1:1" x14ac:dyDescent="0.35">
      <c r="A6620" s="12"/>
    </row>
    <row r="6621" spans="1:1" x14ac:dyDescent="0.35">
      <c r="A6621" s="12"/>
    </row>
    <row r="6622" spans="1:1" x14ac:dyDescent="0.35">
      <c r="A6622" s="12"/>
    </row>
    <row r="6623" spans="1:1" x14ac:dyDescent="0.35">
      <c r="A6623" s="12"/>
    </row>
    <row r="6624" spans="1:1" x14ac:dyDescent="0.35">
      <c r="A6624" s="12"/>
    </row>
    <row r="6625" spans="1:1" x14ac:dyDescent="0.35">
      <c r="A6625" s="12"/>
    </row>
    <row r="6626" spans="1:1" x14ac:dyDescent="0.35">
      <c r="A6626" s="12"/>
    </row>
    <row r="6627" spans="1:1" x14ac:dyDescent="0.35">
      <c r="A6627" s="12"/>
    </row>
    <row r="6628" spans="1:1" x14ac:dyDescent="0.35">
      <c r="A6628" s="12"/>
    </row>
    <row r="6629" spans="1:1" x14ac:dyDescent="0.35">
      <c r="A6629" s="12"/>
    </row>
    <row r="6630" spans="1:1" x14ac:dyDescent="0.35">
      <c r="A6630" s="12"/>
    </row>
    <row r="6631" spans="1:1" x14ac:dyDescent="0.35">
      <c r="A6631" s="12"/>
    </row>
    <row r="6632" spans="1:1" x14ac:dyDescent="0.35">
      <c r="A6632" s="12"/>
    </row>
    <row r="6633" spans="1:1" x14ac:dyDescent="0.35">
      <c r="A6633" s="12"/>
    </row>
    <row r="6634" spans="1:1" x14ac:dyDescent="0.35">
      <c r="A6634" s="12"/>
    </row>
    <row r="6635" spans="1:1" x14ac:dyDescent="0.35">
      <c r="A6635" s="12"/>
    </row>
    <row r="6636" spans="1:1" x14ac:dyDescent="0.35">
      <c r="A6636" s="12"/>
    </row>
    <row r="6637" spans="1:1" x14ac:dyDescent="0.35">
      <c r="A6637" s="12"/>
    </row>
    <row r="6638" spans="1:1" x14ac:dyDescent="0.35">
      <c r="A6638" s="12"/>
    </row>
    <row r="6639" spans="1:1" x14ac:dyDescent="0.35">
      <c r="A6639" s="12"/>
    </row>
    <row r="6640" spans="1:1" x14ac:dyDescent="0.35">
      <c r="A6640" s="12"/>
    </row>
    <row r="6641" spans="1:1" x14ac:dyDescent="0.35">
      <c r="A6641" s="12"/>
    </row>
    <row r="6642" spans="1:1" x14ac:dyDescent="0.35">
      <c r="A6642" s="12"/>
    </row>
    <row r="6643" spans="1:1" x14ac:dyDescent="0.35">
      <c r="A6643" s="12"/>
    </row>
    <row r="6644" spans="1:1" x14ac:dyDescent="0.35">
      <c r="A6644" s="12"/>
    </row>
    <row r="6645" spans="1:1" x14ac:dyDescent="0.35">
      <c r="A6645" s="12"/>
    </row>
    <row r="6646" spans="1:1" x14ac:dyDescent="0.35">
      <c r="A6646" s="12"/>
    </row>
    <row r="6647" spans="1:1" x14ac:dyDescent="0.35">
      <c r="A6647" s="12"/>
    </row>
    <row r="6648" spans="1:1" x14ac:dyDescent="0.35">
      <c r="A6648" s="12"/>
    </row>
    <row r="6649" spans="1:1" x14ac:dyDescent="0.35">
      <c r="A6649" s="12"/>
    </row>
    <row r="6650" spans="1:1" x14ac:dyDescent="0.35">
      <c r="A6650" s="12"/>
    </row>
    <row r="6651" spans="1:1" x14ac:dyDescent="0.35">
      <c r="A6651" s="12"/>
    </row>
    <row r="6652" spans="1:1" x14ac:dyDescent="0.35">
      <c r="A6652" s="12"/>
    </row>
    <row r="6653" spans="1:1" x14ac:dyDescent="0.35">
      <c r="A6653" s="12"/>
    </row>
    <row r="6654" spans="1:1" x14ac:dyDescent="0.35">
      <c r="A6654" s="12"/>
    </row>
    <row r="6655" spans="1:1" x14ac:dyDescent="0.35">
      <c r="A6655" s="12"/>
    </row>
    <row r="6656" spans="1:1" x14ac:dyDescent="0.35">
      <c r="A6656" s="12"/>
    </row>
    <row r="6657" spans="1:1" x14ac:dyDescent="0.35">
      <c r="A6657" s="12"/>
    </row>
    <row r="6658" spans="1:1" x14ac:dyDescent="0.35">
      <c r="A6658" s="12"/>
    </row>
    <row r="6659" spans="1:1" x14ac:dyDescent="0.35">
      <c r="A6659" s="12"/>
    </row>
    <row r="6660" spans="1:1" x14ac:dyDescent="0.35">
      <c r="A6660" s="12"/>
    </row>
    <row r="6661" spans="1:1" x14ac:dyDescent="0.35">
      <c r="A6661" s="12"/>
    </row>
    <row r="6662" spans="1:1" x14ac:dyDescent="0.35">
      <c r="A6662" s="12"/>
    </row>
    <row r="6663" spans="1:1" x14ac:dyDescent="0.35">
      <c r="A6663" s="12"/>
    </row>
    <row r="6664" spans="1:1" x14ac:dyDescent="0.35">
      <c r="A6664" s="12"/>
    </row>
    <row r="6665" spans="1:1" x14ac:dyDescent="0.35">
      <c r="A6665" s="12"/>
    </row>
    <row r="6666" spans="1:1" x14ac:dyDescent="0.35">
      <c r="A6666" s="12"/>
    </row>
    <row r="6667" spans="1:1" x14ac:dyDescent="0.35">
      <c r="A6667" s="12"/>
    </row>
    <row r="6668" spans="1:1" x14ac:dyDescent="0.35">
      <c r="A6668" s="12"/>
    </row>
    <row r="6669" spans="1:1" x14ac:dyDescent="0.35">
      <c r="A6669" s="12"/>
    </row>
    <row r="6670" spans="1:1" x14ac:dyDescent="0.35">
      <c r="A6670" s="12"/>
    </row>
    <row r="6671" spans="1:1" x14ac:dyDescent="0.35">
      <c r="A6671" s="12"/>
    </row>
    <row r="6672" spans="1:1" x14ac:dyDescent="0.35">
      <c r="A6672" s="12"/>
    </row>
    <row r="6673" spans="1:1" x14ac:dyDescent="0.35">
      <c r="A6673" s="12"/>
    </row>
    <row r="6674" spans="1:1" x14ac:dyDescent="0.35">
      <c r="A6674" s="12"/>
    </row>
    <row r="6675" spans="1:1" x14ac:dyDescent="0.35">
      <c r="A6675" s="12"/>
    </row>
    <row r="6676" spans="1:1" x14ac:dyDescent="0.35">
      <c r="A6676" s="12"/>
    </row>
    <row r="6677" spans="1:1" x14ac:dyDescent="0.35">
      <c r="A6677" s="12"/>
    </row>
    <row r="6678" spans="1:1" x14ac:dyDescent="0.35">
      <c r="A6678" s="12"/>
    </row>
    <row r="6679" spans="1:1" x14ac:dyDescent="0.35">
      <c r="A6679" s="12"/>
    </row>
    <row r="6680" spans="1:1" x14ac:dyDescent="0.35">
      <c r="A6680" s="12"/>
    </row>
    <row r="6681" spans="1:1" x14ac:dyDescent="0.35">
      <c r="A6681" s="12"/>
    </row>
    <row r="6682" spans="1:1" x14ac:dyDescent="0.35">
      <c r="A6682" s="12"/>
    </row>
    <row r="6683" spans="1:1" x14ac:dyDescent="0.35">
      <c r="A6683" s="12"/>
    </row>
    <row r="6684" spans="1:1" x14ac:dyDescent="0.35">
      <c r="A6684" s="12"/>
    </row>
    <row r="6685" spans="1:1" x14ac:dyDescent="0.35">
      <c r="A6685" s="12"/>
    </row>
    <row r="6686" spans="1:1" x14ac:dyDescent="0.35">
      <c r="A6686" s="12"/>
    </row>
    <row r="6687" spans="1:1" x14ac:dyDescent="0.35">
      <c r="A6687" s="12"/>
    </row>
    <row r="6688" spans="1:1" x14ac:dyDescent="0.35">
      <c r="A6688" s="12"/>
    </row>
    <row r="6689" spans="1:1" x14ac:dyDescent="0.35">
      <c r="A6689" s="12"/>
    </row>
    <row r="6690" spans="1:1" x14ac:dyDescent="0.35">
      <c r="A6690" s="12"/>
    </row>
    <row r="6691" spans="1:1" x14ac:dyDescent="0.35">
      <c r="A6691" s="12"/>
    </row>
    <row r="6692" spans="1:1" x14ac:dyDescent="0.35">
      <c r="A6692" s="12"/>
    </row>
    <row r="6693" spans="1:1" x14ac:dyDescent="0.35">
      <c r="A6693" s="12"/>
    </row>
    <row r="6694" spans="1:1" x14ac:dyDescent="0.35">
      <c r="A6694" s="12"/>
    </row>
    <row r="6695" spans="1:1" x14ac:dyDescent="0.35">
      <c r="A6695" s="12"/>
    </row>
    <row r="6696" spans="1:1" x14ac:dyDescent="0.35">
      <c r="A6696" s="12"/>
    </row>
    <row r="6697" spans="1:1" x14ac:dyDescent="0.35">
      <c r="A6697" s="12"/>
    </row>
    <row r="6698" spans="1:1" x14ac:dyDescent="0.35">
      <c r="A6698" s="12"/>
    </row>
    <row r="6699" spans="1:1" x14ac:dyDescent="0.35">
      <c r="A6699" s="12"/>
    </row>
    <row r="6700" spans="1:1" x14ac:dyDescent="0.35">
      <c r="A6700" s="12"/>
    </row>
    <row r="6701" spans="1:1" x14ac:dyDescent="0.35">
      <c r="A6701" s="12"/>
    </row>
    <row r="6702" spans="1:1" x14ac:dyDescent="0.35">
      <c r="A6702" s="12"/>
    </row>
    <row r="6703" spans="1:1" x14ac:dyDescent="0.35">
      <c r="A6703" s="12"/>
    </row>
    <row r="6704" spans="1:1" x14ac:dyDescent="0.35">
      <c r="A6704" s="12"/>
    </row>
    <row r="6705" spans="1:1" x14ac:dyDescent="0.35">
      <c r="A6705" s="12"/>
    </row>
    <row r="6706" spans="1:1" x14ac:dyDescent="0.35">
      <c r="A6706" s="12"/>
    </row>
    <row r="6707" spans="1:1" x14ac:dyDescent="0.35">
      <c r="A6707" s="12"/>
    </row>
    <row r="6708" spans="1:1" x14ac:dyDescent="0.35">
      <c r="A6708" s="12"/>
    </row>
    <row r="6709" spans="1:1" x14ac:dyDescent="0.35">
      <c r="A6709" s="12"/>
    </row>
    <row r="6710" spans="1:1" x14ac:dyDescent="0.35">
      <c r="A6710" s="12"/>
    </row>
    <row r="6711" spans="1:1" x14ac:dyDescent="0.35">
      <c r="A6711" s="12"/>
    </row>
    <row r="6712" spans="1:1" x14ac:dyDescent="0.35">
      <c r="A6712" s="12"/>
    </row>
    <row r="6713" spans="1:1" x14ac:dyDescent="0.35">
      <c r="A6713" s="12"/>
    </row>
    <row r="6714" spans="1:1" x14ac:dyDescent="0.35">
      <c r="A6714" s="12"/>
    </row>
    <row r="6715" spans="1:1" x14ac:dyDescent="0.35">
      <c r="A6715" s="12"/>
    </row>
    <row r="6716" spans="1:1" x14ac:dyDescent="0.35">
      <c r="A6716" s="12"/>
    </row>
    <row r="6717" spans="1:1" x14ac:dyDescent="0.35">
      <c r="A6717" s="12"/>
    </row>
    <row r="6718" spans="1:1" x14ac:dyDescent="0.35">
      <c r="A6718" s="12"/>
    </row>
    <row r="6719" spans="1:1" x14ac:dyDescent="0.35">
      <c r="A6719" s="12"/>
    </row>
    <row r="6720" spans="1:1" x14ac:dyDescent="0.35">
      <c r="A6720" s="12"/>
    </row>
    <row r="6721" spans="1:1" x14ac:dyDescent="0.35">
      <c r="A6721" s="12"/>
    </row>
    <row r="6722" spans="1:1" x14ac:dyDescent="0.35">
      <c r="A6722" s="12"/>
    </row>
    <row r="6723" spans="1:1" x14ac:dyDescent="0.35">
      <c r="A6723" s="12"/>
    </row>
    <row r="6724" spans="1:1" x14ac:dyDescent="0.35">
      <c r="A6724" s="12"/>
    </row>
    <row r="6725" spans="1:1" x14ac:dyDescent="0.35">
      <c r="A6725" s="12"/>
    </row>
    <row r="6726" spans="1:1" x14ac:dyDescent="0.35">
      <c r="A6726" s="12"/>
    </row>
    <row r="6727" spans="1:1" x14ac:dyDescent="0.35">
      <c r="A6727" s="12"/>
    </row>
    <row r="6728" spans="1:1" x14ac:dyDescent="0.35">
      <c r="A6728" s="12"/>
    </row>
    <row r="6729" spans="1:1" x14ac:dyDescent="0.35">
      <c r="A6729" s="12"/>
    </row>
    <row r="6730" spans="1:1" x14ac:dyDescent="0.35">
      <c r="A6730" s="12"/>
    </row>
    <row r="6731" spans="1:1" x14ac:dyDescent="0.35">
      <c r="A6731" s="12"/>
    </row>
    <row r="6732" spans="1:1" x14ac:dyDescent="0.35">
      <c r="A6732" s="12"/>
    </row>
    <row r="6733" spans="1:1" x14ac:dyDescent="0.35">
      <c r="A6733" s="12"/>
    </row>
    <row r="6734" spans="1:1" x14ac:dyDescent="0.35">
      <c r="A6734" s="12"/>
    </row>
    <row r="6735" spans="1:1" x14ac:dyDescent="0.35">
      <c r="A6735" s="12"/>
    </row>
    <row r="6736" spans="1:1" x14ac:dyDescent="0.35">
      <c r="A6736" s="12"/>
    </row>
    <row r="6737" spans="1:1" x14ac:dyDescent="0.35">
      <c r="A6737" s="12"/>
    </row>
    <row r="6738" spans="1:1" x14ac:dyDescent="0.35">
      <c r="A6738" s="12"/>
    </row>
    <row r="6739" spans="1:1" x14ac:dyDescent="0.35">
      <c r="A6739" s="12"/>
    </row>
    <row r="6740" spans="1:1" x14ac:dyDescent="0.35">
      <c r="A6740" s="12"/>
    </row>
    <row r="6741" spans="1:1" x14ac:dyDescent="0.35">
      <c r="A6741" s="12"/>
    </row>
    <row r="6742" spans="1:1" x14ac:dyDescent="0.35">
      <c r="A6742" s="12"/>
    </row>
    <row r="6743" spans="1:1" x14ac:dyDescent="0.35">
      <c r="A6743" s="12"/>
    </row>
    <row r="6744" spans="1:1" x14ac:dyDescent="0.35">
      <c r="A6744" s="12"/>
    </row>
    <row r="6745" spans="1:1" x14ac:dyDescent="0.35">
      <c r="A6745" s="12"/>
    </row>
    <row r="6746" spans="1:1" x14ac:dyDescent="0.35">
      <c r="A6746" s="12"/>
    </row>
    <row r="6747" spans="1:1" x14ac:dyDescent="0.35">
      <c r="A6747" s="12"/>
    </row>
    <row r="6748" spans="1:1" x14ac:dyDescent="0.35">
      <c r="A6748" s="12"/>
    </row>
    <row r="6749" spans="1:1" x14ac:dyDescent="0.35">
      <c r="A6749" s="12"/>
    </row>
    <row r="6750" spans="1:1" x14ac:dyDescent="0.35">
      <c r="A6750" s="12"/>
    </row>
    <row r="6751" spans="1:1" x14ac:dyDescent="0.35">
      <c r="A6751" s="12"/>
    </row>
    <row r="6752" spans="1:1" x14ac:dyDescent="0.35">
      <c r="A6752" s="12"/>
    </row>
    <row r="6753" spans="1:1" x14ac:dyDescent="0.35">
      <c r="A6753" s="12"/>
    </row>
    <row r="6754" spans="1:1" x14ac:dyDescent="0.35">
      <c r="A6754" s="12"/>
    </row>
    <row r="6755" spans="1:1" x14ac:dyDescent="0.35">
      <c r="A6755" s="12"/>
    </row>
    <row r="6756" spans="1:1" x14ac:dyDescent="0.35">
      <c r="A6756" s="12"/>
    </row>
    <row r="6757" spans="1:1" x14ac:dyDescent="0.35">
      <c r="A6757" s="12"/>
    </row>
    <row r="6758" spans="1:1" x14ac:dyDescent="0.35">
      <c r="A6758" s="12"/>
    </row>
    <row r="6759" spans="1:1" x14ac:dyDescent="0.35">
      <c r="A6759" s="12"/>
    </row>
    <row r="6760" spans="1:1" x14ac:dyDescent="0.35">
      <c r="A6760" s="12"/>
    </row>
    <row r="6761" spans="1:1" x14ac:dyDescent="0.35">
      <c r="A6761" s="12"/>
    </row>
    <row r="6762" spans="1:1" x14ac:dyDescent="0.35">
      <c r="A6762" s="12"/>
    </row>
    <row r="6763" spans="1:1" x14ac:dyDescent="0.35">
      <c r="A6763" s="12"/>
    </row>
    <row r="6764" spans="1:1" x14ac:dyDescent="0.35">
      <c r="A6764" s="12"/>
    </row>
    <row r="6765" spans="1:1" x14ac:dyDescent="0.35">
      <c r="A6765" s="12"/>
    </row>
    <row r="6766" spans="1:1" x14ac:dyDescent="0.35">
      <c r="A6766" s="12"/>
    </row>
    <row r="6767" spans="1:1" x14ac:dyDescent="0.35">
      <c r="A6767" s="12"/>
    </row>
    <row r="6768" spans="1:1" x14ac:dyDescent="0.35">
      <c r="A6768" s="12"/>
    </row>
    <row r="6769" spans="1:1" x14ac:dyDescent="0.35">
      <c r="A6769" s="12"/>
    </row>
    <row r="6770" spans="1:1" x14ac:dyDescent="0.35">
      <c r="A6770" s="12"/>
    </row>
    <row r="6771" spans="1:1" x14ac:dyDescent="0.35">
      <c r="A6771" s="12"/>
    </row>
    <row r="6772" spans="1:1" x14ac:dyDescent="0.35">
      <c r="A6772" s="12"/>
    </row>
    <row r="6773" spans="1:1" x14ac:dyDescent="0.35">
      <c r="A6773" s="12"/>
    </row>
    <row r="6774" spans="1:1" x14ac:dyDescent="0.35">
      <c r="A6774" s="12"/>
    </row>
    <row r="6775" spans="1:1" x14ac:dyDescent="0.35">
      <c r="A6775" s="12"/>
    </row>
    <row r="6776" spans="1:1" x14ac:dyDescent="0.35">
      <c r="A6776" s="12"/>
    </row>
    <row r="6777" spans="1:1" x14ac:dyDescent="0.35">
      <c r="A6777" s="12"/>
    </row>
    <row r="6778" spans="1:1" x14ac:dyDescent="0.35">
      <c r="A6778" s="12"/>
    </row>
    <row r="6779" spans="1:1" x14ac:dyDescent="0.35">
      <c r="A6779" s="12"/>
    </row>
    <row r="6780" spans="1:1" x14ac:dyDescent="0.35">
      <c r="A6780" s="12"/>
    </row>
    <row r="6781" spans="1:1" x14ac:dyDescent="0.35">
      <c r="A6781" s="12"/>
    </row>
    <row r="6782" spans="1:1" x14ac:dyDescent="0.35">
      <c r="A6782" s="12"/>
    </row>
    <row r="6783" spans="1:1" x14ac:dyDescent="0.35">
      <c r="A6783" s="12"/>
    </row>
    <row r="6784" spans="1:1" x14ac:dyDescent="0.35">
      <c r="A6784" s="12"/>
    </row>
    <row r="6785" spans="1:1" x14ac:dyDescent="0.35">
      <c r="A6785" s="12"/>
    </row>
    <row r="6786" spans="1:1" x14ac:dyDescent="0.35">
      <c r="A6786" s="12"/>
    </row>
    <row r="6787" spans="1:1" x14ac:dyDescent="0.35">
      <c r="A6787" s="12"/>
    </row>
    <row r="6788" spans="1:1" x14ac:dyDescent="0.35">
      <c r="A6788" s="12"/>
    </row>
    <row r="6789" spans="1:1" x14ac:dyDescent="0.35">
      <c r="A6789" s="12"/>
    </row>
    <row r="6790" spans="1:1" x14ac:dyDescent="0.35">
      <c r="A6790" s="12"/>
    </row>
    <row r="6791" spans="1:1" x14ac:dyDescent="0.35">
      <c r="A6791" s="12"/>
    </row>
    <row r="6792" spans="1:1" x14ac:dyDescent="0.35">
      <c r="A6792" s="12"/>
    </row>
    <row r="6793" spans="1:1" x14ac:dyDescent="0.35">
      <c r="A6793" s="12"/>
    </row>
    <row r="6794" spans="1:1" x14ac:dyDescent="0.35">
      <c r="A6794" s="12"/>
    </row>
    <row r="6795" spans="1:1" x14ac:dyDescent="0.35">
      <c r="A6795" s="12"/>
    </row>
    <row r="6796" spans="1:1" x14ac:dyDescent="0.35">
      <c r="A6796" s="12"/>
    </row>
    <row r="6797" spans="1:1" x14ac:dyDescent="0.35">
      <c r="A6797" s="12"/>
    </row>
    <row r="6798" spans="1:1" x14ac:dyDescent="0.35">
      <c r="A6798" s="12"/>
    </row>
    <row r="6799" spans="1:1" x14ac:dyDescent="0.35">
      <c r="A6799" s="12"/>
    </row>
    <row r="6800" spans="1:1" x14ac:dyDescent="0.35">
      <c r="A6800" s="12"/>
    </row>
    <row r="6801" spans="1:1" x14ac:dyDescent="0.35">
      <c r="A6801" s="12"/>
    </row>
    <row r="6802" spans="1:1" x14ac:dyDescent="0.35">
      <c r="A6802" s="12"/>
    </row>
    <row r="6803" spans="1:1" x14ac:dyDescent="0.35">
      <c r="A6803" s="12"/>
    </row>
    <row r="6804" spans="1:1" x14ac:dyDescent="0.35">
      <c r="A6804" s="12"/>
    </row>
    <row r="6805" spans="1:1" x14ac:dyDescent="0.35">
      <c r="A6805" s="12"/>
    </row>
    <row r="6806" spans="1:1" x14ac:dyDescent="0.35">
      <c r="A6806" s="12"/>
    </row>
    <row r="6807" spans="1:1" x14ac:dyDescent="0.35">
      <c r="A6807" s="12"/>
    </row>
    <row r="6808" spans="1:1" x14ac:dyDescent="0.35">
      <c r="A6808" s="12"/>
    </row>
    <row r="6809" spans="1:1" x14ac:dyDescent="0.35">
      <c r="A6809" s="12"/>
    </row>
    <row r="6810" spans="1:1" x14ac:dyDescent="0.35">
      <c r="A6810" s="12"/>
    </row>
    <row r="6811" spans="1:1" x14ac:dyDescent="0.35">
      <c r="A6811" s="12"/>
    </row>
    <row r="6812" spans="1:1" x14ac:dyDescent="0.35">
      <c r="A6812" s="12"/>
    </row>
    <row r="6813" spans="1:1" x14ac:dyDescent="0.35">
      <c r="A6813" s="12"/>
    </row>
    <row r="6814" spans="1:1" x14ac:dyDescent="0.35">
      <c r="A6814" s="12"/>
    </row>
    <row r="6815" spans="1:1" x14ac:dyDescent="0.35">
      <c r="A6815" s="12"/>
    </row>
    <row r="6816" spans="1:1" x14ac:dyDescent="0.35">
      <c r="A6816" s="12"/>
    </row>
    <row r="6817" spans="1:1" x14ac:dyDescent="0.35">
      <c r="A6817" s="12"/>
    </row>
    <row r="6818" spans="1:1" x14ac:dyDescent="0.35">
      <c r="A6818" s="12"/>
    </row>
    <row r="6819" spans="1:1" x14ac:dyDescent="0.35">
      <c r="A6819" s="12"/>
    </row>
    <row r="6820" spans="1:1" x14ac:dyDescent="0.35">
      <c r="A6820" s="12"/>
    </row>
    <row r="6821" spans="1:1" x14ac:dyDescent="0.35">
      <c r="A6821" s="12"/>
    </row>
    <row r="6822" spans="1:1" x14ac:dyDescent="0.35">
      <c r="A6822" s="12"/>
    </row>
    <row r="6823" spans="1:1" x14ac:dyDescent="0.35">
      <c r="A6823" s="12"/>
    </row>
    <row r="6824" spans="1:1" x14ac:dyDescent="0.35">
      <c r="A6824" s="12"/>
    </row>
    <row r="6825" spans="1:1" x14ac:dyDescent="0.35">
      <c r="A6825" s="12"/>
    </row>
    <row r="6826" spans="1:1" x14ac:dyDescent="0.35">
      <c r="A6826" s="12"/>
    </row>
    <row r="6827" spans="1:1" x14ac:dyDescent="0.35">
      <c r="A6827" s="12"/>
    </row>
    <row r="6828" spans="1:1" x14ac:dyDescent="0.35">
      <c r="A6828" s="12"/>
    </row>
    <row r="6829" spans="1:1" x14ac:dyDescent="0.35">
      <c r="A6829" s="12"/>
    </row>
    <row r="6830" spans="1:1" x14ac:dyDescent="0.35">
      <c r="A6830" s="12"/>
    </row>
    <row r="6831" spans="1:1" x14ac:dyDescent="0.35">
      <c r="A6831" s="12"/>
    </row>
    <row r="6832" spans="1:1" x14ac:dyDescent="0.35">
      <c r="A6832" s="12"/>
    </row>
    <row r="6833" spans="1:1" x14ac:dyDescent="0.35">
      <c r="A6833" s="12"/>
    </row>
    <row r="6834" spans="1:1" x14ac:dyDescent="0.35">
      <c r="A6834" s="12"/>
    </row>
    <row r="6835" spans="1:1" x14ac:dyDescent="0.35">
      <c r="A6835" s="12"/>
    </row>
    <row r="6836" spans="1:1" x14ac:dyDescent="0.35">
      <c r="A6836" s="12"/>
    </row>
    <row r="6837" spans="1:1" x14ac:dyDescent="0.35">
      <c r="A6837" s="12"/>
    </row>
    <row r="6838" spans="1:1" x14ac:dyDescent="0.35">
      <c r="A6838" s="12"/>
    </row>
    <row r="6839" spans="1:1" x14ac:dyDescent="0.35">
      <c r="A6839" s="12"/>
    </row>
    <row r="6840" spans="1:1" x14ac:dyDescent="0.35">
      <c r="A6840" s="12"/>
    </row>
    <row r="6841" spans="1:1" x14ac:dyDescent="0.35">
      <c r="A6841" s="12"/>
    </row>
    <row r="6842" spans="1:1" x14ac:dyDescent="0.35">
      <c r="A6842" s="12"/>
    </row>
    <row r="6843" spans="1:1" x14ac:dyDescent="0.35">
      <c r="A6843" s="12"/>
    </row>
    <row r="6844" spans="1:1" x14ac:dyDescent="0.35">
      <c r="A6844" s="12"/>
    </row>
    <row r="6845" spans="1:1" x14ac:dyDescent="0.35">
      <c r="A6845" s="12"/>
    </row>
    <row r="6846" spans="1:1" x14ac:dyDescent="0.35">
      <c r="A6846" s="12"/>
    </row>
    <row r="6847" spans="1:1" x14ac:dyDescent="0.35">
      <c r="A6847" s="12"/>
    </row>
    <row r="6848" spans="1:1" x14ac:dyDescent="0.35">
      <c r="A6848" s="12"/>
    </row>
    <row r="6849" spans="1:1" x14ac:dyDescent="0.35">
      <c r="A6849" s="12"/>
    </row>
    <row r="6850" spans="1:1" x14ac:dyDescent="0.35">
      <c r="A6850" s="12"/>
    </row>
    <row r="6851" spans="1:1" x14ac:dyDescent="0.35">
      <c r="A6851" s="12"/>
    </row>
    <row r="6852" spans="1:1" x14ac:dyDescent="0.35">
      <c r="A6852" s="12"/>
    </row>
    <row r="6853" spans="1:1" x14ac:dyDescent="0.35">
      <c r="A6853" s="12"/>
    </row>
    <row r="6854" spans="1:1" x14ac:dyDescent="0.35">
      <c r="A6854" s="12"/>
    </row>
    <row r="6855" spans="1:1" x14ac:dyDescent="0.35">
      <c r="A6855" s="12"/>
    </row>
    <row r="6856" spans="1:1" x14ac:dyDescent="0.35">
      <c r="A6856" s="12"/>
    </row>
    <row r="6857" spans="1:1" x14ac:dyDescent="0.35">
      <c r="A6857" s="12"/>
    </row>
    <row r="6858" spans="1:1" x14ac:dyDescent="0.35">
      <c r="A6858" s="12"/>
    </row>
    <row r="6859" spans="1:1" x14ac:dyDescent="0.35">
      <c r="A6859" s="12"/>
    </row>
    <row r="6860" spans="1:1" x14ac:dyDescent="0.35">
      <c r="A6860" s="12"/>
    </row>
    <row r="6861" spans="1:1" x14ac:dyDescent="0.35">
      <c r="A6861" s="12"/>
    </row>
    <row r="6862" spans="1:1" x14ac:dyDescent="0.35">
      <c r="A6862" s="12"/>
    </row>
    <row r="6863" spans="1:1" x14ac:dyDescent="0.35">
      <c r="A6863" s="12"/>
    </row>
    <row r="6864" spans="1:1" x14ac:dyDescent="0.35">
      <c r="A6864" s="12"/>
    </row>
    <row r="6865" spans="1:1" x14ac:dyDescent="0.35">
      <c r="A6865" s="12"/>
    </row>
    <row r="6866" spans="1:1" x14ac:dyDescent="0.35">
      <c r="A6866" s="12"/>
    </row>
    <row r="6867" spans="1:1" x14ac:dyDescent="0.35">
      <c r="A6867" s="12"/>
    </row>
    <row r="6868" spans="1:1" x14ac:dyDescent="0.35">
      <c r="A6868" s="12"/>
    </row>
    <row r="6869" spans="1:1" x14ac:dyDescent="0.35">
      <c r="A6869" s="12"/>
    </row>
    <row r="6870" spans="1:1" x14ac:dyDescent="0.35">
      <c r="A6870" s="12"/>
    </row>
    <row r="6871" spans="1:1" x14ac:dyDescent="0.35">
      <c r="A6871" s="12"/>
    </row>
    <row r="6872" spans="1:1" x14ac:dyDescent="0.35">
      <c r="A6872" s="12"/>
    </row>
    <row r="6873" spans="1:1" x14ac:dyDescent="0.35">
      <c r="A6873" s="12"/>
    </row>
    <row r="6874" spans="1:1" x14ac:dyDescent="0.35">
      <c r="A6874" s="12"/>
    </row>
    <row r="6875" spans="1:1" x14ac:dyDescent="0.35">
      <c r="A6875" s="12"/>
    </row>
    <row r="6876" spans="1:1" x14ac:dyDescent="0.35">
      <c r="A6876" s="12"/>
    </row>
    <row r="6877" spans="1:1" x14ac:dyDescent="0.35">
      <c r="A6877" s="12"/>
    </row>
    <row r="6878" spans="1:1" x14ac:dyDescent="0.35">
      <c r="A6878" s="12"/>
    </row>
    <row r="6879" spans="1:1" x14ac:dyDescent="0.35">
      <c r="A6879" s="12"/>
    </row>
    <row r="6880" spans="1:1" x14ac:dyDescent="0.35">
      <c r="A6880" s="12"/>
    </row>
    <row r="6881" spans="1:1" x14ac:dyDescent="0.35">
      <c r="A6881" s="12"/>
    </row>
    <row r="6882" spans="1:1" x14ac:dyDescent="0.35">
      <c r="A6882" s="12"/>
    </row>
    <row r="6883" spans="1:1" x14ac:dyDescent="0.35">
      <c r="A6883" s="12"/>
    </row>
    <row r="6884" spans="1:1" x14ac:dyDescent="0.35">
      <c r="A6884" s="12"/>
    </row>
    <row r="6885" spans="1:1" x14ac:dyDescent="0.35">
      <c r="A6885" s="12"/>
    </row>
    <row r="6886" spans="1:1" x14ac:dyDescent="0.35">
      <c r="A6886" s="12"/>
    </row>
    <row r="6887" spans="1:1" x14ac:dyDescent="0.35">
      <c r="A6887" s="12"/>
    </row>
    <row r="6888" spans="1:1" x14ac:dyDescent="0.35">
      <c r="A6888" s="12"/>
    </row>
    <row r="6889" spans="1:1" x14ac:dyDescent="0.35">
      <c r="A6889" s="12"/>
    </row>
    <row r="6890" spans="1:1" x14ac:dyDescent="0.35">
      <c r="A6890" s="12"/>
    </row>
    <row r="6891" spans="1:1" x14ac:dyDescent="0.35">
      <c r="A6891" s="12"/>
    </row>
    <row r="6892" spans="1:1" x14ac:dyDescent="0.35">
      <c r="A6892" s="12"/>
    </row>
    <row r="6893" spans="1:1" x14ac:dyDescent="0.35">
      <c r="A6893" s="12"/>
    </row>
    <row r="6894" spans="1:1" x14ac:dyDescent="0.35">
      <c r="A6894" s="12"/>
    </row>
    <row r="6895" spans="1:1" x14ac:dyDescent="0.35">
      <c r="A6895" s="12"/>
    </row>
    <row r="6896" spans="1:1" x14ac:dyDescent="0.35">
      <c r="A6896" s="12"/>
    </row>
    <row r="6897" spans="1:1" x14ac:dyDescent="0.35">
      <c r="A6897" s="12"/>
    </row>
    <row r="6898" spans="1:1" x14ac:dyDescent="0.35">
      <c r="A6898" s="12"/>
    </row>
    <row r="6899" spans="1:1" x14ac:dyDescent="0.35">
      <c r="A6899" s="12"/>
    </row>
    <row r="6900" spans="1:1" x14ac:dyDescent="0.35">
      <c r="A6900" s="12"/>
    </row>
    <row r="6901" spans="1:1" x14ac:dyDescent="0.35">
      <c r="A6901" s="12"/>
    </row>
    <row r="6902" spans="1:1" x14ac:dyDescent="0.35">
      <c r="A6902" s="12"/>
    </row>
    <row r="6903" spans="1:1" x14ac:dyDescent="0.35">
      <c r="A6903" s="12"/>
    </row>
    <row r="6904" spans="1:1" x14ac:dyDescent="0.35">
      <c r="A6904" s="12"/>
    </row>
    <row r="6905" spans="1:1" x14ac:dyDescent="0.35">
      <c r="A6905" s="12"/>
    </row>
    <row r="6906" spans="1:1" x14ac:dyDescent="0.35">
      <c r="A6906" s="12"/>
    </row>
    <row r="6907" spans="1:1" x14ac:dyDescent="0.35">
      <c r="A6907" s="12"/>
    </row>
    <row r="6908" spans="1:1" x14ac:dyDescent="0.35">
      <c r="A6908" s="12"/>
    </row>
    <row r="6909" spans="1:1" x14ac:dyDescent="0.35">
      <c r="A6909" s="12"/>
    </row>
    <row r="6910" spans="1:1" x14ac:dyDescent="0.35">
      <c r="A6910" s="12"/>
    </row>
    <row r="6911" spans="1:1" x14ac:dyDescent="0.35">
      <c r="A6911" s="12"/>
    </row>
    <row r="6912" spans="1:1" x14ac:dyDescent="0.35">
      <c r="A6912" s="12"/>
    </row>
    <row r="6913" spans="1:1" x14ac:dyDescent="0.35">
      <c r="A6913" s="12"/>
    </row>
    <row r="6914" spans="1:1" x14ac:dyDescent="0.35">
      <c r="A6914" s="12"/>
    </row>
    <row r="6915" spans="1:1" x14ac:dyDescent="0.35">
      <c r="A6915" s="12"/>
    </row>
    <row r="6916" spans="1:1" x14ac:dyDescent="0.35">
      <c r="A6916" s="12"/>
    </row>
    <row r="6917" spans="1:1" x14ac:dyDescent="0.35">
      <c r="A6917" s="12"/>
    </row>
    <row r="6918" spans="1:1" x14ac:dyDescent="0.35">
      <c r="A6918" s="12"/>
    </row>
    <row r="6919" spans="1:1" x14ac:dyDescent="0.35">
      <c r="A6919" s="12"/>
    </row>
    <row r="6920" spans="1:1" x14ac:dyDescent="0.35">
      <c r="A6920" s="12"/>
    </row>
    <row r="6921" spans="1:1" x14ac:dyDescent="0.35">
      <c r="A6921" s="12"/>
    </row>
    <row r="6922" spans="1:1" x14ac:dyDescent="0.35">
      <c r="A6922" s="12"/>
    </row>
    <row r="6923" spans="1:1" x14ac:dyDescent="0.35">
      <c r="A6923" s="12"/>
    </row>
    <row r="6924" spans="1:1" x14ac:dyDescent="0.35">
      <c r="A6924" s="12"/>
    </row>
    <row r="6925" spans="1:1" x14ac:dyDescent="0.35">
      <c r="A6925" s="12"/>
    </row>
    <row r="6926" spans="1:1" x14ac:dyDescent="0.35">
      <c r="A6926" s="12"/>
    </row>
    <row r="6927" spans="1:1" x14ac:dyDescent="0.35">
      <c r="A6927" s="12"/>
    </row>
    <row r="6928" spans="1:1" x14ac:dyDescent="0.35">
      <c r="A6928" s="12"/>
    </row>
    <row r="6929" spans="1:1" x14ac:dyDescent="0.35">
      <c r="A6929" s="12"/>
    </row>
    <row r="6930" spans="1:1" x14ac:dyDescent="0.35">
      <c r="A6930" s="12"/>
    </row>
    <row r="6931" spans="1:1" x14ac:dyDescent="0.35">
      <c r="A6931" s="12"/>
    </row>
    <row r="6932" spans="1:1" x14ac:dyDescent="0.35">
      <c r="A6932" s="12"/>
    </row>
    <row r="6933" spans="1:1" x14ac:dyDescent="0.35">
      <c r="A6933" s="12"/>
    </row>
    <row r="6934" spans="1:1" x14ac:dyDescent="0.35">
      <c r="A6934" s="12"/>
    </row>
    <row r="6935" spans="1:1" x14ac:dyDescent="0.35">
      <c r="A6935" s="12"/>
    </row>
    <row r="6936" spans="1:1" x14ac:dyDescent="0.35">
      <c r="A6936" s="12"/>
    </row>
    <row r="6937" spans="1:1" x14ac:dyDescent="0.35">
      <c r="A6937" s="12"/>
    </row>
    <row r="6938" spans="1:1" x14ac:dyDescent="0.35">
      <c r="A6938" s="12"/>
    </row>
    <row r="6939" spans="1:1" x14ac:dyDescent="0.35">
      <c r="A6939" s="12"/>
    </row>
    <row r="6940" spans="1:1" x14ac:dyDescent="0.35">
      <c r="A6940" s="12"/>
    </row>
    <row r="6941" spans="1:1" x14ac:dyDescent="0.35">
      <c r="A6941" s="12"/>
    </row>
    <row r="6942" spans="1:1" x14ac:dyDescent="0.35">
      <c r="A6942" s="12"/>
    </row>
    <row r="6943" spans="1:1" x14ac:dyDescent="0.35">
      <c r="A6943" s="12"/>
    </row>
    <row r="6944" spans="1:1" x14ac:dyDescent="0.35">
      <c r="A6944" s="12"/>
    </row>
    <row r="6945" spans="1:1" x14ac:dyDescent="0.35">
      <c r="A6945" s="12"/>
    </row>
    <row r="6946" spans="1:1" x14ac:dyDescent="0.35">
      <c r="A6946" s="12"/>
    </row>
    <row r="6947" spans="1:1" x14ac:dyDescent="0.35">
      <c r="A6947" s="12"/>
    </row>
    <row r="6948" spans="1:1" x14ac:dyDescent="0.35">
      <c r="A6948" s="12"/>
    </row>
    <row r="6949" spans="1:1" x14ac:dyDescent="0.35">
      <c r="A6949" s="12"/>
    </row>
    <row r="6950" spans="1:1" x14ac:dyDescent="0.35">
      <c r="A6950" s="12"/>
    </row>
    <row r="6951" spans="1:1" x14ac:dyDescent="0.35">
      <c r="A6951" s="12"/>
    </row>
    <row r="6952" spans="1:1" x14ac:dyDescent="0.35">
      <c r="A6952" s="12"/>
    </row>
    <row r="6953" spans="1:1" x14ac:dyDescent="0.35">
      <c r="A6953" s="12"/>
    </row>
    <row r="6954" spans="1:1" x14ac:dyDescent="0.35">
      <c r="A6954" s="12"/>
    </row>
    <row r="6955" spans="1:1" x14ac:dyDescent="0.35">
      <c r="A6955" s="12"/>
    </row>
    <row r="6956" spans="1:1" x14ac:dyDescent="0.35">
      <c r="A6956" s="12"/>
    </row>
    <row r="6957" spans="1:1" x14ac:dyDescent="0.35">
      <c r="A6957" s="12"/>
    </row>
    <row r="6958" spans="1:1" x14ac:dyDescent="0.35">
      <c r="A6958" s="12"/>
    </row>
    <row r="6959" spans="1:1" x14ac:dyDescent="0.35">
      <c r="A6959" s="12"/>
    </row>
    <row r="6960" spans="1:1" x14ac:dyDescent="0.35">
      <c r="A6960" s="12"/>
    </row>
    <row r="6961" spans="1:1" x14ac:dyDescent="0.35">
      <c r="A6961" s="12"/>
    </row>
    <row r="6962" spans="1:1" x14ac:dyDescent="0.35">
      <c r="A6962" s="12"/>
    </row>
    <row r="6963" spans="1:1" x14ac:dyDescent="0.35">
      <c r="A6963" s="12"/>
    </row>
    <row r="6964" spans="1:1" x14ac:dyDescent="0.35">
      <c r="A6964" s="12"/>
    </row>
    <row r="6965" spans="1:1" x14ac:dyDescent="0.35">
      <c r="A6965" s="12"/>
    </row>
    <row r="6966" spans="1:1" x14ac:dyDescent="0.35">
      <c r="A6966" s="12"/>
    </row>
    <row r="6967" spans="1:1" x14ac:dyDescent="0.35">
      <c r="A6967" s="12"/>
    </row>
    <row r="6968" spans="1:1" x14ac:dyDescent="0.35">
      <c r="A6968" s="12"/>
    </row>
    <row r="6969" spans="1:1" x14ac:dyDescent="0.35">
      <c r="A6969" s="12"/>
    </row>
    <row r="6970" spans="1:1" x14ac:dyDescent="0.35">
      <c r="A6970" s="12"/>
    </row>
    <row r="6971" spans="1:1" x14ac:dyDescent="0.35">
      <c r="A6971" s="12"/>
    </row>
    <row r="6972" spans="1:1" x14ac:dyDescent="0.35">
      <c r="A6972" s="12"/>
    </row>
    <row r="6973" spans="1:1" x14ac:dyDescent="0.35">
      <c r="A6973" s="12"/>
    </row>
    <row r="6974" spans="1:1" x14ac:dyDescent="0.35">
      <c r="A6974" s="12"/>
    </row>
    <row r="6975" spans="1:1" x14ac:dyDescent="0.35">
      <c r="A6975" s="12"/>
    </row>
    <row r="6976" spans="1:1" x14ac:dyDescent="0.35">
      <c r="A6976" s="12"/>
    </row>
    <row r="6977" spans="1:1" x14ac:dyDescent="0.35">
      <c r="A6977" s="12"/>
    </row>
    <row r="6978" spans="1:1" x14ac:dyDescent="0.35">
      <c r="A6978" s="12"/>
    </row>
    <row r="6979" spans="1:1" x14ac:dyDescent="0.35">
      <c r="A6979" s="12"/>
    </row>
    <row r="6980" spans="1:1" x14ac:dyDescent="0.35">
      <c r="A6980" s="12"/>
    </row>
    <row r="6981" spans="1:1" x14ac:dyDescent="0.35">
      <c r="A6981" s="12"/>
    </row>
    <row r="6982" spans="1:1" x14ac:dyDescent="0.35">
      <c r="A6982" s="12"/>
    </row>
    <row r="6983" spans="1:1" x14ac:dyDescent="0.35">
      <c r="A6983" s="12"/>
    </row>
    <row r="6984" spans="1:1" x14ac:dyDescent="0.35">
      <c r="A6984" s="12"/>
    </row>
    <row r="6985" spans="1:1" x14ac:dyDescent="0.35">
      <c r="A6985" s="12"/>
    </row>
    <row r="6986" spans="1:1" x14ac:dyDescent="0.35">
      <c r="A6986" s="12"/>
    </row>
    <row r="6987" spans="1:1" x14ac:dyDescent="0.35">
      <c r="A6987" s="12"/>
    </row>
    <row r="6988" spans="1:1" x14ac:dyDescent="0.35">
      <c r="A6988" s="12"/>
    </row>
    <row r="6989" spans="1:1" x14ac:dyDescent="0.35">
      <c r="A6989" s="12"/>
    </row>
    <row r="6990" spans="1:1" x14ac:dyDescent="0.35">
      <c r="A6990" s="12"/>
    </row>
    <row r="6991" spans="1:1" x14ac:dyDescent="0.35">
      <c r="A6991" s="12"/>
    </row>
    <row r="6992" spans="1:1" x14ac:dyDescent="0.35">
      <c r="A6992" s="12"/>
    </row>
    <row r="6993" spans="1:1" x14ac:dyDescent="0.35">
      <c r="A6993" s="12"/>
    </row>
    <row r="6994" spans="1:1" x14ac:dyDescent="0.35">
      <c r="A6994" s="12"/>
    </row>
    <row r="6995" spans="1:1" x14ac:dyDescent="0.35">
      <c r="A6995" s="12"/>
    </row>
    <row r="6996" spans="1:1" x14ac:dyDescent="0.35">
      <c r="A6996" s="12"/>
    </row>
    <row r="6997" spans="1:1" x14ac:dyDescent="0.35">
      <c r="A6997" s="12"/>
    </row>
    <row r="6998" spans="1:1" x14ac:dyDescent="0.35">
      <c r="A6998" s="12"/>
    </row>
    <row r="6999" spans="1:1" x14ac:dyDescent="0.35">
      <c r="A6999" s="12"/>
    </row>
    <row r="7000" spans="1:1" x14ac:dyDescent="0.35">
      <c r="A7000" s="12"/>
    </row>
    <row r="7001" spans="1:1" x14ac:dyDescent="0.35">
      <c r="A7001" s="12"/>
    </row>
    <row r="7002" spans="1:1" x14ac:dyDescent="0.35">
      <c r="A7002" s="12"/>
    </row>
    <row r="7003" spans="1:1" x14ac:dyDescent="0.35">
      <c r="A7003" s="12"/>
    </row>
    <row r="7004" spans="1:1" x14ac:dyDescent="0.35">
      <c r="A7004" s="12"/>
    </row>
    <row r="7005" spans="1:1" x14ac:dyDescent="0.35">
      <c r="A7005" s="12"/>
    </row>
    <row r="7006" spans="1:1" x14ac:dyDescent="0.35">
      <c r="A7006" s="12"/>
    </row>
    <row r="7007" spans="1:1" x14ac:dyDescent="0.35">
      <c r="A7007" s="12"/>
    </row>
    <row r="7008" spans="1:1" x14ac:dyDescent="0.35">
      <c r="A7008" s="12"/>
    </row>
    <row r="7009" spans="1:1" x14ac:dyDescent="0.35">
      <c r="A7009" s="12"/>
    </row>
    <row r="7010" spans="1:1" x14ac:dyDescent="0.35">
      <c r="A7010" s="12"/>
    </row>
    <row r="7011" spans="1:1" x14ac:dyDescent="0.35">
      <c r="A7011" s="12"/>
    </row>
    <row r="7012" spans="1:1" x14ac:dyDescent="0.35">
      <c r="A7012" s="12"/>
    </row>
    <row r="7013" spans="1:1" x14ac:dyDescent="0.35">
      <c r="A7013" s="12"/>
    </row>
    <row r="7014" spans="1:1" x14ac:dyDescent="0.35">
      <c r="A7014" s="12"/>
    </row>
    <row r="7015" spans="1:1" x14ac:dyDescent="0.35">
      <c r="A7015" s="12"/>
    </row>
    <row r="7016" spans="1:1" x14ac:dyDescent="0.35">
      <c r="A7016" s="12"/>
    </row>
    <row r="7017" spans="1:1" x14ac:dyDescent="0.35">
      <c r="A7017" s="12"/>
    </row>
    <row r="7018" spans="1:1" x14ac:dyDescent="0.35">
      <c r="A7018" s="12"/>
    </row>
    <row r="7019" spans="1:1" x14ac:dyDescent="0.35">
      <c r="A7019" s="12"/>
    </row>
    <row r="7020" spans="1:1" x14ac:dyDescent="0.35">
      <c r="A7020" s="12"/>
    </row>
    <row r="7021" spans="1:1" x14ac:dyDescent="0.35">
      <c r="A7021" s="12"/>
    </row>
    <row r="7022" spans="1:1" x14ac:dyDescent="0.35">
      <c r="A7022" s="12"/>
    </row>
    <row r="7023" spans="1:1" x14ac:dyDescent="0.35">
      <c r="A7023" s="12"/>
    </row>
    <row r="7024" spans="1:1" x14ac:dyDescent="0.35">
      <c r="A7024" s="12"/>
    </row>
    <row r="7025" spans="1:1" x14ac:dyDescent="0.35">
      <c r="A7025" s="12"/>
    </row>
    <row r="7026" spans="1:1" x14ac:dyDescent="0.35">
      <c r="A7026" s="12"/>
    </row>
    <row r="7027" spans="1:1" x14ac:dyDescent="0.35">
      <c r="A7027" s="12"/>
    </row>
    <row r="7028" spans="1:1" x14ac:dyDescent="0.35">
      <c r="A7028" s="12"/>
    </row>
    <row r="7029" spans="1:1" x14ac:dyDescent="0.35">
      <c r="A7029" s="12"/>
    </row>
    <row r="7030" spans="1:1" x14ac:dyDescent="0.35">
      <c r="A7030" s="12"/>
    </row>
    <row r="7031" spans="1:1" x14ac:dyDescent="0.35">
      <c r="A7031" s="12"/>
    </row>
    <row r="7032" spans="1:1" x14ac:dyDescent="0.35">
      <c r="A7032" s="12"/>
    </row>
    <row r="7033" spans="1:1" x14ac:dyDescent="0.35">
      <c r="A7033" s="12"/>
    </row>
    <row r="7034" spans="1:1" x14ac:dyDescent="0.35">
      <c r="A7034" s="12"/>
    </row>
    <row r="7035" spans="1:1" x14ac:dyDescent="0.35">
      <c r="A7035" s="12"/>
    </row>
    <row r="7036" spans="1:1" x14ac:dyDescent="0.35">
      <c r="A7036" s="12"/>
    </row>
    <row r="7037" spans="1:1" x14ac:dyDescent="0.35">
      <c r="A7037" s="12"/>
    </row>
    <row r="7038" spans="1:1" x14ac:dyDescent="0.35">
      <c r="A7038" s="12"/>
    </row>
    <row r="7039" spans="1:1" x14ac:dyDescent="0.35">
      <c r="A7039" s="12"/>
    </row>
    <row r="7040" spans="1:1" x14ac:dyDescent="0.35">
      <c r="A7040" s="12"/>
    </row>
    <row r="7041" spans="1:1" x14ac:dyDescent="0.35">
      <c r="A7041" s="12"/>
    </row>
    <row r="7042" spans="1:1" x14ac:dyDescent="0.35">
      <c r="A7042" s="12"/>
    </row>
    <row r="7043" spans="1:1" x14ac:dyDescent="0.35">
      <c r="A7043" s="12"/>
    </row>
    <row r="7044" spans="1:1" x14ac:dyDescent="0.35">
      <c r="A7044" s="12"/>
    </row>
    <row r="7045" spans="1:1" x14ac:dyDescent="0.35">
      <c r="A7045" s="12"/>
    </row>
    <row r="7046" spans="1:1" x14ac:dyDescent="0.35">
      <c r="A7046" s="12"/>
    </row>
    <row r="7047" spans="1:1" x14ac:dyDescent="0.35">
      <c r="A7047" s="12"/>
    </row>
    <row r="7048" spans="1:1" x14ac:dyDescent="0.35">
      <c r="A7048" s="12"/>
    </row>
    <row r="7049" spans="1:1" x14ac:dyDescent="0.35">
      <c r="A7049" s="12"/>
    </row>
    <row r="7050" spans="1:1" x14ac:dyDescent="0.35">
      <c r="A7050" s="12"/>
    </row>
    <row r="7051" spans="1:1" x14ac:dyDescent="0.35">
      <c r="A7051" s="12"/>
    </row>
    <row r="7052" spans="1:1" x14ac:dyDescent="0.35">
      <c r="A7052" s="12"/>
    </row>
    <row r="7053" spans="1:1" x14ac:dyDescent="0.35">
      <c r="A7053" s="12"/>
    </row>
    <row r="7054" spans="1:1" x14ac:dyDescent="0.35">
      <c r="A7054" s="12"/>
    </row>
    <row r="7055" spans="1:1" x14ac:dyDescent="0.35">
      <c r="A7055" s="12"/>
    </row>
    <row r="7056" spans="1:1" x14ac:dyDescent="0.35">
      <c r="A7056" s="12"/>
    </row>
    <row r="7057" spans="1:1" x14ac:dyDescent="0.35">
      <c r="A7057" s="12"/>
    </row>
    <row r="7058" spans="1:1" x14ac:dyDescent="0.35">
      <c r="A7058" s="12"/>
    </row>
    <row r="7059" spans="1:1" x14ac:dyDescent="0.35">
      <c r="A7059" s="12"/>
    </row>
    <row r="7060" spans="1:1" x14ac:dyDescent="0.35">
      <c r="A7060" s="12"/>
    </row>
    <row r="7061" spans="1:1" x14ac:dyDescent="0.35">
      <c r="A7061" s="12"/>
    </row>
    <row r="7062" spans="1:1" x14ac:dyDescent="0.35">
      <c r="A7062" s="12"/>
    </row>
    <row r="7063" spans="1:1" x14ac:dyDescent="0.35">
      <c r="A7063" s="12"/>
    </row>
    <row r="7064" spans="1:1" x14ac:dyDescent="0.35">
      <c r="A7064" s="12"/>
    </row>
    <row r="7065" spans="1:1" x14ac:dyDescent="0.35">
      <c r="A7065" s="12"/>
    </row>
    <row r="7066" spans="1:1" x14ac:dyDescent="0.35">
      <c r="A7066" s="12"/>
    </row>
    <row r="7067" spans="1:1" x14ac:dyDescent="0.35">
      <c r="A7067" s="12"/>
    </row>
    <row r="7068" spans="1:1" x14ac:dyDescent="0.35">
      <c r="A7068" s="12"/>
    </row>
    <row r="7069" spans="1:1" x14ac:dyDescent="0.35">
      <c r="A7069" s="12"/>
    </row>
    <row r="7070" spans="1:1" x14ac:dyDescent="0.35">
      <c r="A7070" s="12"/>
    </row>
    <row r="7071" spans="1:1" x14ac:dyDescent="0.35">
      <c r="A7071" s="12"/>
    </row>
    <row r="7072" spans="1:1" x14ac:dyDescent="0.35">
      <c r="A7072" s="12"/>
    </row>
    <row r="7073" spans="1:1" x14ac:dyDescent="0.35">
      <c r="A7073" s="12"/>
    </row>
    <row r="7074" spans="1:1" x14ac:dyDescent="0.35">
      <c r="A7074" s="12"/>
    </row>
    <row r="7075" spans="1:1" x14ac:dyDescent="0.35">
      <c r="A7075" s="12"/>
    </row>
    <row r="7076" spans="1:1" x14ac:dyDescent="0.35">
      <c r="A7076" s="12"/>
    </row>
    <row r="7077" spans="1:1" x14ac:dyDescent="0.35">
      <c r="A7077" s="12"/>
    </row>
    <row r="7078" spans="1:1" x14ac:dyDescent="0.35">
      <c r="A7078" s="12"/>
    </row>
    <row r="7079" spans="1:1" x14ac:dyDescent="0.35">
      <c r="A7079" s="12"/>
    </row>
    <row r="7080" spans="1:1" x14ac:dyDescent="0.35">
      <c r="A7080" s="12"/>
    </row>
    <row r="7081" spans="1:1" x14ac:dyDescent="0.35">
      <c r="A7081" s="12"/>
    </row>
    <row r="7082" spans="1:1" x14ac:dyDescent="0.35">
      <c r="A7082" s="12"/>
    </row>
    <row r="7083" spans="1:1" x14ac:dyDescent="0.35">
      <c r="A7083" s="12"/>
    </row>
    <row r="7084" spans="1:1" x14ac:dyDescent="0.35">
      <c r="A7084" s="12"/>
    </row>
    <row r="7085" spans="1:1" x14ac:dyDescent="0.35">
      <c r="A7085" s="12"/>
    </row>
    <row r="7086" spans="1:1" x14ac:dyDescent="0.35">
      <c r="A7086" s="12"/>
    </row>
    <row r="7087" spans="1:1" x14ac:dyDescent="0.35">
      <c r="A7087" s="12"/>
    </row>
    <row r="7088" spans="1:1" x14ac:dyDescent="0.35">
      <c r="A7088" s="12"/>
    </row>
    <row r="7089" spans="1:1" x14ac:dyDescent="0.35">
      <c r="A7089" s="12"/>
    </row>
    <row r="7090" spans="1:1" x14ac:dyDescent="0.35">
      <c r="A7090" s="12"/>
    </row>
    <row r="7091" spans="1:1" x14ac:dyDescent="0.35">
      <c r="A7091" s="12"/>
    </row>
    <row r="7092" spans="1:1" x14ac:dyDescent="0.35">
      <c r="A7092" s="12"/>
    </row>
    <row r="7093" spans="1:1" x14ac:dyDescent="0.35">
      <c r="A7093" s="12"/>
    </row>
    <row r="7094" spans="1:1" x14ac:dyDescent="0.35">
      <c r="A7094" s="12"/>
    </row>
    <row r="7095" spans="1:1" x14ac:dyDescent="0.35">
      <c r="A7095" s="12"/>
    </row>
    <row r="7096" spans="1:1" x14ac:dyDescent="0.35">
      <c r="A7096" s="12"/>
    </row>
    <row r="7097" spans="1:1" x14ac:dyDescent="0.35">
      <c r="A7097" s="12"/>
    </row>
    <row r="7098" spans="1:1" x14ac:dyDescent="0.35">
      <c r="A7098" s="12"/>
    </row>
    <row r="7099" spans="1:1" x14ac:dyDescent="0.35">
      <c r="A7099" s="12"/>
    </row>
    <row r="7100" spans="1:1" x14ac:dyDescent="0.35">
      <c r="A7100" s="12"/>
    </row>
    <row r="7101" spans="1:1" x14ac:dyDescent="0.35">
      <c r="A7101" s="12"/>
    </row>
    <row r="7102" spans="1:1" x14ac:dyDescent="0.35">
      <c r="A7102" s="12"/>
    </row>
    <row r="7103" spans="1:1" x14ac:dyDescent="0.35">
      <c r="A7103" s="12"/>
    </row>
    <row r="7104" spans="1:1" x14ac:dyDescent="0.35">
      <c r="A7104" s="12"/>
    </row>
    <row r="7105" spans="1:1" x14ac:dyDescent="0.35">
      <c r="A7105" s="12"/>
    </row>
    <row r="7106" spans="1:1" x14ac:dyDescent="0.35">
      <c r="A7106" s="12"/>
    </row>
    <row r="7107" spans="1:1" x14ac:dyDescent="0.35">
      <c r="A7107" s="12"/>
    </row>
    <row r="7108" spans="1:1" x14ac:dyDescent="0.35">
      <c r="A7108" s="12"/>
    </row>
    <row r="7109" spans="1:1" x14ac:dyDescent="0.35">
      <c r="A7109" s="12"/>
    </row>
    <row r="7110" spans="1:1" x14ac:dyDescent="0.35">
      <c r="A7110" s="12"/>
    </row>
    <row r="7111" spans="1:1" x14ac:dyDescent="0.35">
      <c r="A7111" s="12"/>
    </row>
    <row r="7112" spans="1:1" x14ac:dyDescent="0.35">
      <c r="A7112" s="12"/>
    </row>
    <row r="7113" spans="1:1" x14ac:dyDescent="0.35">
      <c r="A7113" s="12"/>
    </row>
    <row r="7114" spans="1:1" x14ac:dyDescent="0.35">
      <c r="A7114" s="12"/>
    </row>
    <row r="7115" spans="1:1" x14ac:dyDescent="0.35">
      <c r="A7115" s="12"/>
    </row>
    <row r="7116" spans="1:1" x14ac:dyDescent="0.35">
      <c r="A7116" s="12"/>
    </row>
    <row r="7117" spans="1:1" x14ac:dyDescent="0.35">
      <c r="A7117" s="12"/>
    </row>
    <row r="7118" spans="1:1" x14ac:dyDescent="0.35">
      <c r="A7118" s="12"/>
    </row>
    <row r="7119" spans="1:1" x14ac:dyDescent="0.35">
      <c r="A7119" s="12"/>
    </row>
    <row r="7120" spans="1:1" x14ac:dyDescent="0.35">
      <c r="A7120" s="12"/>
    </row>
    <row r="7121" spans="1:1" x14ac:dyDescent="0.35">
      <c r="A7121" s="12"/>
    </row>
    <row r="7122" spans="1:1" x14ac:dyDescent="0.35">
      <c r="A7122" s="12"/>
    </row>
    <row r="7123" spans="1:1" x14ac:dyDescent="0.35">
      <c r="A7123" s="12"/>
    </row>
    <row r="7124" spans="1:1" x14ac:dyDescent="0.35">
      <c r="A7124" s="12"/>
    </row>
    <row r="7125" spans="1:1" x14ac:dyDescent="0.35">
      <c r="A7125" s="12"/>
    </row>
    <row r="7126" spans="1:1" x14ac:dyDescent="0.35">
      <c r="A7126" s="12"/>
    </row>
    <row r="7127" spans="1:1" x14ac:dyDescent="0.35">
      <c r="A7127" s="12"/>
    </row>
    <row r="7128" spans="1:1" x14ac:dyDescent="0.35">
      <c r="A7128" s="12"/>
    </row>
    <row r="7129" spans="1:1" x14ac:dyDescent="0.35">
      <c r="A7129" s="12"/>
    </row>
    <row r="7130" spans="1:1" x14ac:dyDescent="0.35">
      <c r="A7130" s="12"/>
    </row>
    <row r="7131" spans="1:1" x14ac:dyDescent="0.35">
      <c r="A7131" s="12"/>
    </row>
    <row r="7132" spans="1:1" x14ac:dyDescent="0.35">
      <c r="A7132" s="12"/>
    </row>
    <row r="7133" spans="1:1" x14ac:dyDescent="0.35">
      <c r="A7133" s="12"/>
    </row>
    <row r="7134" spans="1:1" x14ac:dyDescent="0.35">
      <c r="A7134" s="12"/>
    </row>
    <row r="7135" spans="1:1" x14ac:dyDescent="0.35">
      <c r="A7135" s="12"/>
    </row>
    <row r="7136" spans="1:1" x14ac:dyDescent="0.35">
      <c r="A7136" s="12"/>
    </row>
    <row r="7137" spans="1:1" x14ac:dyDescent="0.35">
      <c r="A7137" s="12"/>
    </row>
    <row r="7138" spans="1:1" x14ac:dyDescent="0.35">
      <c r="A7138" s="12"/>
    </row>
    <row r="7139" spans="1:1" x14ac:dyDescent="0.35">
      <c r="A7139" s="12"/>
    </row>
    <row r="7140" spans="1:1" x14ac:dyDescent="0.35">
      <c r="A7140" s="12"/>
    </row>
    <row r="7141" spans="1:1" x14ac:dyDescent="0.35">
      <c r="A7141" s="12"/>
    </row>
    <row r="7142" spans="1:1" x14ac:dyDescent="0.35">
      <c r="A7142" s="12"/>
    </row>
    <row r="7143" spans="1:1" x14ac:dyDescent="0.35">
      <c r="A7143" s="12"/>
    </row>
    <row r="7144" spans="1:1" x14ac:dyDescent="0.35">
      <c r="A7144" s="12"/>
    </row>
    <row r="7145" spans="1:1" x14ac:dyDescent="0.35">
      <c r="A7145" s="12"/>
    </row>
    <row r="7146" spans="1:1" x14ac:dyDescent="0.35">
      <c r="A7146" s="12"/>
    </row>
    <row r="7147" spans="1:1" x14ac:dyDescent="0.35">
      <c r="A7147" s="12"/>
    </row>
    <row r="7148" spans="1:1" x14ac:dyDescent="0.35">
      <c r="A7148" s="12"/>
    </row>
    <row r="7149" spans="1:1" x14ac:dyDescent="0.35">
      <c r="A7149" s="12"/>
    </row>
    <row r="7150" spans="1:1" x14ac:dyDescent="0.35">
      <c r="A7150" s="12"/>
    </row>
    <row r="7151" spans="1:1" x14ac:dyDescent="0.35">
      <c r="A7151" s="12"/>
    </row>
    <row r="7152" spans="1:1" x14ac:dyDescent="0.35">
      <c r="A7152" s="12"/>
    </row>
    <row r="7153" spans="1:1" x14ac:dyDescent="0.35">
      <c r="A7153" s="12"/>
    </row>
    <row r="7154" spans="1:1" x14ac:dyDescent="0.35">
      <c r="A7154" s="12"/>
    </row>
    <row r="7155" spans="1:1" x14ac:dyDescent="0.35">
      <c r="A7155" s="12"/>
    </row>
    <row r="7156" spans="1:1" x14ac:dyDescent="0.35">
      <c r="A7156" s="12"/>
    </row>
    <row r="7157" spans="1:1" x14ac:dyDescent="0.35">
      <c r="A7157" s="12"/>
    </row>
    <row r="7158" spans="1:1" x14ac:dyDescent="0.35">
      <c r="A7158" s="12"/>
    </row>
    <row r="7159" spans="1:1" x14ac:dyDescent="0.35">
      <c r="A7159" s="12"/>
    </row>
    <row r="7160" spans="1:1" x14ac:dyDescent="0.35">
      <c r="A7160" s="12"/>
    </row>
    <row r="7161" spans="1:1" x14ac:dyDescent="0.35">
      <c r="A7161" s="12"/>
    </row>
    <row r="7162" spans="1:1" x14ac:dyDescent="0.35">
      <c r="A7162" s="12"/>
    </row>
    <row r="7163" spans="1:1" x14ac:dyDescent="0.35">
      <c r="A7163" s="12"/>
    </row>
    <row r="7164" spans="1:1" x14ac:dyDescent="0.35">
      <c r="A7164" s="12"/>
    </row>
    <row r="7165" spans="1:1" x14ac:dyDescent="0.35">
      <c r="A7165" s="12"/>
    </row>
    <row r="7166" spans="1:1" x14ac:dyDescent="0.35">
      <c r="A7166" s="12"/>
    </row>
    <row r="7167" spans="1:1" x14ac:dyDescent="0.35">
      <c r="A7167" s="12"/>
    </row>
    <row r="7168" spans="1:1" x14ac:dyDescent="0.35">
      <c r="A7168" s="12"/>
    </row>
    <row r="7169" spans="1:1" x14ac:dyDescent="0.35">
      <c r="A7169" s="12"/>
    </row>
    <row r="7170" spans="1:1" x14ac:dyDescent="0.35">
      <c r="A7170" s="12"/>
    </row>
    <row r="7171" spans="1:1" x14ac:dyDescent="0.35">
      <c r="A7171" s="12"/>
    </row>
    <row r="7172" spans="1:1" x14ac:dyDescent="0.35">
      <c r="A7172" s="12"/>
    </row>
    <row r="7173" spans="1:1" x14ac:dyDescent="0.35">
      <c r="A7173" s="12"/>
    </row>
    <row r="7174" spans="1:1" x14ac:dyDescent="0.35">
      <c r="A7174" s="12"/>
    </row>
    <row r="7175" spans="1:1" x14ac:dyDescent="0.35">
      <c r="A7175" s="12"/>
    </row>
    <row r="7176" spans="1:1" x14ac:dyDescent="0.35">
      <c r="A7176" s="12"/>
    </row>
    <row r="7177" spans="1:1" x14ac:dyDescent="0.35">
      <c r="A7177" s="12"/>
    </row>
    <row r="7178" spans="1:1" x14ac:dyDescent="0.35">
      <c r="A7178" s="12"/>
    </row>
    <row r="7179" spans="1:1" x14ac:dyDescent="0.35">
      <c r="A7179" s="12"/>
    </row>
    <row r="7180" spans="1:1" x14ac:dyDescent="0.35">
      <c r="A7180" s="12"/>
    </row>
    <row r="7181" spans="1:1" x14ac:dyDescent="0.35">
      <c r="A7181" s="12"/>
    </row>
    <row r="7182" spans="1:1" x14ac:dyDescent="0.35">
      <c r="A7182" s="12"/>
    </row>
    <row r="7183" spans="1:1" x14ac:dyDescent="0.35">
      <c r="A7183" s="12"/>
    </row>
    <row r="7184" spans="1:1" x14ac:dyDescent="0.35">
      <c r="A7184" s="12"/>
    </row>
    <row r="7185" spans="1:1" x14ac:dyDescent="0.35">
      <c r="A7185" s="12"/>
    </row>
    <row r="7186" spans="1:1" x14ac:dyDescent="0.35">
      <c r="A7186" s="12"/>
    </row>
    <row r="7187" spans="1:1" x14ac:dyDescent="0.35">
      <c r="A7187" s="12"/>
    </row>
    <row r="7188" spans="1:1" x14ac:dyDescent="0.35">
      <c r="A7188" s="12"/>
    </row>
    <row r="7189" spans="1:1" x14ac:dyDescent="0.35">
      <c r="A7189" s="12"/>
    </row>
    <row r="7190" spans="1:1" x14ac:dyDescent="0.35">
      <c r="A7190" s="12"/>
    </row>
    <row r="7191" spans="1:1" x14ac:dyDescent="0.35">
      <c r="A7191" s="12"/>
    </row>
    <row r="7192" spans="1:1" x14ac:dyDescent="0.35">
      <c r="A7192" s="12"/>
    </row>
    <row r="7193" spans="1:1" x14ac:dyDescent="0.35">
      <c r="A7193" s="12"/>
    </row>
    <row r="7194" spans="1:1" x14ac:dyDescent="0.35">
      <c r="A7194" s="12"/>
    </row>
    <row r="7195" spans="1:1" x14ac:dyDescent="0.35">
      <c r="A7195" s="12"/>
    </row>
    <row r="7196" spans="1:1" x14ac:dyDescent="0.35">
      <c r="A7196" s="12"/>
    </row>
    <row r="7197" spans="1:1" x14ac:dyDescent="0.35">
      <c r="A7197" s="12"/>
    </row>
    <row r="7198" spans="1:1" x14ac:dyDescent="0.35">
      <c r="A7198" s="12"/>
    </row>
    <row r="7199" spans="1:1" x14ac:dyDescent="0.35">
      <c r="A7199" s="12"/>
    </row>
    <row r="7200" spans="1:1" x14ac:dyDescent="0.35">
      <c r="A7200" s="12"/>
    </row>
    <row r="7201" spans="1:1" x14ac:dyDescent="0.35">
      <c r="A7201" s="12"/>
    </row>
    <row r="7202" spans="1:1" x14ac:dyDescent="0.35">
      <c r="A7202" s="12"/>
    </row>
    <row r="7203" spans="1:1" x14ac:dyDescent="0.35">
      <c r="A7203" s="12"/>
    </row>
    <row r="7204" spans="1:1" x14ac:dyDescent="0.35">
      <c r="A7204" s="12"/>
    </row>
    <row r="7205" spans="1:1" x14ac:dyDescent="0.35">
      <c r="A7205" s="12"/>
    </row>
    <row r="7206" spans="1:1" x14ac:dyDescent="0.35">
      <c r="A7206" s="12"/>
    </row>
    <row r="7207" spans="1:1" x14ac:dyDescent="0.35">
      <c r="A7207" s="12"/>
    </row>
    <row r="7208" spans="1:1" x14ac:dyDescent="0.35">
      <c r="A7208" s="12"/>
    </row>
    <row r="7209" spans="1:1" x14ac:dyDescent="0.35">
      <c r="A7209" s="12"/>
    </row>
    <row r="7210" spans="1:1" x14ac:dyDescent="0.35">
      <c r="A7210" s="12"/>
    </row>
    <row r="7211" spans="1:1" x14ac:dyDescent="0.35">
      <c r="A7211" s="12"/>
    </row>
    <row r="7212" spans="1:1" x14ac:dyDescent="0.35">
      <c r="A7212" s="12"/>
    </row>
    <row r="7213" spans="1:1" x14ac:dyDescent="0.35">
      <c r="A7213" s="12"/>
    </row>
    <row r="7214" spans="1:1" x14ac:dyDescent="0.35">
      <c r="A7214" s="12"/>
    </row>
    <row r="7215" spans="1:1" x14ac:dyDescent="0.35">
      <c r="A7215" s="12"/>
    </row>
    <row r="7216" spans="1:1" x14ac:dyDescent="0.35">
      <c r="A7216" s="12"/>
    </row>
    <row r="7217" spans="1:1" x14ac:dyDescent="0.35">
      <c r="A7217" s="12"/>
    </row>
    <row r="7218" spans="1:1" x14ac:dyDescent="0.35">
      <c r="A7218" s="12"/>
    </row>
    <row r="7219" spans="1:1" x14ac:dyDescent="0.35">
      <c r="A7219" s="12"/>
    </row>
    <row r="7220" spans="1:1" x14ac:dyDescent="0.35">
      <c r="A7220" s="12"/>
    </row>
    <row r="7221" spans="1:1" x14ac:dyDescent="0.35">
      <c r="A7221" s="12"/>
    </row>
    <row r="7222" spans="1:1" x14ac:dyDescent="0.35">
      <c r="A7222" s="12"/>
    </row>
    <row r="7223" spans="1:1" x14ac:dyDescent="0.35">
      <c r="A7223" s="12"/>
    </row>
    <row r="7224" spans="1:1" x14ac:dyDescent="0.35">
      <c r="A7224" s="12"/>
    </row>
    <row r="7225" spans="1:1" x14ac:dyDescent="0.35">
      <c r="A7225" s="12"/>
    </row>
    <row r="7226" spans="1:1" x14ac:dyDescent="0.35">
      <c r="A7226" s="12"/>
    </row>
    <row r="7227" spans="1:1" x14ac:dyDescent="0.35">
      <c r="A7227" s="12"/>
    </row>
    <row r="7228" spans="1:1" x14ac:dyDescent="0.35">
      <c r="A7228" s="12"/>
    </row>
    <row r="7229" spans="1:1" x14ac:dyDescent="0.35">
      <c r="A7229" s="12"/>
    </row>
    <row r="7230" spans="1:1" x14ac:dyDescent="0.35">
      <c r="A7230" s="12"/>
    </row>
    <row r="7231" spans="1:1" x14ac:dyDescent="0.35">
      <c r="A7231" s="12"/>
    </row>
    <row r="7232" spans="1:1" x14ac:dyDescent="0.35">
      <c r="A7232" s="12"/>
    </row>
    <row r="7233" spans="1:1" x14ac:dyDescent="0.35">
      <c r="A7233" s="12"/>
    </row>
    <row r="7234" spans="1:1" x14ac:dyDescent="0.35">
      <c r="A7234" s="12"/>
    </row>
    <row r="7235" spans="1:1" x14ac:dyDescent="0.35">
      <c r="A7235" s="12"/>
    </row>
    <row r="7236" spans="1:1" x14ac:dyDescent="0.35">
      <c r="A7236" s="12"/>
    </row>
    <row r="7237" spans="1:1" x14ac:dyDescent="0.35">
      <c r="A7237" s="12"/>
    </row>
    <row r="7238" spans="1:1" x14ac:dyDescent="0.35">
      <c r="A7238" s="12"/>
    </row>
    <row r="7239" spans="1:1" x14ac:dyDescent="0.35">
      <c r="A7239" s="12"/>
    </row>
    <row r="7240" spans="1:1" x14ac:dyDescent="0.35">
      <c r="A7240" s="12"/>
    </row>
    <row r="7241" spans="1:1" x14ac:dyDescent="0.35">
      <c r="A7241" s="12"/>
    </row>
    <row r="7242" spans="1:1" x14ac:dyDescent="0.35">
      <c r="A7242" s="12"/>
    </row>
    <row r="7243" spans="1:1" x14ac:dyDescent="0.35">
      <c r="A7243" s="12"/>
    </row>
    <row r="7244" spans="1:1" x14ac:dyDescent="0.35">
      <c r="A7244" s="12"/>
    </row>
    <row r="7245" spans="1:1" x14ac:dyDescent="0.35">
      <c r="A7245" s="12"/>
    </row>
    <row r="7246" spans="1:1" x14ac:dyDescent="0.35">
      <c r="A7246" s="12"/>
    </row>
    <row r="7247" spans="1:1" x14ac:dyDescent="0.35">
      <c r="A7247" s="12"/>
    </row>
    <row r="7248" spans="1:1" x14ac:dyDescent="0.35">
      <c r="A7248" s="12"/>
    </row>
    <row r="7249" spans="1:1" x14ac:dyDescent="0.35">
      <c r="A7249" s="12"/>
    </row>
    <row r="7250" spans="1:1" x14ac:dyDescent="0.35">
      <c r="A7250" s="12"/>
    </row>
    <row r="7251" spans="1:1" x14ac:dyDescent="0.35">
      <c r="A7251" s="12"/>
    </row>
    <row r="7252" spans="1:1" x14ac:dyDescent="0.35">
      <c r="A7252" s="12"/>
    </row>
    <row r="7253" spans="1:1" x14ac:dyDescent="0.35">
      <c r="A7253" s="12"/>
    </row>
    <row r="7254" spans="1:1" x14ac:dyDescent="0.35">
      <c r="A7254" s="12"/>
    </row>
    <row r="7255" spans="1:1" x14ac:dyDescent="0.35">
      <c r="A7255" s="12"/>
    </row>
    <row r="7256" spans="1:1" x14ac:dyDescent="0.35">
      <c r="A7256" s="12"/>
    </row>
    <row r="7257" spans="1:1" x14ac:dyDescent="0.35">
      <c r="A7257" s="12"/>
    </row>
    <row r="7258" spans="1:1" x14ac:dyDescent="0.35">
      <c r="A7258" s="12"/>
    </row>
    <row r="7259" spans="1:1" x14ac:dyDescent="0.35">
      <c r="A7259" s="12"/>
    </row>
    <row r="7260" spans="1:1" x14ac:dyDescent="0.35">
      <c r="A7260" s="12"/>
    </row>
    <row r="7261" spans="1:1" x14ac:dyDescent="0.35">
      <c r="A7261" s="12"/>
    </row>
    <row r="7262" spans="1:1" x14ac:dyDescent="0.35">
      <c r="A7262" s="12"/>
    </row>
    <row r="7263" spans="1:1" x14ac:dyDescent="0.35">
      <c r="A7263" s="12"/>
    </row>
    <row r="7264" spans="1:1" x14ac:dyDescent="0.35">
      <c r="A7264" s="12"/>
    </row>
    <row r="7265" spans="1:1" x14ac:dyDescent="0.35">
      <c r="A7265" s="12"/>
    </row>
    <row r="7266" spans="1:1" x14ac:dyDescent="0.35">
      <c r="A7266" s="12"/>
    </row>
    <row r="7267" spans="1:1" x14ac:dyDescent="0.35">
      <c r="A7267" s="12"/>
    </row>
    <row r="7268" spans="1:1" x14ac:dyDescent="0.35">
      <c r="A7268" s="12"/>
    </row>
    <row r="7269" spans="1:1" x14ac:dyDescent="0.35">
      <c r="A7269" s="12"/>
    </row>
    <row r="7270" spans="1:1" x14ac:dyDescent="0.35">
      <c r="A7270" s="12"/>
    </row>
    <row r="7271" spans="1:1" x14ac:dyDescent="0.35">
      <c r="A7271" s="12"/>
    </row>
    <row r="7272" spans="1:1" x14ac:dyDescent="0.35">
      <c r="A7272" s="12"/>
    </row>
    <row r="7273" spans="1:1" x14ac:dyDescent="0.35">
      <c r="A7273" s="12"/>
    </row>
    <row r="7274" spans="1:1" x14ac:dyDescent="0.35">
      <c r="A7274" s="12"/>
    </row>
    <row r="7275" spans="1:1" x14ac:dyDescent="0.35">
      <c r="A7275" s="12"/>
    </row>
    <row r="7276" spans="1:1" x14ac:dyDescent="0.35">
      <c r="A7276" s="12"/>
    </row>
    <row r="7277" spans="1:1" x14ac:dyDescent="0.35">
      <c r="A7277" s="12"/>
    </row>
    <row r="7278" spans="1:1" x14ac:dyDescent="0.35">
      <c r="A7278" s="12"/>
    </row>
    <row r="7279" spans="1:1" x14ac:dyDescent="0.35">
      <c r="A7279" s="12"/>
    </row>
    <row r="7280" spans="1:1" x14ac:dyDescent="0.35">
      <c r="A7280" s="12"/>
    </row>
    <row r="7281" spans="1:1" x14ac:dyDescent="0.35">
      <c r="A7281" s="12"/>
    </row>
    <row r="7282" spans="1:1" x14ac:dyDescent="0.35">
      <c r="A7282" s="12"/>
    </row>
    <row r="7283" spans="1:1" x14ac:dyDescent="0.35">
      <c r="A7283" s="12"/>
    </row>
    <row r="7284" spans="1:1" x14ac:dyDescent="0.35">
      <c r="A7284" s="12"/>
    </row>
    <row r="7285" spans="1:1" x14ac:dyDescent="0.35">
      <c r="A7285" s="12"/>
    </row>
    <row r="7286" spans="1:1" x14ac:dyDescent="0.35">
      <c r="A7286" s="12"/>
    </row>
    <row r="7287" spans="1:1" x14ac:dyDescent="0.35">
      <c r="A7287" s="12"/>
    </row>
    <row r="7288" spans="1:1" x14ac:dyDescent="0.35">
      <c r="A7288" s="12"/>
    </row>
    <row r="7289" spans="1:1" x14ac:dyDescent="0.35">
      <c r="A7289" s="12"/>
    </row>
    <row r="7290" spans="1:1" x14ac:dyDescent="0.35">
      <c r="A7290" s="12"/>
    </row>
    <row r="7291" spans="1:1" x14ac:dyDescent="0.35">
      <c r="A7291" s="12"/>
    </row>
    <row r="7292" spans="1:1" x14ac:dyDescent="0.35">
      <c r="A7292" s="12"/>
    </row>
    <row r="7293" spans="1:1" x14ac:dyDescent="0.35">
      <c r="A7293" s="12"/>
    </row>
    <row r="7294" spans="1:1" x14ac:dyDescent="0.35">
      <c r="A7294" s="12"/>
    </row>
    <row r="7295" spans="1:1" x14ac:dyDescent="0.35">
      <c r="A7295" s="12"/>
    </row>
    <row r="7296" spans="1:1" x14ac:dyDescent="0.35">
      <c r="A7296" s="12"/>
    </row>
    <row r="7297" spans="1:1" x14ac:dyDescent="0.35">
      <c r="A7297" s="12"/>
    </row>
    <row r="7298" spans="1:1" x14ac:dyDescent="0.35">
      <c r="A7298" s="12"/>
    </row>
    <row r="7299" spans="1:1" x14ac:dyDescent="0.35">
      <c r="A7299" s="12"/>
    </row>
    <row r="7300" spans="1:1" x14ac:dyDescent="0.35">
      <c r="A7300" s="12"/>
    </row>
    <row r="7301" spans="1:1" x14ac:dyDescent="0.35">
      <c r="A7301" s="12"/>
    </row>
    <row r="7302" spans="1:1" x14ac:dyDescent="0.35">
      <c r="A7302" s="12"/>
    </row>
    <row r="7303" spans="1:1" x14ac:dyDescent="0.35">
      <c r="A7303" s="12"/>
    </row>
    <row r="7304" spans="1:1" x14ac:dyDescent="0.35">
      <c r="A7304" s="12"/>
    </row>
    <row r="7305" spans="1:1" x14ac:dyDescent="0.35">
      <c r="A7305" s="12"/>
    </row>
    <row r="7306" spans="1:1" x14ac:dyDescent="0.35">
      <c r="A7306" s="12"/>
    </row>
    <row r="7307" spans="1:1" x14ac:dyDescent="0.35">
      <c r="A7307" s="12"/>
    </row>
    <row r="7308" spans="1:1" x14ac:dyDescent="0.35">
      <c r="A7308" s="12"/>
    </row>
    <row r="7309" spans="1:1" x14ac:dyDescent="0.35">
      <c r="A7309" s="12"/>
    </row>
    <row r="7310" spans="1:1" x14ac:dyDescent="0.35">
      <c r="A7310" s="12"/>
    </row>
    <row r="7311" spans="1:1" x14ac:dyDescent="0.35">
      <c r="A7311" s="12"/>
    </row>
    <row r="7312" spans="1:1" x14ac:dyDescent="0.35">
      <c r="A7312" s="12"/>
    </row>
    <row r="7313" spans="1:1" x14ac:dyDescent="0.35">
      <c r="A7313" s="12"/>
    </row>
    <row r="7314" spans="1:1" x14ac:dyDescent="0.35">
      <c r="A7314" s="12"/>
    </row>
    <row r="7315" spans="1:1" x14ac:dyDescent="0.35">
      <c r="A7315" s="12"/>
    </row>
    <row r="7316" spans="1:1" x14ac:dyDescent="0.35">
      <c r="A7316" s="12"/>
    </row>
    <row r="7317" spans="1:1" x14ac:dyDescent="0.35">
      <c r="A7317" s="12"/>
    </row>
    <row r="7318" spans="1:1" x14ac:dyDescent="0.35">
      <c r="A7318" s="12"/>
    </row>
    <row r="7319" spans="1:1" x14ac:dyDescent="0.35">
      <c r="A7319" s="12"/>
    </row>
    <row r="7320" spans="1:1" x14ac:dyDescent="0.35">
      <c r="A7320" s="12"/>
    </row>
    <row r="7321" spans="1:1" x14ac:dyDescent="0.35">
      <c r="A7321" s="12"/>
    </row>
    <row r="7322" spans="1:1" x14ac:dyDescent="0.35">
      <c r="A7322" s="12"/>
    </row>
    <row r="7323" spans="1:1" x14ac:dyDescent="0.35">
      <c r="A7323" s="12"/>
    </row>
    <row r="7324" spans="1:1" x14ac:dyDescent="0.35">
      <c r="A7324" s="12"/>
    </row>
    <row r="7325" spans="1:1" x14ac:dyDescent="0.35">
      <c r="A7325" s="12"/>
    </row>
    <row r="7326" spans="1:1" x14ac:dyDescent="0.35">
      <c r="A7326" s="12"/>
    </row>
    <row r="7327" spans="1:1" x14ac:dyDescent="0.35">
      <c r="A7327" s="12"/>
    </row>
    <row r="7328" spans="1:1" x14ac:dyDescent="0.35">
      <c r="A7328" s="12"/>
    </row>
    <row r="7329" spans="1:1" x14ac:dyDescent="0.35">
      <c r="A7329" s="12"/>
    </row>
    <row r="7330" spans="1:1" x14ac:dyDescent="0.35">
      <c r="A7330" s="12"/>
    </row>
    <row r="7331" spans="1:1" x14ac:dyDescent="0.35">
      <c r="A7331" s="12"/>
    </row>
    <row r="7332" spans="1:1" x14ac:dyDescent="0.35">
      <c r="A7332" s="12"/>
    </row>
    <row r="7333" spans="1:1" x14ac:dyDescent="0.35">
      <c r="A7333" s="12"/>
    </row>
    <row r="7334" spans="1:1" x14ac:dyDescent="0.35">
      <c r="A7334" s="12"/>
    </row>
    <row r="7335" spans="1:1" x14ac:dyDescent="0.35">
      <c r="A7335" s="12"/>
    </row>
    <row r="7336" spans="1:1" x14ac:dyDescent="0.35">
      <c r="A7336" s="12"/>
    </row>
    <row r="7337" spans="1:1" x14ac:dyDescent="0.35">
      <c r="A7337" s="12"/>
    </row>
    <row r="7338" spans="1:1" x14ac:dyDescent="0.35">
      <c r="A7338" s="12"/>
    </row>
    <row r="7339" spans="1:1" x14ac:dyDescent="0.35">
      <c r="A7339" s="12"/>
    </row>
    <row r="7340" spans="1:1" x14ac:dyDescent="0.35">
      <c r="A7340" s="12"/>
    </row>
    <row r="7341" spans="1:1" x14ac:dyDescent="0.35">
      <c r="A7341" s="12"/>
    </row>
    <row r="7342" spans="1:1" x14ac:dyDescent="0.35">
      <c r="A7342" s="12"/>
    </row>
    <row r="7343" spans="1:1" x14ac:dyDescent="0.35">
      <c r="A7343" s="12"/>
    </row>
    <row r="7344" spans="1:1" x14ac:dyDescent="0.35">
      <c r="A7344" s="12"/>
    </row>
    <row r="7345" spans="1:1" x14ac:dyDescent="0.35">
      <c r="A7345" s="12"/>
    </row>
    <row r="7346" spans="1:1" x14ac:dyDescent="0.35">
      <c r="A7346" s="12"/>
    </row>
    <row r="7347" spans="1:1" x14ac:dyDescent="0.35">
      <c r="A7347" s="12"/>
    </row>
    <row r="7348" spans="1:1" x14ac:dyDescent="0.35">
      <c r="A7348" s="12"/>
    </row>
    <row r="7349" spans="1:1" x14ac:dyDescent="0.35">
      <c r="A7349" s="12"/>
    </row>
    <row r="7350" spans="1:1" x14ac:dyDescent="0.35">
      <c r="A7350" s="12"/>
    </row>
    <row r="7351" spans="1:1" x14ac:dyDescent="0.35">
      <c r="A7351" s="12"/>
    </row>
    <row r="7352" spans="1:1" x14ac:dyDescent="0.35">
      <c r="A7352" s="12"/>
    </row>
    <row r="7353" spans="1:1" x14ac:dyDescent="0.35">
      <c r="A7353" s="12"/>
    </row>
    <row r="7354" spans="1:1" x14ac:dyDescent="0.35">
      <c r="A7354" s="12"/>
    </row>
    <row r="7355" spans="1:1" x14ac:dyDescent="0.35">
      <c r="A7355" s="12"/>
    </row>
    <row r="7356" spans="1:1" x14ac:dyDescent="0.35">
      <c r="A7356" s="12"/>
    </row>
    <row r="7357" spans="1:1" x14ac:dyDescent="0.35">
      <c r="A7357" s="12"/>
    </row>
    <row r="7358" spans="1:1" x14ac:dyDescent="0.35">
      <c r="A7358" s="12"/>
    </row>
    <row r="7359" spans="1:1" x14ac:dyDescent="0.35">
      <c r="A7359" s="12"/>
    </row>
    <row r="7360" spans="1:1" x14ac:dyDescent="0.35">
      <c r="A7360" s="12"/>
    </row>
    <row r="7361" spans="1:1" x14ac:dyDescent="0.35">
      <c r="A7361" s="12"/>
    </row>
    <row r="7362" spans="1:1" x14ac:dyDescent="0.35">
      <c r="A7362" s="12"/>
    </row>
    <row r="7363" spans="1:1" x14ac:dyDescent="0.35">
      <c r="A7363" s="12"/>
    </row>
    <row r="7364" spans="1:1" x14ac:dyDescent="0.35">
      <c r="A7364" s="12"/>
    </row>
    <row r="7365" spans="1:1" x14ac:dyDescent="0.35">
      <c r="A7365" s="12"/>
    </row>
    <row r="7366" spans="1:1" x14ac:dyDescent="0.35">
      <c r="A7366" s="12"/>
    </row>
    <row r="7367" spans="1:1" x14ac:dyDescent="0.35">
      <c r="A7367" s="12"/>
    </row>
    <row r="7368" spans="1:1" x14ac:dyDescent="0.35">
      <c r="A7368" s="12"/>
    </row>
    <row r="7369" spans="1:1" x14ac:dyDescent="0.35">
      <c r="A7369" s="12"/>
    </row>
    <row r="7370" spans="1:1" x14ac:dyDescent="0.35">
      <c r="A7370" s="12"/>
    </row>
    <row r="7371" spans="1:1" x14ac:dyDescent="0.35">
      <c r="A7371" s="12"/>
    </row>
    <row r="7372" spans="1:1" x14ac:dyDescent="0.35">
      <c r="A7372" s="12"/>
    </row>
    <row r="7373" spans="1:1" x14ac:dyDescent="0.35">
      <c r="A7373" s="12"/>
    </row>
    <row r="7374" spans="1:1" x14ac:dyDescent="0.35">
      <c r="A7374" s="12"/>
    </row>
    <row r="7375" spans="1:1" x14ac:dyDescent="0.35">
      <c r="A7375" s="12"/>
    </row>
    <row r="7376" spans="1:1" x14ac:dyDescent="0.35">
      <c r="A7376" s="12"/>
    </row>
    <row r="7377" spans="1:1" x14ac:dyDescent="0.35">
      <c r="A7377" s="12"/>
    </row>
    <row r="7378" spans="1:1" x14ac:dyDescent="0.35">
      <c r="A7378" s="12"/>
    </row>
    <row r="7379" spans="1:1" x14ac:dyDescent="0.35">
      <c r="A7379" s="12"/>
    </row>
    <row r="7380" spans="1:1" x14ac:dyDescent="0.35">
      <c r="A7380" s="12"/>
    </row>
    <row r="7381" spans="1:1" x14ac:dyDescent="0.35">
      <c r="A7381" s="12"/>
    </row>
    <row r="7382" spans="1:1" x14ac:dyDescent="0.35">
      <c r="A7382" s="12"/>
    </row>
    <row r="7383" spans="1:1" x14ac:dyDescent="0.35">
      <c r="A7383" s="12"/>
    </row>
    <row r="7384" spans="1:1" x14ac:dyDescent="0.35">
      <c r="A7384" s="12"/>
    </row>
    <row r="7385" spans="1:1" x14ac:dyDescent="0.35">
      <c r="A7385" s="12"/>
    </row>
    <row r="7386" spans="1:1" x14ac:dyDescent="0.35">
      <c r="A7386" s="12"/>
    </row>
    <row r="7387" spans="1:1" x14ac:dyDescent="0.35">
      <c r="A7387" s="12"/>
    </row>
    <row r="7388" spans="1:1" x14ac:dyDescent="0.35">
      <c r="A7388" s="12"/>
    </row>
    <row r="7389" spans="1:1" x14ac:dyDescent="0.35">
      <c r="A7389" s="12"/>
    </row>
    <row r="7390" spans="1:1" x14ac:dyDescent="0.35">
      <c r="A7390" s="12"/>
    </row>
    <row r="7391" spans="1:1" x14ac:dyDescent="0.35">
      <c r="A7391" s="12"/>
    </row>
    <row r="7392" spans="1:1" x14ac:dyDescent="0.35">
      <c r="A7392" s="12"/>
    </row>
    <row r="7393" spans="1:1" x14ac:dyDescent="0.35">
      <c r="A7393" s="12"/>
    </row>
    <row r="7394" spans="1:1" x14ac:dyDescent="0.35">
      <c r="A7394" s="12"/>
    </row>
    <row r="7395" spans="1:1" x14ac:dyDescent="0.35">
      <c r="A7395" s="12"/>
    </row>
    <row r="7396" spans="1:1" x14ac:dyDescent="0.35">
      <c r="A7396" s="12"/>
    </row>
    <row r="7397" spans="1:1" x14ac:dyDescent="0.35">
      <c r="A7397" s="12"/>
    </row>
    <row r="7398" spans="1:1" x14ac:dyDescent="0.35">
      <c r="A7398" s="12"/>
    </row>
    <row r="7399" spans="1:1" x14ac:dyDescent="0.35">
      <c r="A7399" s="12"/>
    </row>
    <row r="7400" spans="1:1" x14ac:dyDescent="0.35">
      <c r="A7400" s="12"/>
    </row>
    <row r="7401" spans="1:1" x14ac:dyDescent="0.35">
      <c r="A7401" s="12"/>
    </row>
    <row r="7402" spans="1:1" x14ac:dyDescent="0.35">
      <c r="A7402" s="12"/>
    </row>
    <row r="7403" spans="1:1" x14ac:dyDescent="0.35">
      <c r="A7403" s="12"/>
    </row>
    <row r="7404" spans="1:1" x14ac:dyDescent="0.35">
      <c r="A7404" s="12"/>
    </row>
    <row r="7405" spans="1:1" x14ac:dyDescent="0.35">
      <c r="A7405" s="12"/>
    </row>
    <row r="7406" spans="1:1" x14ac:dyDescent="0.35">
      <c r="A7406" s="12"/>
    </row>
    <row r="7407" spans="1:1" x14ac:dyDescent="0.35">
      <c r="A7407" s="12"/>
    </row>
    <row r="7408" spans="1:1" x14ac:dyDescent="0.35">
      <c r="A7408" s="12"/>
    </row>
    <row r="7409" spans="1:1" x14ac:dyDescent="0.35">
      <c r="A7409" s="12"/>
    </row>
    <row r="7410" spans="1:1" x14ac:dyDescent="0.35">
      <c r="A7410" s="12"/>
    </row>
    <row r="7411" spans="1:1" x14ac:dyDescent="0.35">
      <c r="A7411" s="12"/>
    </row>
    <row r="7412" spans="1:1" x14ac:dyDescent="0.35">
      <c r="A7412" s="12"/>
    </row>
    <row r="7413" spans="1:1" x14ac:dyDescent="0.35">
      <c r="A7413" s="12"/>
    </row>
    <row r="7414" spans="1:1" x14ac:dyDescent="0.35">
      <c r="A7414" s="12"/>
    </row>
    <row r="7415" spans="1:1" x14ac:dyDescent="0.35">
      <c r="A7415" s="12"/>
    </row>
    <row r="7416" spans="1:1" x14ac:dyDescent="0.35">
      <c r="A7416" s="12"/>
    </row>
    <row r="7417" spans="1:1" x14ac:dyDescent="0.35">
      <c r="A7417" s="12"/>
    </row>
    <row r="7418" spans="1:1" x14ac:dyDescent="0.35">
      <c r="A7418" s="12"/>
    </row>
    <row r="7419" spans="1:1" x14ac:dyDescent="0.35">
      <c r="A7419" s="12"/>
    </row>
    <row r="7420" spans="1:1" x14ac:dyDescent="0.35">
      <c r="A7420" s="12"/>
    </row>
    <row r="7421" spans="1:1" x14ac:dyDescent="0.35">
      <c r="A7421" s="12"/>
    </row>
    <row r="7422" spans="1:1" x14ac:dyDescent="0.35">
      <c r="A7422" s="12"/>
    </row>
    <row r="7423" spans="1:1" x14ac:dyDescent="0.35">
      <c r="A7423" s="12"/>
    </row>
    <row r="7424" spans="1:1" x14ac:dyDescent="0.35">
      <c r="A7424" s="12"/>
    </row>
    <row r="7425" spans="1:1" x14ac:dyDescent="0.35">
      <c r="A7425" s="12"/>
    </row>
    <row r="7426" spans="1:1" x14ac:dyDescent="0.35">
      <c r="A7426" s="12"/>
    </row>
    <row r="7427" spans="1:1" x14ac:dyDescent="0.35">
      <c r="A7427" s="12"/>
    </row>
    <row r="7428" spans="1:1" x14ac:dyDescent="0.35">
      <c r="A7428" s="12"/>
    </row>
    <row r="7429" spans="1:1" x14ac:dyDescent="0.35">
      <c r="A7429" s="12"/>
    </row>
    <row r="7430" spans="1:1" x14ac:dyDescent="0.35">
      <c r="A7430" s="12"/>
    </row>
    <row r="7431" spans="1:1" x14ac:dyDescent="0.35">
      <c r="A7431" s="12"/>
    </row>
    <row r="7432" spans="1:1" x14ac:dyDescent="0.35">
      <c r="A7432" s="12"/>
    </row>
    <row r="7433" spans="1:1" x14ac:dyDescent="0.35">
      <c r="A7433" s="12"/>
    </row>
    <row r="7434" spans="1:1" x14ac:dyDescent="0.35">
      <c r="A7434" s="12"/>
    </row>
    <row r="7435" spans="1:1" x14ac:dyDescent="0.35">
      <c r="A7435" s="12"/>
    </row>
    <row r="7436" spans="1:1" x14ac:dyDescent="0.35">
      <c r="A7436" s="12"/>
    </row>
    <row r="7437" spans="1:1" x14ac:dyDescent="0.35">
      <c r="A7437" s="12"/>
    </row>
    <row r="7438" spans="1:1" x14ac:dyDescent="0.35">
      <c r="A7438" s="12"/>
    </row>
    <row r="7439" spans="1:1" x14ac:dyDescent="0.35">
      <c r="A7439" s="12"/>
    </row>
    <row r="7440" spans="1:1" x14ac:dyDescent="0.35">
      <c r="A7440" s="12"/>
    </row>
    <row r="7441" spans="1:1" x14ac:dyDescent="0.35">
      <c r="A7441" s="12"/>
    </row>
    <row r="7442" spans="1:1" x14ac:dyDescent="0.35">
      <c r="A7442" s="12"/>
    </row>
    <row r="7443" spans="1:1" x14ac:dyDescent="0.35">
      <c r="A7443" s="12"/>
    </row>
    <row r="7444" spans="1:1" x14ac:dyDescent="0.35">
      <c r="A7444" s="12"/>
    </row>
    <row r="7445" spans="1:1" x14ac:dyDescent="0.35">
      <c r="A7445" s="12"/>
    </row>
    <row r="7446" spans="1:1" x14ac:dyDescent="0.35">
      <c r="A7446" s="12"/>
    </row>
    <row r="7447" spans="1:1" x14ac:dyDescent="0.35">
      <c r="A7447" s="12"/>
    </row>
    <row r="7448" spans="1:1" x14ac:dyDescent="0.35">
      <c r="A7448" s="12"/>
    </row>
    <row r="7449" spans="1:1" x14ac:dyDescent="0.35">
      <c r="A7449" s="12"/>
    </row>
    <row r="7450" spans="1:1" x14ac:dyDescent="0.35">
      <c r="A7450" s="12"/>
    </row>
    <row r="7451" spans="1:1" x14ac:dyDescent="0.35">
      <c r="A7451" s="12"/>
    </row>
    <row r="7452" spans="1:1" x14ac:dyDescent="0.35">
      <c r="A7452" s="12"/>
    </row>
    <row r="7453" spans="1:1" x14ac:dyDescent="0.35">
      <c r="A7453" s="12"/>
    </row>
    <row r="7454" spans="1:1" x14ac:dyDescent="0.35">
      <c r="A7454" s="12"/>
    </row>
    <row r="7455" spans="1:1" x14ac:dyDescent="0.35">
      <c r="A7455" s="12"/>
    </row>
    <row r="7456" spans="1:1" x14ac:dyDescent="0.35">
      <c r="A7456" s="12"/>
    </row>
    <row r="7457" spans="1:1" x14ac:dyDescent="0.35">
      <c r="A7457" s="12"/>
    </row>
    <row r="7458" spans="1:1" x14ac:dyDescent="0.35">
      <c r="A7458" s="12"/>
    </row>
    <row r="7459" spans="1:1" x14ac:dyDescent="0.35">
      <c r="A7459" s="12"/>
    </row>
    <row r="7460" spans="1:1" x14ac:dyDescent="0.35">
      <c r="A7460" s="12"/>
    </row>
    <row r="7461" spans="1:1" x14ac:dyDescent="0.35">
      <c r="A7461" s="12"/>
    </row>
    <row r="7462" spans="1:1" x14ac:dyDescent="0.35">
      <c r="A7462" s="12"/>
    </row>
    <row r="7463" spans="1:1" x14ac:dyDescent="0.35">
      <c r="A7463" s="12"/>
    </row>
    <row r="7464" spans="1:1" x14ac:dyDescent="0.35">
      <c r="A7464" s="12"/>
    </row>
    <row r="7465" spans="1:1" x14ac:dyDescent="0.35">
      <c r="A7465" s="12"/>
    </row>
    <row r="7466" spans="1:1" x14ac:dyDescent="0.35">
      <c r="A7466" s="12"/>
    </row>
    <row r="7467" spans="1:1" x14ac:dyDescent="0.35">
      <c r="A7467" s="12"/>
    </row>
    <row r="7468" spans="1:1" x14ac:dyDescent="0.35">
      <c r="A7468" s="12"/>
    </row>
    <row r="7469" spans="1:1" x14ac:dyDescent="0.35">
      <c r="A7469" s="12"/>
    </row>
    <row r="7470" spans="1:1" x14ac:dyDescent="0.35">
      <c r="A7470" s="12"/>
    </row>
    <row r="7471" spans="1:1" x14ac:dyDescent="0.35">
      <c r="A7471" s="12"/>
    </row>
    <row r="7472" spans="1:1" x14ac:dyDescent="0.35">
      <c r="A7472" s="12"/>
    </row>
    <row r="7473" spans="1:1" x14ac:dyDescent="0.35">
      <c r="A7473" s="12"/>
    </row>
    <row r="7474" spans="1:1" x14ac:dyDescent="0.35">
      <c r="A7474" s="12"/>
    </row>
    <row r="7475" spans="1:1" x14ac:dyDescent="0.35">
      <c r="A7475" s="12"/>
    </row>
    <row r="7476" spans="1:1" x14ac:dyDescent="0.35">
      <c r="A7476" s="12"/>
    </row>
    <row r="7477" spans="1:1" x14ac:dyDescent="0.35">
      <c r="A7477" s="12"/>
    </row>
    <row r="7478" spans="1:1" x14ac:dyDescent="0.35">
      <c r="A7478" s="12"/>
    </row>
    <row r="7479" spans="1:1" x14ac:dyDescent="0.35">
      <c r="A7479" s="12"/>
    </row>
    <row r="7480" spans="1:1" x14ac:dyDescent="0.35">
      <c r="A7480" s="12"/>
    </row>
    <row r="7481" spans="1:1" x14ac:dyDescent="0.35">
      <c r="A7481" s="12"/>
    </row>
    <row r="7482" spans="1:1" x14ac:dyDescent="0.35">
      <c r="A7482" s="12"/>
    </row>
    <row r="7483" spans="1:1" x14ac:dyDescent="0.35">
      <c r="A7483" s="12"/>
    </row>
    <row r="7484" spans="1:1" x14ac:dyDescent="0.35">
      <c r="A7484" s="12"/>
    </row>
    <row r="7485" spans="1:1" x14ac:dyDescent="0.35">
      <c r="A7485" s="12"/>
    </row>
    <row r="7486" spans="1:1" x14ac:dyDescent="0.35">
      <c r="A7486" s="12"/>
    </row>
    <row r="7487" spans="1:1" x14ac:dyDescent="0.35">
      <c r="A7487" s="12"/>
    </row>
    <row r="7488" spans="1:1" x14ac:dyDescent="0.35">
      <c r="A7488" s="12"/>
    </row>
    <row r="7489" spans="1:1" x14ac:dyDescent="0.35">
      <c r="A7489" s="12"/>
    </row>
    <row r="7490" spans="1:1" x14ac:dyDescent="0.35">
      <c r="A7490" s="12"/>
    </row>
    <row r="7491" spans="1:1" x14ac:dyDescent="0.35">
      <c r="A7491" s="12"/>
    </row>
    <row r="7492" spans="1:1" x14ac:dyDescent="0.35">
      <c r="A7492" s="12"/>
    </row>
    <row r="7493" spans="1:1" x14ac:dyDescent="0.35">
      <c r="A7493" s="12"/>
    </row>
    <row r="7494" spans="1:1" x14ac:dyDescent="0.35">
      <c r="A7494" s="12"/>
    </row>
    <row r="7495" spans="1:1" x14ac:dyDescent="0.35">
      <c r="A7495" s="12"/>
    </row>
    <row r="7496" spans="1:1" x14ac:dyDescent="0.35">
      <c r="A7496" s="12"/>
    </row>
    <row r="7497" spans="1:1" x14ac:dyDescent="0.35">
      <c r="A7497" s="12"/>
    </row>
    <row r="7498" spans="1:1" x14ac:dyDescent="0.35">
      <c r="A7498" s="12"/>
    </row>
    <row r="7499" spans="1:1" x14ac:dyDescent="0.35">
      <c r="A7499" s="12"/>
    </row>
    <row r="7500" spans="1:1" x14ac:dyDescent="0.35">
      <c r="A7500" s="12"/>
    </row>
    <row r="7501" spans="1:1" x14ac:dyDescent="0.35">
      <c r="A7501" s="12"/>
    </row>
    <row r="7502" spans="1:1" x14ac:dyDescent="0.35">
      <c r="A7502" s="12"/>
    </row>
    <row r="7503" spans="1:1" x14ac:dyDescent="0.35">
      <c r="A7503" s="12"/>
    </row>
    <row r="7504" spans="1:1" x14ac:dyDescent="0.35">
      <c r="A7504" s="12"/>
    </row>
    <row r="7505" spans="1:1" x14ac:dyDescent="0.35">
      <c r="A7505" s="12"/>
    </row>
    <row r="7506" spans="1:1" x14ac:dyDescent="0.35">
      <c r="A7506" s="12"/>
    </row>
    <row r="7507" spans="1:1" x14ac:dyDescent="0.35">
      <c r="A7507" s="12"/>
    </row>
    <row r="7508" spans="1:1" x14ac:dyDescent="0.35">
      <c r="A7508" s="12"/>
    </row>
    <row r="7509" spans="1:1" x14ac:dyDescent="0.35">
      <c r="A7509" s="12"/>
    </row>
    <row r="7510" spans="1:1" x14ac:dyDescent="0.35">
      <c r="A7510" s="12"/>
    </row>
    <row r="7511" spans="1:1" x14ac:dyDescent="0.35">
      <c r="A7511" s="12"/>
    </row>
    <row r="7512" spans="1:1" x14ac:dyDescent="0.35">
      <c r="A7512" s="12"/>
    </row>
    <row r="7513" spans="1:1" x14ac:dyDescent="0.35">
      <c r="A7513" s="12"/>
    </row>
    <row r="7514" spans="1:1" x14ac:dyDescent="0.35">
      <c r="A7514" s="12"/>
    </row>
    <row r="7515" spans="1:1" x14ac:dyDescent="0.35">
      <c r="A7515" s="12"/>
    </row>
    <row r="7516" spans="1:1" x14ac:dyDescent="0.35">
      <c r="A7516" s="12"/>
    </row>
    <row r="7517" spans="1:1" x14ac:dyDescent="0.35">
      <c r="A7517" s="12"/>
    </row>
    <row r="7518" spans="1:1" x14ac:dyDescent="0.35">
      <c r="A7518" s="12"/>
    </row>
    <row r="7519" spans="1:1" x14ac:dyDescent="0.35">
      <c r="A7519" s="12"/>
    </row>
    <row r="7520" spans="1:1" x14ac:dyDescent="0.35">
      <c r="A7520" s="12"/>
    </row>
    <row r="7521" spans="1:1" x14ac:dyDescent="0.35">
      <c r="A7521" s="12"/>
    </row>
    <row r="7522" spans="1:1" x14ac:dyDescent="0.35">
      <c r="A7522" s="12"/>
    </row>
    <row r="7523" spans="1:1" x14ac:dyDescent="0.35">
      <c r="A7523" s="12"/>
    </row>
    <row r="7524" spans="1:1" x14ac:dyDescent="0.35">
      <c r="A7524" s="12"/>
    </row>
    <row r="7525" spans="1:1" x14ac:dyDescent="0.35">
      <c r="A7525" s="12"/>
    </row>
    <row r="7526" spans="1:1" x14ac:dyDescent="0.35">
      <c r="A7526" s="12"/>
    </row>
    <row r="7527" spans="1:1" x14ac:dyDescent="0.35">
      <c r="A7527" s="12"/>
    </row>
    <row r="7528" spans="1:1" x14ac:dyDescent="0.35">
      <c r="A7528" s="12"/>
    </row>
    <row r="7529" spans="1:1" x14ac:dyDescent="0.35">
      <c r="A7529" s="12"/>
    </row>
    <row r="7530" spans="1:1" x14ac:dyDescent="0.35">
      <c r="A7530" s="12"/>
    </row>
    <row r="7531" spans="1:1" x14ac:dyDescent="0.35">
      <c r="A7531" s="12"/>
    </row>
    <row r="7532" spans="1:1" x14ac:dyDescent="0.35">
      <c r="A7532" s="12"/>
    </row>
    <row r="7533" spans="1:1" x14ac:dyDescent="0.35">
      <c r="A7533" s="12"/>
    </row>
    <row r="7534" spans="1:1" x14ac:dyDescent="0.35">
      <c r="A7534" s="12"/>
    </row>
    <row r="7535" spans="1:1" x14ac:dyDescent="0.35">
      <c r="A7535" s="12"/>
    </row>
    <row r="7536" spans="1:1" x14ac:dyDescent="0.35">
      <c r="A7536" s="12"/>
    </row>
    <row r="7537" spans="1:1" x14ac:dyDescent="0.35">
      <c r="A7537" s="12"/>
    </row>
    <row r="7538" spans="1:1" x14ac:dyDescent="0.35">
      <c r="A7538" s="12"/>
    </row>
    <row r="7539" spans="1:1" x14ac:dyDescent="0.35">
      <c r="A7539" s="12"/>
    </row>
    <row r="7540" spans="1:1" x14ac:dyDescent="0.35">
      <c r="A7540" s="12"/>
    </row>
    <row r="7541" spans="1:1" x14ac:dyDescent="0.35">
      <c r="A7541" s="12"/>
    </row>
    <row r="7542" spans="1:1" x14ac:dyDescent="0.35">
      <c r="A7542" s="12"/>
    </row>
    <row r="7543" spans="1:1" x14ac:dyDescent="0.35">
      <c r="A7543" s="12"/>
    </row>
    <row r="7544" spans="1:1" x14ac:dyDescent="0.35">
      <c r="A7544" s="12"/>
    </row>
    <row r="7545" spans="1:1" x14ac:dyDescent="0.35">
      <c r="A7545" s="12"/>
    </row>
    <row r="7546" spans="1:1" x14ac:dyDescent="0.35">
      <c r="A7546" s="12"/>
    </row>
    <row r="7547" spans="1:1" x14ac:dyDescent="0.35">
      <c r="A7547" s="12"/>
    </row>
    <row r="7548" spans="1:1" x14ac:dyDescent="0.35">
      <c r="A7548" s="12"/>
    </row>
    <row r="7549" spans="1:1" x14ac:dyDescent="0.35">
      <c r="A7549" s="12"/>
    </row>
    <row r="7550" spans="1:1" x14ac:dyDescent="0.35">
      <c r="A7550" s="12"/>
    </row>
    <row r="7551" spans="1:1" x14ac:dyDescent="0.35">
      <c r="A7551" s="12"/>
    </row>
    <row r="7552" spans="1:1" x14ac:dyDescent="0.35">
      <c r="A7552" s="12"/>
    </row>
    <row r="7553" spans="1:1" x14ac:dyDescent="0.35">
      <c r="A7553" s="12"/>
    </row>
    <row r="7554" spans="1:1" x14ac:dyDescent="0.35">
      <c r="A7554" s="12"/>
    </row>
    <row r="7555" spans="1:1" x14ac:dyDescent="0.35">
      <c r="A7555" s="12"/>
    </row>
    <row r="7556" spans="1:1" x14ac:dyDescent="0.35">
      <c r="A7556" s="12"/>
    </row>
    <row r="7557" spans="1:1" x14ac:dyDescent="0.35">
      <c r="A7557" s="12"/>
    </row>
    <row r="7558" spans="1:1" x14ac:dyDescent="0.35">
      <c r="A7558" s="12"/>
    </row>
    <row r="7559" spans="1:1" x14ac:dyDescent="0.35">
      <c r="A7559" s="12"/>
    </row>
    <row r="7560" spans="1:1" x14ac:dyDescent="0.35">
      <c r="A7560" s="12"/>
    </row>
    <row r="7561" spans="1:1" x14ac:dyDescent="0.35">
      <c r="A7561" s="12"/>
    </row>
    <row r="7562" spans="1:1" x14ac:dyDescent="0.35">
      <c r="A7562" s="12"/>
    </row>
    <row r="7563" spans="1:1" x14ac:dyDescent="0.35">
      <c r="A7563" s="12"/>
    </row>
    <row r="7564" spans="1:1" x14ac:dyDescent="0.35">
      <c r="A7564" s="12"/>
    </row>
    <row r="7565" spans="1:1" x14ac:dyDescent="0.35">
      <c r="A7565" s="12"/>
    </row>
    <row r="7566" spans="1:1" x14ac:dyDescent="0.35">
      <c r="A7566" s="12"/>
    </row>
    <row r="7567" spans="1:1" x14ac:dyDescent="0.35">
      <c r="A7567" s="12"/>
    </row>
    <row r="7568" spans="1:1" x14ac:dyDescent="0.35">
      <c r="A7568" s="12"/>
    </row>
    <row r="7569" spans="1:1" x14ac:dyDescent="0.35">
      <c r="A7569" s="12"/>
    </row>
    <row r="7570" spans="1:1" x14ac:dyDescent="0.35">
      <c r="A7570" s="12"/>
    </row>
    <row r="7571" spans="1:1" x14ac:dyDescent="0.35">
      <c r="A7571" s="12"/>
    </row>
    <row r="7572" spans="1:1" x14ac:dyDescent="0.35">
      <c r="A7572" s="12"/>
    </row>
    <row r="7573" spans="1:1" x14ac:dyDescent="0.35">
      <c r="A7573" s="12"/>
    </row>
    <row r="7574" spans="1:1" x14ac:dyDescent="0.35">
      <c r="A7574" s="12"/>
    </row>
    <row r="7575" spans="1:1" x14ac:dyDescent="0.35">
      <c r="A7575" s="12"/>
    </row>
    <row r="7576" spans="1:1" x14ac:dyDescent="0.35">
      <c r="A7576" s="12"/>
    </row>
    <row r="7577" spans="1:1" x14ac:dyDescent="0.35">
      <c r="A7577" s="12"/>
    </row>
    <row r="7578" spans="1:1" x14ac:dyDescent="0.35">
      <c r="A7578" s="12"/>
    </row>
    <row r="7579" spans="1:1" x14ac:dyDescent="0.35">
      <c r="A7579" s="12"/>
    </row>
    <row r="7580" spans="1:1" x14ac:dyDescent="0.35">
      <c r="A7580" s="12"/>
    </row>
    <row r="7581" spans="1:1" x14ac:dyDescent="0.35">
      <c r="A7581" s="12"/>
    </row>
    <row r="7582" spans="1:1" x14ac:dyDescent="0.35">
      <c r="A7582" s="12"/>
    </row>
    <row r="7583" spans="1:1" x14ac:dyDescent="0.35">
      <c r="A7583" s="12"/>
    </row>
    <row r="7584" spans="1:1" x14ac:dyDescent="0.35">
      <c r="A7584" s="12"/>
    </row>
    <row r="7585" spans="1:1" x14ac:dyDescent="0.35">
      <c r="A7585" s="12"/>
    </row>
    <row r="7586" spans="1:1" x14ac:dyDescent="0.35">
      <c r="A7586" s="12"/>
    </row>
    <row r="7587" spans="1:1" x14ac:dyDescent="0.35">
      <c r="A7587" s="12"/>
    </row>
    <row r="7588" spans="1:1" x14ac:dyDescent="0.35">
      <c r="A7588" s="12"/>
    </row>
    <row r="7589" spans="1:1" x14ac:dyDescent="0.35">
      <c r="A7589" s="12"/>
    </row>
    <row r="7590" spans="1:1" x14ac:dyDescent="0.35">
      <c r="A7590" s="12"/>
    </row>
    <row r="7591" spans="1:1" x14ac:dyDescent="0.35">
      <c r="A7591" s="12"/>
    </row>
    <row r="7592" spans="1:1" x14ac:dyDescent="0.35">
      <c r="A7592" s="12"/>
    </row>
    <row r="7593" spans="1:1" x14ac:dyDescent="0.35">
      <c r="A7593" s="12"/>
    </row>
    <row r="7594" spans="1:1" x14ac:dyDescent="0.35">
      <c r="A7594" s="12"/>
    </row>
    <row r="7595" spans="1:1" x14ac:dyDescent="0.35">
      <c r="A7595" s="12"/>
    </row>
    <row r="7596" spans="1:1" x14ac:dyDescent="0.35">
      <c r="A7596" s="12"/>
    </row>
    <row r="7597" spans="1:1" x14ac:dyDescent="0.35">
      <c r="A7597" s="12"/>
    </row>
    <row r="7598" spans="1:1" x14ac:dyDescent="0.35">
      <c r="A7598" s="12"/>
    </row>
    <row r="7599" spans="1:1" x14ac:dyDescent="0.35">
      <c r="A7599" s="12"/>
    </row>
    <row r="7600" spans="1:1" x14ac:dyDescent="0.35">
      <c r="A7600" s="12"/>
    </row>
    <row r="7601" spans="1:1" x14ac:dyDescent="0.35">
      <c r="A7601" s="12"/>
    </row>
    <row r="7602" spans="1:1" x14ac:dyDescent="0.35">
      <c r="A7602" s="12"/>
    </row>
    <row r="7603" spans="1:1" x14ac:dyDescent="0.35">
      <c r="A7603" s="12"/>
    </row>
    <row r="7604" spans="1:1" x14ac:dyDescent="0.35">
      <c r="A7604" s="12"/>
    </row>
    <row r="7605" spans="1:1" x14ac:dyDescent="0.35">
      <c r="A7605" s="12"/>
    </row>
    <row r="7606" spans="1:1" x14ac:dyDescent="0.35">
      <c r="A7606" s="12"/>
    </row>
    <row r="7607" spans="1:1" x14ac:dyDescent="0.35">
      <c r="A7607" s="12"/>
    </row>
    <row r="7608" spans="1:1" x14ac:dyDescent="0.35">
      <c r="A7608" s="12"/>
    </row>
    <row r="7609" spans="1:1" x14ac:dyDescent="0.35">
      <c r="A7609" s="12"/>
    </row>
    <row r="7610" spans="1:1" x14ac:dyDescent="0.35">
      <c r="A7610" s="12"/>
    </row>
    <row r="7611" spans="1:1" x14ac:dyDescent="0.35">
      <c r="A7611" s="12"/>
    </row>
    <row r="7612" spans="1:1" x14ac:dyDescent="0.35">
      <c r="A7612" s="12"/>
    </row>
    <row r="7613" spans="1:1" x14ac:dyDescent="0.35">
      <c r="A7613" s="12"/>
    </row>
    <row r="7614" spans="1:1" x14ac:dyDescent="0.35">
      <c r="A7614" s="12"/>
    </row>
    <row r="7615" spans="1:1" x14ac:dyDescent="0.35">
      <c r="A7615" s="12"/>
    </row>
    <row r="7616" spans="1:1" x14ac:dyDescent="0.35">
      <c r="A7616" s="12"/>
    </row>
    <row r="7617" spans="1:1" x14ac:dyDescent="0.35">
      <c r="A7617" s="12"/>
    </row>
    <row r="7618" spans="1:1" x14ac:dyDescent="0.35">
      <c r="A7618" s="12"/>
    </row>
    <row r="7619" spans="1:1" x14ac:dyDescent="0.35">
      <c r="A7619" s="12"/>
    </row>
    <row r="7620" spans="1:1" x14ac:dyDescent="0.35">
      <c r="A7620" s="12"/>
    </row>
    <row r="7621" spans="1:1" x14ac:dyDescent="0.35">
      <c r="A7621" s="12"/>
    </row>
    <row r="7622" spans="1:1" x14ac:dyDescent="0.35">
      <c r="A7622" s="12"/>
    </row>
    <row r="7623" spans="1:1" x14ac:dyDescent="0.35">
      <c r="A7623" s="12"/>
    </row>
    <row r="7624" spans="1:1" x14ac:dyDescent="0.35">
      <c r="A7624" s="12"/>
    </row>
    <row r="7625" spans="1:1" x14ac:dyDescent="0.35">
      <c r="A7625" s="12"/>
    </row>
    <row r="7626" spans="1:1" x14ac:dyDescent="0.35">
      <c r="A7626" s="12"/>
    </row>
    <row r="7627" spans="1:1" x14ac:dyDescent="0.35">
      <c r="A7627" s="12"/>
    </row>
    <row r="7628" spans="1:1" x14ac:dyDescent="0.35">
      <c r="A7628" s="12"/>
    </row>
    <row r="7629" spans="1:1" x14ac:dyDescent="0.35">
      <c r="A7629" s="12"/>
    </row>
    <row r="7630" spans="1:1" x14ac:dyDescent="0.35">
      <c r="A7630" s="12"/>
    </row>
    <row r="7631" spans="1:1" x14ac:dyDescent="0.35">
      <c r="A7631" s="12"/>
    </row>
    <row r="7632" spans="1:1" x14ac:dyDescent="0.35">
      <c r="A7632" s="12"/>
    </row>
    <row r="7633" spans="1:1" x14ac:dyDescent="0.35">
      <c r="A7633" s="12"/>
    </row>
    <row r="7634" spans="1:1" x14ac:dyDescent="0.35">
      <c r="A7634" s="12"/>
    </row>
    <row r="7635" spans="1:1" x14ac:dyDescent="0.35">
      <c r="A7635" s="12"/>
    </row>
    <row r="7636" spans="1:1" x14ac:dyDescent="0.35">
      <c r="A7636" s="12"/>
    </row>
    <row r="7637" spans="1:1" x14ac:dyDescent="0.35">
      <c r="A7637" s="12"/>
    </row>
    <row r="7638" spans="1:1" x14ac:dyDescent="0.35">
      <c r="A7638" s="12"/>
    </row>
    <row r="7639" spans="1:1" x14ac:dyDescent="0.35">
      <c r="A7639" s="12"/>
    </row>
    <row r="7640" spans="1:1" x14ac:dyDescent="0.35">
      <c r="A7640" s="12"/>
    </row>
    <row r="7641" spans="1:1" x14ac:dyDescent="0.35">
      <c r="A7641" s="12"/>
    </row>
    <row r="7642" spans="1:1" x14ac:dyDescent="0.35">
      <c r="A7642" s="12"/>
    </row>
    <row r="7643" spans="1:1" x14ac:dyDescent="0.35">
      <c r="A7643" s="12"/>
    </row>
    <row r="7644" spans="1:1" x14ac:dyDescent="0.35">
      <c r="A7644" s="12"/>
    </row>
    <row r="7645" spans="1:1" x14ac:dyDescent="0.35">
      <c r="A7645" s="12"/>
    </row>
    <row r="7646" spans="1:1" x14ac:dyDescent="0.35">
      <c r="A7646" s="12"/>
    </row>
    <row r="7647" spans="1:1" x14ac:dyDescent="0.35">
      <c r="A7647" s="12"/>
    </row>
    <row r="7648" spans="1:1" x14ac:dyDescent="0.35">
      <c r="A7648" s="12"/>
    </row>
    <row r="7649" spans="1:1" x14ac:dyDescent="0.35">
      <c r="A7649" s="12"/>
    </row>
    <row r="7650" spans="1:1" x14ac:dyDescent="0.35">
      <c r="A7650" s="12"/>
    </row>
    <row r="7651" spans="1:1" x14ac:dyDescent="0.35">
      <c r="A7651" s="12"/>
    </row>
    <row r="7652" spans="1:1" x14ac:dyDescent="0.35">
      <c r="A7652" s="12"/>
    </row>
    <row r="7653" spans="1:1" x14ac:dyDescent="0.35">
      <c r="A7653" s="12"/>
    </row>
    <row r="7654" spans="1:1" x14ac:dyDescent="0.35">
      <c r="A7654" s="12"/>
    </row>
    <row r="7655" spans="1:1" x14ac:dyDescent="0.35">
      <c r="A7655" s="12"/>
    </row>
    <row r="7656" spans="1:1" x14ac:dyDescent="0.35">
      <c r="A7656" s="12"/>
    </row>
    <row r="7657" spans="1:1" x14ac:dyDescent="0.35">
      <c r="A7657" s="12"/>
    </row>
    <row r="7658" spans="1:1" x14ac:dyDescent="0.35">
      <c r="A7658" s="12"/>
    </row>
    <row r="7659" spans="1:1" x14ac:dyDescent="0.35">
      <c r="A7659" s="12"/>
    </row>
    <row r="7660" spans="1:1" x14ac:dyDescent="0.35">
      <c r="A7660" s="12"/>
    </row>
    <row r="7661" spans="1:1" x14ac:dyDescent="0.35">
      <c r="A7661" s="12"/>
    </row>
    <row r="7662" spans="1:1" x14ac:dyDescent="0.35">
      <c r="A7662" s="12"/>
    </row>
    <row r="7663" spans="1:1" x14ac:dyDescent="0.35">
      <c r="A7663" s="12"/>
    </row>
    <row r="7664" spans="1:1" x14ac:dyDescent="0.35">
      <c r="A7664" s="12"/>
    </row>
    <row r="7665" spans="1:1" x14ac:dyDescent="0.35">
      <c r="A7665" s="12"/>
    </row>
    <row r="7666" spans="1:1" x14ac:dyDescent="0.35">
      <c r="A7666" s="12"/>
    </row>
    <row r="7667" spans="1:1" x14ac:dyDescent="0.35">
      <c r="A7667" s="12"/>
    </row>
    <row r="7668" spans="1:1" x14ac:dyDescent="0.35">
      <c r="A7668" s="12"/>
    </row>
    <row r="7669" spans="1:1" x14ac:dyDescent="0.35">
      <c r="A7669" s="12"/>
    </row>
    <row r="7670" spans="1:1" x14ac:dyDescent="0.35">
      <c r="A7670" s="12"/>
    </row>
    <row r="7671" spans="1:1" x14ac:dyDescent="0.35">
      <c r="A7671" s="12"/>
    </row>
    <row r="7672" spans="1:1" x14ac:dyDescent="0.35">
      <c r="A7672" s="12"/>
    </row>
    <row r="7673" spans="1:1" x14ac:dyDescent="0.35">
      <c r="A7673" s="12"/>
    </row>
    <row r="7674" spans="1:1" x14ac:dyDescent="0.35">
      <c r="A7674" s="12"/>
    </row>
    <row r="7675" spans="1:1" x14ac:dyDescent="0.35">
      <c r="A7675" s="12"/>
    </row>
    <row r="7676" spans="1:1" x14ac:dyDescent="0.35">
      <c r="A7676" s="12"/>
    </row>
    <row r="7677" spans="1:1" x14ac:dyDescent="0.35">
      <c r="A7677" s="12"/>
    </row>
    <row r="7678" spans="1:1" x14ac:dyDescent="0.35">
      <c r="A7678" s="12"/>
    </row>
    <row r="7679" spans="1:1" x14ac:dyDescent="0.35">
      <c r="A7679" s="12"/>
    </row>
    <row r="7680" spans="1:1" x14ac:dyDescent="0.35">
      <c r="A7680" s="12"/>
    </row>
    <row r="7681" spans="1:1" x14ac:dyDescent="0.35">
      <c r="A7681" s="12"/>
    </row>
    <row r="7682" spans="1:1" x14ac:dyDescent="0.35">
      <c r="A7682" s="12"/>
    </row>
    <row r="7683" spans="1:1" x14ac:dyDescent="0.35">
      <c r="A7683" s="12"/>
    </row>
    <row r="7684" spans="1:1" x14ac:dyDescent="0.35">
      <c r="A7684" s="12"/>
    </row>
    <row r="7685" spans="1:1" x14ac:dyDescent="0.35">
      <c r="A7685" s="12"/>
    </row>
    <row r="7686" spans="1:1" x14ac:dyDescent="0.35">
      <c r="A7686" s="12"/>
    </row>
    <row r="7687" spans="1:1" x14ac:dyDescent="0.35">
      <c r="A7687" s="12"/>
    </row>
    <row r="7688" spans="1:1" x14ac:dyDescent="0.35">
      <c r="A7688" s="12"/>
    </row>
    <row r="7689" spans="1:1" x14ac:dyDescent="0.35">
      <c r="A7689" s="12"/>
    </row>
    <row r="7690" spans="1:1" x14ac:dyDescent="0.35">
      <c r="A7690" s="12"/>
    </row>
    <row r="7691" spans="1:1" x14ac:dyDescent="0.35">
      <c r="A7691" s="12"/>
    </row>
    <row r="7692" spans="1:1" x14ac:dyDescent="0.35">
      <c r="A7692" s="12"/>
    </row>
    <row r="7693" spans="1:1" x14ac:dyDescent="0.35">
      <c r="A7693" s="12"/>
    </row>
    <row r="7694" spans="1:1" x14ac:dyDescent="0.35">
      <c r="A7694" s="12"/>
    </row>
    <row r="7695" spans="1:1" x14ac:dyDescent="0.35">
      <c r="A7695" s="12"/>
    </row>
    <row r="7696" spans="1:1" x14ac:dyDescent="0.35">
      <c r="A7696" s="12"/>
    </row>
    <row r="7697" spans="1:1" x14ac:dyDescent="0.35">
      <c r="A7697" s="12"/>
    </row>
    <row r="7698" spans="1:1" x14ac:dyDescent="0.35">
      <c r="A7698" s="12"/>
    </row>
    <row r="7699" spans="1:1" x14ac:dyDescent="0.35">
      <c r="A7699" s="12"/>
    </row>
    <row r="7700" spans="1:1" x14ac:dyDescent="0.35">
      <c r="A7700" s="12"/>
    </row>
    <row r="7701" spans="1:1" x14ac:dyDescent="0.35">
      <c r="A7701" s="12"/>
    </row>
    <row r="7702" spans="1:1" x14ac:dyDescent="0.35">
      <c r="A7702" s="12"/>
    </row>
    <row r="7703" spans="1:1" x14ac:dyDescent="0.35">
      <c r="A7703" s="12"/>
    </row>
    <row r="7704" spans="1:1" x14ac:dyDescent="0.35">
      <c r="A7704" s="12"/>
    </row>
    <row r="7705" spans="1:1" x14ac:dyDescent="0.35">
      <c r="A7705" s="12"/>
    </row>
    <row r="7706" spans="1:1" x14ac:dyDescent="0.35">
      <c r="A7706" s="12"/>
    </row>
    <row r="7707" spans="1:1" x14ac:dyDescent="0.35">
      <c r="A7707" s="12"/>
    </row>
    <row r="7708" spans="1:1" x14ac:dyDescent="0.35">
      <c r="A7708" s="12"/>
    </row>
    <row r="7709" spans="1:1" x14ac:dyDescent="0.35">
      <c r="A7709" s="12"/>
    </row>
    <row r="7710" spans="1:1" x14ac:dyDescent="0.35">
      <c r="A7710" s="12"/>
    </row>
    <row r="7711" spans="1:1" x14ac:dyDescent="0.35">
      <c r="A7711" s="12"/>
    </row>
    <row r="7712" spans="1:1" x14ac:dyDescent="0.35">
      <c r="A7712" s="12"/>
    </row>
    <row r="7713" spans="1:1" x14ac:dyDescent="0.35">
      <c r="A7713" s="12"/>
    </row>
    <row r="7714" spans="1:1" x14ac:dyDescent="0.35">
      <c r="A7714" s="12"/>
    </row>
    <row r="7715" spans="1:1" x14ac:dyDescent="0.35">
      <c r="A7715" s="12"/>
    </row>
    <row r="7716" spans="1:1" x14ac:dyDescent="0.35">
      <c r="A7716" s="12"/>
    </row>
    <row r="7717" spans="1:1" x14ac:dyDescent="0.35">
      <c r="A7717" s="12"/>
    </row>
    <row r="7718" spans="1:1" x14ac:dyDescent="0.35">
      <c r="A7718" s="12"/>
    </row>
    <row r="7719" spans="1:1" x14ac:dyDescent="0.35">
      <c r="A7719" s="12"/>
    </row>
    <row r="7720" spans="1:1" x14ac:dyDescent="0.35">
      <c r="A7720" s="12"/>
    </row>
    <row r="7721" spans="1:1" x14ac:dyDescent="0.35">
      <c r="A7721" s="12"/>
    </row>
    <row r="7722" spans="1:1" x14ac:dyDescent="0.35">
      <c r="A7722" s="12"/>
    </row>
    <row r="7723" spans="1:1" x14ac:dyDescent="0.35">
      <c r="A7723" s="12"/>
    </row>
    <row r="7724" spans="1:1" x14ac:dyDescent="0.35">
      <c r="A7724" s="12"/>
    </row>
    <row r="7725" spans="1:1" x14ac:dyDescent="0.35">
      <c r="A7725" s="12"/>
    </row>
    <row r="7726" spans="1:1" x14ac:dyDescent="0.35">
      <c r="A7726" s="12"/>
    </row>
    <row r="7727" spans="1:1" x14ac:dyDescent="0.35">
      <c r="A7727" s="12"/>
    </row>
    <row r="7728" spans="1:1" x14ac:dyDescent="0.35">
      <c r="A7728" s="12"/>
    </row>
    <row r="7729" spans="1:1" x14ac:dyDescent="0.35">
      <c r="A7729" s="12"/>
    </row>
    <row r="7730" spans="1:1" x14ac:dyDescent="0.35">
      <c r="A7730" s="12"/>
    </row>
    <row r="7731" spans="1:1" x14ac:dyDescent="0.35">
      <c r="A7731" s="12"/>
    </row>
    <row r="7732" spans="1:1" x14ac:dyDescent="0.35">
      <c r="A7732" s="12"/>
    </row>
    <row r="7733" spans="1:1" x14ac:dyDescent="0.35">
      <c r="A7733" s="12"/>
    </row>
    <row r="7734" spans="1:1" x14ac:dyDescent="0.35">
      <c r="A7734" s="12"/>
    </row>
    <row r="7735" spans="1:1" x14ac:dyDescent="0.35">
      <c r="A7735" s="12"/>
    </row>
    <row r="7736" spans="1:1" x14ac:dyDescent="0.35">
      <c r="A7736" s="12"/>
    </row>
    <row r="7737" spans="1:1" x14ac:dyDescent="0.35">
      <c r="A7737" s="12"/>
    </row>
    <row r="7738" spans="1:1" x14ac:dyDescent="0.35">
      <c r="A7738" s="12"/>
    </row>
    <row r="7739" spans="1:1" x14ac:dyDescent="0.35">
      <c r="A7739" s="12"/>
    </row>
    <row r="7740" spans="1:1" x14ac:dyDescent="0.35">
      <c r="A7740" s="12"/>
    </row>
    <row r="7741" spans="1:1" x14ac:dyDescent="0.35">
      <c r="A7741" s="12"/>
    </row>
    <row r="7742" spans="1:1" x14ac:dyDescent="0.35">
      <c r="A7742" s="12"/>
    </row>
    <row r="7743" spans="1:1" x14ac:dyDescent="0.35">
      <c r="A7743" s="12"/>
    </row>
    <row r="7744" spans="1:1" x14ac:dyDescent="0.35">
      <c r="A7744" s="12"/>
    </row>
    <row r="7745" spans="1:1" x14ac:dyDescent="0.35">
      <c r="A7745" s="12"/>
    </row>
    <row r="7746" spans="1:1" x14ac:dyDescent="0.35">
      <c r="A7746" s="12"/>
    </row>
    <row r="7747" spans="1:1" x14ac:dyDescent="0.35">
      <c r="A7747" s="12"/>
    </row>
    <row r="7748" spans="1:1" x14ac:dyDescent="0.35">
      <c r="A7748" s="12"/>
    </row>
    <row r="7749" spans="1:1" x14ac:dyDescent="0.35">
      <c r="A7749" s="12"/>
    </row>
    <row r="7750" spans="1:1" x14ac:dyDescent="0.35">
      <c r="A7750" s="12"/>
    </row>
    <row r="7751" spans="1:1" x14ac:dyDescent="0.35">
      <c r="A7751" s="12"/>
    </row>
    <row r="7752" spans="1:1" x14ac:dyDescent="0.35">
      <c r="A7752" s="12"/>
    </row>
    <row r="7753" spans="1:1" x14ac:dyDescent="0.35">
      <c r="A7753" s="12"/>
    </row>
    <row r="7754" spans="1:1" x14ac:dyDescent="0.35">
      <c r="A7754" s="12"/>
    </row>
    <row r="7755" spans="1:1" x14ac:dyDescent="0.35">
      <c r="A7755" s="12"/>
    </row>
    <row r="7756" spans="1:1" x14ac:dyDescent="0.35">
      <c r="A7756" s="12"/>
    </row>
    <row r="7757" spans="1:1" x14ac:dyDescent="0.35">
      <c r="A7757" s="12"/>
    </row>
    <row r="7758" spans="1:1" x14ac:dyDescent="0.35">
      <c r="A7758" s="12"/>
    </row>
    <row r="7759" spans="1:1" x14ac:dyDescent="0.35">
      <c r="A7759" s="12"/>
    </row>
    <row r="7760" spans="1:1" x14ac:dyDescent="0.35">
      <c r="A7760" s="12"/>
    </row>
    <row r="7761" spans="1:1" x14ac:dyDescent="0.35">
      <c r="A7761" s="12"/>
    </row>
    <row r="7762" spans="1:1" x14ac:dyDescent="0.35">
      <c r="A7762" s="12"/>
    </row>
    <row r="7763" spans="1:1" x14ac:dyDescent="0.35">
      <c r="A7763" s="12"/>
    </row>
    <row r="7764" spans="1:1" x14ac:dyDescent="0.35">
      <c r="A7764" s="12"/>
    </row>
    <row r="7765" spans="1:1" x14ac:dyDescent="0.35">
      <c r="A7765" s="12"/>
    </row>
    <row r="7766" spans="1:1" x14ac:dyDescent="0.35">
      <c r="A7766" s="12"/>
    </row>
    <row r="7767" spans="1:1" x14ac:dyDescent="0.35">
      <c r="A7767" s="12"/>
    </row>
    <row r="7768" spans="1:1" x14ac:dyDescent="0.35">
      <c r="A7768" s="12"/>
    </row>
    <row r="7769" spans="1:1" x14ac:dyDescent="0.35">
      <c r="A7769" s="12"/>
    </row>
    <row r="7770" spans="1:1" x14ac:dyDescent="0.35">
      <c r="A7770" s="12"/>
    </row>
    <row r="7771" spans="1:1" x14ac:dyDescent="0.35">
      <c r="A7771" s="12"/>
    </row>
    <row r="7772" spans="1:1" x14ac:dyDescent="0.35">
      <c r="A7772" s="12"/>
    </row>
    <row r="7773" spans="1:1" x14ac:dyDescent="0.35">
      <c r="A7773" s="12"/>
    </row>
    <row r="7774" spans="1:1" x14ac:dyDescent="0.35">
      <c r="A7774" s="12"/>
    </row>
    <row r="7775" spans="1:1" x14ac:dyDescent="0.35">
      <c r="A7775" s="12"/>
    </row>
    <row r="7776" spans="1:1" x14ac:dyDescent="0.35">
      <c r="A7776" s="12"/>
    </row>
    <row r="7777" spans="1:1" x14ac:dyDescent="0.35">
      <c r="A7777" s="12"/>
    </row>
    <row r="7778" spans="1:1" x14ac:dyDescent="0.35">
      <c r="A7778" s="12"/>
    </row>
    <row r="7779" spans="1:1" x14ac:dyDescent="0.35">
      <c r="A7779" s="12"/>
    </row>
    <row r="7780" spans="1:1" x14ac:dyDescent="0.35">
      <c r="A7780" s="12"/>
    </row>
    <row r="7781" spans="1:1" x14ac:dyDescent="0.35">
      <c r="A7781" s="12"/>
    </row>
    <row r="7782" spans="1:1" x14ac:dyDescent="0.35">
      <c r="A7782" s="12"/>
    </row>
    <row r="7783" spans="1:1" x14ac:dyDescent="0.35">
      <c r="A7783" s="12"/>
    </row>
    <row r="7784" spans="1:1" x14ac:dyDescent="0.35">
      <c r="A7784" s="12"/>
    </row>
    <row r="7785" spans="1:1" x14ac:dyDescent="0.35">
      <c r="A7785" s="12"/>
    </row>
    <row r="7786" spans="1:1" x14ac:dyDescent="0.35">
      <c r="A7786" s="12"/>
    </row>
    <row r="7787" spans="1:1" x14ac:dyDescent="0.35">
      <c r="A7787" s="12"/>
    </row>
    <row r="7788" spans="1:1" x14ac:dyDescent="0.35">
      <c r="A7788" s="12"/>
    </row>
    <row r="7789" spans="1:1" x14ac:dyDescent="0.35">
      <c r="A7789" s="12"/>
    </row>
    <row r="7790" spans="1:1" x14ac:dyDescent="0.35">
      <c r="A7790" s="12"/>
    </row>
    <row r="7791" spans="1:1" x14ac:dyDescent="0.35">
      <c r="A7791" s="12"/>
    </row>
    <row r="7792" spans="1:1" x14ac:dyDescent="0.35">
      <c r="A7792" s="12"/>
    </row>
    <row r="7793" spans="1:1" x14ac:dyDescent="0.35">
      <c r="A7793" s="12"/>
    </row>
    <row r="7794" spans="1:1" x14ac:dyDescent="0.35">
      <c r="A7794" s="12"/>
    </row>
    <row r="7795" spans="1:1" x14ac:dyDescent="0.35">
      <c r="A7795" s="12"/>
    </row>
    <row r="7796" spans="1:1" x14ac:dyDescent="0.35">
      <c r="A7796" s="12"/>
    </row>
    <row r="7797" spans="1:1" x14ac:dyDescent="0.35">
      <c r="A7797" s="12"/>
    </row>
    <row r="7798" spans="1:1" x14ac:dyDescent="0.35">
      <c r="A7798" s="12"/>
    </row>
    <row r="7799" spans="1:1" x14ac:dyDescent="0.35">
      <c r="A7799" s="12"/>
    </row>
    <row r="7800" spans="1:1" x14ac:dyDescent="0.35">
      <c r="A7800" s="12"/>
    </row>
    <row r="7801" spans="1:1" x14ac:dyDescent="0.35">
      <c r="A7801" s="12"/>
    </row>
    <row r="7802" spans="1:1" x14ac:dyDescent="0.35">
      <c r="A7802" s="12"/>
    </row>
    <row r="7803" spans="1:1" x14ac:dyDescent="0.35">
      <c r="A7803" s="12"/>
    </row>
    <row r="7804" spans="1:1" x14ac:dyDescent="0.35">
      <c r="A7804" s="12"/>
    </row>
    <row r="7805" spans="1:1" x14ac:dyDescent="0.35">
      <c r="A7805" s="12"/>
    </row>
    <row r="7806" spans="1:1" x14ac:dyDescent="0.35">
      <c r="A7806" s="12"/>
    </row>
    <row r="7807" spans="1:1" x14ac:dyDescent="0.35">
      <c r="A7807" s="12"/>
    </row>
    <row r="7808" spans="1:1" x14ac:dyDescent="0.35">
      <c r="A7808" s="12"/>
    </row>
    <row r="7809" spans="1:1" x14ac:dyDescent="0.35">
      <c r="A7809" s="12"/>
    </row>
    <row r="7810" spans="1:1" x14ac:dyDescent="0.35">
      <c r="A7810" s="12"/>
    </row>
    <row r="7811" spans="1:1" x14ac:dyDescent="0.35">
      <c r="A7811" s="12"/>
    </row>
    <row r="7812" spans="1:1" x14ac:dyDescent="0.35">
      <c r="A7812" s="12"/>
    </row>
    <row r="7813" spans="1:1" x14ac:dyDescent="0.35">
      <c r="A7813" s="12"/>
    </row>
    <row r="7814" spans="1:1" x14ac:dyDescent="0.35">
      <c r="A7814" s="12"/>
    </row>
    <row r="7815" spans="1:1" x14ac:dyDescent="0.35">
      <c r="A7815" s="12"/>
    </row>
    <row r="7816" spans="1:1" x14ac:dyDescent="0.35">
      <c r="A7816" s="12"/>
    </row>
    <row r="7817" spans="1:1" x14ac:dyDescent="0.35">
      <c r="A7817" s="12"/>
    </row>
    <row r="7818" spans="1:1" x14ac:dyDescent="0.35">
      <c r="A7818" s="12"/>
    </row>
    <row r="7819" spans="1:1" x14ac:dyDescent="0.35">
      <c r="A7819" s="12"/>
    </row>
    <row r="7820" spans="1:1" x14ac:dyDescent="0.35">
      <c r="A7820" s="12"/>
    </row>
    <row r="7821" spans="1:1" x14ac:dyDescent="0.35">
      <c r="A7821" s="12"/>
    </row>
    <row r="7822" spans="1:1" x14ac:dyDescent="0.35">
      <c r="A7822" s="12"/>
    </row>
    <row r="7823" spans="1:1" x14ac:dyDescent="0.35">
      <c r="A7823" s="12"/>
    </row>
    <row r="7824" spans="1:1" x14ac:dyDescent="0.35">
      <c r="A7824" s="12"/>
    </row>
    <row r="7825" spans="1:1" x14ac:dyDescent="0.35">
      <c r="A7825" s="12"/>
    </row>
    <row r="7826" spans="1:1" x14ac:dyDescent="0.35">
      <c r="A7826" s="12"/>
    </row>
    <row r="7827" spans="1:1" x14ac:dyDescent="0.35">
      <c r="A7827" s="12"/>
    </row>
    <row r="7828" spans="1:1" x14ac:dyDescent="0.35">
      <c r="A7828" s="12"/>
    </row>
    <row r="7829" spans="1:1" x14ac:dyDescent="0.35">
      <c r="A7829" s="12"/>
    </row>
    <row r="7830" spans="1:1" x14ac:dyDescent="0.35">
      <c r="A7830" s="12"/>
    </row>
    <row r="7831" spans="1:1" x14ac:dyDescent="0.35">
      <c r="A7831" s="12"/>
    </row>
    <row r="7832" spans="1:1" x14ac:dyDescent="0.35">
      <c r="A7832" s="12"/>
    </row>
    <row r="7833" spans="1:1" x14ac:dyDescent="0.35">
      <c r="A7833" s="12"/>
    </row>
    <row r="7834" spans="1:1" x14ac:dyDescent="0.35">
      <c r="A7834" s="12"/>
    </row>
    <row r="7835" spans="1:1" x14ac:dyDescent="0.35">
      <c r="A7835" s="12"/>
    </row>
    <row r="7836" spans="1:1" x14ac:dyDescent="0.35">
      <c r="A7836" s="12"/>
    </row>
    <row r="7837" spans="1:1" x14ac:dyDescent="0.35">
      <c r="A7837" s="12"/>
    </row>
    <row r="7838" spans="1:1" x14ac:dyDescent="0.35">
      <c r="A7838" s="12"/>
    </row>
    <row r="7839" spans="1:1" x14ac:dyDescent="0.35">
      <c r="A7839" s="12"/>
    </row>
    <row r="7840" spans="1:1" x14ac:dyDescent="0.35">
      <c r="A7840" s="12"/>
    </row>
    <row r="7841" spans="1:1" x14ac:dyDescent="0.35">
      <c r="A7841" s="12"/>
    </row>
    <row r="7842" spans="1:1" x14ac:dyDescent="0.35">
      <c r="A7842" s="12"/>
    </row>
    <row r="7843" spans="1:1" x14ac:dyDescent="0.35">
      <c r="A7843" s="12"/>
    </row>
    <row r="7844" spans="1:1" x14ac:dyDescent="0.35">
      <c r="A7844" s="12"/>
    </row>
    <row r="7845" spans="1:1" x14ac:dyDescent="0.35">
      <c r="A7845" s="12"/>
    </row>
    <row r="7846" spans="1:1" x14ac:dyDescent="0.35">
      <c r="A7846" s="12"/>
    </row>
    <row r="7847" spans="1:1" x14ac:dyDescent="0.35">
      <c r="A7847" s="12"/>
    </row>
    <row r="7848" spans="1:1" x14ac:dyDescent="0.35">
      <c r="A7848" s="12"/>
    </row>
    <row r="7849" spans="1:1" x14ac:dyDescent="0.35">
      <c r="A7849" s="12"/>
    </row>
    <row r="7850" spans="1:1" x14ac:dyDescent="0.35">
      <c r="A7850" s="12"/>
    </row>
    <row r="7851" spans="1:1" x14ac:dyDescent="0.35">
      <c r="A7851" s="12"/>
    </row>
    <row r="7852" spans="1:1" x14ac:dyDescent="0.35">
      <c r="A7852" s="12"/>
    </row>
    <row r="7853" spans="1:1" x14ac:dyDescent="0.35">
      <c r="A7853" s="12"/>
    </row>
    <row r="7854" spans="1:1" x14ac:dyDescent="0.35">
      <c r="A7854" s="12"/>
    </row>
    <row r="7855" spans="1:1" x14ac:dyDescent="0.35">
      <c r="A7855" s="12"/>
    </row>
    <row r="7856" spans="1:1" x14ac:dyDescent="0.35">
      <c r="A7856" s="12"/>
    </row>
    <row r="7857" spans="1:1" x14ac:dyDescent="0.35">
      <c r="A7857" s="12"/>
    </row>
    <row r="7858" spans="1:1" x14ac:dyDescent="0.35">
      <c r="A7858" s="12"/>
    </row>
    <row r="7859" spans="1:1" x14ac:dyDescent="0.35">
      <c r="A7859" s="12"/>
    </row>
    <row r="7860" spans="1:1" x14ac:dyDescent="0.35">
      <c r="A7860" s="12"/>
    </row>
    <row r="7861" spans="1:1" x14ac:dyDescent="0.35">
      <c r="A7861" s="12"/>
    </row>
    <row r="7862" spans="1:1" x14ac:dyDescent="0.35">
      <c r="A7862" s="12"/>
    </row>
    <row r="7863" spans="1:1" x14ac:dyDescent="0.35">
      <c r="A7863" s="12"/>
    </row>
    <row r="7864" spans="1:1" x14ac:dyDescent="0.35">
      <c r="A7864" s="12"/>
    </row>
    <row r="7865" spans="1:1" x14ac:dyDescent="0.35">
      <c r="A7865" s="12"/>
    </row>
    <row r="7866" spans="1:1" x14ac:dyDescent="0.35">
      <c r="A7866" s="12"/>
    </row>
    <row r="7867" spans="1:1" x14ac:dyDescent="0.35">
      <c r="A7867" s="12"/>
    </row>
    <row r="7868" spans="1:1" x14ac:dyDescent="0.35">
      <c r="A7868" s="12"/>
    </row>
    <row r="7869" spans="1:1" x14ac:dyDescent="0.35">
      <c r="A7869" s="12"/>
    </row>
    <row r="7870" spans="1:1" x14ac:dyDescent="0.35">
      <c r="A7870" s="12"/>
    </row>
    <row r="7871" spans="1:1" x14ac:dyDescent="0.35">
      <c r="A7871" s="12"/>
    </row>
    <row r="7872" spans="1:1" x14ac:dyDescent="0.35">
      <c r="A7872" s="12"/>
    </row>
    <row r="7873" spans="1:1" x14ac:dyDescent="0.35">
      <c r="A7873" s="12"/>
    </row>
    <row r="7874" spans="1:1" x14ac:dyDescent="0.35">
      <c r="A7874" s="12"/>
    </row>
    <row r="7875" spans="1:1" x14ac:dyDescent="0.35">
      <c r="A7875" s="12"/>
    </row>
    <row r="7876" spans="1:1" x14ac:dyDescent="0.35">
      <c r="A7876" s="12"/>
    </row>
    <row r="7877" spans="1:1" x14ac:dyDescent="0.35">
      <c r="A7877" s="12"/>
    </row>
    <row r="7878" spans="1:1" x14ac:dyDescent="0.35">
      <c r="A7878" s="12"/>
    </row>
    <row r="7879" spans="1:1" x14ac:dyDescent="0.35">
      <c r="A7879" s="12"/>
    </row>
    <row r="7880" spans="1:1" x14ac:dyDescent="0.35">
      <c r="A7880" s="12"/>
    </row>
    <row r="7881" spans="1:1" x14ac:dyDescent="0.35">
      <c r="A7881" s="12"/>
    </row>
    <row r="7882" spans="1:1" x14ac:dyDescent="0.35">
      <c r="A7882" s="12"/>
    </row>
    <row r="7883" spans="1:1" x14ac:dyDescent="0.35">
      <c r="A7883" s="12"/>
    </row>
    <row r="7884" spans="1:1" x14ac:dyDescent="0.35">
      <c r="A7884" s="12"/>
    </row>
    <row r="7885" spans="1:1" x14ac:dyDescent="0.35">
      <c r="A7885" s="12"/>
    </row>
    <row r="7886" spans="1:1" x14ac:dyDescent="0.35">
      <c r="A7886" s="12"/>
    </row>
    <row r="7887" spans="1:1" x14ac:dyDescent="0.35">
      <c r="A7887" s="12"/>
    </row>
    <row r="7888" spans="1:1" x14ac:dyDescent="0.35">
      <c r="A7888" s="12"/>
    </row>
    <row r="7889" spans="1:1" x14ac:dyDescent="0.35">
      <c r="A7889" s="12"/>
    </row>
    <row r="7890" spans="1:1" x14ac:dyDescent="0.35">
      <c r="A7890" s="12"/>
    </row>
    <row r="7891" spans="1:1" x14ac:dyDescent="0.35">
      <c r="A7891" s="12"/>
    </row>
    <row r="7892" spans="1:1" x14ac:dyDescent="0.35">
      <c r="A7892" s="12"/>
    </row>
    <row r="7893" spans="1:1" x14ac:dyDescent="0.35">
      <c r="A7893" s="12"/>
    </row>
    <row r="7894" spans="1:1" x14ac:dyDescent="0.35">
      <c r="A7894" s="12"/>
    </row>
    <row r="7895" spans="1:1" x14ac:dyDescent="0.35">
      <c r="A7895" s="12"/>
    </row>
    <row r="7896" spans="1:1" x14ac:dyDescent="0.35">
      <c r="A7896" s="12"/>
    </row>
    <row r="7897" spans="1:1" x14ac:dyDescent="0.35">
      <c r="A7897" s="12"/>
    </row>
    <row r="7898" spans="1:1" x14ac:dyDescent="0.35">
      <c r="A7898" s="12"/>
    </row>
    <row r="7899" spans="1:1" x14ac:dyDescent="0.35">
      <c r="A7899" s="12"/>
    </row>
    <row r="7900" spans="1:1" x14ac:dyDescent="0.35">
      <c r="A7900" s="12"/>
    </row>
    <row r="7901" spans="1:1" x14ac:dyDescent="0.35">
      <c r="A7901" s="12"/>
    </row>
    <row r="7902" spans="1:1" x14ac:dyDescent="0.35">
      <c r="A7902" s="12"/>
    </row>
    <row r="7903" spans="1:1" x14ac:dyDescent="0.35">
      <c r="A7903" s="12"/>
    </row>
    <row r="7904" spans="1:1" x14ac:dyDescent="0.35">
      <c r="A7904" s="12"/>
    </row>
    <row r="7905" spans="1:1" x14ac:dyDescent="0.35">
      <c r="A7905" s="12"/>
    </row>
    <row r="7906" spans="1:1" x14ac:dyDescent="0.35">
      <c r="A7906" s="12"/>
    </row>
    <row r="7907" spans="1:1" x14ac:dyDescent="0.35">
      <c r="A7907" s="12"/>
    </row>
    <row r="7908" spans="1:1" x14ac:dyDescent="0.35">
      <c r="A7908" s="12"/>
    </row>
    <row r="7909" spans="1:1" x14ac:dyDescent="0.35">
      <c r="A7909" s="12"/>
    </row>
    <row r="7910" spans="1:1" x14ac:dyDescent="0.35">
      <c r="A7910" s="12"/>
    </row>
    <row r="7911" spans="1:1" x14ac:dyDescent="0.35">
      <c r="A7911" s="12"/>
    </row>
    <row r="7912" spans="1:1" x14ac:dyDescent="0.35">
      <c r="A7912" s="12"/>
    </row>
    <row r="7913" spans="1:1" x14ac:dyDescent="0.35">
      <c r="A7913" s="12"/>
    </row>
    <row r="7914" spans="1:1" x14ac:dyDescent="0.35">
      <c r="A7914" s="12"/>
    </row>
    <row r="7915" spans="1:1" x14ac:dyDescent="0.35">
      <c r="A7915" s="12"/>
    </row>
    <row r="7916" spans="1:1" x14ac:dyDescent="0.35">
      <c r="A7916" s="12"/>
    </row>
    <row r="7917" spans="1:1" x14ac:dyDescent="0.35">
      <c r="A7917" s="12"/>
    </row>
    <row r="7918" spans="1:1" x14ac:dyDescent="0.35">
      <c r="A7918" s="12"/>
    </row>
    <row r="7919" spans="1:1" x14ac:dyDescent="0.35">
      <c r="A7919" s="12"/>
    </row>
    <row r="7920" spans="1:1" x14ac:dyDescent="0.35">
      <c r="A7920" s="12"/>
    </row>
    <row r="7921" spans="1:1" x14ac:dyDescent="0.35">
      <c r="A7921" s="12"/>
    </row>
    <row r="7922" spans="1:1" x14ac:dyDescent="0.35">
      <c r="A7922" s="12"/>
    </row>
    <row r="7923" spans="1:1" x14ac:dyDescent="0.35">
      <c r="A7923" s="12"/>
    </row>
    <row r="7924" spans="1:1" x14ac:dyDescent="0.35">
      <c r="A7924" s="12"/>
    </row>
    <row r="7925" spans="1:1" x14ac:dyDescent="0.35">
      <c r="A7925" s="12"/>
    </row>
    <row r="7926" spans="1:1" x14ac:dyDescent="0.35">
      <c r="A7926" s="12"/>
    </row>
    <row r="7927" spans="1:1" x14ac:dyDescent="0.35">
      <c r="A7927" s="12"/>
    </row>
    <row r="7928" spans="1:1" x14ac:dyDescent="0.35">
      <c r="A7928" s="12"/>
    </row>
    <row r="7929" spans="1:1" x14ac:dyDescent="0.35">
      <c r="A7929" s="12"/>
    </row>
    <row r="7930" spans="1:1" x14ac:dyDescent="0.35">
      <c r="A7930" s="12"/>
    </row>
    <row r="7931" spans="1:1" x14ac:dyDescent="0.35">
      <c r="A7931" s="12"/>
    </row>
    <row r="7932" spans="1:1" x14ac:dyDescent="0.35">
      <c r="A7932" s="12"/>
    </row>
    <row r="7933" spans="1:1" x14ac:dyDescent="0.35">
      <c r="A7933" s="12"/>
    </row>
    <row r="7934" spans="1:1" x14ac:dyDescent="0.35">
      <c r="A7934" s="12"/>
    </row>
    <row r="7935" spans="1:1" x14ac:dyDescent="0.35">
      <c r="A7935" s="12"/>
    </row>
    <row r="7936" spans="1:1" x14ac:dyDescent="0.35">
      <c r="A7936" s="12"/>
    </row>
    <row r="7937" spans="1:1" x14ac:dyDescent="0.35">
      <c r="A7937" s="12"/>
    </row>
    <row r="7938" spans="1:1" x14ac:dyDescent="0.35">
      <c r="A7938" s="12"/>
    </row>
    <row r="7939" spans="1:1" x14ac:dyDescent="0.35">
      <c r="A7939" s="12"/>
    </row>
    <row r="7940" spans="1:1" x14ac:dyDescent="0.35">
      <c r="A7940" s="12"/>
    </row>
    <row r="7941" spans="1:1" x14ac:dyDescent="0.35">
      <c r="A7941" s="12"/>
    </row>
    <row r="7942" spans="1:1" x14ac:dyDescent="0.35">
      <c r="A7942" s="12"/>
    </row>
    <row r="7943" spans="1:1" x14ac:dyDescent="0.35">
      <c r="A7943" s="12"/>
    </row>
    <row r="7944" spans="1:1" x14ac:dyDescent="0.35">
      <c r="A7944" s="12"/>
    </row>
    <row r="7945" spans="1:1" x14ac:dyDescent="0.35">
      <c r="A7945" s="12"/>
    </row>
    <row r="7946" spans="1:1" x14ac:dyDescent="0.35">
      <c r="A7946" s="12"/>
    </row>
    <row r="7947" spans="1:1" x14ac:dyDescent="0.35">
      <c r="A7947" s="12"/>
    </row>
    <row r="7948" spans="1:1" x14ac:dyDescent="0.35">
      <c r="A7948" s="12"/>
    </row>
    <row r="7949" spans="1:1" x14ac:dyDescent="0.35">
      <c r="A7949" s="12"/>
    </row>
    <row r="7950" spans="1:1" x14ac:dyDescent="0.35">
      <c r="A7950" s="12"/>
    </row>
    <row r="7951" spans="1:1" x14ac:dyDescent="0.35">
      <c r="A7951" s="12"/>
    </row>
    <row r="7952" spans="1:1" x14ac:dyDescent="0.35">
      <c r="A7952" s="12"/>
    </row>
    <row r="7953" spans="1:1" x14ac:dyDescent="0.35">
      <c r="A7953" s="12"/>
    </row>
    <row r="7954" spans="1:1" x14ac:dyDescent="0.35">
      <c r="A7954" s="12"/>
    </row>
    <row r="7955" spans="1:1" x14ac:dyDescent="0.35">
      <c r="A7955" s="12"/>
    </row>
    <row r="7956" spans="1:1" x14ac:dyDescent="0.35">
      <c r="A7956" s="12"/>
    </row>
    <row r="7957" spans="1:1" x14ac:dyDescent="0.35">
      <c r="A7957" s="12"/>
    </row>
    <row r="7958" spans="1:1" x14ac:dyDescent="0.35">
      <c r="A7958" s="12"/>
    </row>
    <row r="7959" spans="1:1" x14ac:dyDescent="0.35">
      <c r="A7959" s="12"/>
    </row>
    <row r="7960" spans="1:1" x14ac:dyDescent="0.35">
      <c r="A7960" s="12"/>
    </row>
    <row r="7961" spans="1:1" x14ac:dyDescent="0.35">
      <c r="A7961" s="12"/>
    </row>
    <row r="7962" spans="1:1" x14ac:dyDescent="0.35">
      <c r="A7962" s="12"/>
    </row>
    <row r="7963" spans="1:1" x14ac:dyDescent="0.35">
      <c r="A7963" s="12"/>
    </row>
    <row r="7964" spans="1:1" x14ac:dyDescent="0.35">
      <c r="A7964" s="12"/>
    </row>
    <row r="7965" spans="1:1" x14ac:dyDescent="0.35">
      <c r="A7965" s="12"/>
    </row>
    <row r="7966" spans="1:1" x14ac:dyDescent="0.35">
      <c r="A7966" s="12"/>
    </row>
    <row r="7967" spans="1:1" x14ac:dyDescent="0.35">
      <c r="A7967" s="12"/>
    </row>
    <row r="7968" spans="1:1" x14ac:dyDescent="0.35">
      <c r="A7968" s="12"/>
    </row>
    <row r="7969" spans="1:1" x14ac:dyDescent="0.35">
      <c r="A7969" s="12"/>
    </row>
    <row r="7970" spans="1:1" x14ac:dyDescent="0.35">
      <c r="A7970" s="12"/>
    </row>
    <row r="7971" spans="1:1" x14ac:dyDescent="0.35">
      <c r="A7971" s="12"/>
    </row>
    <row r="7972" spans="1:1" x14ac:dyDescent="0.35">
      <c r="A7972" s="12"/>
    </row>
    <row r="7973" spans="1:1" x14ac:dyDescent="0.35">
      <c r="A7973" s="12"/>
    </row>
    <row r="7974" spans="1:1" x14ac:dyDescent="0.35">
      <c r="A7974" s="12"/>
    </row>
    <row r="7975" spans="1:1" x14ac:dyDescent="0.35">
      <c r="A7975" s="12"/>
    </row>
    <row r="7976" spans="1:1" x14ac:dyDescent="0.35">
      <c r="A7976" s="12"/>
    </row>
    <row r="7977" spans="1:1" x14ac:dyDescent="0.35">
      <c r="A7977" s="12"/>
    </row>
    <row r="7978" spans="1:1" x14ac:dyDescent="0.35">
      <c r="A7978" s="12"/>
    </row>
    <row r="7979" spans="1:1" x14ac:dyDescent="0.35">
      <c r="A7979" s="12"/>
    </row>
    <row r="7980" spans="1:1" x14ac:dyDescent="0.35">
      <c r="A7980" s="12"/>
    </row>
    <row r="7981" spans="1:1" x14ac:dyDescent="0.35">
      <c r="A7981" s="12"/>
    </row>
    <row r="7982" spans="1:1" x14ac:dyDescent="0.35">
      <c r="A7982" s="12"/>
    </row>
    <row r="7983" spans="1:1" x14ac:dyDescent="0.35">
      <c r="A7983" s="12"/>
    </row>
    <row r="7984" spans="1:1" x14ac:dyDescent="0.35">
      <c r="A7984" s="12"/>
    </row>
    <row r="7985" spans="1:1" x14ac:dyDescent="0.35">
      <c r="A7985" s="12"/>
    </row>
    <row r="7986" spans="1:1" x14ac:dyDescent="0.35">
      <c r="A7986" s="12"/>
    </row>
    <row r="7987" spans="1:1" x14ac:dyDescent="0.35">
      <c r="A7987" s="12"/>
    </row>
    <row r="7988" spans="1:1" x14ac:dyDescent="0.35">
      <c r="A7988" s="12"/>
    </row>
    <row r="7989" spans="1:1" x14ac:dyDescent="0.35">
      <c r="A7989" s="12"/>
    </row>
    <row r="7990" spans="1:1" x14ac:dyDescent="0.35">
      <c r="A7990" s="12"/>
    </row>
    <row r="7991" spans="1:1" x14ac:dyDescent="0.35">
      <c r="A7991" s="12"/>
    </row>
    <row r="7992" spans="1:1" x14ac:dyDescent="0.35">
      <c r="A7992" s="12"/>
    </row>
    <row r="7993" spans="1:1" x14ac:dyDescent="0.35">
      <c r="A7993" s="12"/>
    </row>
    <row r="7994" spans="1:1" x14ac:dyDescent="0.35">
      <c r="A7994" s="12"/>
    </row>
    <row r="7995" spans="1:1" x14ac:dyDescent="0.35">
      <c r="A7995" s="12"/>
    </row>
    <row r="7996" spans="1:1" x14ac:dyDescent="0.35">
      <c r="A7996" s="12"/>
    </row>
    <row r="7997" spans="1:1" x14ac:dyDescent="0.35">
      <c r="A7997" s="12"/>
    </row>
    <row r="7998" spans="1:1" x14ac:dyDescent="0.35">
      <c r="A7998" s="12"/>
    </row>
    <row r="7999" spans="1:1" x14ac:dyDescent="0.35">
      <c r="A7999" s="12"/>
    </row>
    <row r="8000" spans="1:1" x14ac:dyDescent="0.35">
      <c r="A8000" s="12"/>
    </row>
    <row r="8001" spans="1:1" x14ac:dyDescent="0.35">
      <c r="A8001" s="12"/>
    </row>
    <row r="8002" spans="1:1" x14ac:dyDescent="0.35">
      <c r="A8002" s="12"/>
    </row>
    <row r="8003" spans="1:1" x14ac:dyDescent="0.35">
      <c r="A8003" s="12"/>
    </row>
    <row r="8004" spans="1:1" x14ac:dyDescent="0.35">
      <c r="A8004" s="12"/>
    </row>
    <row r="8005" spans="1:1" x14ac:dyDescent="0.35">
      <c r="A8005" s="12"/>
    </row>
    <row r="8006" spans="1:1" x14ac:dyDescent="0.35">
      <c r="A8006" s="12"/>
    </row>
    <row r="8007" spans="1:1" x14ac:dyDescent="0.35">
      <c r="A8007" s="12"/>
    </row>
    <row r="8008" spans="1:1" x14ac:dyDescent="0.35">
      <c r="A8008" s="12"/>
    </row>
    <row r="8009" spans="1:1" x14ac:dyDescent="0.35">
      <c r="A8009" s="12"/>
    </row>
    <row r="8010" spans="1:1" x14ac:dyDescent="0.35">
      <c r="A8010" s="12"/>
    </row>
    <row r="8011" spans="1:1" x14ac:dyDescent="0.35">
      <c r="A8011" s="12"/>
    </row>
    <row r="8012" spans="1:1" x14ac:dyDescent="0.35">
      <c r="A8012" s="12"/>
    </row>
    <row r="8013" spans="1:1" x14ac:dyDescent="0.35">
      <c r="A8013" s="12"/>
    </row>
    <row r="8014" spans="1:1" x14ac:dyDescent="0.35">
      <c r="A8014" s="12"/>
    </row>
    <row r="8015" spans="1:1" x14ac:dyDescent="0.35">
      <c r="A8015" s="12"/>
    </row>
    <row r="8016" spans="1:1" x14ac:dyDescent="0.35">
      <c r="A8016" s="12"/>
    </row>
    <row r="8017" spans="1:1" x14ac:dyDescent="0.35">
      <c r="A8017" s="12"/>
    </row>
    <row r="8018" spans="1:1" x14ac:dyDescent="0.35">
      <c r="A8018" s="12"/>
    </row>
    <row r="8019" spans="1:1" x14ac:dyDescent="0.35">
      <c r="A8019" s="12"/>
    </row>
    <row r="8020" spans="1:1" x14ac:dyDescent="0.35">
      <c r="A8020" s="12"/>
    </row>
    <row r="8021" spans="1:1" x14ac:dyDescent="0.35">
      <c r="A8021" s="12"/>
    </row>
    <row r="8022" spans="1:1" x14ac:dyDescent="0.35">
      <c r="A8022" s="12"/>
    </row>
    <row r="8023" spans="1:1" x14ac:dyDescent="0.35">
      <c r="A8023" s="12"/>
    </row>
    <row r="8024" spans="1:1" x14ac:dyDescent="0.35">
      <c r="A8024" s="12"/>
    </row>
    <row r="8025" spans="1:1" x14ac:dyDescent="0.35">
      <c r="A8025" s="12"/>
    </row>
    <row r="8026" spans="1:1" x14ac:dyDescent="0.35">
      <c r="A8026" s="12"/>
    </row>
    <row r="8027" spans="1:1" x14ac:dyDescent="0.35">
      <c r="A8027" s="12"/>
    </row>
    <row r="8028" spans="1:1" x14ac:dyDescent="0.35">
      <c r="A8028" s="12"/>
    </row>
    <row r="8029" spans="1:1" x14ac:dyDescent="0.35">
      <c r="A8029" s="12"/>
    </row>
    <row r="8030" spans="1:1" x14ac:dyDescent="0.35">
      <c r="A8030" s="12"/>
    </row>
    <row r="8031" spans="1:1" x14ac:dyDescent="0.35">
      <c r="A8031" s="12"/>
    </row>
    <row r="8032" spans="1:1" x14ac:dyDescent="0.35">
      <c r="A8032" s="12"/>
    </row>
    <row r="8033" spans="1:1" x14ac:dyDescent="0.35">
      <c r="A8033" s="12"/>
    </row>
    <row r="8034" spans="1:1" x14ac:dyDescent="0.35">
      <c r="A8034" s="12"/>
    </row>
    <row r="8035" spans="1:1" x14ac:dyDescent="0.35">
      <c r="A8035" s="12"/>
    </row>
    <row r="8036" spans="1:1" x14ac:dyDescent="0.35">
      <c r="A8036" s="12"/>
    </row>
    <row r="8037" spans="1:1" x14ac:dyDescent="0.35">
      <c r="A8037" s="12"/>
    </row>
    <row r="8038" spans="1:1" x14ac:dyDescent="0.35">
      <c r="A8038" s="12"/>
    </row>
    <row r="8039" spans="1:1" x14ac:dyDescent="0.35">
      <c r="A8039" s="12"/>
    </row>
    <row r="8040" spans="1:1" x14ac:dyDescent="0.35">
      <c r="A8040" s="12"/>
    </row>
    <row r="8041" spans="1:1" x14ac:dyDescent="0.35">
      <c r="A8041" s="12"/>
    </row>
    <row r="8042" spans="1:1" x14ac:dyDescent="0.35">
      <c r="A8042" s="12"/>
    </row>
    <row r="8043" spans="1:1" x14ac:dyDescent="0.35">
      <c r="A8043" s="12"/>
    </row>
    <row r="8044" spans="1:1" x14ac:dyDescent="0.35">
      <c r="A8044" s="12"/>
    </row>
    <row r="8045" spans="1:1" x14ac:dyDescent="0.35">
      <c r="A8045" s="12"/>
    </row>
    <row r="8046" spans="1:1" x14ac:dyDescent="0.35">
      <c r="A8046" s="12"/>
    </row>
    <row r="8047" spans="1:1" x14ac:dyDescent="0.35">
      <c r="A8047" s="12"/>
    </row>
    <row r="8048" spans="1:1" x14ac:dyDescent="0.35">
      <c r="A8048" s="12"/>
    </row>
    <row r="8049" spans="1:1" x14ac:dyDescent="0.35">
      <c r="A8049" s="12"/>
    </row>
    <row r="8050" spans="1:1" x14ac:dyDescent="0.35">
      <c r="A8050" s="12"/>
    </row>
    <row r="8051" spans="1:1" x14ac:dyDescent="0.35">
      <c r="A8051" s="12"/>
    </row>
    <row r="8052" spans="1:1" x14ac:dyDescent="0.35">
      <c r="A8052" s="12"/>
    </row>
    <row r="8053" spans="1:1" x14ac:dyDescent="0.35">
      <c r="A8053" s="12"/>
    </row>
    <row r="8054" spans="1:1" x14ac:dyDescent="0.35">
      <c r="A8054" s="12"/>
    </row>
    <row r="8055" spans="1:1" x14ac:dyDescent="0.35">
      <c r="A8055" s="12"/>
    </row>
    <row r="8056" spans="1:1" x14ac:dyDescent="0.35">
      <c r="A8056" s="12"/>
    </row>
    <row r="8057" spans="1:1" x14ac:dyDescent="0.35">
      <c r="A8057" s="12"/>
    </row>
    <row r="8058" spans="1:1" x14ac:dyDescent="0.35">
      <c r="A8058" s="12"/>
    </row>
    <row r="8059" spans="1:1" x14ac:dyDescent="0.35">
      <c r="A8059" s="12"/>
    </row>
    <row r="8060" spans="1:1" x14ac:dyDescent="0.35">
      <c r="A8060" s="12"/>
    </row>
    <row r="8061" spans="1:1" x14ac:dyDescent="0.35">
      <c r="A8061" s="12"/>
    </row>
    <row r="8062" spans="1:1" x14ac:dyDescent="0.35">
      <c r="A8062" s="12"/>
    </row>
    <row r="8063" spans="1:1" x14ac:dyDescent="0.35">
      <c r="A8063" s="12"/>
    </row>
    <row r="8064" spans="1:1" x14ac:dyDescent="0.35">
      <c r="A8064" s="12"/>
    </row>
    <row r="8065" spans="1:1" x14ac:dyDescent="0.35">
      <c r="A8065" s="12"/>
    </row>
    <row r="8066" spans="1:1" x14ac:dyDescent="0.35">
      <c r="A8066" s="12"/>
    </row>
    <row r="8067" spans="1:1" x14ac:dyDescent="0.35">
      <c r="A8067" s="12"/>
    </row>
    <row r="8068" spans="1:1" x14ac:dyDescent="0.35">
      <c r="A8068" s="12"/>
    </row>
    <row r="8069" spans="1:1" x14ac:dyDescent="0.35">
      <c r="A8069" s="12"/>
    </row>
    <row r="8070" spans="1:1" x14ac:dyDescent="0.35">
      <c r="A8070" s="12"/>
    </row>
    <row r="8071" spans="1:1" x14ac:dyDescent="0.35">
      <c r="A8071" s="12"/>
    </row>
    <row r="8072" spans="1:1" x14ac:dyDescent="0.35">
      <c r="A8072" s="12"/>
    </row>
    <row r="8073" spans="1:1" x14ac:dyDescent="0.35">
      <c r="A8073" s="12"/>
    </row>
    <row r="8074" spans="1:1" x14ac:dyDescent="0.35">
      <c r="A8074" s="12"/>
    </row>
    <row r="8075" spans="1:1" x14ac:dyDescent="0.35">
      <c r="A8075" s="12"/>
    </row>
    <row r="8076" spans="1:1" x14ac:dyDescent="0.35">
      <c r="A8076" s="12"/>
    </row>
    <row r="8077" spans="1:1" x14ac:dyDescent="0.35">
      <c r="A8077" s="12"/>
    </row>
    <row r="8078" spans="1:1" x14ac:dyDescent="0.35">
      <c r="A8078" s="12"/>
    </row>
    <row r="8079" spans="1:1" x14ac:dyDescent="0.35">
      <c r="A8079" s="12"/>
    </row>
    <row r="8080" spans="1:1" x14ac:dyDescent="0.35">
      <c r="A8080" s="12"/>
    </row>
    <row r="8081" spans="1:1" x14ac:dyDescent="0.35">
      <c r="A8081" s="12"/>
    </row>
    <row r="8082" spans="1:1" x14ac:dyDescent="0.35">
      <c r="A8082" s="12"/>
    </row>
    <row r="8083" spans="1:1" x14ac:dyDescent="0.35">
      <c r="A8083" s="12"/>
    </row>
    <row r="8084" spans="1:1" x14ac:dyDescent="0.35">
      <c r="A8084" s="12"/>
    </row>
    <row r="8085" spans="1:1" x14ac:dyDescent="0.35">
      <c r="A8085" s="12"/>
    </row>
    <row r="8086" spans="1:1" x14ac:dyDescent="0.35">
      <c r="A8086" s="12"/>
    </row>
    <row r="8087" spans="1:1" x14ac:dyDescent="0.35">
      <c r="A8087" s="12"/>
    </row>
    <row r="8088" spans="1:1" x14ac:dyDescent="0.35">
      <c r="A8088" s="12"/>
    </row>
    <row r="8089" spans="1:1" x14ac:dyDescent="0.35">
      <c r="A8089" s="12"/>
    </row>
    <row r="8090" spans="1:1" x14ac:dyDescent="0.35">
      <c r="A8090" s="12"/>
    </row>
    <row r="8091" spans="1:1" x14ac:dyDescent="0.35">
      <c r="A8091" s="12"/>
    </row>
    <row r="8092" spans="1:1" x14ac:dyDescent="0.35">
      <c r="A8092" s="12"/>
    </row>
    <row r="8093" spans="1:1" x14ac:dyDescent="0.35">
      <c r="A8093" s="12"/>
    </row>
    <row r="8094" spans="1:1" x14ac:dyDescent="0.35">
      <c r="A8094" s="12"/>
    </row>
    <row r="8095" spans="1:1" x14ac:dyDescent="0.35">
      <c r="A8095" s="12"/>
    </row>
    <row r="8096" spans="1:1" x14ac:dyDescent="0.35">
      <c r="A8096" s="12"/>
    </row>
    <row r="8097" spans="1:1" x14ac:dyDescent="0.35">
      <c r="A8097" s="12"/>
    </row>
    <row r="8098" spans="1:1" x14ac:dyDescent="0.35">
      <c r="A8098" s="12"/>
    </row>
    <row r="8099" spans="1:1" x14ac:dyDescent="0.35">
      <c r="A8099" s="12"/>
    </row>
    <row r="8100" spans="1:1" x14ac:dyDescent="0.35">
      <c r="A8100" s="12"/>
    </row>
    <row r="8101" spans="1:1" x14ac:dyDescent="0.35">
      <c r="A8101" s="12"/>
    </row>
    <row r="8102" spans="1:1" x14ac:dyDescent="0.35">
      <c r="A8102" s="12"/>
    </row>
    <row r="8103" spans="1:1" x14ac:dyDescent="0.35">
      <c r="A8103" s="12"/>
    </row>
    <row r="8104" spans="1:1" x14ac:dyDescent="0.35">
      <c r="A8104" s="12"/>
    </row>
    <row r="8105" spans="1:1" x14ac:dyDescent="0.35">
      <c r="A8105" s="12"/>
    </row>
    <row r="8106" spans="1:1" x14ac:dyDescent="0.35">
      <c r="A8106" s="12"/>
    </row>
    <row r="8107" spans="1:1" x14ac:dyDescent="0.35">
      <c r="A8107" s="12"/>
    </row>
    <row r="8108" spans="1:1" x14ac:dyDescent="0.35">
      <c r="A8108" s="12"/>
    </row>
    <row r="8109" spans="1:1" x14ac:dyDescent="0.35">
      <c r="A8109" s="12"/>
    </row>
    <row r="8110" spans="1:1" x14ac:dyDescent="0.35">
      <c r="A8110" s="12"/>
    </row>
    <row r="8111" spans="1:1" x14ac:dyDescent="0.35">
      <c r="A8111" s="12"/>
    </row>
    <row r="8112" spans="1:1" x14ac:dyDescent="0.35">
      <c r="A8112" s="12"/>
    </row>
    <row r="8113" spans="1:1" x14ac:dyDescent="0.35">
      <c r="A8113" s="12"/>
    </row>
    <row r="8114" spans="1:1" x14ac:dyDescent="0.35">
      <c r="A8114" s="12"/>
    </row>
    <row r="8115" spans="1:1" x14ac:dyDescent="0.35">
      <c r="A8115" s="12"/>
    </row>
    <row r="8116" spans="1:1" x14ac:dyDescent="0.35">
      <c r="A8116" s="12"/>
    </row>
    <row r="8117" spans="1:1" x14ac:dyDescent="0.35">
      <c r="A8117" s="12"/>
    </row>
    <row r="8118" spans="1:1" x14ac:dyDescent="0.35">
      <c r="A8118" s="12"/>
    </row>
    <row r="8119" spans="1:1" x14ac:dyDescent="0.35">
      <c r="A8119" s="12"/>
    </row>
    <row r="8120" spans="1:1" x14ac:dyDescent="0.35">
      <c r="A8120" s="12"/>
    </row>
    <row r="8121" spans="1:1" x14ac:dyDescent="0.35">
      <c r="A8121" s="12"/>
    </row>
    <row r="8122" spans="1:1" x14ac:dyDescent="0.35">
      <c r="A8122" s="12"/>
    </row>
    <row r="8123" spans="1:1" x14ac:dyDescent="0.35">
      <c r="A8123" s="12"/>
    </row>
    <row r="8124" spans="1:1" x14ac:dyDescent="0.35">
      <c r="A8124" s="12"/>
    </row>
    <row r="8125" spans="1:1" x14ac:dyDescent="0.35">
      <c r="A8125" s="12"/>
    </row>
    <row r="8126" spans="1:1" x14ac:dyDescent="0.35">
      <c r="A8126" s="12"/>
    </row>
    <row r="8127" spans="1:1" x14ac:dyDescent="0.35">
      <c r="A8127" s="12"/>
    </row>
    <row r="8128" spans="1:1" x14ac:dyDescent="0.35">
      <c r="A8128" s="12"/>
    </row>
    <row r="8129" spans="1:1" x14ac:dyDescent="0.35">
      <c r="A8129" s="12"/>
    </row>
    <row r="8130" spans="1:1" x14ac:dyDescent="0.35">
      <c r="A8130" s="12"/>
    </row>
    <row r="8131" spans="1:1" x14ac:dyDescent="0.35">
      <c r="A8131" s="12"/>
    </row>
    <row r="8132" spans="1:1" x14ac:dyDescent="0.35">
      <c r="A8132" s="12"/>
    </row>
    <row r="8133" spans="1:1" x14ac:dyDescent="0.35">
      <c r="A8133" s="12"/>
    </row>
    <row r="8134" spans="1:1" x14ac:dyDescent="0.35">
      <c r="A8134" s="12"/>
    </row>
    <row r="8135" spans="1:1" x14ac:dyDescent="0.35">
      <c r="A8135" s="12"/>
    </row>
    <row r="8136" spans="1:1" x14ac:dyDescent="0.35">
      <c r="A8136" s="12"/>
    </row>
    <row r="8137" spans="1:1" x14ac:dyDescent="0.35">
      <c r="A8137" s="12"/>
    </row>
    <row r="8138" spans="1:1" x14ac:dyDescent="0.35">
      <c r="A8138" s="12"/>
    </row>
    <row r="8139" spans="1:1" x14ac:dyDescent="0.35">
      <c r="A8139" s="12"/>
    </row>
    <row r="8140" spans="1:1" x14ac:dyDescent="0.35">
      <c r="A8140" s="12"/>
    </row>
    <row r="8141" spans="1:1" x14ac:dyDescent="0.35">
      <c r="A8141" s="12"/>
    </row>
    <row r="8142" spans="1:1" x14ac:dyDescent="0.35">
      <c r="A8142" s="12"/>
    </row>
    <row r="8143" spans="1:1" x14ac:dyDescent="0.35">
      <c r="A8143" s="12"/>
    </row>
    <row r="8144" spans="1:1" x14ac:dyDescent="0.35">
      <c r="A8144" s="12"/>
    </row>
    <row r="8145" spans="1:1" x14ac:dyDescent="0.35">
      <c r="A8145" s="12"/>
    </row>
    <row r="8146" spans="1:1" x14ac:dyDescent="0.35">
      <c r="A8146" s="12"/>
    </row>
    <row r="8147" spans="1:1" x14ac:dyDescent="0.35">
      <c r="A8147" s="12"/>
    </row>
    <row r="8148" spans="1:1" x14ac:dyDescent="0.35">
      <c r="A8148" s="12"/>
    </row>
    <row r="8149" spans="1:1" x14ac:dyDescent="0.35">
      <c r="A8149" s="12"/>
    </row>
    <row r="8150" spans="1:1" x14ac:dyDescent="0.35">
      <c r="A8150" s="12"/>
    </row>
    <row r="8151" spans="1:1" x14ac:dyDescent="0.35">
      <c r="A8151" s="12"/>
    </row>
    <row r="8152" spans="1:1" x14ac:dyDescent="0.35">
      <c r="A8152" s="12"/>
    </row>
    <row r="8153" spans="1:1" x14ac:dyDescent="0.35">
      <c r="A8153" s="12"/>
    </row>
    <row r="8154" spans="1:1" x14ac:dyDescent="0.35">
      <c r="A8154" s="12"/>
    </row>
    <row r="8155" spans="1:1" x14ac:dyDescent="0.35">
      <c r="A8155" s="12"/>
    </row>
    <row r="8156" spans="1:1" x14ac:dyDescent="0.35">
      <c r="A8156" s="12"/>
    </row>
    <row r="8157" spans="1:1" x14ac:dyDescent="0.35">
      <c r="A8157" s="12"/>
    </row>
    <row r="8158" spans="1:1" x14ac:dyDescent="0.35">
      <c r="A8158" s="12"/>
    </row>
    <row r="8159" spans="1:1" x14ac:dyDescent="0.35">
      <c r="A8159" s="12"/>
    </row>
    <row r="8160" spans="1:1" x14ac:dyDescent="0.35">
      <c r="A8160" s="12"/>
    </row>
    <row r="8161" spans="1:1" x14ac:dyDescent="0.35">
      <c r="A8161" s="12"/>
    </row>
    <row r="8162" spans="1:1" x14ac:dyDescent="0.35">
      <c r="A8162" s="12"/>
    </row>
    <row r="8163" spans="1:1" x14ac:dyDescent="0.35">
      <c r="A8163" s="12"/>
    </row>
    <row r="8164" spans="1:1" x14ac:dyDescent="0.35">
      <c r="A8164" s="12"/>
    </row>
    <row r="8165" spans="1:1" x14ac:dyDescent="0.35">
      <c r="A8165" s="12"/>
    </row>
    <row r="8166" spans="1:1" x14ac:dyDescent="0.35">
      <c r="A8166" s="12"/>
    </row>
    <row r="8167" spans="1:1" x14ac:dyDescent="0.35">
      <c r="A8167" s="12"/>
    </row>
    <row r="8168" spans="1:1" x14ac:dyDescent="0.35">
      <c r="A8168" s="12"/>
    </row>
    <row r="8169" spans="1:1" x14ac:dyDescent="0.35">
      <c r="A8169" s="12"/>
    </row>
    <row r="8170" spans="1:1" x14ac:dyDescent="0.35">
      <c r="A8170" s="12"/>
    </row>
    <row r="8171" spans="1:1" x14ac:dyDescent="0.35">
      <c r="A8171" s="12"/>
    </row>
    <row r="8172" spans="1:1" x14ac:dyDescent="0.35">
      <c r="A8172" s="12"/>
    </row>
    <row r="8173" spans="1:1" x14ac:dyDescent="0.35">
      <c r="A8173" s="12"/>
    </row>
    <row r="8174" spans="1:1" x14ac:dyDescent="0.35">
      <c r="A8174" s="12"/>
    </row>
    <row r="8175" spans="1:1" x14ac:dyDescent="0.35">
      <c r="A8175" s="12"/>
    </row>
    <row r="8176" spans="1:1" x14ac:dyDescent="0.35">
      <c r="A8176" s="12"/>
    </row>
    <row r="8177" spans="1:1" x14ac:dyDescent="0.35">
      <c r="A8177" s="12"/>
    </row>
    <row r="8178" spans="1:1" x14ac:dyDescent="0.35">
      <c r="A8178" s="12"/>
    </row>
    <row r="8179" spans="1:1" x14ac:dyDescent="0.35">
      <c r="A8179" s="12"/>
    </row>
    <row r="8180" spans="1:1" x14ac:dyDescent="0.35">
      <c r="A8180" s="12"/>
    </row>
    <row r="8181" spans="1:1" x14ac:dyDescent="0.35">
      <c r="A8181" s="12"/>
    </row>
    <row r="8182" spans="1:1" x14ac:dyDescent="0.35">
      <c r="A8182" s="12"/>
    </row>
    <row r="8183" spans="1:1" x14ac:dyDescent="0.35">
      <c r="A8183" s="12"/>
    </row>
    <row r="8184" spans="1:1" x14ac:dyDescent="0.35">
      <c r="A8184" s="12"/>
    </row>
    <row r="8185" spans="1:1" x14ac:dyDescent="0.35">
      <c r="A8185" s="12"/>
    </row>
    <row r="8186" spans="1:1" x14ac:dyDescent="0.35">
      <c r="A8186" s="12"/>
    </row>
    <row r="8187" spans="1:1" x14ac:dyDescent="0.35">
      <c r="A8187" s="12"/>
    </row>
    <row r="8188" spans="1:1" x14ac:dyDescent="0.35">
      <c r="A8188" s="12"/>
    </row>
    <row r="8189" spans="1:1" x14ac:dyDescent="0.35">
      <c r="A8189" s="12"/>
    </row>
    <row r="8190" spans="1:1" x14ac:dyDescent="0.35">
      <c r="A8190" s="12"/>
    </row>
    <row r="8191" spans="1:1" x14ac:dyDescent="0.35">
      <c r="A8191" s="12"/>
    </row>
    <row r="8192" spans="1:1" x14ac:dyDescent="0.35">
      <c r="A8192" s="12"/>
    </row>
    <row r="8193" spans="1:1" x14ac:dyDescent="0.35">
      <c r="A8193" s="12"/>
    </row>
    <row r="8194" spans="1:1" x14ac:dyDescent="0.35">
      <c r="A8194" s="12"/>
    </row>
    <row r="8195" spans="1:1" x14ac:dyDescent="0.35">
      <c r="A8195" s="12"/>
    </row>
    <row r="8196" spans="1:1" x14ac:dyDescent="0.35">
      <c r="A8196" s="12"/>
    </row>
    <row r="8197" spans="1:1" x14ac:dyDescent="0.35">
      <c r="A8197" s="12"/>
    </row>
    <row r="8198" spans="1:1" x14ac:dyDescent="0.35">
      <c r="A8198" s="12"/>
    </row>
    <row r="8199" spans="1:1" x14ac:dyDescent="0.35">
      <c r="A8199" s="12"/>
    </row>
    <row r="8200" spans="1:1" x14ac:dyDescent="0.35">
      <c r="A8200" s="12"/>
    </row>
    <row r="8201" spans="1:1" x14ac:dyDescent="0.35">
      <c r="A8201" s="12"/>
    </row>
    <row r="8202" spans="1:1" x14ac:dyDescent="0.35">
      <c r="A8202" s="12"/>
    </row>
    <row r="8203" spans="1:1" x14ac:dyDescent="0.35">
      <c r="A8203" s="12"/>
    </row>
    <row r="8204" spans="1:1" x14ac:dyDescent="0.35">
      <c r="A8204" s="12"/>
    </row>
    <row r="8205" spans="1:1" x14ac:dyDescent="0.35">
      <c r="A8205" s="12"/>
    </row>
    <row r="8206" spans="1:1" x14ac:dyDescent="0.35">
      <c r="A8206" s="12"/>
    </row>
    <row r="8207" spans="1:1" x14ac:dyDescent="0.35">
      <c r="A8207" s="12"/>
    </row>
    <row r="8208" spans="1:1" x14ac:dyDescent="0.35">
      <c r="A8208" s="12"/>
    </row>
    <row r="8209" spans="1:1" x14ac:dyDescent="0.35">
      <c r="A8209" s="12"/>
    </row>
    <row r="8210" spans="1:1" x14ac:dyDescent="0.35">
      <c r="A8210" s="12"/>
    </row>
    <row r="8211" spans="1:1" x14ac:dyDescent="0.35">
      <c r="A8211" s="12"/>
    </row>
    <row r="8212" spans="1:1" x14ac:dyDescent="0.35">
      <c r="A8212" s="12"/>
    </row>
    <row r="8213" spans="1:1" x14ac:dyDescent="0.35">
      <c r="A8213" s="12"/>
    </row>
    <row r="8214" spans="1:1" x14ac:dyDescent="0.35">
      <c r="A8214" s="12"/>
    </row>
    <row r="8215" spans="1:1" x14ac:dyDescent="0.35">
      <c r="A8215" s="12"/>
    </row>
    <row r="8216" spans="1:1" x14ac:dyDescent="0.35">
      <c r="A8216" s="12"/>
    </row>
    <row r="8217" spans="1:1" x14ac:dyDescent="0.35">
      <c r="A8217" s="12"/>
    </row>
    <row r="8218" spans="1:1" x14ac:dyDescent="0.35">
      <c r="A8218" s="12"/>
    </row>
    <row r="8219" spans="1:1" x14ac:dyDescent="0.35">
      <c r="A8219" s="12"/>
    </row>
    <row r="8220" spans="1:1" x14ac:dyDescent="0.35">
      <c r="A8220" s="12"/>
    </row>
    <row r="8221" spans="1:1" x14ac:dyDescent="0.35">
      <c r="A8221" s="12"/>
    </row>
    <row r="8222" spans="1:1" x14ac:dyDescent="0.35">
      <c r="A8222" s="12"/>
    </row>
    <row r="8223" spans="1:1" x14ac:dyDescent="0.35">
      <c r="A8223" s="12"/>
    </row>
    <row r="8224" spans="1:1" x14ac:dyDescent="0.35">
      <c r="A8224" s="12"/>
    </row>
    <row r="8225" spans="1:1" x14ac:dyDescent="0.35">
      <c r="A8225" s="12"/>
    </row>
    <row r="8226" spans="1:1" x14ac:dyDescent="0.35">
      <c r="A8226" s="12"/>
    </row>
    <row r="8227" spans="1:1" x14ac:dyDescent="0.35">
      <c r="A8227" s="12"/>
    </row>
    <row r="8228" spans="1:1" x14ac:dyDescent="0.35">
      <c r="A8228" s="12"/>
    </row>
    <row r="8229" spans="1:1" x14ac:dyDescent="0.35">
      <c r="A8229" s="12"/>
    </row>
    <row r="8230" spans="1:1" x14ac:dyDescent="0.35">
      <c r="A8230" s="12"/>
    </row>
    <row r="8231" spans="1:1" x14ac:dyDescent="0.35">
      <c r="A8231" s="12"/>
    </row>
    <row r="8232" spans="1:1" x14ac:dyDescent="0.35">
      <c r="A8232" s="12"/>
    </row>
    <row r="8233" spans="1:1" x14ac:dyDescent="0.35">
      <c r="A8233" s="12"/>
    </row>
    <row r="8234" spans="1:1" x14ac:dyDescent="0.35">
      <c r="A8234" s="12"/>
    </row>
    <row r="8235" spans="1:1" x14ac:dyDescent="0.35">
      <c r="A8235" s="12"/>
    </row>
    <row r="8236" spans="1:1" x14ac:dyDescent="0.35">
      <c r="A8236" s="12"/>
    </row>
    <row r="8237" spans="1:1" x14ac:dyDescent="0.35">
      <c r="A8237" s="12"/>
    </row>
    <row r="8238" spans="1:1" x14ac:dyDescent="0.35">
      <c r="A8238" s="12"/>
    </row>
    <row r="8239" spans="1:1" x14ac:dyDescent="0.35">
      <c r="A8239" s="12"/>
    </row>
    <row r="8240" spans="1:1" x14ac:dyDescent="0.35">
      <c r="A8240" s="12"/>
    </row>
    <row r="8241" spans="1:1" x14ac:dyDescent="0.35">
      <c r="A8241" s="12"/>
    </row>
    <row r="8242" spans="1:1" x14ac:dyDescent="0.35">
      <c r="A8242" s="12"/>
    </row>
    <row r="8243" spans="1:1" x14ac:dyDescent="0.35">
      <c r="A8243" s="12"/>
    </row>
    <row r="8244" spans="1:1" x14ac:dyDescent="0.35">
      <c r="A8244" s="12"/>
    </row>
    <row r="8245" spans="1:1" x14ac:dyDescent="0.35">
      <c r="A8245" s="12"/>
    </row>
    <row r="8246" spans="1:1" x14ac:dyDescent="0.35">
      <c r="A8246" s="12"/>
    </row>
    <row r="8247" spans="1:1" x14ac:dyDescent="0.35">
      <c r="A8247" s="12"/>
    </row>
    <row r="8248" spans="1:1" x14ac:dyDescent="0.35">
      <c r="A8248" s="12"/>
    </row>
    <row r="8249" spans="1:1" x14ac:dyDescent="0.35">
      <c r="A8249" s="12"/>
    </row>
    <row r="8250" spans="1:1" x14ac:dyDescent="0.35">
      <c r="A8250" s="12"/>
    </row>
    <row r="8251" spans="1:1" x14ac:dyDescent="0.35">
      <c r="A8251" s="12"/>
    </row>
    <row r="8252" spans="1:1" x14ac:dyDescent="0.35">
      <c r="A8252" s="12"/>
    </row>
    <row r="8253" spans="1:1" x14ac:dyDescent="0.35">
      <c r="A8253" s="12"/>
    </row>
    <row r="8254" spans="1:1" x14ac:dyDescent="0.35">
      <c r="A8254" s="12"/>
    </row>
    <row r="8255" spans="1:1" x14ac:dyDescent="0.35">
      <c r="A8255" s="12"/>
    </row>
    <row r="8256" spans="1:1" x14ac:dyDescent="0.35">
      <c r="A8256" s="12"/>
    </row>
    <row r="8257" spans="1:1" x14ac:dyDescent="0.35">
      <c r="A8257" s="12"/>
    </row>
    <row r="8258" spans="1:1" x14ac:dyDescent="0.35">
      <c r="A8258" s="12"/>
    </row>
    <row r="8259" spans="1:1" x14ac:dyDescent="0.35">
      <c r="A8259" s="12"/>
    </row>
    <row r="8260" spans="1:1" x14ac:dyDescent="0.35">
      <c r="A8260" s="12"/>
    </row>
    <row r="8261" spans="1:1" x14ac:dyDescent="0.35">
      <c r="A8261" s="12"/>
    </row>
    <row r="8262" spans="1:1" x14ac:dyDescent="0.35">
      <c r="A8262" s="12"/>
    </row>
    <row r="8263" spans="1:1" x14ac:dyDescent="0.35">
      <c r="A8263" s="12"/>
    </row>
    <row r="8264" spans="1:1" x14ac:dyDescent="0.35">
      <c r="A8264" s="12"/>
    </row>
    <row r="8265" spans="1:1" x14ac:dyDescent="0.35">
      <c r="A8265" s="12"/>
    </row>
    <row r="8266" spans="1:1" x14ac:dyDescent="0.35">
      <c r="A8266" s="12"/>
    </row>
    <row r="8267" spans="1:1" x14ac:dyDescent="0.35">
      <c r="A8267" s="12"/>
    </row>
    <row r="8268" spans="1:1" x14ac:dyDescent="0.35">
      <c r="A8268" s="12"/>
    </row>
    <row r="8269" spans="1:1" x14ac:dyDescent="0.35">
      <c r="A8269" s="12"/>
    </row>
    <row r="8270" spans="1:1" x14ac:dyDescent="0.35">
      <c r="A8270" s="12"/>
    </row>
    <row r="8271" spans="1:1" x14ac:dyDescent="0.35">
      <c r="A8271" s="12"/>
    </row>
    <row r="8272" spans="1:1" x14ac:dyDescent="0.35">
      <c r="A8272" s="12"/>
    </row>
    <row r="8273" spans="1:1" x14ac:dyDescent="0.35">
      <c r="A8273" s="12"/>
    </row>
    <row r="8274" spans="1:1" x14ac:dyDescent="0.35">
      <c r="A8274" s="12"/>
    </row>
    <row r="8275" spans="1:1" x14ac:dyDescent="0.35">
      <c r="A8275" s="12"/>
    </row>
    <row r="8276" spans="1:1" x14ac:dyDescent="0.35">
      <c r="A8276" s="12"/>
    </row>
    <row r="8277" spans="1:1" x14ac:dyDescent="0.35">
      <c r="A8277" s="12"/>
    </row>
    <row r="8278" spans="1:1" x14ac:dyDescent="0.35">
      <c r="A8278" s="12"/>
    </row>
    <row r="8279" spans="1:1" x14ac:dyDescent="0.35">
      <c r="A8279" s="12"/>
    </row>
    <row r="8280" spans="1:1" x14ac:dyDescent="0.35">
      <c r="A8280" s="12"/>
    </row>
    <row r="8281" spans="1:1" x14ac:dyDescent="0.35">
      <c r="A8281" s="12"/>
    </row>
    <row r="8282" spans="1:1" x14ac:dyDescent="0.35">
      <c r="A8282" s="12"/>
    </row>
    <row r="8283" spans="1:1" x14ac:dyDescent="0.35">
      <c r="A8283" s="12"/>
    </row>
    <row r="8284" spans="1:1" x14ac:dyDescent="0.35">
      <c r="A8284" s="12"/>
    </row>
    <row r="8285" spans="1:1" x14ac:dyDescent="0.35">
      <c r="A8285" s="12"/>
    </row>
    <row r="8286" spans="1:1" x14ac:dyDescent="0.35">
      <c r="A8286" s="12"/>
    </row>
    <row r="8287" spans="1:1" x14ac:dyDescent="0.35">
      <c r="A8287" s="12"/>
    </row>
    <row r="8288" spans="1:1" x14ac:dyDescent="0.35">
      <c r="A8288" s="12"/>
    </row>
    <row r="8289" spans="1:1" x14ac:dyDescent="0.35">
      <c r="A8289" s="12"/>
    </row>
    <row r="8290" spans="1:1" x14ac:dyDescent="0.35">
      <c r="A8290" s="12"/>
    </row>
    <row r="8291" spans="1:1" x14ac:dyDescent="0.35">
      <c r="A8291" s="12"/>
    </row>
    <row r="8292" spans="1:1" x14ac:dyDescent="0.35">
      <c r="A8292" s="12"/>
    </row>
    <row r="8293" spans="1:1" x14ac:dyDescent="0.35">
      <c r="A8293" s="12"/>
    </row>
    <row r="8294" spans="1:1" x14ac:dyDescent="0.35">
      <c r="A8294" s="12"/>
    </row>
    <row r="8295" spans="1:1" x14ac:dyDescent="0.35">
      <c r="A8295" s="12"/>
    </row>
    <row r="8296" spans="1:1" x14ac:dyDescent="0.35">
      <c r="A8296" s="12"/>
    </row>
    <row r="8297" spans="1:1" x14ac:dyDescent="0.35">
      <c r="A8297" s="12"/>
    </row>
    <row r="8298" spans="1:1" x14ac:dyDescent="0.35">
      <c r="A8298" s="12"/>
    </row>
    <row r="8299" spans="1:1" x14ac:dyDescent="0.35">
      <c r="A8299" s="12"/>
    </row>
    <row r="8300" spans="1:1" x14ac:dyDescent="0.35">
      <c r="A8300" s="12"/>
    </row>
    <row r="8301" spans="1:1" x14ac:dyDescent="0.35">
      <c r="A8301" s="12"/>
    </row>
    <row r="8302" spans="1:1" x14ac:dyDescent="0.35">
      <c r="A8302" s="12"/>
    </row>
    <row r="8303" spans="1:1" x14ac:dyDescent="0.35">
      <c r="A8303" s="12"/>
    </row>
    <row r="8304" spans="1:1" x14ac:dyDescent="0.35">
      <c r="A8304" s="12"/>
    </row>
    <row r="8305" spans="1:1" x14ac:dyDescent="0.35">
      <c r="A8305" s="12"/>
    </row>
    <row r="8306" spans="1:1" x14ac:dyDescent="0.35">
      <c r="A8306" s="12"/>
    </row>
    <row r="8307" spans="1:1" x14ac:dyDescent="0.35">
      <c r="A8307" s="12"/>
    </row>
    <row r="8308" spans="1:1" x14ac:dyDescent="0.35">
      <c r="A8308" s="12"/>
    </row>
    <row r="8309" spans="1:1" x14ac:dyDescent="0.35">
      <c r="A8309" s="12"/>
    </row>
    <row r="8310" spans="1:1" x14ac:dyDescent="0.35">
      <c r="A8310" s="12"/>
    </row>
    <row r="8311" spans="1:1" x14ac:dyDescent="0.35">
      <c r="A8311" s="12"/>
    </row>
    <row r="8312" spans="1:1" x14ac:dyDescent="0.35">
      <c r="A8312" s="12"/>
    </row>
    <row r="8313" spans="1:1" x14ac:dyDescent="0.35">
      <c r="A8313" s="12"/>
    </row>
    <row r="8314" spans="1:1" x14ac:dyDescent="0.35">
      <c r="A8314" s="12"/>
    </row>
    <row r="8315" spans="1:1" x14ac:dyDescent="0.35">
      <c r="A8315" s="12"/>
    </row>
    <row r="8316" spans="1:1" x14ac:dyDescent="0.35">
      <c r="A8316" s="12"/>
    </row>
    <row r="8317" spans="1:1" x14ac:dyDescent="0.35">
      <c r="A8317" s="12"/>
    </row>
    <row r="8318" spans="1:1" x14ac:dyDescent="0.35">
      <c r="A8318" s="12"/>
    </row>
    <row r="8319" spans="1:1" x14ac:dyDescent="0.35">
      <c r="A8319" s="12"/>
    </row>
    <row r="8320" spans="1:1" x14ac:dyDescent="0.35">
      <c r="A8320" s="12"/>
    </row>
    <row r="8321" spans="1:1" x14ac:dyDescent="0.35">
      <c r="A8321" s="12"/>
    </row>
    <row r="8322" spans="1:1" x14ac:dyDescent="0.35">
      <c r="A8322" s="12"/>
    </row>
    <row r="8323" spans="1:1" x14ac:dyDescent="0.35">
      <c r="A8323" s="12"/>
    </row>
    <row r="8324" spans="1:1" x14ac:dyDescent="0.35">
      <c r="A8324" s="12"/>
    </row>
    <row r="8325" spans="1:1" x14ac:dyDescent="0.35">
      <c r="A8325" s="12"/>
    </row>
    <row r="8326" spans="1:1" x14ac:dyDescent="0.35">
      <c r="A8326" s="12"/>
    </row>
    <row r="8327" spans="1:1" x14ac:dyDescent="0.35">
      <c r="A8327" s="12"/>
    </row>
    <row r="8328" spans="1:1" x14ac:dyDescent="0.35">
      <c r="A8328" s="12"/>
    </row>
    <row r="8329" spans="1:1" x14ac:dyDescent="0.35">
      <c r="A8329" s="12"/>
    </row>
    <row r="8330" spans="1:1" x14ac:dyDescent="0.35">
      <c r="A8330" s="12"/>
    </row>
    <row r="8331" spans="1:1" x14ac:dyDescent="0.35">
      <c r="A8331" s="12"/>
    </row>
    <row r="8332" spans="1:1" x14ac:dyDescent="0.35">
      <c r="A8332" s="12"/>
    </row>
    <row r="8333" spans="1:1" x14ac:dyDescent="0.35">
      <c r="A8333" s="12"/>
    </row>
    <row r="8334" spans="1:1" x14ac:dyDescent="0.35">
      <c r="A8334" s="12"/>
    </row>
    <row r="8335" spans="1:1" x14ac:dyDescent="0.35">
      <c r="A8335" s="12"/>
    </row>
    <row r="8336" spans="1:1" x14ac:dyDescent="0.35">
      <c r="A8336" s="12"/>
    </row>
    <row r="8337" spans="1:1" x14ac:dyDescent="0.35">
      <c r="A8337" s="12"/>
    </row>
    <row r="8338" spans="1:1" x14ac:dyDescent="0.35">
      <c r="A8338" s="12"/>
    </row>
    <row r="8339" spans="1:1" x14ac:dyDescent="0.35">
      <c r="A8339" s="12"/>
    </row>
    <row r="8340" spans="1:1" x14ac:dyDescent="0.35">
      <c r="A8340" s="12"/>
    </row>
    <row r="8341" spans="1:1" x14ac:dyDescent="0.35">
      <c r="A8341" s="12"/>
    </row>
    <row r="8342" spans="1:1" x14ac:dyDescent="0.35">
      <c r="A8342" s="12"/>
    </row>
    <row r="8343" spans="1:1" x14ac:dyDescent="0.35">
      <c r="A8343" s="12"/>
    </row>
    <row r="8344" spans="1:1" x14ac:dyDescent="0.35">
      <c r="A8344" s="12"/>
    </row>
    <row r="8345" spans="1:1" x14ac:dyDescent="0.35">
      <c r="A8345" s="12"/>
    </row>
    <row r="8346" spans="1:1" x14ac:dyDescent="0.35">
      <c r="A8346" s="12"/>
    </row>
    <row r="8347" spans="1:1" x14ac:dyDescent="0.35">
      <c r="A8347" s="12"/>
    </row>
    <row r="8348" spans="1:1" x14ac:dyDescent="0.35">
      <c r="A8348" s="12"/>
    </row>
    <row r="8349" spans="1:1" x14ac:dyDescent="0.35">
      <c r="A8349" s="12"/>
    </row>
    <row r="8350" spans="1:1" x14ac:dyDescent="0.35">
      <c r="A8350" s="12"/>
    </row>
    <row r="8351" spans="1:1" x14ac:dyDescent="0.35">
      <c r="A8351" s="12"/>
    </row>
    <row r="8352" spans="1:1" x14ac:dyDescent="0.35">
      <c r="A8352" s="12"/>
    </row>
    <row r="8353" spans="1:1" x14ac:dyDescent="0.35">
      <c r="A8353" s="12"/>
    </row>
    <row r="8354" spans="1:1" x14ac:dyDescent="0.35">
      <c r="A8354" s="12"/>
    </row>
    <row r="8355" spans="1:1" x14ac:dyDescent="0.35">
      <c r="A8355" s="12"/>
    </row>
    <row r="8356" spans="1:1" x14ac:dyDescent="0.35">
      <c r="A8356" s="12"/>
    </row>
    <row r="8357" spans="1:1" x14ac:dyDescent="0.35">
      <c r="A8357" s="12"/>
    </row>
    <row r="8358" spans="1:1" x14ac:dyDescent="0.35">
      <c r="A8358" s="12"/>
    </row>
    <row r="8359" spans="1:1" x14ac:dyDescent="0.35">
      <c r="A8359" s="12"/>
    </row>
    <row r="8360" spans="1:1" x14ac:dyDescent="0.35">
      <c r="A8360" s="12"/>
    </row>
    <row r="8361" spans="1:1" x14ac:dyDescent="0.35">
      <c r="A8361" s="12"/>
    </row>
    <row r="8362" spans="1:1" x14ac:dyDescent="0.35">
      <c r="A8362" s="12"/>
    </row>
    <row r="8363" spans="1:1" x14ac:dyDescent="0.35">
      <c r="A8363" s="12"/>
    </row>
    <row r="8364" spans="1:1" x14ac:dyDescent="0.35">
      <c r="A8364" s="12"/>
    </row>
    <row r="8365" spans="1:1" x14ac:dyDescent="0.35">
      <c r="A8365" s="12"/>
    </row>
    <row r="8366" spans="1:1" x14ac:dyDescent="0.35">
      <c r="A8366" s="12"/>
    </row>
    <row r="8367" spans="1:1" x14ac:dyDescent="0.35">
      <c r="A8367" s="12"/>
    </row>
    <row r="8368" spans="1:1" x14ac:dyDescent="0.35">
      <c r="A8368" s="12"/>
    </row>
    <row r="8369" spans="1:1" x14ac:dyDescent="0.35">
      <c r="A8369" s="12"/>
    </row>
    <row r="8370" spans="1:1" x14ac:dyDescent="0.35">
      <c r="A8370" s="12"/>
    </row>
    <row r="8371" spans="1:1" x14ac:dyDescent="0.35">
      <c r="A8371" s="12"/>
    </row>
    <row r="8372" spans="1:1" x14ac:dyDescent="0.35">
      <c r="A8372" s="12"/>
    </row>
    <row r="8373" spans="1:1" x14ac:dyDescent="0.35">
      <c r="A8373" s="12"/>
    </row>
    <row r="8374" spans="1:1" x14ac:dyDescent="0.35">
      <c r="A8374" s="12"/>
    </row>
    <row r="8375" spans="1:1" x14ac:dyDescent="0.35">
      <c r="A8375" s="12"/>
    </row>
    <row r="8376" spans="1:1" x14ac:dyDescent="0.35">
      <c r="A8376" s="12"/>
    </row>
    <row r="8377" spans="1:1" x14ac:dyDescent="0.35">
      <c r="A8377" s="12"/>
    </row>
    <row r="8378" spans="1:1" x14ac:dyDescent="0.35">
      <c r="A8378" s="12"/>
    </row>
    <row r="8379" spans="1:1" x14ac:dyDescent="0.35">
      <c r="A8379" s="12"/>
    </row>
    <row r="8380" spans="1:1" x14ac:dyDescent="0.35">
      <c r="A8380" s="12"/>
    </row>
    <row r="8381" spans="1:1" x14ac:dyDescent="0.35">
      <c r="A8381" s="12"/>
    </row>
    <row r="8382" spans="1:1" x14ac:dyDescent="0.35">
      <c r="A8382" s="12"/>
    </row>
    <row r="8383" spans="1:1" x14ac:dyDescent="0.35">
      <c r="A8383" s="12"/>
    </row>
    <row r="8384" spans="1:1" x14ac:dyDescent="0.35">
      <c r="A8384" s="12"/>
    </row>
    <row r="8385" spans="1:1" x14ac:dyDescent="0.35">
      <c r="A8385" s="12"/>
    </row>
    <row r="8386" spans="1:1" x14ac:dyDescent="0.35">
      <c r="A8386" s="12"/>
    </row>
    <row r="8387" spans="1:1" x14ac:dyDescent="0.35">
      <c r="A8387" s="12"/>
    </row>
    <row r="8388" spans="1:1" x14ac:dyDescent="0.35">
      <c r="A8388" s="12"/>
    </row>
    <row r="8389" spans="1:1" x14ac:dyDescent="0.35">
      <c r="A8389" s="12"/>
    </row>
    <row r="8390" spans="1:1" x14ac:dyDescent="0.35">
      <c r="A8390" s="12"/>
    </row>
    <row r="8391" spans="1:1" x14ac:dyDescent="0.35">
      <c r="A8391" s="12"/>
    </row>
    <row r="8392" spans="1:1" x14ac:dyDescent="0.35">
      <c r="A8392" s="12"/>
    </row>
    <row r="8393" spans="1:1" x14ac:dyDescent="0.35">
      <c r="A8393" s="12"/>
    </row>
    <row r="8394" spans="1:1" x14ac:dyDescent="0.35">
      <c r="A8394" s="12"/>
    </row>
    <row r="8395" spans="1:1" x14ac:dyDescent="0.35">
      <c r="A8395" s="12"/>
    </row>
    <row r="8396" spans="1:1" x14ac:dyDescent="0.35">
      <c r="A8396" s="12"/>
    </row>
    <row r="8397" spans="1:1" x14ac:dyDescent="0.35">
      <c r="A8397" s="12"/>
    </row>
    <row r="8398" spans="1:1" x14ac:dyDescent="0.35">
      <c r="A8398" s="12"/>
    </row>
    <row r="8399" spans="1:1" x14ac:dyDescent="0.35">
      <c r="A8399" s="12"/>
    </row>
    <row r="8400" spans="1:1" x14ac:dyDescent="0.35">
      <c r="A8400" s="12"/>
    </row>
    <row r="8401" spans="1:1" x14ac:dyDescent="0.35">
      <c r="A8401" s="12"/>
    </row>
    <row r="8402" spans="1:1" x14ac:dyDescent="0.35">
      <c r="A8402" s="12"/>
    </row>
    <row r="8403" spans="1:1" x14ac:dyDescent="0.35">
      <c r="A8403" s="12"/>
    </row>
    <row r="8404" spans="1:1" x14ac:dyDescent="0.35">
      <c r="A8404" s="12"/>
    </row>
    <row r="8405" spans="1:1" x14ac:dyDescent="0.35">
      <c r="A8405" s="12"/>
    </row>
    <row r="8406" spans="1:1" x14ac:dyDescent="0.35">
      <c r="A8406" s="12"/>
    </row>
    <row r="8407" spans="1:1" x14ac:dyDescent="0.35">
      <c r="A8407" s="12"/>
    </row>
    <row r="8408" spans="1:1" x14ac:dyDescent="0.35">
      <c r="A8408" s="12"/>
    </row>
    <row r="8409" spans="1:1" x14ac:dyDescent="0.35">
      <c r="A8409" s="12"/>
    </row>
    <row r="8410" spans="1:1" x14ac:dyDescent="0.35">
      <c r="A8410" s="12"/>
    </row>
    <row r="8411" spans="1:1" x14ac:dyDescent="0.35">
      <c r="A8411" s="12"/>
    </row>
    <row r="8412" spans="1:1" x14ac:dyDescent="0.35">
      <c r="A8412" s="12"/>
    </row>
    <row r="8413" spans="1:1" x14ac:dyDescent="0.35">
      <c r="A8413" s="12"/>
    </row>
    <row r="8414" spans="1:1" x14ac:dyDescent="0.35">
      <c r="A8414" s="12"/>
    </row>
    <row r="8415" spans="1:1" x14ac:dyDescent="0.35">
      <c r="A8415" s="12"/>
    </row>
    <row r="8416" spans="1:1" x14ac:dyDescent="0.35">
      <c r="A8416" s="12"/>
    </row>
    <row r="8417" spans="1:1" x14ac:dyDescent="0.35">
      <c r="A8417" s="12"/>
    </row>
    <row r="8418" spans="1:1" x14ac:dyDescent="0.35">
      <c r="A8418" s="12"/>
    </row>
    <row r="8419" spans="1:1" x14ac:dyDescent="0.35">
      <c r="A8419" s="12"/>
    </row>
    <row r="8420" spans="1:1" x14ac:dyDescent="0.35">
      <c r="A8420" s="12"/>
    </row>
    <row r="8421" spans="1:1" x14ac:dyDescent="0.35">
      <c r="A8421" s="12"/>
    </row>
    <row r="8422" spans="1:1" x14ac:dyDescent="0.35">
      <c r="A8422" s="12"/>
    </row>
    <row r="8423" spans="1:1" x14ac:dyDescent="0.35">
      <c r="A8423" s="12"/>
    </row>
    <row r="8424" spans="1:1" x14ac:dyDescent="0.35">
      <c r="A8424" s="12"/>
    </row>
    <row r="8425" spans="1:1" x14ac:dyDescent="0.35">
      <c r="A8425" s="12"/>
    </row>
    <row r="8426" spans="1:1" x14ac:dyDescent="0.35">
      <c r="A8426" s="12"/>
    </row>
    <row r="8427" spans="1:1" x14ac:dyDescent="0.35">
      <c r="A8427" s="12"/>
    </row>
    <row r="8428" spans="1:1" x14ac:dyDescent="0.35">
      <c r="A8428" s="12"/>
    </row>
    <row r="8429" spans="1:1" x14ac:dyDescent="0.35">
      <c r="A8429" s="12"/>
    </row>
    <row r="8430" spans="1:1" x14ac:dyDescent="0.35">
      <c r="A8430" s="12"/>
    </row>
    <row r="8431" spans="1:1" x14ac:dyDescent="0.35">
      <c r="A8431" s="12"/>
    </row>
    <row r="8432" spans="1:1" x14ac:dyDescent="0.35">
      <c r="A8432" s="12"/>
    </row>
    <row r="8433" spans="1:1" x14ac:dyDescent="0.35">
      <c r="A8433" s="12"/>
    </row>
    <row r="8434" spans="1:1" x14ac:dyDescent="0.35">
      <c r="A8434" s="12"/>
    </row>
    <row r="8435" spans="1:1" x14ac:dyDescent="0.35">
      <c r="A8435" s="12"/>
    </row>
    <row r="8436" spans="1:1" x14ac:dyDescent="0.35">
      <c r="A8436" s="12"/>
    </row>
    <row r="8437" spans="1:1" x14ac:dyDescent="0.35">
      <c r="A8437" s="12"/>
    </row>
    <row r="8438" spans="1:1" x14ac:dyDescent="0.35">
      <c r="A8438" s="12"/>
    </row>
    <row r="8439" spans="1:1" x14ac:dyDescent="0.35">
      <c r="A8439" s="12"/>
    </row>
    <row r="8440" spans="1:1" x14ac:dyDescent="0.35">
      <c r="A8440" s="12"/>
    </row>
    <row r="8441" spans="1:1" x14ac:dyDescent="0.35">
      <c r="A8441" s="12"/>
    </row>
    <row r="8442" spans="1:1" x14ac:dyDescent="0.35">
      <c r="A8442" s="12"/>
    </row>
    <row r="8443" spans="1:1" x14ac:dyDescent="0.35">
      <c r="A8443" s="12"/>
    </row>
    <row r="8444" spans="1:1" x14ac:dyDescent="0.35">
      <c r="A8444" s="12"/>
    </row>
    <row r="8445" spans="1:1" x14ac:dyDescent="0.35">
      <c r="A8445" s="12"/>
    </row>
    <row r="8446" spans="1:1" x14ac:dyDescent="0.35">
      <c r="A8446" s="12"/>
    </row>
    <row r="8447" spans="1:1" x14ac:dyDescent="0.35">
      <c r="A8447" s="12"/>
    </row>
    <row r="8448" spans="1:1" x14ac:dyDescent="0.35">
      <c r="A8448" s="12"/>
    </row>
    <row r="8449" spans="1:1" x14ac:dyDescent="0.35">
      <c r="A8449" s="12"/>
    </row>
    <row r="8450" spans="1:1" x14ac:dyDescent="0.35">
      <c r="A8450" s="12"/>
    </row>
    <row r="8451" spans="1:1" x14ac:dyDescent="0.35">
      <c r="A8451" s="12"/>
    </row>
    <row r="8452" spans="1:1" x14ac:dyDescent="0.35">
      <c r="A8452" s="12"/>
    </row>
    <row r="8453" spans="1:1" x14ac:dyDescent="0.35">
      <c r="A8453" s="12"/>
    </row>
    <row r="8454" spans="1:1" x14ac:dyDescent="0.35">
      <c r="A8454" s="12"/>
    </row>
    <row r="8455" spans="1:1" x14ac:dyDescent="0.35">
      <c r="A8455" s="12"/>
    </row>
    <row r="8456" spans="1:1" x14ac:dyDescent="0.35">
      <c r="A8456" s="12"/>
    </row>
    <row r="8457" spans="1:1" x14ac:dyDescent="0.35">
      <c r="A8457" s="12"/>
    </row>
    <row r="8458" spans="1:1" x14ac:dyDescent="0.35">
      <c r="A8458" s="12"/>
    </row>
    <row r="8459" spans="1:1" x14ac:dyDescent="0.35">
      <c r="A8459" s="12"/>
    </row>
    <row r="8460" spans="1:1" x14ac:dyDescent="0.35">
      <c r="A8460" s="12"/>
    </row>
    <row r="8461" spans="1:1" x14ac:dyDescent="0.35">
      <c r="A8461" s="12"/>
    </row>
    <row r="8462" spans="1:1" x14ac:dyDescent="0.35">
      <c r="A8462" s="12"/>
    </row>
    <row r="8463" spans="1:1" x14ac:dyDescent="0.35">
      <c r="A8463" s="12"/>
    </row>
    <row r="8464" spans="1:1" x14ac:dyDescent="0.35">
      <c r="A8464" s="12"/>
    </row>
    <row r="8465" spans="1:1" x14ac:dyDescent="0.35">
      <c r="A8465" s="12"/>
    </row>
    <row r="8466" spans="1:1" x14ac:dyDescent="0.35">
      <c r="A8466" s="12"/>
    </row>
    <row r="8467" spans="1:1" x14ac:dyDescent="0.35">
      <c r="A8467" s="12"/>
    </row>
    <row r="8468" spans="1:1" x14ac:dyDescent="0.35">
      <c r="A8468" s="12"/>
    </row>
    <row r="8469" spans="1:1" x14ac:dyDescent="0.35">
      <c r="A8469" s="12"/>
    </row>
    <row r="8470" spans="1:1" x14ac:dyDescent="0.35">
      <c r="A8470" s="12"/>
    </row>
    <row r="8471" spans="1:1" x14ac:dyDescent="0.35">
      <c r="A8471" s="12"/>
    </row>
    <row r="8472" spans="1:1" x14ac:dyDescent="0.35">
      <c r="A8472" s="12"/>
    </row>
    <row r="8473" spans="1:1" x14ac:dyDescent="0.35">
      <c r="A8473" s="12"/>
    </row>
    <row r="8474" spans="1:1" x14ac:dyDescent="0.35">
      <c r="A8474" s="12"/>
    </row>
    <row r="8475" spans="1:1" x14ac:dyDescent="0.35">
      <c r="A8475" s="12"/>
    </row>
    <row r="8476" spans="1:1" x14ac:dyDescent="0.35">
      <c r="A8476" s="12"/>
    </row>
    <row r="8477" spans="1:1" x14ac:dyDescent="0.35">
      <c r="A8477" s="12"/>
    </row>
    <row r="8478" spans="1:1" x14ac:dyDescent="0.35">
      <c r="A8478" s="12"/>
    </row>
    <row r="8479" spans="1:1" x14ac:dyDescent="0.35">
      <c r="A8479" s="12"/>
    </row>
    <row r="8480" spans="1:1" x14ac:dyDescent="0.35">
      <c r="A8480" s="12"/>
    </row>
    <row r="8481" spans="1:1" x14ac:dyDescent="0.35">
      <c r="A8481" s="12"/>
    </row>
    <row r="8482" spans="1:1" x14ac:dyDescent="0.35">
      <c r="A8482" s="12"/>
    </row>
    <row r="8483" spans="1:1" x14ac:dyDescent="0.35">
      <c r="A8483" s="12"/>
    </row>
    <row r="8484" spans="1:1" x14ac:dyDescent="0.35">
      <c r="A8484" s="12"/>
    </row>
    <row r="8485" spans="1:1" x14ac:dyDescent="0.35">
      <c r="A8485" s="12"/>
    </row>
    <row r="8486" spans="1:1" x14ac:dyDescent="0.35">
      <c r="A8486" s="12"/>
    </row>
    <row r="8487" spans="1:1" x14ac:dyDescent="0.35">
      <c r="A8487" s="12"/>
    </row>
    <row r="8488" spans="1:1" x14ac:dyDescent="0.35">
      <c r="A8488" s="12"/>
    </row>
    <row r="8489" spans="1:1" x14ac:dyDescent="0.35">
      <c r="A8489" s="12"/>
    </row>
    <row r="8490" spans="1:1" x14ac:dyDescent="0.35">
      <c r="A8490" s="12"/>
    </row>
    <row r="8491" spans="1:1" x14ac:dyDescent="0.35">
      <c r="A8491" s="12"/>
    </row>
    <row r="8492" spans="1:1" x14ac:dyDescent="0.35">
      <c r="A8492" s="12"/>
    </row>
    <row r="8493" spans="1:1" x14ac:dyDescent="0.35">
      <c r="A8493" s="12"/>
    </row>
    <row r="8494" spans="1:1" x14ac:dyDescent="0.35">
      <c r="A8494" s="12"/>
    </row>
    <row r="8495" spans="1:1" x14ac:dyDescent="0.35">
      <c r="A8495" s="12"/>
    </row>
    <row r="8496" spans="1:1" x14ac:dyDescent="0.35">
      <c r="A8496" s="12"/>
    </row>
    <row r="8497" spans="1:1" x14ac:dyDescent="0.35">
      <c r="A8497" s="12"/>
    </row>
    <row r="8498" spans="1:1" x14ac:dyDescent="0.35">
      <c r="A8498" s="12"/>
    </row>
    <row r="8499" spans="1:1" x14ac:dyDescent="0.35">
      <c r="A8499" s="12"/>
    </row>
    <row r="8500" spans="1:1" x14ac:dyDescent="0.35">
      <c r="A8500" s="12"/>
    </row>
    <row r="8501" spans="1:1" x14ac:dyDescent="0.35">
      <c r="A8501" s="12"/>
    </row>
    <row r="8502" spans="1:1" x14ac:dyDescent="0.35">
      <c r="A8502" s="12"/>
    </row>
    <row r="8503" spans="1:1" x14ac:dyDescent="0.35">
      <c r="A8503" s="12"/>
    </row>
    <row r="8504" spans="1:1" x14ac:dyDescent="0.35">
      <c r="A8504" s="12"/>
    </row>
    <row r="8505" spans="1:1" x14ac:dyDescent="0.35">
      <c r="A8505" s="12"/>
    </row>
    <row r="8506" spans="1:1" x14ac:dyDescent="0.35">
      <c r="A8506" s="12"/>
    </row>
    <row r="8507" spans="1:1" x14ac:dyDescent="0.35">
      <c r="A8507" s="12"/>
    </row>
    <row r="8508" spans="1:1" x14ac:dyDescent="0.35">
      <c r="A8508" s="12"/>
    </row>
    <row r="8509" spans="1:1" x14ac:dyDescent="0.35">
      <c r="A8509" s="12"/>
    </row>
    <row r="8510" spans="1:1" x14ac:dyDescent="0.35">
      <c r="A8510" s="12"/>
    </row>
    <row r="8511" spans="1:1" x14ac:dyDescent="0.35">
      <c r="A8511" s="12"/>
    </row>
    <row r="8512" spans="1:1" x14ac:dyDescent="0.35">
      <c r="A8512" s="12"/>
    </row>
    <row r="8513" spans="1:1" x14ac:dyDescent="0.35">
      <c r="A8513" s="12"/>
    </row>
    <row r="8514" spans="1:1" x14ac:dyDescent="0.35">
      <c r="A8514" s="12"/>
    </row>
    <row r="8515" spans="1:1" x14ac:dyDescent="0.35">
      <c r="A8515" s="12"/>
    </row>
    <row r="8516" spans="1:1" x14ac:dyDescent="0.35">
      <c r="A8516" s="12"/>
    </row>
    <row r="8517" spans="1:1" x14ac:dyDescent="0.35">
      <c r="A8517" s="12"/>
    </row>
    <row r="8518" spans="1:1" x14ac:dyDescent="0.35">
      <c r="A8518" s="12"/>
    </row>
    <row r="8519" spans="1:1" x14ac:dyDescent="0.35">
      <c r="A8519" s="12"/>
    </row>
    <row r="8520" spans="1:1" x14ac:dyDescent="0.35">
      <c r="A8520" s="12"/>
    </row>
    <row r="8521" spans="1:1" x14ac:dyDescent="0.35">
      <c r="A8521" s="12"/>
    </row>
    <row r="8522" spans="1:1" x14ac:dyDescent="0.35">
      <c r="A8522" s="12"/>
    </row>
    <row r="8523" spans="1:1" x14ac:dyDescent="0.35">
      <c r="A8523" s="12"/>
    </row>
    <row r="8524" spans="1:1" x14ac:dyDescent="0.35">
      <c r="A8524" s="12"/>
    </row>
    <row r="8525" spans="1:1" x14ac:dyDescent="0.35">
      <c r="A8525" s="12"/>
    </row>
    <row r="8526" spans="1:1" x14ac:dyDescent="0.35">
      <c r="A8526" s="12"/>
    </row>
    <row r="8527" spans="1:1" x14ac:dyDescent="0.35">
      <c r="A8527" s="12"/>
    </row>
    <row r="8528" spans="1:1" x14ac:dyDescent="0.35">
      <c r="A8528" s="12"/>
    </row>
    <row r="8529" spans="1:1" x14ac:dyDescent="0.35">
      <c r="A8529" s="12"/>
    </row>
    <row r="8530" spans="1:1" x14ac:dyDescent="0.35">
      <c r="A8530" s="12"/>
    </row>
    <row r="8531" spans="1:1" x14ac:dyDescent="0.35">
      <c r="A8531" s="12"/>
    </row>
    <row r="8532" spans="1:1" x14ac:dyDescent="0.35">
      <c r="A8532" s="12"/>
    </row>
    <row r="8533" spans="1:1" x14ac:dyDescent="0.35">
      <c r="A8533" s="12"/>
    </row>
    <row r="8534" spans="1:1" x14ac:dyDescent="0.35">
      <c r="A8534" s="12"/>
    </row>
    <row r="8535" spans="1:1" x14ac:dyDescent="0.35">
      <c r="A8535" s="12"/>
    </row>
    <row r="8536" spans="1:1" x14ac:dyDescent="0.35">
      <c r="A8536" s="12"/>
    </row>
    <row r="8537" spans="1:1" x14ac:dyDescent="0.35">
      <c r="A8537" s="12"/>
    </row>
    <row r="8538" spans="1:1" x14ac:dyDescent="0.35">
      <c r="A8538" s="12"/>
    </row>
    <row r="8539" spans="1:1" x14ac:dyDescent="0.35">
      <c r="A8539" s="12"/>
    </row>
    <row r="8540" spans="1:1" x14ac:dyDescent="0.35">
      <c r="A8540" s="12"/>
    </row>
    <row r="8541" spans="1:1" x14ac:dyDescent="0.35">
      <c r="A8541" s="12"/>
    </row>
    <row r="8542" spans="1:1" x14ac:dyDescent="0.35">
      <c r="A8542" s="12"/>
    </row>
    <row r="8543" spans="1:1" x14ac:dyDescent="0.35">
      <c r="A8543" s="12"/>
    </row>
    <row r="8544" spans="1:1" x14ac:dyDescent="0.35">
      <c r="A8544" s="12"/>
    </row>
    <row r="8545" spans="1:1" x14ac:dyDescent="0.35">
      <c r="A8545" s="12"/>
    </row>
    <row r="8546" spans="1:1" x14ac:dyDescent="0.35">
      <c r="A8546" s="12"/>
    </row>
    <row r="8547" spans="1:1" x14ac:dyDescent="0.35">
      <c r="A8547" s="12"/>
    </row>
    <row r="8548" spans="1:1" x14ac:dyDescent="0.35">
      <c r="A8548" s="12"/>
    </row>
    <row r="8549" spans="1:1" x14ac:dyDescent="0.35">
      <c r="A8549" s="12"/>
    </row>
    <row r="8550" spans="1:1" x14ac:dyDescent="0.35">
      <c r="A8550" s="12"/>
    </row>
    <row r="8551" spans="1:1" x14ac:dyDescent="0.35">
      <c r="A8551" s="12"/>
    </row>
    <row r="8552" spans="1:1" x14ac:dyDescent="0.35">
      <c r="A8552" s="12"/>
    </row>
    <row r="8553" spans="1:1" x14ac:dyDescent="0.35">
      <c r="A8553" s="12"/>
    </row>
    <row r="8554" spans="1:1" x14ac:dyDescent="0.35">
      <c r="A8554" s="12"/>
    </row>
    <row r="8555" spans="1:1" x14ac:dyDescent="0.35">
      <c r="A8555" s="12"/>
    </row>
    <row r="8556" spans="1:1" x14ac:dyDescent="0.35">
      <c r="A8556" s="12"/>
    </row>
    <row r="8557" spans="1:1" x14ac:dyDescent="0.35">
      <c r="A8557" s="12"/>
    </row>
    <row r="8558" spans="1:1" x14ac:dyDescent="0.35">
      <c r="A8558" s="12"/>
    </row>
    <row r="8559" spans="1:1" x14ac:dyDescent="0.35">
      <c r="A8559" s="12"/>
    </row>
    <row r="8560" spans="1:1" x14ac:dyDescent="0.35">
      <c r="A8560" s="12"/>
    </row>
    <row r="8561" spans="1:1" x14ac:dyDescent="0.35">
      <c r="A8561" s="12"/>
    </row>
    <row r="8562" spans="1:1" x14ac:dyDescent="0.35">
      <c r="A8562" s="12"/>
    </row>
    <row r="8563" spans="1:1" x14ac:dyDescent="0.35">
      <c r="A8563" s="12"/>
    </row>
    <row r="8564" spans="1:1" x14ac:dyDescent="0.35">
      <c r="A8564" s="12"/>
    </row>
    <row r="8565" spans="1:1" x14ac:dyDescent="0.35">
      <c r="A8565" s="12"/>
    </row>
    <row r="8566" spans="1:1" x14ac:dyDescent="0.35">
      <c r="A8566" s="12"/>
    </row>
    <row r="8567" spans="1:1" x14ac:dyDescent="0.35">
      <c r="A8567" s="12"/>
    </row>
    <row r="8568" spans="1:1" x14ac:dyDescent="0.35">
      <c r="A8568" s="12"/>
    </row>
    <row r="8569" spans="1:1" x14ac:dyDescent="0.35">
      <c r="A8569" s="12"/>
    </row>
    <row r="8570" spans="1:1" x14ac:dyDescent="0.35">
      <c r="A8570" s="12"/>
    </row>
    <row r="8571" spans="1:1" x14ac:dyDescent="0.35">
      <c r="A8571" s="12"/>
    </row>
    <row r="8572" spans="1:1" x14ac:dyDescent="0.35">
      <c r="A8572" s="12"/>
    </row>
    <row r="8573" spans="1:1" x14ac:dyDescent="0.35">
      <c r="A8573" s="12"/>
    </row>
    <row r="8574" spans="1:1" x14ac:dyDescent="0.35">
      <c r="A8574" s="12"/>
    </row>
    <row r="8575" spans="1:1" x14ac:dyDescent="0.35">
      <c r="A8575" s="12"/>
    </row>
    <row r="8576" spans="1:1" x14ac:dyDescent="0.35">
      <c r="A8576" s="12"/>
    </row>
    <row r="8577" spans="1:1" x14ac:dyDescent="0.35">
      <c r="A8577" s="12"/>
    </row>
    <row r="8578" spans="1:1" x14ac:dyDescent="0.35">
      <c r="A8578" s="12"/>
    </row>
    <row r="8579" spans="1:1" x14ac:dyDescent="0.35">
      <c r="A8579" s="12"/>
    </row>
    <row r="8580" spans="1:1" x14ac:dyDescent="0.35">
      <c r="A8580" s="12"/>
    </row>
    <row r="8581" spans="1:1" x14ac:dyDescent="0.35">
      <c r="A8581" s="12"/>
    </row>
    <row r="8582" spans="1:1" x14ac:dyDescent="0.35">
      <c r="A8582" s="12"/>
    </row>
    <row r="8583" spans="1:1" x14ac:dyDescent="0.35">
      <c r="A8583" s="12"/>
    </row>
    <row r="8584" spans="1:1" x14ac:dyDescent="0.35">
      <c r="A8584" s="12"/>
    </row>
    <row r="8585" spans="1:1" x14ac:dyDescent="0.35">
      <c r="A8585" s="12"/>
    </row>
    <row r="8586" spans="1:1" x14ac:dyDescent="0.35">
      <c r="A8586" s="12"/>
    </row>
    <row r="8587" spans="1:1" x14ac:dyDescent="0.35">
      <c r="A8587" s="12"/>
    </row>
    <row r="8588" spans="1:1" x14ac:dyDescent="0.35">
      <c r="A8588" s="12"/>
    </row>
    <row r="8589" spans="1:1" x14ac:dyDescent="0.35">
      <c r="A8589" s="12"/>
    </row>
    <row r="8590" spans="1:1" x14ac:dyDescent="0.35">
      <c r="A8590" s="12"/>
    </row>
    <row r="8591" spans="1:1" x14ac:dyDescent="0.35">
      <c r="A8591" s="12"/>
    </row>
    <row r="8592" spans="1:1" x14ac:dyDescent="0.35">
      <c r="A8592" s="12"/>
    </row>
    <row r="8593" spans="1:1" x14ac:dyDescent="0.35">
      <c r="A8593" s="12"/>
    </row>
    <row r="8594" spans="1:1" x14ac:dyDescent="0.35">
      <c r="A8594" s="12"/>
    </row>
    <row r="8595" spans="1:1" x14ac:dyDescent="0.35">
      <c r="A8595" s="12"/>
    </row>
    <row r="8596" spans="1:1" x14ac:dyDescent="0.35">
      <c r="A8596" s="12"/>
    </row>
    <row r="8597" spans="1:1" x14ac:dyDescent="0.35">
      <c r="A8597" s="12"/>
    </row>
    <row r="8598" spans="1:1" x14ac:dyDescent="0.35">
      <c r="A8598" s="12"/>
    </row>
    <row r="8599" spans="1:1" x14ac:dyDescent="0.35">
      <c r="A8599" s="12"/>
    </row>
    <row r="8600" spans="1:1" x14ac:dyDescent="0.35">
      <c r="A8600" s="12"/>
    </row>
    <row r="8601" spans="1:1" x14ac:dyDescent="0.35">
      <c r="A8601" s="12"/>
    </row>
    <row r="8602" spans="1:1" x14ac:dyDescent="0.35">
      <c r="A8602" s="12"/>
    </row>
    <row r="8603" spans="1:1" x14ac:dyDescent="0.35">
      <c r="A8603" s="12"/>
    </row>
    <row r="8604" spans="1:1" x14ac:dyDescent="0.35">
      <c r="A8604" s="12"/>
    </row>
    <row r="8605" spans="1:1" x14ac:dyDescent="0.35">
      <c r="A8605" s="12"/>
    </row>
    <row r="8606" spans="1:1" x14ac:dyDescent="0.35">
      <c r="A8606" s="12"/>
    </row>
    <row r="8607" spans="1:1" x14ac:dyDescent="0.35">
      <c r="A8607" s="12"/>
    </row>
    <row r="8608" spans="1:1" x14ac:dyDescent="0.35">
      <c r="A8608" s="12"/>
    </row>
    <row r="8609" spans="1:1" x14ac:dyDescent="0.35">
      <c r="A8609" s="12"/>
    </row>
    <row r="8610" spans="1:1" x14ac:dyDescent="0.35">
      <c r="A8610" s="12"/>
    </row>
    <row r="8611" spans="1:1" x14ac:dyDescent="0.35">
      <c r="A8611" s="12"/>
    </row>
    <row r="8612" spans="1:1" x14ac:dyDescent="0.35">
      <c r="A8612" s="12"/>
    </row>
    <row r="8613" spans="1:1" x14ac:dyDescent="0.35">
      <c r="A8613" s="12"/>
    </row>
    <row r="8614" spans="1:1" x14ac:dyDescent="0.35">
      <c r="A8614" s="12"/>
    </row>
    <row r="8615" spans="1:1" x14ac:dyDescent="0.35">
      <c r="A8615" s="12"/>
    </row>
    <row r="8616" spans="1:1" x14ac:dyDescent="0.35">
      <c r="A8616" s="12"/>
    </row>
    <row r="8617" spans="1:1" x14ac:dyDescent="0.35">
      <c r="A8617" s="12"/>
    </row>
    <row r="8618" spans="1:1" x14ac:dyDescent="0.35">
      <c r="A8618" s="12"/>
    </row>
    <row r="8619" spans="1:1" x14ac:dyDescent="0.35">
      <c r="A8619" s="12"/>
    </row>
    <row r="8620" spans="1:1" x14ac:dyDescent="0.35">
      <c r="A8620" s="12"/>
    </row>
    <row r="8621" spans="1:1" x14ac:dyDescent="0.35">
      <c r="A8621" s="12"/>
    </row>
    <row r="8622" spans="1:1" x14ac:dyDescent="0.35">
      <c r="A8622" s="12"/>
    </row>
    <row r="8623" spans="1:1" x14ac:dyDescent="0.35">
      <c r="A8623" s="12"/>
    </row>
    <row r="8624" spans="1:1" x14ac:dyDescent="0.35">
      <c r="A8624" s="12"/>
    </row>
    <row r="8625" spans="1:1" x14ac:dyDescent="0.35">
      <c r="A8625" s="12"/>
    </row>
    <row r="8626" spans="1:1" x14ac:dyDescent="0.35">
      <c r="A8626" s="12"/>
    </row>
    <row r="8627" spans="1:1" x14ac:dyDescent="0.35">
      <c r="A8627" s="12"/>
    </row>
    <row r="8628" spans="1:1" x14ac:dyDescent="0.35">
      <c r="A8628" s="12"/>
    </row>
    <row r="8629" spans="1:1" x14ac:dyDescent="0.35">
      <c r="A8629" s="12"/>
    </row>
    <row r="8630" spans="1:1" x14ac:dyDescent="0.35">
      <c r="A8630" s="12"/>
    </row>
    <row r="8631" spans="1:1" x14ac:dyDescent="0.35">
      <c r="A8631" s="12"/>
    </row>
    <row r="8632" spans="1:1" x14ac:dyDescent="0.35">
      <c r="A8632" s="12"/>
    </row>
    <row r="8633" spans="1:1" x14ac:dyDescent="0.35">
      <c r="A8633" s="12"/>
    </row>
    <row r="8634" spans="1:1" x14ac:dyDescent="0.35">
      <c r="A8634" s="12"/>
    </row>
    <row r="8635" spans="1:1" x14ac:dyDescent="0.35">
      <c r="A8635" s="12"/>
    </row>
    <row r="8636" spans="1:1" x14ac:dyDescent="0.35">
      <c r="A8636" s="12"/>
    </row>
    <row r="8637" spans="1:1" x14ac:dyDescent="0.35">
      <c r="A8637" s="12"/>
    </row>
    <row r="8638" spans="1:1" x14ac:dyDescent="0.35">
      <c r="A8638" s="12"/>
    </row>
    <row r="8639" spans="1:1" x14ac:dyDescent="0.35">
      <c r="A8639" s="12"/>
    </row>
    <row r="8640" spans="1:1" x14ac:dyDescent="0.35">
      <c r="A8640" s="12"/>
    </row>
    <row r="8641" spans="1:1" x14ac:dyDescent="0.35">
      <c r="A8641" s="12"/>
    </row>
    <row r="8642" spans="1:1" x14ac:dyDescent="0.35">
      <c r="A8642" s="12"/>
    </row>
    <row r="8643" spans="1:1" x14ac:dyDescent="0.35">
      <c r="A8643" s="12"/>
    </row>
    <row r="8644" spans="1:1" x14ac:dyDescent="0.35">
      <c r="A8644" s="12"/>
    </row>
    <row r="8645" spans="1:1" x14ac:dyDescent="0.35">
      <c r="A8645" s="12"/>
    </row>
    <row r="8646" spans="1:1" x14ac:dyDescent="0.35">
      <c r="A8646" s="12"/>
    </row>
    <row r="8647" spans="1:1" x14ac:dyDescent="0.35">
      <c r="A8647" s="12"/>
    </row>
    <row r="8648" spans="1:1" x14ac:dyDescent="0.35">
      <c r="A8648" s="12"/>
    </row>
    <row r="8649" spans="1:1" x14ac:dyDescent="0.35">
      <c r="A8649" s="12"/>
    </row>
    <row r="8650" spans="1:1" x14ac:dyDescent="0.35">
      <c r="A8650" s="12"/>
    </row>
    <row r="8651" spans="1:1" x14ac:dyDescent="0.35">
      <c r="A8651" s="12"/>
    </row>
    <row r="8652" spans="1:1" x14ac:dyDescent="0.35">
      <c r="A8652" s="12"/>
    </row>
    <row r="8653" spans="1:1" x14ac:dyDescent="0.35">
      <c r="A8653" s="12"/>
    </row>
    <row r="8654" spans="1:1" x14ac:dyDescent="0.35">
      <c r="A8654" s="12"/>
    </row>
    <row r="8655" spans="1:1" x14ac:dyDescent="0.35">
      <c r="A8655" s="12"/>
    </row>
    <row r="8656" spans="1:1" x14ac:dyDescent="0.35">
      <c r="A8656" s="12"/>
    </row>
    <row r="8657" spans="1:1" x14ac:dyDescent="0.35">
      <c r="A8657" s="12"/>
    </row>
    <row r="8658" spans="1:1" x14ac:dyDescent="0.35">
      <c r="A8658" s="12"/>
    </row>
    <row r="8659" spans="1:1" x14ac:dyDescent="0.35">
      <c r="A8659" s="12"/>
    </row>
    <row r="8660" spans="1:1" x14ac:dyDescent="0.35">
      <c r="A8660" s="12"/>
    </row>
    <row r="8661" spans="1:1" x14ac:dyDescent="0.35">
      <c r="A8661" s="12"/>
    </row>
    <row r="8662" spans="1:1" x14ac:dyDescent="0.35">
      <c r="A8662" s="12"/>
    </row>
    <row r="8663" spans="1:1" x14ac:dyDescent="0.35">
      <c r="A8663" s="12"/>
    </row>
    <row r="8664" spans="1:1" x14ac:dyDescent="0.35">
      <c r="A8664" s="12"/>
    </row>
    <row r="8665" spans="1:1" x14ac:dyDescent="0.35">
      <c r="A8665" s="12"/>
    </row>
    <row r="8666" spans="1:1" x14ac:dyDescent="0.35">
      <c r="A8666" s="12"/>
    </row>
    <row r="8667" spans="1:1" x14ac:dyDescent="0.35">
      <c r="A8667" s="12"/>
    </row>
    <row r="8668" spans="1:1" x14ac:dyDescent="0.35">
      <c r="A8668" s="12"/>
    </row>
    <row r="8669" spans="1:1" x14ac:dyDescent="0.35">
      <c r="A8669" s="12"/>
    </row>
    <row r="8670" spans="1:1" x14ac:dyDescent="0.35">
      <c r="A8670" s="12"/>
    </row>
    <row r="8671" spans="1:1" x14ac:dyDescent="0.35">
      <c r="A8671" s="12"/>
    </row>
    <row r="8672" spans="1:1" x14ac:dyDescent="0.35">
      <c r="A8672" s="12"/>
    </row>
    <row r="8673" spans="1:1" x14ac:dyDescent="0.35">
      <c r="A8673" s="12"/>
    </row>
    <row r="8674" spans="1:1" x14ac:dyDescent="0.35">
      <c r="A8674" s="12"/>
    </row>
    <row r="8675" spans="1:1" x14ac:dyDescent="0.35">
      <c r="A8675" s="12"/>
    </row>
    <row r="8676" spans="1:1" x14ac:dyDescent="0.35">
      <c r="A8676" s="12"/>
    </row>
    <row r="8677" spans="1:1" x14ac:dyDescent="0.35">
      <c r="A8677" s="12"/>
    </row>
    <row r="8678" spans="1:1" x14ac:dyDescent="0.35">
      <c r="A8678" s="12"/>
    </row>
    <row r="8679" spans="1:1" x14ac:dyDescent="0.35">
      <c r="A8679" s="12"/>
    </row>
    <row r="8680" spans="1:1" x14ac:dyDescent="0.35">
      <c r="A8680" s="12"/>
    </row>
    <row r="8681" spans="1:1" x14ac:dyDescent="0.35">
      <c r="A8681" s="12"/>
    </row>
    <row r="8682" spans="1:1" x14ac:dyDescent="0.35">
      <c r="A8682" s="12"/>
    </row>
    <row r="8683" spans="1:1" x14ac:dyDescent="0.35">
      <c r="A8683" s="12"/>
    </row>
    <row r="8684" spans="1:1" x14ac:dyDescent="0.35">
      <c r="A8684" s="12"/>
    </row>
    <row r="8685" spans="1:1" x14ac:dyDescent="0.35">
      <c r="A8685" s="12"/>
    </row>
    <row r="8686" spans="1:1" x14ac:dyDescent="0.35">
      <c r="A8686" s="12"/>
    </row>
    <row r="8687" spans="1:1" x14ac:dyDescent="0.35">
      <c r="A8687" s="12"/>
    </row>
    <row r="8688" spans="1:1" x14ac:dyDescent="0.35">
      <c r="A8688" s="12"/>
    </row>
    <row r="8689" spans="1:1" x14ac:dyDescent="0.35">
      <c r="A8689" s="12"/>
    </row>
    <row r="8690" spans="1:1" x14ac:dyDescent="0.35">
      <c r="A8690" s="12"/>
    </row>
    <row r="8691" spans="1:1" x14ac:dyDescent="0.35">
      <c r="A8691" s="12"/>
    </row>
    <row r="8692" spans="1:1" x14ac:dyDescent="0.35">
      <c r="A8692" s="12"/>
    </row>
    <row r="8693" spans="1:1" x14ac:dyDescent="0.35">
      <c r="A8693" s="12"/>
    </row>
    <row r="8694" spans="1:1" x14ac:dyDescent="0.35">
      <c r="A8694" s="12"/>
    </row>
    <row r="8695" spans="1:1" x14ac:dyDescent="0.35">
      <c r="A8695" s="12"/>
    </row>
    <row r="8696" spans="1:1" x14ac:dyDescent="0.35">
      <c r="A8696" s="12"/>
    </row>
    <row r="8697" spans="1:1" x14ac:dyDescent="0.35">
      <c r="A8697" s="12"/>
    </row>
    <row r="8698" spans="1:1" x14ac:dyDescent="0.35">
      <c r="A8698" s="12"/>
    </row>
    <row r="8699" spans="1:1" x14ac:dyDescent="0.35">
      <c r="A8699" s="12"/>
    </row>
    <row r="8700" spans="1:1" x14ac:dyDescent="0.35">
      <c r="A8700" s="12"/>
    </row>
    <row r="8701" spans="1:1" x14ac:dyDescent="0.35">
      <c r="A8701" s="12"/>
    </row>
    <row r="8702" spans="1:1" x14ac:dyDescent="0.35">
      <c r="A8702" s="12"/>
    </row>
    <row r="8703" spans="1:1" x14ac:dyDescent="0.35">
      <c r="A8703" s="12"/>
    </row>
    <row r="8704" spans="1:1" x14ac:dyDescent="0.35">
      <c r="A8704" s="12"/>
    </row>
    <row r="8705" spans="1:1" x14ac:dyDescent="0.35">
      <c r="A8705" s="12"/>
    </row>
    <row r="8706" spans="1:1" x14ac:dyDescent="0.35">
      <c r="A8706" s="12"/>
    </row>
    <row r="8707" spans="1:1" x14ac:dyDescent="0.35">
      <c r="A8707" s="12"/>
    </row>
    <row r="8708" spans="1:1" x14ac:dyDescent="0.35">
      <c r="A8708" s="12"/>
    </row>
    <row r="8709" spans="1:1" x14ac:dyDescent="0.35">
      <c r="A8709" s="12"/>
    </row>
    <row r="8710" spans="1:1" x14ac:dyDescent="0.35">
      <c r="A8710" s="12"/>
    </row>
    <row r="8711" spans="1:1" x14ac:dyDescent="0.35">
      <c r="A8711" s="12"/>
    </row>
    <row r="8712" spans="1:1" x14ac:dyDescent="0.35">
      <c r="A8712" s="12"/>
    </row>
    <row r="8713" spans="1:1" x14ac:dyDescent="0.35">
      <c r="A8713" s="12"/>
    </row>
    <row r="8714" spans="1:1" x14ac:dyDescent="0.35">
      <c r="A8714" s="12"/>
    </row>
    <row r="8715" spans="1:1" x14ac:dyDescent="0.35">
      <c r="A8715" s="12"/>
    </row>
    <row r="8716" spans="1:1" x14ac:dyDescent="0.35">
      <c r="A8716" s="12"/>
    </row>
    <row r="8717" spans="1:1" x14ac:dyDescent="0.35">
      <c r="A8717" s="12"/>
    </row>
    <row r="8718" spans="1:1" x14ac:dyDescent="0.35">
      <c r="A8718" s="12"/>
    </row>
    <row r="8719" spans="1:1" x14ac:dyDescent="0.35">
      <c r="A8719" s="12"/>
    </row>
    <row r="8720" spans="1:1" x14ac:dyDescent="0.35">
      <c r="A8720" s="12"/>
    </row>
    <row r="8721" spans="1:1" x14ac:dyDescent="0.35">
      <c r="A8721" s="12"/>
    </row>
    <row r="8722" spans="1:1" x14ac:dyDescent="0.35">
      <c r="A8722" s="12"/>
    </row>
    <row r="8723" spans="1:1" x14ac:dyDescent="0.35">
      <c r="A8723" s="12"/>
    </row>
    <row r="8724" spans="1:1" x14ac:dyDescent="0.35">
      <c r="A8724" s="12"/>
    </row>
    <row r="8725" spans="1:1" x14ac:dyDescent="0.35">
      <c r="A8725" s="12"/>
    </row>
    <row r="8726" spans="1:1" x14ac:dyDescent="0.35">
      <c r="A8726" s="12"/>
    </row>
    <row r="8727" spans="1:1" x14ac:dyDescent="0.35">
      <c r="A8727" s="12"/>
    </row>
    <row r="8728" spans="1:1" x14ac:dyDescent="0.35">
      <c r="A8728" s="12"/>
    </row>
    <row r="8729" spans="1:1" x14ac:dyDescent="0.35">
      <c r="A8729" s="12"/>
    </row>
    <row r="8730" spans="1:1" x14ac:dyDescent="0.35">
      <c r="A8730" s="12"/>
    </row>
    <row r="8731" spans="1:1" x14ac:dyDescent="0.35">
      <c r="A8731" s="12"/>
    </row>
    <row r="8732" spans="1:1" x14ac:dyDescent="0.35">
      <c r="A8732" s="12"/>
    </row>
    <row r="8733" spans="1:1" x14ac:dyDescent="0.35">
      <c r="A8733" s="12"/>
    </row>
    <row r="8734" spans="1:1" x14ac:dyDescent="0.35">
      <c r="A8734" s="12"/>
    </row>
    <row r="8735" spans="1:1" x14ac:dyDescent="0.35">
      <c r="A8735" s="12"/>
    </row>
    <row r="8736" spans="1:1" x14ac:dyDescent="0.35">
      <c r="A8736" s="12"/>
    </row>
    <row r="8737" spans="1:1" x14ac:dyDescent="0.35">
      <c r="A8737" s="12"/>
    </row>
    <row r="8738" spans="1:1" x14ac:dyDescent="0.35">
      <c r="A8738" s="12"/>
    </row>
    <row r="8739" spans="1:1" x14ac:dyDescent="0.35">
      <c r="A8739" s="12"/>
    </row>
    <row r="8740" spans="1:1" x14ac:dyDescent="0.35">
      <c r="A8740" s="12"/>
    </row>
    <row r="8741" spans="1:1" x14ac:dyDescent="0.35">
      <c r="A8741" s="12"/>
    </row>
    <row r="8742" spans="1:1" x14ac:dyDescent="0.35">
      <c r="A8742" s="12"/>
    </row>
    <row r="8743" spans="1:1" x14ac:dyDescent="0.35">
      <c r="A8743" s="12"/>
    </row>
    <row r="8744" spans="1:1" x14ac:dyDescent="0.35">
      <c r="A8744" s="12"/>
    </row>
    <row r="8745" spans="1:1" x14ac:dyDescent="0.35">
      <c r="A8745" s="12"/>
    </row>
    <row r="8746" spans="1:1" x14ac:dyDescent="0.35">
      <c r="A8746" s="12"/>
    </row>
    <row r="8747" spans="1:1" x14ac:dyDescent="0.35">
      <c r="A8747" s="12"/>
    </row>
    <row r="8748" spans="1:1" x14ac:dyDescent="0.35">
      <c r="A8748" s="12"/>
    </row>
    <row r="8749" spans="1:1" x14ac:dyDescent="0.35">
      <c r="A8749" s="12"/>
    </row>
    <row r="8750" spans="1:1" x14ac:dyDescent="0.35">
      <c r="A8750" s="12"/>
    </row>
    <row r="8751" spans="1:1" x14ac:dyDescent="0.35">
      <c r="A8751" s="12"/>
    </row>
    <row r="8752" spans="1:1" x14ac:dyDescent="0.35">
      <c r="A8752" s="12"/>
    </row>
    <row r="8753" spans="1:1" x14ac:dyDescent="0.35">
      <c r="A8753" s="12"/>
    </row>
    <row r="8754" spans="1:1" x14ac:dyDescent="0.35">
      <c r="A8754" s="12"/>
    </row>
    <row r="8755" spans="1:1" x14ac:dyDescent="0.35">
      <c r="A8755" s="12"/>
    </row>
    <row r="8756" spans="1:1" x14ac:dyDescent="0.35">
      <c r="A8756" s="12"/>
    </row>
    <row r="8757" spans="1:1" x14ac:dyDescent="0.35">
      <c r="A8757" s="12"/>
    </row>
    <row r="8758" spans="1:1" x14ac:dyDescent="0.35">
      <c r="A8758" s="12"/>
    </row>
    <row r="8759" spans="1:1" x14ac:dyDescent="0.35">
      <c r="A8759" s="12"/>
    </row>
    <row r="8760" spans="1:1" x14ac:dyDescent="0.35">
      <c r="A8760" s="12"/>
    </row>
    <row r="8761" spans="1:1" x14ac:dyDescent="0.35">
      <c r="A8761" s="12"/>
    </row>
    <row r="8762" spans="1:1" x14ac:dyDescent="0.35">
      <c r="A8762" s="12"/>
    </row>
    <row r="8763" spans="1:1" x14ac:dyDescent="0.35">
      <c r="A8763" s="12"/>
    </row>
    <row r="8764" spans="1:1" x14ac:dyDescent="0.35">
      <c r="A8764" s="12"/>
    </row>
    <row r="8765" spans="1:1" x14ac:dyDescent="0.35">
      <c r="A8765" s="12"/>
    </row>
    <row r="8766" spans="1:1" x14ac:dyDescent="0.35">
      <c r="A8766" s="12"/>
    </row>
    <row r="8767" spans="1:1" x14ac:dyDescent="0.35">
      <c r="A8767" s="12"/>
    </row>
    <row r="8768" spans="1:1" x14ac:dyDescent="0.35">
      <c r="A8768" s="12"/>
    </row>
    <row r="8769" spans="1:1" x14ac:dyDescent="0.35">
      <c r="A8769" s="12"/>
    </row>
    <row r="8770" spans="1:1" x14ac:dyDescent="0.35">
      <c r="A8770" s="12"/>
    </row>
    <row r="8771" spans="1:1" x14ac:dyDescent="0.35">
      <c r="A8771" s="12"/>
    </row>
    <row r="8772" spans="1:1" x14ac:dyDescent="0.35">
      <c r="A8772" s="12"/>
    </row>
    <row r="8773" spans="1:1" x14ac:dyDescent="0.35">
      <c r="A8773" s="12"/>
    </row>
    <row r="8774" spans="1:1" x14ac:dyDescent="0.35">
      <c r="A8774" s="12"/>
    </row>
    <row r="8775" spans="1:1" x14ac:dyDescent="0.35">
      <c r="A8775" s="12"/>
    </row>
    <row r="8776" spans="1:1" x14ac:dyDescent="0.35">
      <c r="A8776" s="12"/>
    </row>
    <row r="8777" spans="1:1" x14ac:dyDescent="0.35">
      <c r="A8777" s="12"/>
    </row>
    <row r="8778" spans="1:1" x14ac:dyDescent="0.35">
      <c r="A8778" s="12"/>
    </row>
    <row r="8779" spans="1:1" x14ac:dyDescent="0.35">
      <c r="A8779" s="12"/>
    </row>
    <row r="8780" spans="1:1" x14ac:dyDescent="0.35">
      <c r="A8780" s="12"/>
    </row>
    <row r="8781" spans="1:1" x14ac:dyDescent="0.35">
      <c r="A8781" s="12"/>
    </row>
    <row r="8782" spans="1:1" x14ac:dyDescent="0.35">
      <c r="A8782" s="12"/>
    </row>
    <row r="8783" spans="1:1" x14ac:dyDescent="0.35">
      <c r="A8783" s="12"/>
    </row>
    <row r="8784" spans="1:1" x14ac:dyDescent="0.35">
      <c r="A8784" s="12"/>
    </row>
    <row r="8785" spans="1:1" x14ac:dyDescent="0.35">
      <c r="A8785" s="12"/>
    </row>
    <row r="8786" spans="1:1" x14ac:dyDescent="0.35">
      <c r="A8786" s="12"/>
    </row>
    <row r="8787" spans="1:1" x14ac:dyDescent="0.35">
      <c r="A8787" s="12"/>
    </row>
    <row r="8788" spans="1:1" x14ac:dyDescent="0.35">
      <c r="A8788" s="12"/>
    </row>
    <row r="8789" spans="1:1" x14ac:dyDescent="0.35">
      <c r="A8789" s="12"/>
    </row>
    <row r="8790" spans="1:1" x14ac:dyDescent="0.35">
      <c r="A8790" s="12"/>
    </row>
    <row r="8791" spans="1:1" x14ac:dyDescent="0.35">
      <c r="A8791" s="12"/>
    </row>
    <row r="8792" spans="1:1" x14ac:dyDescent="0.35">
      <c r="A8792" s="12"/>
    </row>
    <row r="8793" spans="1:1" x14ac:dyDescent="0.35">
      <c r="A8793" s="12"/>
    </row>
    <row r="8794" spans="1:1" x14ac:dyDescent="0.35">
      <c r="A8794" s="12"/>
    </row>
    <row r="8795" spans="1:1" x14ac:dyDescent="0.35">
      <c r="A8795" s="12"/>
    </row>
    <row r="8796" spans="1:1" x14ac:dyDescent="0.35">
      <c r="A8796" s="12"/>
    </row>
    <row r="8797" spans="1:1" x14ac:dyDescent="0.35">
      <c r="A8797" s="12"/>
    </row>
    <row r="8798" spans="1:1" x14ac:dyDescent="0.35">
      <c r="A8798" s="12"/>
    </row>
    <row r="8799" spans="1:1" x14ac:dyDescent="0.35">
      <c r="A8799" s="12"/>
    </row>
    <row r="8800" spans="1:1" x14ac:dyDescent="0.35">
      <c r="A8800" s="12"/>
    </row>
    <row r="8801" spans="1:1" x14ac:dyDescent="0.35">
      <c r="A8801" s="12"/>
    </row>
    <row r="8802" spans="1:1" x14ac:dyDescent="0.35">
      <c r="A8802" s="12"/>
    </row>
    <row r="8803" spans="1:1" x14ac:dyDescent="0.35">
      <c r="A8803" s="12"/>
    </row>
    <row r="8804" spans="1:1" x14ac:dyDescent="0.35">
      <c r="A8804" s="12"/>
    </row>
    <row r="8805" spans="1:1" x14ac:dyDescent="0.35">
      <c r="A8805" s="12"/>
    </row>
    <row r="8806" spans="1:1" x14ac:dyDescent="0.35">
      <c r="A8806" s="12"/>
    </row>
    <row r="8807" spans="1:1" x14ac:dyDescent="0.35">
      <c r="A8807" s="12"/>
    </row>
    <row r="8808" spans="1:1" x14ac:dyDescent="0.35">
      <c r="A8808" s="12"/>
    </row>
    <row r="8809" spans="1:1" x14ac:dyDescent="0.35">
      <c r="A8809" s="12"/>
    </row>
    <row r="8810" spans="1:1" x14ac:dyDescent="0.35">
      <c r="A8810" s="12"/>
    </row>
    <row r="8811" spans="1:1" x14ac:dyDescent="0.35">
      <c r="A8811" s="12"/>
    </row>
    <row r="8812" spans="1:1" x14ac:dyDescent="0.35">
      <c r="A8812" s="12"/>
    </row>
    <row r="8813" spans="1:1" x14ac:dyDescent="0.35">
      <c r="A8813" s="12"/>
    </row>
    <row r="8814" spans="1:1" x14ac:dyDescent="0.35">
      <c r="A8814" s="12"/>
    </row>
    <row r="8815" spans="1:1" x14ac:dyDescent="0.35">
      <c r="A8815" s="12"/>
    </row>
    <row r="8816" spans="1:1" x14ac:dyDescent="0.35">
      <c r="A8816" s="12"/>
    </row>
    <row r="8817" spans="1:1" x14ac:dyDescent="0.35">
      <c r="A8817" s="12"/>
    </row>
    <row r="8818" spans="1:1" x14ac:dyDescent="0.35">
      <c r="A8818" s="12"/>
    </row>
    <row r="8819" spans="1:1" x14ac:dyDescent="0.35">
      <c r="A8819" s="12"/>
    </row>
    <row r="8820" spans="1:1" x14ac:dyDescent="0.35">
      <c r="A8820" s="12"/>
    </row>
    <row r="8821" spans="1:1" x14ac:dyDescent="0.35">
      <c r="A8821" s="12"/>
    </row>
    <row r="8822" spans="1:1" x14ac:dyDescent="0.35">
      <c r="A8822" s="12"/>
    </row>
    <row r="8823" spans="1:1" x14ac:dyDescent="0.35">
      <c r="A8823" s="12"/>
    </row>
    <row r="8824" spans="1:1" x14ac:dyDescent="0.35">
      <c r="A8824" s="12"/>
    </row>
    <row r="8825" spans="1:1" x14ac:dyDescent="0.35">
      <c r="A8825" s="12"/>
    </row>
    <row r="8826" spans="1:1" x14ac:dyDescent="0.35">
      <c r="A8826" s="12"/>
    </row>
    <row r="8827" spans="1:1" x14ac:dyDescent="0.35">
      <c r="A8827" s="12"/>
    </row>
    <row r="8828" spans="1:1" x14ac:dyDescent="0.35">
      <c r="A8828" s="12"/>
    </row>
    <row r="8829" spans="1:1" x14ac:dyDescent="0.35">
      <c r="A8829" s="12"/>
    </row>
    <row r="8830" spans="1:1" x14ac:dyDescent="0.35">
      <c r="A8830" s="12"/>
    </row>
    <row r="8831" spans="1:1" x14ac:dyDescent="0.35">
      <c r="A8831" s="12"/>
    </row>
    <row r="8832" spans="1:1" x14ac:dyDescent="0.35">
      <c r="A8832" s="12"/>
    </row>
    <row r="8833" spans="1:1" x14ac:dyDescent="0.35">
      <c r="A8833" s="12"/>
    </row>
    <row r="8834" spans="1:1" x14ac:dyDescent="0.35">
      <c r="A8834" s="12"/>
    </row>
    <row r="8835" spans="1:1" x14ac:dyDescent="0.35">
      <c r="A8835" s="12"/>
    </row>
    <row r="8836" spans="1:1" x14ac:dyDescent="0.35">
      <c r="A8836" s="12"/>
    </row>
    <row r="8837" spans="1:1" x14ac:dyDescent="0.35">
      <c r="A8837" s="12"/>
    </row>
    <row r="8838" spans="1:1" x14ac:dyDescent="0.35">
      <c r="A8838" s="12"/>
    </row>
    <row r="8839" spans="1:1" x14ac:dyDescent="0.35">
      <c r="A8839" s="12"/>
    </row>
    <row r="8840" spans="1:1" x14ac:dyDescent="0.35">
      <c r="A8840" s="12"/>
    </row>
    <row r="8841" spans="1:1" x14ac:dyDescent="0.35">
      <c r="A8841" s="12"/>
    </row>
    <row r="8842" spans="1:1" x14ac:dyDescent="0.35">
      <c r="A8842" s="12"/>
    </row>
    <row r="8843" spans="1:1" x14ac:dyDescent="0.35">
      <c r="A8843" s="12"/>
    </row>
    <row r="8844" spans="1:1" x14ac:dyDescent="0.35">
      <c r="A8844" s="12"/>
    </row>
    <row r="8845" spans="1:1" x14ac:dyDescent="0.35">
      <c r="A8845" s="12"/>
    </row>
    <row r="8846" spans="1:1" x14ac:dyDescent="0.35">
      <c r="A8846" s="12"/>
    </row>
    <row r="8847" spans="1:1" x14ac:dyDescent="0.35">
      <c r="A8847" s="12"/>
    </row>
    <row r="8848" spans="1:1" x14ac:dyDescent="0.35">
      <c r="A8848" s="12"/>
    </row>
    <row r="8849" spans="1:1" x14ac:dyDescent="0.35">
      <c r="A8849" s="12"/>
    </row>
    <row r="8850" spans="1:1" x14ac:dyDescent="0.35">
      <c r="A8850" s="12"/>
    </row>
    <row r="8851" spans="1:1" x14ac:dyDescent="0.35">
      <c r="A8851" s="12"/>
    </row>
    <row r="8852" spans="1:1" x14ac:dyDescent="0.35">
      <c r="A8852" s="12"/>
    </row>
    <row r="8853" spans="1:1" x14ac:dyDescent="0.35">
      <c r="A8853" s="12"/>
    </row>
    <row r="8854" spans="1:1" x14ac:dyDescent="0.35">
      <c r="A8854" s="12"/>
    </row>
    <row r="8855" spans="1:1" x14ac:dyDescent="0.35">
      <c r="A8855" s="12"/>
    </row>
    <row r="8856" spans="1:1" x14ac:dyDescent="0.35">
      <c r="A8856" s="12"/>
    </row>
    <row r="8857" spans="1:1" x14ac:dyDescent="0.35">
      <c r="A8857" s="12"/>
    </row>
    <row r="8858" spans="1:1" x14ac:dyDescent="0.35">
      <c r="A8858" s="12"/>
    </row>
    <row r="8859" spans="1:1" x14ac:dyDescent="0.35">
      <c r="A8859" s="12"/>
    </row>
    <row r="8860" spans="1:1" x14ac:dyDescent="0.35">
      <c r="A8860" s="12"/>
    </row>
    <row r="8861" spans="1:1" x14ac:dyDescent="0.35">
      <c r="A8861" s="12"/>
    </row>
    <row r="8862" spans="1:1" x14ac:dyDescent="0.35">
      <c r="A8862" s="12"/>
    </row>
    <row r="8863" spans="1:1" x14ac:dyDescent="0.35">
      <c r="A8863" s="12"/>
    </row>
    <row r="8864" spans="1:1" x14ac:dyDescent="0.35">
      <c r="A8864" s="12"/>
    </row>
    <row r="8865" spans="1:1" x14ac:dyDescent="0.35">
      <c r="A8865" s="12"/>
    </row>
    <row r="8866" spans="1:1" x14ac:dyDescent="0.35">
      <c r="A8866" s="12"/>
    </row>
    <row r="8867" spans="1:1" x14ac:dyDescent="0.35">
      <c r="A8867" s="12"/>
    </row>
    <row r="8868" spans="1:1" x14ac:dyDescent="0.35">
      <c r="A8868" s="12"/>
    </row>
    <row r="8869" spans="1:1" x14ac:dyDescent="0.35">
      <c r="A8869" s="12"/>
    </row>
    <row r="8870" spans="1:1" x14ac:dyDescent="0.35">
      <c r="A8870" s="12"/>
    </row>
    <row r="8871" spans="1:1" x14ac:dyDescent="0.35">
      <c r="A8871" s="12"/>
    </row>
    <row r="8872" spans="1:1" x14ac:dyDescent="0.35">
      <c r="A8872" s="12"/>
    </row>
    <row r="8873" spans="1:1" x14ac:dyDescent="0.35">
      <c r="A8873" s="12"/>
    </row>
    <row r="8874" spans="1:1" x14ac:dyDescent="0.35">
      <c r="A8874" s="12"/>
    </row>
    <row r="8875" spans="1:1" x14ac:dyDescent="0.35">
      <c r="A8875" s="12"/>
    </row>
    <row r="8876" spans="1:1" x14ac:dyDescent="0.35">
      <c r="A8876" s="12"/>
    </row>
    <row r="8877" spans="1:1" x14ac:dyDescent="0.35">
      <c r="A8877" s="12"/>
    </row>
    <row r="8878" spans="1:1" x14ac:dyDescent="0.35">
      <c r="A8878" s="12"/>
    </row>
    <row r="8879" spans="1:1" x14ac:dyDescent="0.35">
      <c r="A8879" s="12"/>
    </row>
    <row r="8880" spans="1:1" x14ac:dyDescent="0.35">
      <c r="A8880" s="12"/>
    </row>
    <row r="8881" spans="1:1" x14ac:dyDescent="0.35">
      <c r="A8881" s="12"/>
    </row>
    <row r="8882" spans="1:1" x14ac:dyDescent="0.35">
      <c r="A8882" s="12"/>
    </row>
    <row r="8883" spans="1:1" x14ac:dyDescent="0.35">
      <c r="A8883" s="12"/>
    </row>
    <row r="8884" spans="1:1" x14ac:dyDescent="0.35">
      <c r="A8884" s="12"/>
    </row>
    <row r="8885" spans="1:1" x14ac:dyDescent="0.35">
      <c r="A8885" s="12"/>
    </row>
    <row r="8886" spans="1:1" x14ac:dyDescent="0.35">
      <c r="A8886" s="12"/>
    </row>
    <row r="8887" spans="1:1" x14ac:dyDescent="0.35">
      <c r="A8887" s="12"/>
    </row>
    <row r="8888" spans="1:1" x14ac:dyDescent="0.35">
      <c r="A8888" s="12"/>
    </row>
    <row r="8889" spans="1:1" x14ac:dyDescent="0.35">
      <c r="A8889" s="12"/>
    </row>
    <row r="8890" spans="1:1" x14ac:dyDescent="0.35">
      <c r="A8890" s="12"/>
    </row>
    <row r="8891" spans="1:1" x14ac:dyDescent="0.35">
      <c r="A8891" s="12"/>
    </row>
    <row r="8892" spans="1:1" x14ac:dyDescent="0.35">
      <c r="A8892" s="12"/>
    </row>
    <row r="8893" spans="1:1" x14ac:dyDescent="0.35">
      <c r="A8893" s="12"/>
    </row>
    <row r="8894" spans="1:1" x14ac:dyDescent="0.35">
      <c r="A8894" s="12"/>
    </row>
    <row r="8895" spans="1:1" x14ac:dyDescent="0.35">
      <c r="A8895" s="12"/>
    </row>
    <row r="8896" spans="1:1" x14ac:dyDescent="0.35">
      <c r="A8896" s="12"/>
    </row>
    <row r="8897" spans="1:1" x14ac:dyDescent="0.35">
      <c r="A8897" s="12"/>
    </row>
    <row r="8898" spans="1:1" x14ac:dyDescent="0.35">
      <c r="A8898" s="12"/>
    </row>
    <row r="8899" spans="1:1" x14ac:dyDescent="0.35">
      <c r="A8899" s="12"/>
    </row>
    <row r="8900" spans="1:1" x14ac:dyDescent="0.35">
      <c r="A8900" s="12"/>
    </row>
    <row r="8901" spans="1:1" x14ac:dyDescent="0.35">
      <c r="A8901" s="12"/>
    </row>
    <row r="8902" spans="1:1" x14ac:dyDescent="0.35">
      <c r="A8902" s="12"/>
    </row>
    <row r="8903" spans="1:1" x14ac:dyDescent="0.35">
      <c r="A8903" s="12"/>
    </row>
    <row r="8904" spans="1:1" x14ac:dyDescent="0.35">
      <c r="A8904" s="12"/>
    </row>
    <row r="8905" spans="1:1" x14ac:dyDescent="0.35">
      <c r="A8905" s="12"/>
    </row>
    <row r="8906" spans="1:1" x14ac:dyDescent="0.35">
      <c r="A8906" s="12"/>
    </row>
    <row r="8907" spans="1:1" x14ac:dyDescent="0.35">
      <c r="A8907" s="12"/>
    </row>
    <row r="8908" spans="1:1" x14ac:dyDescent="0.35">
      <c r="A8908" s="12"/>
    </row>
    <row r="8909" spans="1:1" x14ac:dyDescent="0.35">
      <c r="A8909" s="12"/>
    </row>
    <row r="8910" spans="1:1" x14ac:dyDescent="0.35">
      <c r="A8910" s="12"/>
    </row>
    <row r="8911" spans="1:1" x14ac:dyDescent="0.35">
      <c r="A8911" s="12"/>
    </row>
    <row r="8912" spans="1:1" x14ac:dyDescent="0.35">
      <c r="A8912" s="12"/>
    </row>
    <row r="8913" spans="1:1" x14ac:dyDescent="0.35">
      <c r="A8913" s="12"/>
    </row>
    <row r="8914" spans="1:1" x14ac:dyDescent="0.35">
      <c r="A8914" s="12"/>
    </row>
    <row r="8915" spans="1:1" x14ac:dyDescent="0.35">
      <c r="A8915" s="12"/>
    </row>
    <row r="8916" spans="1:1" x14ac:dyDescent="0.35">
      <c r="A8916" s="12"/>
    </row>
    <row r="8917" spans="1:1" x14ac:dyDescent="0.35">
      <c r="A8917" s="12"/>
    </row>
    <row r="8918" spans="1:1" x14ac:dyDescent="0.35">
      <c r="A8918" s="12"/>
    </row>
    <row r="8919" spans="1:1" x14ac:dyDescent="0.35">
      <c r="A8919" s="12"/>
    </row>
    <row r="8920" spans="1:1" x14ac:dyDescent="0.35">
      <c r="A8920" s="12"/>
    </row>
    <row r="8921" spans="1:1" x14ac:dyDescent="0.35">
      <c r="A8921" s="12"/>
    </row>
    <row r="8922" spans="1:1" x14ac:dyDescent="0.35">
      <c r="A8922" s="12"/>
    </row>
    <row r="8923" spans="1:1" x14ac:dyDescent="0.35">
      <c r="A8923" s="12"/>
    </row>
    <row r="8924" spans="1:1" x14ac:dyDescent="0.35">
      <c r="A8924" s="12"/>
    </row>
    <row r="8925" spans="1:1" x14ac:dyDescent="0.35">
      <c r="A8925" s="12"/>
    </row>
    <row r="8926" spans="1:1" x14ac:dyDescent="0.35">
      <c r="A8926" s="12"/>
    </row>
    <row r="8927" spans="1:1" x14ac:dyDescent="0.35">
      <c r="A8927" s="12"/>
    </row>
    <row r="8928" spans="1:1" x14ac:dyDescent="0.35">
      <c r="A8928" s="12"/>
    </row>
    <row r="8929" spans="1:1" x14ac:dyDescent="0.35">
      <c r="A8929" s="12"/>
    </row>
    <row r="8930" spans="1:1" x14ac:dyDescent="0.35">
      <c r="A8930" s="12"/>
    </row>
    <row r="8931" spans="1:1" x14ac:dyDescent="0.35">
      <c r="A8931" s="12"/>
    </row>
    <row r="8932" spans="1:1" x14ac:dyDescent="0.35">
      <c r="A8932" s="12"/>
    </row>
    <row r="8933" spans="1:1" x14ac:dyDescent="0.35">
      <c r="A8933" s="12"/>
    </row>
    <row r="8934" spans="1:1" x14ac:dyDescent="0.35">
      <c r="A8934" s="12"/>
    </row>
    <row r="8935" spans="1:1" x14ac:dyDescent="0.35">
      <c r="A8935" s="12"/>
    </row>
    <row r="8936" spans="1:1" x14ac:dyDescent="0.35">
      <c r="A8936" s="12"/>
    </row>
    <row r="8937" spans="1:1" x14ac:dyDescent="0.35">
      <c r="A8937" s="12"/>
    </row>
    <row r="8938" spans="1:1" x14ac:dyDescent="0.35">
      <c r="A8938" s="12"/>
    </row>
    <row r="8939" spans="1:1" x14ac:dyDescent="0.35">
      <c r="A8939" s="12"/>
    </row>
    <row r="8940" spans="1:1" x14ac:dyDescent="0.35">
      <c r="A8940" s="12"/>
    </row>
    <row r="8941" spans="1:1" x14ac:dyDescent="0.35">
      <c r="A8941" s="12"/>
    </row>
    <row r="8942" spans="1:1" x14ac:dyDescent="0.35">
      <c r="A8942" s="12"/>
    </row>
    <row r="8943" spans="1:1" x14ac:dyDescent="0.35">
      <c r="A8943" s="12"/>
    </row>
    <row r="8944" spans="1:1" x14ac:dyDescent="0.35">
      <c r="A8944" s="12"/>
    </row>
    <row r="8945" spans="1:1" x14ac:dyDescent="0.35">
      <c r="A8945" s="12"/>
    </row>
    <row r="8946" spans="1:1" x14ac:dyDescent="0.35">
      <c r="A8946" s="12"/>
    </row>
    <row r="8947" spans="1:1" x14ac:dyDescent="0.35">
      <c r="A8947" s="12"/>
    </row>
    <row r="8948" spans="1:1" x14ac:dyDescent="0.35">
      <c r="A8948" s="12"/>
    </row>
    <row r="8949" spans="1:1" x14ac:dyDescent="0.35">
      <c r="A8949" s="12"/>
    </row>
    <row r="8950" spans="1:1" x14ac:dyDescent="0.35">
      <c r="A8950" s="12"/>
    </row>
    <row r="8951" spans="1:1" x14ac:dyDescent="0.35">
      <c r="A8951" s="12"/>
    </row>
    <row r="8952" spans="1:1" x14ac:dyDescent="0.35">
      <c r="A8952" s="12"/>
    </row>
    <row r="8953" spans="1:1" x14ac:dyDescent="0.35">
      <c r="A8953" s="12"/>
    </row>
    <row r="8954" spans="1:1" x14ac:dyDescent="0.35">
      <c r="A8954" s="12"/>
    </row>
    <row r="8955" spans="1:1" x14ac:dyDescent="0.35">
      <c r="A8955" s="12"/>
    </row>
    <row r="8956" spans="1:1" x14ac:dyDescent="0.35">
      <c r="A8956" s="12"/>
    </row>
    <row r="8957" spans="1:1" x14ac:dyDescent="0.35">
      <c r="A8957" s="12"/>
    </row>
    <row r="8958" spans="1:1" x14ac:dyDescent="0.35">
      <c r="A8958" s="12"/>
    </row>
    <row r="8959" spans="1:1" x14ac:dyDescent="0.35">
      <c r="A8959" s="12"/>
    </row>
    <row r="8960" spans="1:1" x14ac:dyDescent="0.35">
      <c r="A8960" s="12"/>
    </row>
    <row r="8961" spans="1:1" x14ac:dyDescent="0.35">
      <c r="A8961" s="12"/>
    </row>
    <row r="8962" spans="1:1" x14ac:dyDescent="0.35">
      <c r="A8962" s="12"/>
    </row>
    <row r="8963" spans="1:1" x14ac:dyDescent="0.35">
      <c r="A8963" s="12"/>
    </row>
    <row r="8964" spans="1:1" x14ac:dyDescent="0.35">
      <c r="A8964" s="12"/>
    </row>
    <row r="8965" spans="1:1" x14ac:dyDescent="0.35">
      <c r="A8965" s="12"/>
    </row>
    <row r="8966" spans="1:1" x14ac:dyDescent="0.35">
      <c r="A8966" s="12"/>
    </row>
    <row r="8967" spans="1:1" x14ac:dyDescent="0.35">
      <c r="A8967" s="12"/>
    </row>
    <row r="8968" spans="1:1" x14ac:dyDescent="0.35">
      <c r="A8968" s="12"/>
    </row>
    <row r="8969" spans="1:1" x14ac:dyDescent="0.35">
      <c r="A8969" s="12"/>
    </row>
    <row r="8970" spans="1:1" x14ac:dyDescent="0.35">
      <c r="A8970" s="12"/>
    </row>
    <row r="8971" spans="1:1" x14ac:dyDescent="0.35">
      <c r="A8971" s="12"/>
    </row>
    <row r="8972" spans="1:1" x14ac:dyDescent="0.35">
      <c r="A8972" s="12"/>
    </row>
    <row r="8973" spans="1:1" x14ac:dyDescent="0.35">
      <c r="A8973" s="12"/>
    </row>
    <row r="8974" spans="1:1" x14ac:dyDescent="0.35">
      <c r="A8974" s="12"/>
    </row>
    <row r="8975" spans="1:1" x14ac:dyDescent="0.35">
      <c r="A8975" s="12"/>
    </row>
    <row r="8976" spans="1:1" x14ac:dyDescent="0.35">
      <c r="A8976" s="12"/>
    </row>
    <row r="8977" spans="1:1" x14ac:dyDescent="0.35">
      <c r="A8977" s="12"/>
    </row>
    <row r="8978" spans="1:1" x14ac:dyDescent="0.35">
      <c r="A8978" s="12"/>
    </row>
    <row r="8979" spans="1:1" x14ac:dyDescent="0.35">
      <c r="A8979" s="12"/>
    </row>
    <row r="8980" spans="1:1" x14ac:dyDescent="0.35">
      <c r="A8980" s="12"/>
    </row>
    <row r="8981" spans="1:1" x14ac:dyDescent="0.35">
      <c r="A8981" s="12"/>
    </row>
    <row r="8982" spans="1:1" x14ac:dyDescent="0.35">
      <c r="A8982" s="12"/>
    </row>
    <row r="8983" spans="1:1" x14ac:dyDescent="0.35">
      <c r="A8983" s="12"/>
    </row>
    <row r="8984" spans="1:1" x14ac:dyDescent="0.35">
      <c r="A8984" s="12"/>
    </row>
    <row r="8985" spans="1:1" x14ac:dyDescent="0.35">
      <c r="A8985" s="12"/>
    </row>
    <row r="8986" spans="1:1" x14ac:dyDescent="0.35">
      <c r="A8986" s="12"/>
    </row>
    <row r="8987" spans="1:1" x14ac:dyDescent="0.35">
      <c r="A8987" s="12"/>
    </row>
    <row r="8988" spans="1:1" x14ac:dyDescent="0.35">
      <c r="A8988" s="12"/>
    </row>
    <row r="8989" spans="1:1" x14ac:dyDescent="0.35">
      <c r="A8989" s="12"/>
    </row>
    <row r="8990" spans="1:1" x14ac:dyDescent="0.35">
      <c r="A8990" s="12"/>
    </row>
    <row r="8991" spans="1:1" x14ac:dyDescent="0.35">
      <c r="A8991" s="12"/>
    </row>
    <row r="8992" spans="1:1" x14ac:dyDescent="0.35">
      <c r="A8992" s="12"/>
    </row>
    <row r="8993" spans="1:1" x14ac:dyDescent="0.35">
      <c r="A8993" s="12"/>
    </row>
    <row r="8994" spans="1:1" x14ac:dyDescent="0.35">
      <c r="A8994" s="12"/>
    </row>
    <row r="8995" spans="1:1" x14ac:dyDescent="0.35">
      <c r="A8995" s="12"/>
    </row>
    <row r="8996" spans="1:1" x14ac:dyDescent="0.35">
      <c r="A8996" s="12"/>
    </row>
    <row r="8997" spans="1:1" x14ac:dyDescent="0.35">
      <c r="A8997" s="12"/>
    </row>
    <row r="8998" spans="1:1" x14ac:dyDescent="0.35">
      <c r="A8998" s="12"/>
    </row>
    <row r="8999" spans="1:1" x14ac:dyDescent="0.35">
      <c r="A8999" s="12"/>
    </row>
    <row r="9000" spans="1:1" x14ac:dyDescent="0.35">
      <c r="A9000" s="12"/>
    </row>
    <row r="9001" spans="1:1" x14ac:dyDescent="0.35">
      <c r="A9001" s="12"/>
    </row>
    <row r="9002" spans="1:1" x14ac:dyDescent="0.35">
      <c r="A9002" s="12"/>
    </row>
    <row r="9003" spans="1:1" x14ac:dyDescent="0.35">
      <c r="A9003" s="12"/>
    </row>
    <row r="9004" spans="1:1" x14ac:dyDescent="0.35">
      <c r="A9004" s="12"/>
    </row>
    <row r="9005" spans="1:1" x14ac:dyDescent="0.35">
      <c r="A9005" s="12"/>
    </row>
    <row r="9006" spans="1:1" x14ac:dyDescent="0.35">
      <c r="A9006" s="12"/>
    </row>
    <row r="9007" spans="1:1" x14ac:dyDescent="0.35">
      <c r="A9007" s="12"/>
    </row>
    <row r="9008" spans="1:1" x14ac:dyDescent="0.35">
      <c r="A9008" s="12"/>
    </row>
    <row r="9009" spans="1:1" x14ac:dyDescent="0.35">
      <c r="A9009" s="12"/>
    </row>
    <row r="9010" spans="1:1" x14ac:dyDescent="0.35">
      <c r="A9010" s="12"/>
    </row>
    <row r="9011" spans="1:1" x14ac:dyDescent="0.35">
      <c r="A9011" s="12"/>
    </row>
    <row r="9012" spans="1:1" x14ac:dyDescent="0.35">
      <c r="A9012" s="12"/>
    </row>
    <row r="9013" spans="1:1" x14ac:dyDescent="0.35">
      <c r="A9013" s="12"/>
    </row>
    <row r="9014" spans="1:1" x14ac:dyDescent="0.35">
      <c r="A9014" s="12"/>
    </row>
    <row r="9015" spans="1:1" x14ac:dyDescent="0.35">
      <c r="A9015" s="12"/>
    </row>
    <row r="9016" spans="1:1" x14ac:dyDescent="0.35">
      <c r="A9016" s="12"/>
    </row>
    <row r="9017" spans="1:1" x14ac:dyDescent="0.35">
      <c r="A9017" s="12"/>
    </row>
    <row r="9018" spans="1:1" x14ac:dyDescent="0.35">
      <c r="A9018" s="12"/>
    </row>
    <row r="9019" spans="1:1" x14ac:dyDescent="0.35">
      <c r="A9019" s="12"/>
    </row>
    <row r="9020" spans="1:1" x14ac:dyDescent="0.35">
      <c r="A9020" s="12"/>
    </row>
    <row r="9021" spans="1:1" x14ac:dyDescent="0.35">
      <c r="A9021" s="12"/>
    </row>
    <row r="9022" spans="1:1" x14ac:dyDescent="0.35">
      <c r="A9022" s="12"/>
    </row>
    <row r="9023" spans="1:1" x14ac:dyDescent="0.35">
      <c r="A9023" s="12"/>
    </row>
    <row r="9024" spans="1:1" x14ac:dyDescent="0.35">
      <c r="A9024" s="12"/>
    </row>
    <row r="9025" spans="1:1" x14ac:dyDescent="0.35">
      <c r="A9025" s="12"/>
    </row>
    <row r="9026" spans="1:1" x14ac:dyDescent="0.35">
      <c r="A9026" s="12"/>
    </row>
    <row r="9027" spans="1:1" x14ac:dyDescent="0.35">
      <c r="A9027" s="12"/>
    </row>
    <row r="9028" spans="1:1" x14ac:dyDescent="0.35">
      <c r="A9028" s="12"/>
    </row>
    <row r="9029" spans="1:1" x14ac:dyDescent="0.35">
      <c r="A9029" s="12"/>
    </row>
    <row r="9030" spans="1:1" x14ac:dyDescent="0.35">
      <c r="A9030" s="12"/>
    </row>
    <row r="9031" spans="1:1" x14ac:dyDescent="0.35">
      <c r="A9031" s="12"/>
    </row>
    <row r="9032" spans="1:1" x14ac:dyDescent="0.35">
      <c r="A9032" s="12"/>
    </row>
    <row r="9033" spans="1:1" x14ac:dyDescent="0.35">
      <c r="A9033" s="12"/>
    </row>
    <row r="9034" spans="1:1" x14ac:dyDescent="0.35">
      <c r="A9034" s="12"/>
    </row>
    <row r="9035" spans="1:1" x14ac:dyDescent="0.35">
      <c r="A9035" s="12"/>
    </row>
    <row r="9036" spans="1:1" x14ac:dyDescent="0.35">
      <c r="A9036" s="12"/>
    </row>
    <row r="9037" spans="1:1" x14ac:dyDescent="0.35">
      <c r="A9037" s="12"/>
    </row>
    <row r="9038" spans="1:1" x14ac:dyDescent="0.35">
      <c r="A9038" s="12"/>
    </row>
    <row r="9039" spans="1:1" x14ac:dyDescent="0.35">
      <c r="A9039" s="12"/>
    </row>
    <row r="9040" spans="1:1" x14ac:dyDescent="0.35">
      <c r="A9040" s="12"/>
    </row>
    <row r="9041" spans="1:1" x14ac:dyDescent="0.35">
      <c r="A9041" s="12"/>
    </row>
    <row r="9042" spans="1:1" x14ac:dyDescent="0.35">
      <c r="A9042" s="12"/>
    </row>
    <row r="9043" spans="1:1" x14ac:dyDescent="0.35">
      <c r="A9043" s="12"/>
    </row>
    <row r="9044" spans="1:1" x14ac:dyDescent="0.35">
      <c r="A9044" s="12"/>
    </row>
    <row r="9045" spans="1:1" x14ac:dyDescent="0.35">
      <c r="A9045" s="12"/>
    </row>
    <row r="9046" spans="1:1" x14ac:dyDescent="0.35">
      <c r="A9046" s="12"/>
    </row>
    <row r="9047" spans="1:1" x14ac:dyDescent="0.35">
      <c r="A9047" s="12"/>
    </row>
    <row r="9048" spans="1:1" x14ac:dyDescent="0.35">
      <c r="A9048" s="12"/>
    </row>
    <row r="9049" spans="1:1" x14ac:dyDescent="0.35">
      <c r="A9049" s="12"/>
    </row>
    <row r="9050" spans="1:1" x14ac:dyDescent="0.35">
      <c r="A9050" s="12"/>
    </row>
    <row r="9051" spans="1:1" x14ac:dyDescent="0.35">
      <c r="A9051" s="12"/>
    </row>
    <row r="9052" spans="1:1" x14ac:dyDescent="0.35">
      <c r="A9052" s="12"/>
    </row>
    <row r="9053" spans="1:1" x14ac:dyDescent="0.35">
      <c r="A9053" s="12"/>
    </row>
    <row r="9054" spans="1:1" x14ac:dyDescent="0.35">
      <c r="A9054" s="12"/>
    </row>
    <row r="9055" spans="1:1" x14ac:dyDescent="0.35">
      <c r="A9055" s="12"/>
    </row>
    <row r="9056" spans="1:1" x14ac:dyDescent="0.35">
      <c r="A9056" s="12"/>
    </row>
    <row r="9057" spans="1:1" x14ac:dyDescent="0.35">
      <c r="A9057" s="12"/>
    </row>
    <row r="9058" spans="1:1" x14ac:dyDescent="0.35">
      <c r="A9058" s="12"/>
    </row>
    <row r="9059" spans="1:1" x14ac:dyDescent="0.35">
      <c r="A9059" s="12"/>
    </row>
    <row r="9060" spans="1:1" x14ac:dyDescent="0.35">
      <c r="A9060" s="12"/>
    </row>
    <row r="9061" spans="1:1" x14ac:dyDescent="0.35">
      <c r="A9061" s="12"/>
    </row>
    <row r="9062" spans="1:1" x14ac:dyDescent="0.35">
      <c r="A9062" s="12"/>
    </row>
    <row r="9063" spans="1:1" x14ac:dyDescent="0.35">
      <c r="A9063" s="12"/>
    </row>
    <row r="9064" spans="1:1" x14ac:dyDescent="0.35">
      <c r="A9064" s="12"/>
    </row>
    <row r="9065" spans="1:1" x14ac:dyDescent="0.35">
      <c r="A9065" s="12"/>
    </row>
    <row r="9066" spans="1:1" x14ac:dyDescent="0.35">
      <c r="A9066" s="12"/>
    </row>
    <row r="9067" spans="1:1" x14ac:dyDescent="0.35">
      <c r="A9067" s="12"/>
    </row>
    <row r="9068" spans="1:1" x14ac:dyDescent="0.35">
      <c r="A9068" s="12"/>
    </row>
    <row r="9069" spans="1:1" x14ac:dyDescent="0.35">
      <c r="A9069" s="12"/>
    </row>
    <row r="9070" spans="1:1" x14ac:dyDescent="0.35">
      <c r="A9070" s="12"/>
    </row>
    <row r="9071" spans="1:1" x14ac:dyDescent="0.35">
      <c r="A9071" s="12"/>
    </row>
    <row r="9072" spans="1:1" x14ac:dyDescent="0.35">
      <c r="A9072" s="12"/>
    </row>
    <row r="9073" spans="1:1" x14ac:dyDescent="0.35">
      <c r="A9073" s="12"/>
    </row>
    <row r="9074" spans="1:1" x14ac:dyDescent="0.35">
      <c r="A9074" s="12"/>
    </row>
    <row r="9075" spans="1:1" x14ac:dyDescent="0.35">
      <c r="A9075" s="12"/>
    </row>
    <row r="9076" spans="1:1" x14ac:dyDescent="0.35">
      <c r="A9076" s="12"/>
    </row>
    <row r="9077" spans="1:1" x14ac:dyDescent="0.35">
      <c r="A9077" s="12"/>
    </row>
    <row r="9078" spans="1:1" x14ac:dyDescent="0.35">
      <c r="A9078" s="12"/>
    </row>
    <row r="9079" spans="1:1" x14ac:dyDescent="0.35">
      <c r="A9079" s="12"/>
    </row>
    <row r="9080" spans="1:1" x14ac:dyDescent="0.35">
      <c r="A9080" s="12"/>
    </row>
    <row r="9081" spans="1:1" x14ac:dyDescent="0.35">
      <c r="A9081" s="12"/>
    </row>
    <row r="9082" spans="1:1" x14ac:dyDescent="0.35">
      <c r="A9082" s="12"/>
    </row>
    <row r="9083" spans="1:1" x14ac:dyDescent="0.35">
      <c r="A9083" s="12"/>
    </row>
    <row r="9084" spans="1:1" x14ac:dyDescent="0.35">
      <c r="A9084" s="12"/>
    </row>
    <row r="9085" spans="1:1" x14ac:dyDescent="0.35">
      <c r="A9085" s="12"/>
    </row>
    <row r="9086" spans="1:1" x14ac:dyDescent="0.35">
      <c r="A9086" s="12"/>
    </row>
    <row r="9087" spans="1:1" x14ac:dyDescent="0.35">
      <c r="A9087" s="12"/>
    </row>
    <row r="9088" spans="1:1" x14ac:dyDescent="0.35">
      <c r="A9088" s="12"/>
    </row>
    <row r="9089" spans="1:1" x14ac:dyDescent="0.35">
      <c r="A9089" s="12"/>
    </row>
    <row r="9090" spans="1:1" x14ac:dyDescent="0.35">
      <c r="A9090" s="12"/>
    </row>
    <row r="9091" spans="1:1" x14ac:dyDescent="0.35">
      <c r="A9091" s="12"/>
    </row>
    <row r="9092" spans="1:1" x14ac:dyDescent="0.35">
      <c r="A9092" s="12"/>
    </row>
    <row r="9093" spans="1:1" x14ac:dyDescent="0.35">
      <c r="A9093" s="12"/>
    </row>
    <row r="9094" spans="1:1" x14ac:dyDescent="0.35">
      <c r="A9094" s="12"/>
    </row>
    <row r="9095" spans="1:1" x14ac:dyDescent="0.35">
      <c r="A9095" s="12"/>
    </row>
    <row r="9096" spans="1:1" x14ac:dyDescent="0.35">
      <c r="A9096" s="12"/>
    </row>
    <row r="9097" spans="1:1" x14ac:dyDescent="0.35">
      <c r="A9097" s="12"/>
    </row>
    <row r="9098" spans="1:1" x14ac:dyDescent="0.35">
      <c r="A9098" s="12"/>
    </row>
    <row r="9099" spans="1:1" x14ac:dyDescent="0.35">
      <c r="A9099" s="12"/>
    </row>
    <row r="9100" spans="1:1" x14ac:dyDescent="0.35">
      <c r="A9100" s="12"/>
    </row>
    <row r="9101" spans="1:1" x14ac:dyDescent="0.35">
      <c r="A9101" s="12"/>
    </row>
    <row r="9102" spans="1:1" x14ac:dyDescent="0.35">
      <c r="A9102" s="12"/>
    </row>
    <row r="9103" spans="1:1" x14ac:dyDescent="0.35">
      <c r="A9103" s="12"/>
    </row>
    <row r="9104" spans="1:1" x14ac:dyDescent="0.35">
      <c r="A9104" s="12"/>
    </row>
    <row r="9105" spans="1:1" x14ac:dyDescent="0.35">
      <c r="A9105" s="12"/>
    </row>
    <row r="9106" spans="1:1" x14ac:dyDescent="0.35">
      <c r="A9106" s="12"/>
    </row>
    <row r="9107" spans="1:1" x14ac:dyDescent="0.35">
      <c r="A9107" s="12"/>
    </row>
    <row r="9108" spans="1:1" x14ac:dyDescent="0.35">
      <c r="A9108" s="12"/>
    </row>
    <row r="9109" spans="1:1" x14ac:dyDescent="0.35">
      <c r="A9109" s="12"/>
    </row>
    <row r="9110" spans="1:1" x14ac:dyDescent="0.35">
      <c r="A9110" s="12"/>
    </row>
    <row r="9111" spans="1:1" x14ac:dyDescent="0.35">
      <c r="A9111" s="12"/>
    </row>
    <row r="9112" spans="1:1" x14ac:dyDescent="0.35">
      <c r="A9112" s="12"/>
    </row>
    <row r="9113" spans="1:1" x14ac:dyDescent="0.35">
      <c r="A9113" s="12"/>
    </row>
    <row r="9114" spans="1:1" x14ac:dyDescent="0.35">
      <c r="A9114" s="12"/>
    </row>
    <row r="9115" spans="1:1" x14ac:dyDescent="0.35">
      <c r="A9115" s="12"/>
    </row>
    <row r="9116" spans="1:1" x14ac:dyDescent="0.35">
      <c r="A9116" s="12"/>
    </row>
    <row r="9117" spans="1:1" x14ac:dyDescent="0.35">
      <c r="A9117" s="12"/>
    </row>
    <row r="9118" spans="1:1" x14ac:dyDescent="0.35">
      <c r="A9118" s="12"/>
    </row>
    <row r="9119" spans="1:1" x14ac:dyDescent="0.35">
      <c r="A9119" s="12"/>
    </row>
    <row r="9120" spans="1:1" x14ac:dyDescent="0.35">
      <c r="A9120" s="12"/>
    </row>
    <row r="9121" spans="1:1" x14ac:dyDescent="0.35">
      <c r="A9121" s="12"/>
    </row>
    <row r="9122" spans="1:1" x14ac:dyDescent="0.35">
      <c r="A9122" s="12"/>
    </row>
    <row r="9123" spans="1:1" x14ac:dyDescent="0.35">
      <c r="A9123" s="12"/>
    </row>
    <row r="9124" spans="1:1" x14ac:dyDescent="0.35">
      <c r="A9124" s="12"/>
    </row>
    <row r="9125" spans="1:1" x14ac:dyDescent="0.35">
      <c r="A9125" s="12"/>
    </row>
    <row r="9126" spans="1:1" x14ac:dyDescent="0.35">
      <c r="A9126" s="12"/>
    </row>
    <row r="9127" spans="1:1" x14ac:dyDescent="0.35">
      <c r="A9127" s="12"/>
    </row>
    <row r="9128" spans="1:1" x14ac:dyDescent="0.35">
      <c r="A9128" s="12"/>
    </row>
    <row r="9129" spans="1:1" x14ac:dyDescent="0.35">
      <c r="A9129" s="12"/>
    </row>
    <row r="9130" spans="1:1" x14ac:dyDescent="0.35">
      <c r="A9130" s="12"/>
    </row>
    <row r="9131" spans="1:1" x14ac:dyDescent="0.35">
      <c r="A9131" s="12"/>
    </row>
    <row r="9132" spans="1:1" x14ac:dyDescent="0.35">
      <c r="A9132" s="12"/>
    </row>
    <row r="9133" spans="1:1" x14ac:dyDescent="0.35">
      <c r="A9133" s="12"/>
    </row>
    <row r="9134" spans="1:1" x14ac:dyDescent="0.35">
      <c r="A9134" s="12"/>
    </row>
    <row r="9135" spans="1:1" x14ac:dyDescent="0.35">
      <c r="A9135" s="12"/>
    </row>
    <row r="9136" spans="1:1" x14ac:dyDescent="0.35">
      <c r="A9136" s="12"/>
    </row>
    <row r="9137" spans="1:1" x14ac:dyDescent="0.35">
      <c r="A9137" s="12"/>
    </row>
    <row r="9138" spans="1:1" x14ac:dyDescent="0.35">
      <c r="A9138" s="12"/>
    </row>
    <row r="9139" spans="1:1" x14ac:dyDescent="0.35">
      <c r="A9139" s="12"/>
    </row>
    <row r="9140" spans="1:1" x14ac:dyDescent="0.35">
      <c r="A9140" s="12"/>
    </row>
    <row r="9141" spans="1:1" x14ac:dyDescent="0.35">
      <c r="A9141" s="12"/>
    </row>
    <row r="9142" spans="1:1" x14ac:dyDescent="0.35">
      <c r="A9142" s="12"/>
    </row>
    <row r="9143" spans="1:1" x14ac:dyDescent="0.35">
      <c r="A9143" s="12"/>
    </row>
    <row r="9144" spans="1:1" x14ac:dyDescent="0.35">
      <c r="A9144" s="12"/>
    </row>
    <row r="9145" spans="1:1" x14ac:dyDescent="0.35">
      <c r="A9145" s="12"/>
    </row>
    <row r="9146" spans="1:1" x14ac:dyDescent="0.35">
      <c r="A9146" s="12"/>
    </row>
    <row r="9147" spans="1:1" x14ac:dyDescent="0.35">
      <c r="A9147" s="12"/>
    </row>
    <row r="9148" spans="1:1" x14ac:dyDescent="0.35">
      <c r="A9148" s="12"/>
    </row>
    <row r="9149" spans="1:1" x14ac:dyDescent="0.35">
      <c r="A9149" s="12"/>
    </row>
    <row r="9150" spans="1:1" x14ac:dyDescent="0.35">
      <c r="A9150" s="12"/>
    </row>
    <row r="9151" spans="1:1" x14ac:dyDescent="0.35">
      <c r="A9151" s="12"/>
    </row>
    <row r="9152" spans="1:1" x14ac:dyDescent="0.35">
      <c r="A9152" s="12"/>
    </row>
    <row r="9153" spans="1:1" x14ac:dyDescent="0.35">
      <c r="A9153" s="12"/>
    </row>
    <row r="9154" spans="1:1" x14ac:dyDescent="0.35">
      <c r="A9154" s="12"/>
    </row>
    <row r="9155" spans="1:1" x14ac:dyDescent="0.35">
      <c r="A9155" s="12"/>
    </row>
    <row r="9156" spans="1:1" x14ac:dyDescent="0.35">
      <c r="A9156" s="12"/>
    </row>
    <row r="9157" spans="1:1" x14ac:dyDescent="0.35">
      <c r="A9157" s="12"/>
    </row>
    <row r="9158" spans="1:1" x14ac:dyDescent="0.35">
      <c r="A9158" s="12"/>
    </row>
    <row r="9159" spans="1:1" x14ac:dyDescent="0.35">
      <c r="A9159" s="12"/>
    </row>
    <row r="9160" spans="1:1" x14ac:dyDescent="0.35">
      <c r="A9160" s="12"/>
    </row>
    <row r="9161" spans="1:1" x14ac:dyDescent="0.35">
      <c r="A9161" s="12"/>
    </row>
    <row r="9162" spans="1:1" x14ac:dyDescent="0.35">
      <c r="A9162" s="12"/>
    </row>
    <row r="9163" spans="1:1" x14ac:dyDescent="0.35">
      <c r="A9163" s="12"/>
    </row>
    <row r="9164" spans="1:1" x14ac:dyDescent="0.35">
      <c r="A9164" s="12"/>
    </row>
    <row r="9165" spans="1:1" x14ac:dyDescent="0.35">
      <c r="A9165" s="12"/>
    </row>
    <row r="9166" spans="1:1" x14ac:dyDescent="0.35">
      <c r="A9166" s="12"/>
    </row>
    <row r="9167" spans="1:1" x14ac:dyDescent="0.35">
      <c r="A9167" s="12"/>
    </row>
    <row r="9168" spans="1:1" x14ac:dyDescent="0.35">
      <c r="A9168" s="12"/>
    </row>
    <row r="9169" spans="1:1" x14ac:dyDescent="0.35">
      <c r="A9169" s="12"/>
    </row>
    <row r="9170" spans="1:1" x14ac:dyDescent="0.35">
      <c r="A9170" s="12"/>
    </row>
    <row r="9171" spans="1:1" x14ac:dyDescent="0.35">
      <c r="A9171" s="12"/>
    </row>
    <row r="9172" spans="1:1" x14ac:dyDescent="0.35">
      <c r="A9172" s="12"/>
    </row>
    <row r="9173" spans="1:1" x14ac:dyDescent="0.35">
      <c r="A9173" s="12"/>
    </row>
    <row r="9174" spans="1:1" x14ac:dyDescent="0.35">
      <c r="A9174" s="12"/>
    </row>
    <row r="9175" spans="1:1" x14ac:dyDescent="0.35">
      <c r="A9175" s="12"/>
    </row>
    <row r="9176" spans="1:1" x14ac:dyDescent="0.35">
      <c r="A9176" s="12"/>
    </row>
    <row r="9177" spans="1:1" x14ac:dyDescent="0.35">
      <c r="A9177" s="12"/>
    </row>
    <row r="9178" spans="1:1" x14ac:dyDescent="0.35">
      <c r="A9178" s="12"/>
    </row>
    <row r="9179" spans="1:1" x14ac:dyDescent="0.35">
      <c r="A9179" s="12"/>
    </row>
    <row r="9180" spans="1:1" x14ac:dyDescent="0.35">
      <c r="A9180" s="12"/>
    </row>
    <row r="9181" spans="1:1" x14ac:dyDescent="0.35">
      <c r="A9181" s="12"/>
    </row>
    <row r="9182" spans="1:1" x14ac:dyDescent="0.35">
      <c r="A9182" s="12"/>
    </row>
    <row r="9183" spans="1:1" x14ac:dyDescent="0.35">
      <c r="A9183" s="12"/>
    </row>
    <row r="9184" spans="1:1" x14ac:dyDescent="0.35">
      <c r="A9184" s="12"/>
    </row>
    <row r="9185" spans="1:1" x14ac:dyDescent="0.35">
      <c r="A9185" s="12"/>
    </row>
    <row r="9186" spans="1:1" x14ac:dyDescent="0.35">
      <c r="A9186" s="12"/>
    </row>
    <row r="9187" spans="1:1" x14ac:dyDescent="0.35">
      <c r="A9187" s="12"/>
    </row>
    <row r="9188" spans="1:1" x14ac:dyDescent="0.35">
      <c r="A9188" s="12"/>
    </row>
    <row r="9189" spans="1:1" x14ac:dyDescent="0.35">
      <c r="A9189" s="12"/>
    </row>
    <row r="9190" spans="1:1" x14ac:dyDescent="0.35">
      <c r="A9190" s="12"/>
    </row>
    <row r="9191" spans="1:1" x14ac:dyDescent="0.35">
      <c r="A9191" s="12"/>
    </row>
    <row r="9192" spans="1:1" x14ac:dyDescent="0.35">
      <c r="A9192" s="12"/>
    </row>
    <row r="9193" spans="1:1" x14ac:dyDescent="0.35">
      <c r="A9193" s="12"/>
    </row>
    <row r="9194" spans="1:1" x14ac:dyDescent="0.35">
      <c r="A9194" s="12"/>
    </row>
    <row r="9195" spans="1:1" x14ac:dyDescent="0.35">
      <c r="A9195" s="12"/>
    </row>
    <row r="9196" spans="1:1" x14ac:dyDescent="0.35">
      <c r="A9196" s="12"/>
    </row>
    <row r="9197" spans="1:1" x14ac:dyDescent="0.35">
      <c r="A9197" s="12"/>
    </row>
    <row r="9198" spans="1:1" x14ac:dyDescent="0.35">
      <c r="A9198" s="12"/>
    </row>
    <row r="9199" spans="1:1" x14ac:dyDescent="0.35">
      <c r="A9199" s="12"/>
    </row>
    <row r="9200" spans="1:1" x14ac:dyDescent="0.35">
      <c r="A9200" s="12"/>
    </row>
    <row r="9201" spans="1:1" x14ac:dyDescent="0.35">
      <c r="A9201" s="12"/>
    </row>
    <row r="9202" spans="1:1" x14ac:dyDescent="0.35">
      <c r="A9202" s="12"/>
    </row>
    <row r="9203" spans="1:1" x14ac:dyDescent="0.35">
      <c r="A9203" s="12"/>
    </row>
    <row r="9204" spans="1:1" x14ac:dyDescent="0.35">
      <c r="A9204" s="12"/>
    </row>
    <row r="9205" spans="1:1" x14ac:dyDescent="0.35">
      <c r="A9205" s="12"/>
    </row>
    <row r="9206" spans="1:1" x14ac:dyDescent="0.35">
      <c r="A9206" s="12"/>
    </row>
    <row r="9207" spans="1:1" x14ac:dyDescent="0.35">
      <c r="A9207" s="12"/>
    </row>
    <row r="9208" spans="1:1" x14ac:dyDescent="0.35">
      <c r="A9208" s="12"/>
    </row>
    <row r="9209" spans="1:1" x14ac:dyDescent="0.35">
      <c r="A9209" s="12"/>
    </row>
    <row r="9210" spans="1:1" x14ac:dyDescent="0.35">
      <c r="A9210" s="12"/>
    </row>
    <row r="9211" spans="1:1" x14ac:dyDescent="0.35">
      <c r="A9211" s="12"/>
    </row>
    <row r="9212" spans="1:1" x14ac:dyDescent="0.35">
      <c r="A9212" s="12"/>
    </row>
    <row r="9213" spans="1:1" x14ac:dyDescent="0.35">
      <c r="A9213" s="12"/>
    </row>
    <row r="9214" spans="1:1" x14ac:dyDescent="0.35">
      <c r="A9214" s="12"/>
    </row>
    <row r="9215" spans="1:1" x14ac:dyDescent="0.35">
      <c r="A9215" s="12"/>
    </row>
    <row r="9216" spans="1:1" x14ac:dyDescent="0.35">
      <c r="A9216" s="12"/>
    </row>
    <row r="9217" spans="1:1" x14ac:dyDescent="0.35">
      <c r="A9217" s="12"/>
    </row>
    <row r="9218" spans="1:1" x14ac:dyDescent="0.35">
      <c r="A9218" s="12"/>
    </row>
    <row r="9219" spans="1:1" x14ac:dyDescent="0.35">
      <c r="A9219" s="12"/>
    </row>
    <row r="9220" spans="1:1" x14ac:dyDescent="0.35">
      <c r="A9220" s="12"/>
    </row>
    <row r="9221" spans="1:1" x14ac:dyDescent="0.35">
      <c r="A9221" s="12"/>
    </row>
    <row r="9222" spans="1:1" x14ac:dyDescent="0.35">
      <c r="A9222" s="12"/>
    </row>
    <row r="9223" spans="1:1" x14ac:dyDescent="0.35">
      <c r="A9223" s="12"/>
    </row>
    <row r="9224" spans="1:1" x14ac:dyDescent="0.35">
      <c r="A9224" s="12"/>
    </row>
    <row r="9225" spans="1:1" x14ac:dyDescent="0.35">
      <c r="A9225" s="12"/>
    </row>
    <row r="9226" spans="1:1" x14ac:dyDescent="0.35">
      <c r="A9226" s="12"/>
    </row>
    <row r="9227" spans="1:1" x14ac:dyDescent="0.35">
      <c r="A9227" s="12"/>
    </row>
    <row r="9228" spans="1:1" x14ac:dyDescent="0.35">
      <c r="A9228" s="12"/>
    </row>
    <row r="9229" spans="1:1" x14ac:dyDescent="0.35">
      <c r="A9229" s="12"/>
    </row>
    <row r="9230" spans="1:1" x14ac:dyDescent="0.35">
      <c r="A9230" s="12"/>
    </row>
    <row r="9231" spans="1:1" x14ac:dyDescent="0.35">
      <c r="A9231" s="12"/>
    </row>
    <row r="9232" spans="1:1" x14ac:dyDescent="0.35">
      <c r="A9232" s="12"/>
    </row>
    <row r="9233" spans="1:1" x14ac:dyDescent="0.35">
      <c r="A9233" s="12"/>
    </row>
    <row r="9234" spans="1:1" x14ac:dyDescent="0.35">
      <c r="A9234" s="12"/>
    </row>
    <row r="9235" spans="1:1" x14ac:dyDescent="0.35">
      <c r="A9235" s="12"/>
    </row>
    <row r="9236" spans="1:1" x14ac:dyDescent="0.35">
      <c r="A9236" s="12"/>
    </row>
    <row r="9237" spans="1:1" x14ac:dyDescent="0.35">
      <c r="A9237" s="12"/>
    </row>
    <row r="9238" spans="1:1" x14ac:dyDescent="0.35">
      <c r="A9238" s="12"/>
    </row>
    <row r="9239" spans="1:1" x14ac:dyDescent="0.35">
      <c r="A9239" s="12"/>
    </row>
    <row r="9240" spans="1:1" x14ac:dyDescent="0.35">
      <c r="A9240" s="12"/>
    </row>
    <row r="9241" spans="1:1" x14ac:dyDescent="0.35">
      <c r="A9241" s="12"/>
    </row>
    <row r="9242" spans="1:1" x14ac:dyDescent="0.35">
      <c r="A9242" s="12"/>
    </row>
    <row r="9243" spans="1:1" x14ac:dyDescent="0.35">
      <c r="A9243" s="12"/>
    </row>
    <row r="9244" spans="1:1" x14ac:dyDescent="0.35">
      <c r="A9244" s="12"/>
    </row>
    <row r="9245" spans="1:1" x14ac:dyDescent="0.35">
      <c r="A9245" s="12"/>
    </row>
    <row r="9246" spans="1:1" x14ac:dyDescent="0.35">
      <c r="A9246" s="12"/>
    </row>
    <row r="9247" spans="1:1" x14ac:dyDescent="0.35">
      <c r="A9247" s="12"/>
    </row>
    <row r="9248" spans="1:1" x14ac:dyDescent="0.35">
      <c r="A9248" s="12"/>
    </row>
    <row r="9249" spans="1:1" x14ac:dyDescent="0.35">
      <c r="A9249" s="12"/>
    </row>
    <row r="9250" spans="1:1" x14ac:dyDescent="0.35">
      <c r="A9250" s="12"/>
    </row>
    <row r="9251" spans="1:1" x14ac:dyDescent="0.35">
      <c r="A9251" s="12"/>
    </row>
    <row r="9252" spans="1:1" x14ac:dyDescent="0.35">
      <c r="A9252" s="12"/>
    </row>
    <row r="9253" spans="1:1" x14ac:dyDescent="0.35">
      <c r="A9253" s="12"/>
    </row>
    <row r="9254" spans="1:1" x14ac:dyDescent="0.35">
      <c r="A9254" s="12"/>
    </row>
    <row r="9255" spans="1:1" x14ac:dyDescent="0.35">
      <c r="A9255" s="12"/>
    </row>
    <row r="9256" spans="1:1" x14ac:dyDescent="0.35">
      <c r="A9256" s="12"/>
    </row>
    <row r="9257" spans="1:1" x14ac:dyDescent="0.35">
      <c r="A9257" s="12"/>
    </row>
    <row r="9258" spans="1:1" x14ac:dyDescent="0.35">
      <c r="A9258" s="12"/>
    </row>
    <row r="9259" spans="1:1" x14ac:dyDescent="0.35">
      <c r="A9259" s="12"/>
    </row>
    <row r="9260" spans="1:1" x14ac:dyDescent="0.35">
      <c r="A9260" s="12"/>
    </row>
    <row r="9261" spans="1:1" x14ac:dyDescent="0.35">
      <c r="A9261" s="12"/>
    </row>
    <row r="9262" spans="1:1" x14ac:dyDescent="0.35">
      <c r="A9262" s="12"/>
    </row>
    <row r="9263" spans="1:1" x14ac:dyDescent="0.35">
      <c r="A9263" s="12"/>
    </row>
    <row r="9264" spans="1:1" x14ac:dyDescent="0.35">
      <c r="A9264" s="12"/>
    </row>
    <row r="9265" spans="1:1" x14ac:dyDescent="0.35">
      <c r="A9265" s="12"/>
    </row>
    <row r="9266" spans="1:1" x14ac:dyDescent="0.35">
      <c r="A9266" s="12"/>
    </row>
    <row r="9267" spans="1:1" x14ac:dyDescent="0.35">
      <c r="A9267" s="12"/>
    </row>
    <row r="9268" spans="1:1" x14ac:dyDescent="0.35">
      <c r="A9268" s="12"/>
    </row>
    <row r="9269" spans="1:1" x14ac:dyDescent="0.35">
      <c r="A9269" s="12"/>
    </row>
    <row r="9270" spans="1:1" x14ac:dyDescent="0.35">
      <c r="A9270" s="12"/>
    </row>
    <row r="9271" spans="1:1" x14ac:dyDescent="0.35">
      <c r="A9271" s="12"/>
    </row>
    <row r="9272" spans="1:1" x14ac:dyDescent="0.35">
      <c r="A9272" s="12"/>
    </row>
    <row r="9273" spans="1:1" x14ac:dyDescent="0.35">
      <c r="A9273" s="12"/>
    </row>
    <row r="9274" spans="1:1" x14ac:dyDescent="0.35">
      <c r="A9274" s="12"/>
    </row>
    <row r="9275" spans="1:1" x14ac:dyDescent="0.35">
      <c r="A9275" s="12"/>
    </row>
    <row r="9276" spans="1:1" x14ac:dyDescent="0.35">
      <c r="A9276" s="12"/>
    </row>
    <row r="9277" spans="1:1" x14ac:dyDescent="0.35">
      <c r="A9277" s="12"/>
    </row>
    <row r="9278" spans="1:1" x14ac:dyDescent="0.35">
      <c r="A9278" s="12"/>
    </row>
    <row r="9279" spans="1:1" x14ac:dyDescent="0.35">
      <c r="A9279" s="12"/>
    </row>
    <row r="9280" spans="1:1" x14ac:dyDescent="0.35">
      <c r="A9280" s="12"/>
    </row>
    <row r="9281" spans="1:1" x14ac:dyDescent="0.35">
      <c r="A9281" s="12"/>
    </row>
    <row r="9282" spans="1:1" x14ac:dyDescent="0.35">
      <c r="A9282" s="12"/>
    </row>
    <row r="9283" spans="1:1" x14ac:dyDescent="0.35">
      <c r="A9283" s="12"/>
    </row>
    <row r="9284" spans="1:1" x14ac:dyDescent="0.35">
      <c r="A9284" s="12"/>
    </row>
    <row r="9285" spans="1:1" x14ac:dyDescent="0.35">
      <c r="A9285" s="12"/>
    </row>
    <row r="9286" spans="1:1" x14ac:dyDescent="0.35">
      <c r="A9286" s="12"/>
    </row>
    <row r="9287" spans="1:1" x14ac:dyDescent="0.35">
      <c r="A9287" s="12"/>
    </row>
    <row r="9288" spans="1:1" x14ac:dyDescent="0.35">
      <c r="A9288" s="12"/>
    </row>
    <row r="9289" spans="1:1" x14ac:dyDescent="0.35">
      <c r="A9289" s="12"/>
    </row>
    <row r="9290" spans="1:1" x14ac:dyDescent="0.35">
      <c r="A9290" s="12"/>
    </row>
    <row r="9291" spans="1:1" x14ac:dyDescent="0.35">
      <c r="A9291" s="12"/>
    </row>
    <row r="9292" spans="1:1" x14ac:dyDescent="0.35">
      <c r="A9292" s="12"/>
    </row>
    <row r="9293" spans="1:1" x14ac:dyDescent="0.35">
      <c r="A9293" s="12"/>
    </row>
    <row r="9294" spans="1:1" x14ac:dyDescent="0.35">
      <c r="A9294" s="12"/>
    </row>
    <row r="9295" spans="1:1" x14ac:dyDescent="0.35">
      <c r="A9295" s="12"/>
    </row>
    <row r="9296" spans="1:1" x14ac:dyDescent="0.35">
      <c r="A9296" s="12"/>
    </row>
    <row r="9297" spans="1:1" x14ac:dyDescent="0.35">
      <c r="A9297" s="12"/>
    </row>
    <row r="9298" spans="1:1" x14ac:dyDescent="0.35">
      <c r="A9298" s="12"/>
    </row>
    <row r="9299" spans="1:1" x14ac:dyDescent="0.35">
      <c r="A9299" s="12"/>
    </row>
    <row r="9300" spans="1:1" x14ac:dyDescent="0.35">
      <c r="A9300" s="12"/>
    </row>
    <row r="9301" spans="1:1" x14ac:dyDescent="0.35">
      <c r="A9301" s="12"/>
    </row>
    <row r="9302" spans="1:1" x14ac:dyDescent="0.35">
      <c r="A9302" s="12"/>
    </row>
    <row r="9303" spans="1:1" x14ac:dyDescent="0.35">
      <c r="A9303" s="12"/>
    </row>
    <row r="9304" spans="1:1" x14ac:dyDescent="0.35">
      <c r="A9304" s="12"/>
    </row>
    <row r="9305" spans="1:1" x14ac:dyDescent="0.35">
      <c r="A9305" s="12"/>
    </row>
    <row r="9306" spans="1:1" x14ac:dyDescent="0.35">
      <c r="A9306" s="12"/>
    </row>
    <row r="9307" spans="1:1" x14ac:dyDescent="0.35">
      <c r="A9307" s="12"/>
    </row>
    <row r="9308" spans="1:1" x14ac:dyDescent="0.35">
      <c r="A9308" s="12"/>
    </row>
    <row r="9309" spans="1:1" x14ac:dyDescent="0.35">
      <c r="A9309" s="12"/>
    </row>
    <row r="9310" spans="1:1" x14ac:dyDescent="0.35">
      <c r="A9310" s="12"/>
    </row>
    <row r="9311" spans="1:1" x14ac:dyDescent="0.35">
      <c r="A9311" s="12"/>
    </row>
    <row r="9312" spans="1:1" x14ac:dyDescent="0.35">
      <c r="A9312" s="12"/>
    </row>
    <row r="9313" spans="1:1" x14ac:dyDescent="0.35">
      <c r="A9313" s="12"/>
    </row>
    <row r="9314" spans="1:1" x14ac:dyDescent="0.35">
      <c r="A9314" s="12"/>
    </row>
    <row r="9315" spans="1:1" x14ac:dyDescent="0.35">
      <c r="A9315" s="12"/>
    </row>
    <row r="9316" spans="1:1" x14ac:dyDescent="0.35">
      <c r="A9316" s="12"/>
    </row>
    <row r="9317" spans="1:1" x14ac:dyDescent="0.35">
      <c r="A9317" s="12"/>
    </row>
    <row r="9318" spans="1:1" x14ac:dyDescent="0.35">
      <c r="A9318" s="12"/>
    </row>
    <row r="9319" spans="1:1" x14ac:dyDescent="0.35">
      <c r="A9319" s="12"/>
    </row>
    <row r="9320" spans="1:1" x14ac:dyDescent="0.35">
      <c r="A9320" s="12"/>
    </row>
    <row r="9321" spans="1:1" x14ac:dyDescent="0.35">
      <c r="A9321" s="12"/>
    </row>
    <row r="9322" spans="1:1" x14ac:dyDescent="0.35">
      <c r="A9322" s="12"/>
    </row>
    <row r="9323" spans="1:1" x14ac:dyDescent="0.35">
      <c r="A9323" s="12"/>
    </row>
    <row r="9324" spans="1:1" x14ac:dyDescent="0.35">
      <c r="A9324" s="12"/>
    </row>
    <row r="9325" spans="1:1" x14ac:dyDescent="0.35">
      <c r="A9325" s="12"/>
    </row>
    <row r="9326" spans="1:1" x14ac:dyDescent="0.35">
      <c r="A9326" s="12"/>
    </row>
    <row r="9327" spans="1:1" x14ac:dyDescent="0.35">
      <c r="A9327" s="12"/>
    </row>
    <row r="9328" spans="1:1" x14ac:dyDescent="0.35">
      <c r="A9328" s="12"/>
    </row>
    <row r="9329" spans="1:1" x14ac:dyDescent="0.35">
      <c r="A9329" s="12"/>
    </row>
    <row r="9330" spans="1:1" x14ac:dyDescent="0.35">
      <c r="A9330" s="12"/>
    </row>
    <row r="9331" spans="1:1" x14ac:dyDescent="0.35">
      <c r="A9331" s="12"/>
    </row>
    <row r="9332" spans="1:1" x14ac:dyDescent="0.35">
      <c r="A9332" s="12"/>
    </row>
    <row r="9333" spans="1:1" x14ac:dyDescent="0.35">
      <c r="A9333" s="12"/>
    </row>
    <row r="9334" spans="1:1" x14ac:dyDescent="0.35">
      <c r="A9334" s="12"/>
    </row>
    <row r="9335" spans="1:1" x14ac:dyDescent="0.35">
      <c r="A9335" s="12"/>
    </row>
    <row r="9336" spans="1:1" x14ac:dyDescent="0.35">
      <c r="A9336" s="12"/>
    </row>
    <row r="9337" spans="1:1" x14ac:dyDescent="0.35">
      <c r="A9337" s="12"/>
    </row>
    <row r="9338" spans="1:1" x14ac:dyDescent="0.35">
      <c r="A9338" s="12"/>
    </row>
    <row r="9339" spans="1:1" x14ac:dyDescent="0.35">
      <c r="A9339" s="12"/>
    </row>
    <row r="9340" spans="1:1" x14ac:dyDescent="0.35">
      <c r="A9340" s="12"/>
    </row>
    <row r="9341" spans="1:1" x14ac:dyDescent="0.35">
      <c r="A9341" s="12"/>
    </row>
    <row r="9342" spans="1:1" x14ac:dyDescent="0.35">
      <c r="A9342" s="12"/>
    </row>
    <row r="9343" spans="1:1" x14ac:dyDescent="0.35">
      <c r="A9343" s="12"/>
    </row>
    <row r="9344" spans="1:1" x14ac:dyDescent="0.35">
      <c r="A9344" s="12"/>
    </row>
    <row r="9345" spans="1:1" x14ac:dyDescent="0.35">
      <c r="A9345" s="12"/>
    </row>
    <row r="9346" spans="1:1" x14ac:dyDescent="0.35">
      <c r="A9346" s="12"/>
    </row>
    <row r="9347" spans="1:1" x14ac:dyDescent="0.35">
      <c r="A9347" s="12"/>
    </row>
    <row r="9348" spans="1:1" x14ac:dyDescent="0.35">
      <c r="A9348" s="12"/>
    </row>
    <row r="9349" spans="1:1" x14ac:dyDescent="0.35">
      <c r="A9349" s="12"/>
    </row>
    <row r="9350" spans="1:1" x14ac:dyDescent="0.35">
      <c r="A9350" s="12"/>
    </row>
    <row r="9351" spans="1:1" x14ac:dyDescent="0.35">
      <c r="A9351" s="12"/>
    </row>
    <row r="9352" spans="1:1" x14ac:dyDescent="0.35">
      <c r="A9352" s="12"/>
    </row>
    <row r="9353" spans="1:1" x14ac:dyDescent="0.35">
      <c r="A9353" s="12"/>
    </row>
    <row r="9354" spans="1:1" x14ac:dyDescent="0.35">
      <c r="A9354" s="12"/>
    </row>
    <row r="9355" spans="1:1" x14ac:dyDescent="0.35">
      <c r="A9355" s="12"/>
    </row>
    <row r="9356" spans="1:1" x14ac:dyDescent="0.35">
      <c r="A9356" s="12"/>
    </row>
    <row r="9357" spans="1:1" x14ac:dyDescent="0.35">
      <c r="A9357" s="12"/>
    </row>
    <row r="9358" spans="1:1" x14ac:dyDescent="0.35">
      <c r="A9358" s="12"/>
    </row>
    <row r="9359" spans="1:1" x14ac:dyDescent="0.35">
      <c r="A9359" s="12"/>
    </row>
    <row r="9360" spans="1:1" x14ac:dyDescent="0.35">
      <c r="A9360" s="12"/>
    </row>
    <row r="9361" spans="1:1" x14ac:dyDescent="0.35">
      <c r="A9361" s="12"/>
    </row>
    <row r="9362" spans="1:1" x14ac:dyDescent="0.35">
      <c r="A9362" s="12"/>
    </row>
    <row r="9363" spans="1:1" x14ac:dyDescent="0.35">
      <c r="A9363" s="12"/>
    </row>
    <row r="9364" spans="1:1" x14ac:dyDescent="0.35">
      <c r="A9364" s="12"/>
    </row>
    <row r="9365" spans="1:1" x14ac:dyDescent="0.35">
      <c r="A9365" s="12"/>
    </row>
    <row r="9366" spans="1:1" x14ac:dyDescent="0.35">
      <c r="A9366" s="12"/>
    </row>
    <row r="9367" spans="1:1" x14ac:dyDescent="0.35">
      <c r="A9367" s="12"/>
    </row>
    <row r="9368" spans="1:1" x14ac:dyDescent="0.35">
      <c r="A9368" s="12"/>
    </row>
    <row r="9369" spans="1:1" x14ac:dyDescent="0.35">
      <c r="A9369" s="12"/>
    </row>
    <row r="9370" spans="1:1" x14ac:dyDescent="0.35">
      <c r="A9370" s="12"/>
    </row>
    <row r="9371" spans="1:1" x14ac:dyDescent="0.35">
      <c r="A9371" s="12"/>
    </row>
    <row r="9372" spans="1:1" x14ac:dyDescent="0.35">
      <c r="A9372" s="12"/>
    </row>
    <row r="9373" spans="1:1" x14ac:dyDescent="0.35">
      <c r="A9373" s="12"/>
    </row>
    <row r="9374" spans="1:1" x14ac:dyDescent="0.35">
      <c r="A9374" s="12"/>
    </row>
    <row r="9375" spans="1:1" x14ac:dyDescent="0.35">
      <c r="A9375" s="12"/>
    </row>
    <row r="9376" spans="1:1" x14ac:dyDescent="0.35">
      <c r="A9376" s="12"/>
    </row>
    <row r="9377" spans="1:1" x14ac:dyDescent="0.35">
      <c r="A9377" s="12"/>
    </row>
    <row r="9378" spans="1:1" x14ac:dyDescent="0.35">
      <c r="A9378" s="12"/>
    </row>
    <row r="9379" spans="1:1" x14ac:dyDescent="0.35">
      <c r="A9379" s="12"/>
    </row>
    <row r="9380" spans="1:1" x14ac:dyDescent="0.35">
      <c r="A9380" s="12"/>
    </row>
    <row r="9381" spans="1:1" x14ac:dyDescent="0.35">
      <c r="A9381" s="12"/>
    </row>
    <row r="9382" spans="1:1" x14ac:dyDescent="0.35">
      <c r="A9382" s="12"/>
    </row>
    <row r="9383" spans="1:1" x14ac:dyDescent="0.35">
      <c r="A9383" s="12"/>
    </row>
    <row r="9384" spans="1:1" x14ac:dyDescent="0.35">
      <c r="A9384" s="12"/>
    </row>
    <row r="9385" spans="1:1" x14ac:dyDescent="0.35">
      <c r="A9385" s="12"/>
    </row>
    <row r="9386" spans="1:1" x14ac:dyDescent="0.35">
      <c r="A9386" s="12"/>
    </row>
    <row r="9387" spans="1:1" x14ac:dyDescent="0.35">
      <c r="A9387" s="12"/>
    </row>
    <row r="9388" spans="1:1" x14ac:dyDescent="0.35">
      <c r="A9388" s="12"/>
    </row>
    <row r="9389" spans="1:1" x14ac:dyDescent="0.35">
      <c r="A9389" s="12"/>
    </row>
    <row r="9390" spans="1:1" x14ac:dyDescent="0.35">
      <c r="A9390" s="12"/>
    </row>
    <row r="9391" spans="1:1" x14ac:dyDescent="0.35">
      <c r="A9391" s="12"/>
    </row>
    <row r="9392" spans="1:1" x14ac:dyDescent="0.35">
      <c r="A9392" s="12"/>
    </row>
    <row r="9393" spans="1:1" x14ac:dyDescent="0.35">
      <c r="A9393" s="12"/>
    </row>
    <row r="9394" spans="1:1" x14ac:dyDescent="0.35">
      <c r="A9394" s="12"/>
    </row>
    <row r="9395" spans="1:1" x14ac:dyDescent="0.35">
      <c r="A9395" s="12"/>
    </row>
    <row r="9396" spans="1:1" x14ac:dyDescent="0.35">
      <c r="A9396" s="12"/>
    </row>
    <row r="9397" spans="1:1" x14ac:dyDescent="0.35">
      <c r="A9397" s="12"/>
    </row>
    <row r="9398" spans="1:1" x14ac:dyDescent="0.35">
      <c r="A9398" s="12"/>
    </row>
    <row r="9399" spans="1:1" x14ac:dyDescent="0.35">
      <c r="A9399" s="12"/>
    </row>
    <row r="9400" spans="1:1" x14ac:dyDescent="0.35">
      <c r="A9400" s="12"/>
    </row>
    <row r="9401" spans="1:1" x14ac:dyDescent="0.35">
      <c r="A9401" s="12"/>
    </row>
    <row r="9402" spans="1:1" x14ac:dyDescent="0.35">
      <c r="A9402" s="12"/>
    </row>
    <row r="9403" spans="1:1" x14ac:dyDescent="0.35">
      <c r="A9403" s="12"/>
    </row>
    <row r="9404" spans="1:1" x14ac:dyDescent="0.35">
      <c r="A9404" s="12"/>
    </row>
    <row r="9405" spans="1:1" x14ac:dyDescent="0.35">
      <c r="A9405" s="12"/>
    </row>
    <row r="9406" spans="1:1" x14ac:dyDescent="0.35">
      <c r="A9406" s="12"/>
    </row>
    <row r="9407" spans="1:1" x14ac:dyDescent="0.35">
      <c r="A9407" s="12"/>
    </row>
    <row r="9408" spans="1:1" x14ac:dyDescent="0.35">
      <c r="A9408" s="12"/>
    </row>
    <row r="9409" spans="1:1" x14ac:dyDescent="0.35">
      <c r="A9409" s="12"/>
    </row>
    <row r="9410" spans="1:1" x14ac:dyDescent="0.35">
      <c r="A9410" s="12"/>
    </row>
    <row r="9411" spans="1:1" x14ac:dyDescent="0.35">
      <c r="A9411" s="12"/>
    </row>
    <row r="9412" spans="1:1" x14ac:dyDescent="0.35">
      <c r="A9412" s="12"/>
    </row>
    <row r="9413" spans="1:1" x14ac:dyDescent="0.35">
      <c r="A9413" s="12"/>
    </row>
    <row r="9414" spans="1:1" x14ac:dyDescent="0.35">
      <c r="A9414" s="12"/>
    </row>
    <row r="9415" spans="1:1" x14ac:dyDescent="0.35">
      <c r="A9415" s="12"/>
    </row>
    <row r="9416" spans="1:1" x14ac:dyDescent="0.35">
      <c r="A9416" s="12"/>
    </row>
    <row r="9417" spans="1:1" x14ac:dyDescent="0.35">
      <c r="A9417" s="12"/>
    </row>
    <row r="9418" spans="1:1" x14ac:dyDescent="0.35">
      <c r="A9418" s="12"/>
    </row>
    <row r="9419" spans="1:1" x14ac:dyDescent="0.35">
      <c r="A9419" s="12"/>
    </row>
    <row r="9420" spans="1:1" x14ac:dyDescent="0.35">
      <c r="A9420" s="12"/>
    </row>
    <row r="9421" spans="1:1" x14ac:dyDescent="0.35">
      <c r="A9421" s="12"/>
    </row>
    <row r="9422" spans="1:1" x14ac:dyDescent="0.35">
      <c r="A9422" s="12"/>
    </row>
    <row r="9423" spans="1:1" x14ac:dyDescent="0.35">
      <c r="A9423" s="12"/>
    </row>
    <row r="9424" spans="1:1" x14ac:dyDescent="0.35">
      <c r="A9424" s="12"/>
    </row>
    <row r="9425" spans="1:1" x14ac:dyDescent="0.35">
      <c r="A9425" s="12"/>
    </row>
    <row r="9426" spans="1:1" x14ac:dyDescent="0.35">
      <c r="A9426" s="12"/>
    </row>
    <row r="9427" spans="1:1" x14ac:dyDescent="0.35">
      <c r="A9427" s="12"/>
    </row>
    <row r="9428" spans="1:1" x14ac:dyDescent="0.35">
      <c r="A9428" s="12"/>
    </row>
    <row r="9429" spans="1:1" x14ac:dyDescent="0.35">
      <c r="A9429" s="12"/>
    </row>
    <row r="9430" spans="1:1" x14ac:dyDescent="0.35">
      <c r="A9430" s="12"/>
    </row>
    <row r="9431" spans="1:1" x14ac:dyDescent="0.35">
      <c r="A9431" s="12"/>
    </row>
    <row r="9432" spans="1:1" x14ac:dyDescent="0.35">
      <c r="A9432" s="12"/>
    </row>
    <row r="9433" spans="1:1" x14ac:dyDescent="0.35">
      <c r="A9433" s="12"/>
    </row>
    <row r="9434" spans="1:1" x14ac:dyDescent="0.35">
      <c r="A9434" s="12"/>
    </row>
    <row r="9435" spans="1:1" x14ac:dyDescent="0.35">
      <c r="A9435" s="12"/>
    </row>
    <row r="9436" spans="1:1" x14ac:dyDescent="0.35">
      <c r="A9436" s="12"/>
    </row>
    <row r="9437" spans="1:1" x14ac:dyDescent="0.35">
      <c r="A9437" s="12"/>
    </row>
    <row r="9438" spans="1:1" x14ac:dyDescent="0.35">
      <c r="A9438" s="12"/>
    </row>
    <row r="9439" spans="1:1" x14ac:dyDescent="0.35">
      <c r="A9439" s="12"/>
    </row>
    <row r="9440" spans="1:1" x14ac:dyDescent="0.35">
      <c r="A9440" s="12"/>
    </row>
    <row r="9441" spans="1:1" x14ac:dyDescent="0.35">
      <c r="A9441" s="12"/>
    </row>
    <row r="9442" spans="1:1" x14ac:dyDescent="0.35">
      <c r="A9442" s="12"/>
    </row>
    <row r="9443" spans="1:1" x14ac:dyDescent="0.35">
      <c r="A9443" s="12"/>
    </row>
    <row r="9444" spans="1:1" x14ac:dyDescent="0.35">
      <c r="A9444" s="12"/>
    </row>
    <row r="9445" spans="1:1" x14ac:dyDescent="0.35">
      <c r="A9445" s="12"/>
    </row>
    <row r="9446" spans="1:1" x14ac:dyDescent="0.35">
      <c r="A9446" s="12"/>
    </row>
    <row r="9447" spans="1:1" x14ac:dyDescent="0.35">
      <c r="A9447" s="12"/>
    </row>
    <row r="9448" spans="1:1" x14ac:dyDescent="0.35">
      <c r="A9448" s="12"/>
    </row>
    <row r="9449" spans="1:1" x14ac:dyDescent="0.35">
      <c r="A9449" s="12"/>
    </row>
    <row r="9450" spans="1:1" x14ac:dyDescent="0.35">
      <c r="A9450" s="12"/>
    </row>
    <row r="9451" spans="1:1" x14ac:dyDescent="0.35">
      <c r="A9451" s="12"/>
    </row>
    <row r="9452" spans="1:1" x14ac:dyDescent="0.35">
      <c r="A9452" s="12"/>
    </row>
    <row r="9453" spans="1:1" x14ac:dyDescent="0.35">
      <c r="A9453" s="12"/>
    </row>
    <row r="9454" spans="1:1" x14ac:dyDescent="0.35">
      <c r="A9454" s="12"/>
    </row>
    <row r="9455" spans="1:1" x14ac:dyDescent="0.35">
      <c r="A9455" s="12"/>
    </row>
    <row r="9456" spans="1:1" x14ac:dyDescent="0.35">
      <c r="A9456" s="12"/>
    </row>
    <row r="9457" spans="1:1" x14ac:dyDescent="0.35">
      <c r="A9457" s="12"/>
    </row>
    <row r="9458" spans="1:1" x14ac:dyDescent="0.35">
      <c r="A9458" s="12"/>
    </row>
    <row r="9459" spans="1:1" x14ac:dyDescent="0.35">
      <c r="A9459" s="12"/>
    </row>
    <row r="9460" spans="1:1" x14ac:dyDescent="0.35">
      <c r="A9460" s="12"/>
    </row>
    <row r="9461" spans="1:1" x14ac:dyDescent="0.35">
      <c r="A9461" s="12"/>
    </row>
    <row r="9462" spans="1:1" x14ac:dyDescent="0.35">
      <c r="A9462" s="12"/>
    </row>
    <row r="9463" spans="1:1" x14ac:dyDescent="0.35">
      <c r="A9463" s="12"/>
    </row>
    <row r="9464" spans="1:1" x14ac:dyDescent="0.35">
      <c r="A9464" s="12"/>
    </row>
    <row r="9465" spans="1:1" x14ac:dyDescent="0.35">
      <c r="A9465" s="12"/>
    </row>
    <row r="9466" spans="1:1" x14ac:dyDescent="0.35">
      <c r="A9466" s="12"/>
    </row>
    <row r="9467" spans="1:1" x14ac:dyDescent="0.35">
      <c r="A9467" s="12"/>
    </row>
    <row r="9468" spans="1:1" x14ac:dyDescent="0.35">
      <c r="A9468" s="12"/>
    </row>
    <row r="9469" spans="1:1" x14ac:dyDescent="0.35">
      <c r="A9469" s="12"/>
    </row>
    <row r="9470" spans="1:1" x14ac:dyDescent="0.35">
      <c r="A9470" s="12"/>
    </row>
    <row r="9471" spans="1:1" x14ac:dyDescent="0.35">
      <c r="A9471" s="12"/>
    </row>
    <row r="9472" spans="1:1" x14ac:dyDescent="0.35">
      <c r="A9472" s="12"/>
    </row>
    <row r="9473" spans="1:1" x14ac:dyDescent="0.35">
      <c r="A9473" s="12"/>
    </row>
    <row r="9474" spans="1:1" x14ac:dyDescent="0.35">
      <c r="A9474" s="12"/>
    </row>
    <row r="9475" spans="1:1" x14ac:dyDescent="0.35">
      <c r="A9475" s="12"/>
    </row>
    <row r="9476" spans="1:1" x14ac:dyDescent="0.35">
      <c r="A9476" s="12"/>
    </row>
    <row r="9477" spans="1:1" x14ac:dyDescent="0.35">
      <c r="A9477" s="12"/>
    </row>
    <row r="9478" spans="1:1" x14ac:dyDescent="0.35">
      <c r="A9478" s="12"/>
    </row>
    <row r="9479" spans="1:1" x14ac:dyDescent="0.35">
      <c r="A9479" s="12"/>
    </row>
    <row r="9480" spans="1:1" x14ac:dyDescent="0.35">
      <c r="A9480" s="12"/>
    </row>
    <row r="9481" spans="1:1" x14ac:dyDescent="0.35">
      <c r="A9481" s="12"/>
    </row>
    <row r="9482" spans="1:1" x14ac:dyDescent="0.35">
      <c r="A9482" s="12"/>
    </row>
    <row r="9483" spans="1:1" x14ac:dyDescent="0.35">
      <c r="A9483" s="12"/>
    </row>
    <row r="9484" spans="1:1" x14ac:dyDescent="0.35">
      <c r="A9484" s="12"/>
    </row>
    <row r="9485" spans="1:1" x14ac:dyDescent="0.35">
      <c r="A9485" s="12"/>
    </row>
    <row r="9486" spans="1:1" x14ac:dyDescent="0.35">
      <c r="A9486" s="12"/>
    </row>
    <row r="9487" spans="1:1" x14ac:dyDescent="0.35">
      <c r="A9487" s="12"/>
    </row>
    <row r="9488" spans="1:1" x14ac:dyDescent="0.35">
      <c r="A9488" s="12"/>
    </row>
    <row r="9489" spans="1:1" x14ac:dyDescent="0.35">
      <c r="A9489" s="12"/>
    </row>
    <row r="9490" spans="1:1" x14ac:dyDescent="0.35">
      <c r="A9490" s="12"/>
    </row>
    <row r="9491" spans="1:1" x14ac:dyDescent="0.35">
      <c r="A9491" s="12"/>
    </row>
    <row r="9492" spans="1:1" x14ac:dyDescent="0.35">
      <c r="A9492" s="12"/>
    </row>
    <row r="9493" spans="1:1" x14ac:dyDescent="0.35">
      <c r="A9493" s="12"/>
    </row>
    <row r="9494" spans="1:1" x14ac:dyDescent="0.35">
      <c r="A9494" s="12"/>
    </row>
    <row r="9495" spans="1:1" x14ac:dyDescent="0.35">
      <c r="A9495" s="12"/>
    </row>
    <row r="9496" spans="1:1" x14ac:dyDescent="0.35">
      <c r="A9496" s="12"/>
    </row>
    <row r="9497" spans="1:1" x14ac:dyDescent="0.35">
      <c r="A9497" s="12"/>
    </row>
    <row r="9498" spans="1:1" x14ac:dyDescent="0.35">
      <c r="A9498" s="12"/>
    </row>
    <row r="9499" spans="1:1" x14ac:dyDescent="0.35">
      <c r="A9499" s="12"/>
    </row>
    <row r="9500" spans="1:1" x14ac:dyDescent="0.35">
      <c r="A9500" s="12"/>
    </row>
    <row r="9501" spans="1:1" x14ac:dyDescent="0.35">
      <c r="A9501" s="12"/>
    </row>
    <row r="9502" spans="1:1" x14ac:dyDescent="0.35">
      <c r="A9502" s="12"/>
    </row>
    <row r="9503" spans="1:1" x14ac:dyDescent="0.35">
      <c r="A9503" s="12"/>
    </row>
    <row r="9504" spans="1:1" x14ac:dyDescent="0.35">
      <c r="A9504" s="12"/>
    </row>
    <row r="9505" spans="1:1" x14ac:dyDescent="0.35">
      <c r="A9505" s="12"/>
    </row>
    <row r="9506" spans="1:1" x14ac:dyDescent="0.35">
      <c r="A9506" s="12"/>
    </row>
    <row r="9507" spans="1:1" x14ac:dyDescent="0.35">
      <c r="A9507" s="12"/>
    </row>
    <row r="9508" spans="1:1" x14ac:dyDescent="0.35">
      <c r="A9508" s="12"/>
    </row>
    <row r="9509" spans="1:1" x14ac:dyDescent="0.35">
      <c r="A9509" s="12"/>
    </row>
    <row r="9510" spans="1:1" x14ac:dyDescent="0.35">
      <c r="A9510" s="12"/>
    </row>
    <row r="9511" spans="1:1" x14ac:dyDescent="0.35">
      <c r="A9511" s="12"/>
    </row>
    <row r="9512" spans="1:1" x14ac:dyDescent="0.35">
      <c r="A9512" s="12"/>
    </row>
    <row r="9513" spans="1:1" x14ac:dyDescent="0.35">
      <c r="A9513" s="12"/>
    </row>
    <row r="9514" spans="1:1" x14ac:dyDescent="0.35">
      <c r="A9514" s="12"/>
    </row>
    <row r="9515" spans="1:1" x14ac:dyDescent="0.35">
      <c r="A9515" s="12"/>
    </row>
    <row r="9516" spans="1:1" x14ac:dyDescent="0.35">
      <c r="A9516" s="12"/>
    </row>
    <row r="9517" spans="1:1" x14ac:dyDescent="0.35">
      <c r="A9517" s="12"/>
    </row>
    <row r="9518" spans="1:1" x14ac:dyDescent="0.35">
      <c r="A9518" s="12"/>
    </row>
    <row r="9519" spans="1:1" x14ac:dyDescent="0.35">
      <c r="A9519" s="12"/>
    </row>
    <row r="9520" spans="1:1" x14ac:dyDescent="0.35">
      <c r="A9520" s="12"/>
    </row>
    <row r="9521" spans="1:1" x14ac:dyDescent="0.35">
      <c r="A9521" s="12"/>
    </row>
    <row r="9522" spans="1:1" x14ac:dyDescent="0.35">
      <c r="A9522" s="12"/>
    </row>
    <row r="9523" spans="1:1" x14ac:dyDescent="0.35">
      <c r="A9523" s="12"/>
    </row>
    <row r="9524" spans="1:1" x14ac:dyDescent="0.35">
      <c r="A9524" s="12"/>
    </row>
    <row r="9525" spans="1:1" x14ac:dyDescent="0.35">
      <c r="A9525" s="12"/>
    </row>
    <row r="9526" spans="1:1" x14ac:dyDescent="0.35">
      <c r="A9526" s="12"/>
    </row>
    <row r="9527" spans="1:1" x14ac:dyDescent="0.35">
      <c r="A9527" s="12"/>
    </row>
    <row r="9528" spans="1:1" x14ac:dyDescent="0.35">
      <c r="A9528" s="12"/>
    </row>
    <row r="9529" spans="1:1" x14ac:dyDescent="0.35">
      <c r="A9529" s="12"/>
    </row>
    <row r="9530" spans="1:1" x14ac:dyDescent="0.35">
      <c r="A9530" s="12"/>
    </row>
    <row r="9531" spans="1:1" x14ac:dyDescent="0.35">
      <c r="A9531" s="12"/>
    </row>
    <row r="9532" spans="1:1" x14ac:dyDescent="0.35">
      <c r="A9532" s="12"/>
    </row>
    <row r="9533" spans="1:1" x14ac:dyDescent="0.35">
      <c r="A9533" s="12"/>
    </row>
    <row r="9534" spans="1:1" x14ac:dyDescent="0.35">
      <c r="A9534" s="12"/>
    </row>
    <row r="9535" spans="1:1" x14ac:dyDescent="0.35">
      <c r="A9535" s="12"/>
    </row>
    <row r="9536" spans="1:1" x14ac:dyDescent="0.35">
      <c r="A9536" s="12"/>
    </row>
    <row r="9537" spans="1:1" x14ac:dyDescent="0.35">
      <c r="A9537" s="12"/>
    </row>
    <row r="9538" spans="1:1" x14ac:dyDescent="0.35">
      <c r="A9538" s="12"/>
    </row>
    <row r="9539" spans="1:1" x14ac:dyDescent="0.35">
      <c r="A9539" s="12"/>
    </row>
    <row r="9540" spans="1:1" x14ac:dyDescent="0.35">
      <c r="A9540" s="12"/>
    </row>
    <row r="9541" spans="1:1" x14ac:dyDescent="0.35">
      <c r="A9541" s="12"/>
    </row>
    <row r="9542" spans="1:1" x14ac:dyDescent="0.35">
      <c r="A9542" s="12"/>
    </row>
    <row r="9543" spans="1:1" x14ac:dyDescent="0.35">
      <c r="A9543" s="12"/>
    </row>
    <row r="9544" spans="1:1" x14ac:dyDescent="0.35">
      <c r="A9544" s="12"/>
    </row>
    <row r="9545" spans="1:1" x14ac:dyDescent="0.35">
      <c r="A9545" s="12"/>
    </row>
    <row r="9546" spans="1:1" x14ac:dyDescent="0.35">
      <c r="A9546" s="12"/>
    </row>
    <row r="9547" spans="1:1" x14ac:dyDescent="0.35">
      <c r="A9547" s="12"/>
    </row>
    <row r="9548" spans="1:1" x14ac:dyDescent="0.35">
      <c r="A9548" s="12"/>
    </row>
    <row r="9549" spans="1:1" x14ac:dyDescent="0.35">
      <c r="A9549" s="12"/>
    </row>
    <row r="9550" spans="1:1" x14ac:dyDescent="0.35">
      <c r="A9550" s="12"/>
    </row>
    <row r="9551" spans="1:1" x14ac:dyDescent="0.35">
      <c r="A9551" s="12"/>
    </row>
    <row r="9552" spans="1:1" x14ac:dyDescent="0.35">
      <c r="A9552" s="12"/>
    </row>
    <row r="9553" spans="1:1" x14ac:dyDescent="0.35">
      <c r="A9553" s="12"/>
    </row>
    <row r="9554" spans="1:1" x14ac:dyDescent="0.35">
      <c r="A9554" s="12"/>
    </row>
    <row r="9555" spans="1:1" x14ac:dyDescent="0.35">
      <c r="A9555" s="12"/>
    </row>
    <row r="9556" spans="1:1" x14ac:dyDescent="0.35">
      <c r="A9556" s="12"/>
    </row>
    <row r="9557" spans="1:1" x14ac:dyDescent="0.35">
      <c r="A9557" s="12"/>
    </row>
    <row r="9558" spans="1:1" x14ac:dyDescent="0.35">
      <c r="A9558" s="12"/>
    </row>
    <row r="9559" spans="1:1" x14ac:dyDescent="0.35">
      <c r="A9559" s="12"/>
    </row>
    <row r="9560" spans="1:1" x14ac:dyDescent="0.35">
      <c r="A9560" s="12"/>
    </row>
    <row r="9561" spans="1:1" x14ac:dyDescent="0.35">
      <c r="A9561" s="12"/>
    </row>
    <row r="9562" spans="1:1" x14ac:dyDescent="0.35">
      <c r="A9562" s="12"/>
    </row>
    <row r="9563" spans="1:1" x14ac:dyDescent="0.35">
      <c r="A9563" s="12"/>
    </row>
    <row r="9564" spans="1:1" x14ac:dyDescent="0.35">
      <c r="A9564" s="12"/>
    </row>
    <row r="9565" spans="1:1" x14ac:dyDescent="0.35">
      <c r="A9565" s="12"/>
    </row>
    <row r="9566" spans="1:1" x14ac:dyDescent="0.35">
      <c r="A9566" s="12"/>
    </row>
    <row r="9567" spans="1:1" x14ac:dyDescent="0.35">
      <c r="A9567" s="12"/>
    </row>
    <row r="9568" spans="1:1" x14ac:dyDescent="0.35">
      <c r="A9568" s="12"/>
    </row>
    <row r="9569" spans="1:1" x14ac:dyDescent="0.35">
      <c r="A9569" s="12"/>
    </row>
    <row r="9570" spans="1:1" x14ac:dyDescent="0.35">
      <c r="A9570" s="12"/>
    </row>
    <row r="9571" spans="1:1" x14ac:dyDescent="0.35">
      <c r="A9571" s="12"/>
    </row>
    <row r="9572" spans="1:1" x14ac:dyDescent="0.35">
      <c r="A9572" s="12"/>
    </row>
    <row r="9573" spans="1:1" x14ac:dyDescent="0.35">
      <c r="A9573" s="12"/>
    </row>
    <row r="9574" spans="1:1" x14ac:dyDescent="0.35">
      <c r="A9574" s="12"/>
    </row>
    <row r="9575" spans="1:1" x14ac:dyDescent="0.35">
      <c r="A9575" s="12"/>
    </row>
    <row r="9576" spans="1:1" x14ac:dyDescent="0.35">
      <c r="A9576" s="12"/>
    </row>
    <row r="9577" spans="1:1" x14ac:dyDescent="0.35">
      <c r="A9577" s="12"/>
    </row>
    <row r="9578" spans="1:1" x14ac:dyDescent="0.35">
      <c r="A9578" s="12"/>
    </row>
    <row r="9579" spans="1:1" x14ac:dyDescent="0.35">
      <c r="A9579" s="12"/>
    </row>
    <row r="9580" spans="1:1" x14ac:dyDescent="0.35">
      <c r="A9580" s="12"/>
    </row>
    <row r="9581" spans="1:1" x14ac:dyDescent="0.35">
      <c r="A9581" s="12"/>
    </row>
    <row r="9582" spans="1:1" x14ac:dyDescent="0.35">
      <c r="A9582" s="12"/>
    </row>
    <row r="9583" spans="1:1" x14ac:dyDescent="0.35">
      <c r="A9583" s="12"/>
    </row>
    <row r="9584" spans="1:1" x14ac:dyDescent="0.35">
      <c r="A9584" s="12"/>
    </row>
    <row r="9585" spans="1:1" x14ac:dyDescent="0.35">
      <c r="A9585" s="12"/>
    </row>
    <row r="9586" spans="1:1" x14ac:dyDescent="0.35">
      <c r="A9586" s="12"/>
    </row>
    <row r="9587" spans="1:1" x14ac:dyDescent="0.35">
      <c r="A9587" s="12"/>
    </row>
    <row r="9588" spans="1:1" x14ac:dyDescent="0.35">
      <c r="A9588" s="12"/>
    </row>
    <row r="9589" spans="1:1" x14ac:dyDescent="0.35">
      <c r="A9589" s="12"/>
    </row>
    <row r="9590" spans="1:1" x14ac:dyDescent="0.35">
      <c r="A9590" s="12"/>
    </row>
    <row r="9591" spans="1:1" x14ac:dyDescent="0.35">
      <c r="A9591" s="12"/>
    </row>
    <row r="9592" spans="1:1" x14ac:dyDescent="0.35">
      <c r="A9592" s="12"/>
    </row>
    <row r="9593" spans="1:1" x14ac:dyDescent="0.35">
      <c r="A9593" s="12"/>
    </row>
    <row r="9594" spans="1:1" x14ac:dyDescent="0.35">
      <c r="A9594" s="12"/>
    </row>
    <row r="9595" spans="1:1" x14ac:dyDescent="0.35">
      <c r="A9595" s="12"/>
    </row>
    <row r="9596" spans="1:1" x14ac:dyDescent="0.35">
      <c r="A9596" s="12"/>
    </row>
    <row r="9597" spans="1:1" x14ac:dyDescent="0.35">
      <c r="A9597" s="12"/>
    </row>
    <row r="9598" spans="1:1" x14ac:dyDescent="0.35">
      <c r="A9598" s="12"/>
    </row>
    <row r="9599" spans="1:1" x14ac:dyDescent="0.35">
      <c r="A9599" s="12"/>
    </row>
    <row r="9600" spans="1:1" x14ac:dyDescent="0.35">
      <c r="A9600" s="12"/>
    </row>
    <row r="9601" spans="1:1" x14ac:dyDescent="0.35">
      <c r="A9601" s="12"/>
    </row>
    <row r="9602" spans="1:1" x14ac:dyDescent="0.35">
      <c r="A9602" s="12"/>
    </row>
    <row r="9603" spans="1:1" x14ac:dyDescent="0.35">
      <c r="A9603" s="12"/>
    </row>
    <row r="9604" spans="1:1" x14ac:dyDescent="0.35">
      <c r="A9604" s="12"/>
    </row>
    <row r="9605" spans="1:1" x14ac:dyDescent="0.35">
      <c r="A9605" s="12"/>
    </row>
    <row r="9606" spans="1:1" x14ac:dyDescent="0.35">
      <c r="A9606" s="12"/>
    </row>
    <row r="9607" spans="1:1" x14ac:dyDescent="0.35">
      <c r="A9607" s="12"/>
    </row>
    <row r="9608" spans="1:1" x14ac:dyDescent="0.35">
      <c r="A9608" s="12"/>
    </row>
    <row r="9609" spans="1:1" x14ac:dyDescent="0.35">
      <c r="A9609" s="12"/>
    </row>
    <row r="9610" spans="1:1" x14ac:dyDescent="0.35">
      <c r="A9610" s="12"/>
    </row>
    <row r="9611" spans="1:1" x14ac:dyDescent="0.35">
      <c r="A9611" s="12"/>
    </row>
    <row r="9612" spans="1:1" x14ac:dyDescent="0.35">
      <c r="A9612" s="12"/>
    </row>
    <row r="9613" spans="1:1" x14ac:dyDescent="0.35">
      <c r="A9613" s="12"/>
    </row>
    <row r="9614" spans="1:1" x14ac:dyDescent="0.35">
      <c r="A9614" s="12"/>
    </row>
    <row r="9615" spans="1:1" x14ac:dyDescent="0.35">
      <c r="A9615" s="12"/>
    </row>
    <row r="9616" spans="1:1" x14ac:dyDescent="0.35">
      <c r="A9616" s="12"/>
    </row>
    <row r="9617" spans="1:1" x14ac:dyDescent="0.35">
      <c r="A9617" s="12"/>
    </row>
    <row r="9618" spans="1:1" x14ac:dyDescent="0.35">
      <c r="A9618" s="12"/>
    </row>
    <row r="9619" spans="1:1" x14ac:dyDescent="0.35">
      <c r="A9619" s="12"/>
    </row>
    <row r="9620" spans="1:1" x14ac:dyDescent="0.35">
      <c r="A9620" s="12"/>
    </row>
    <row r="9621" spans="1:1" x14ac:dyDescent="0.35">
      <c r="A9621" s="12"/>
    </row>
    <row r="9622" spans="1:1" x14ac:dyDescent="0.35">
      <c r="A9622" s="12"/>
    </row>
    <row r="9623" spans="1:1" x14ac:dyDescent="0.35">
      <c r="A9623" s="12"/>
    </row>
    <row r="9624" spans="1:1" x14ac:dyDescent="0.35">
      <c r="A9624" s="12"/>
    </row>
    <row r="9625" spans="1:1" x14ac:dyDescent="0.35">
      <c r="A9625" s="12"/>
    </row>
    <row r="9626" spans="1:1" x14ac:dyDescent="0.35">
      <c r="A9626" s="12"/>
    </row>
    <row r="9627" spans="1:1" x14ac:dyDescent="0.35">
      <c r="A9627" s="12"/>
    </row>
    <row r="9628" spans="1:1" x14ac:dyDescent="0.35">
      <c r="A9628" s="12"/>
    </row>
    <row r="9629" spans="1:1" x14ac:dyDescent="0.35">
      <c r="A9629" s="12"/>
    </row>
    <row r="9630" spans="1:1" x14ac:dyDescent="0.35">
      <c r="A9630" s="12"/>
    </row>
    <row r="9631" spans="1:1" x14ac:dyDescent="0.35">
      <c r="A9631" s="12"/>
    </row>
    <row r="9632" spans="1:1" x14ac:dyDescent="0.35">
      <c r="A9632" s="12"/>
    </row>
    <row r="9633" spans="1:1" x14ac:dyDescent="0.35">
      <c r="A9633" s="12"/>
    </row>
    <row r="9634" spans="1:1" x14ac:dyDescent="0.35">
      <c r="A9634" s="12"/>
    </row>
    <row r="9635" spans="1:1" x14ac:dyDescent="0.35">
      <c r="A9635" s="12"/>
    </row>
    <row r="9636" spans="1:1" x14ac:dyDescent="0.35">
      <c r="A9636" s="12"/>
    </row>
    <row r="9637" spans="1:1" x14ac:dyDescent="0.35">
      <c r="A9637" s="12"/>
    </row>
    <row r="9638" spans="1:1" x14ac:dyDescent="0.35">
      <c r="A9638" s="12"/>
    </row>
    <row r="9639" spans="1:1" x14ac:dyDescent="0.35">
      <c r="A9639" s="12"/>
    </row>
    <row r="9640" spans="1:1" x14ac:dyDescent="0.35">
      <c r="A9640" s="12"/>
    </row>
    <row r="9641" spans="1:1" x14ac:dyDescent="0.35">
      <c r="A9641" s="12"/>
    </row>
    <row r="9642" spans="1:1" x14ac:dyDescent="0.35">
      <c r="A9642" s="12"/>
    </row>
    <row r="9643" spans="1:1" x14ac:dyDescent="0.35">
      <c r="A9643" s="12"/>
    </row>
    <row r="9644" spans="1:1" x14ac:dyDescent="0.35">
      <c r="A9644" s="12"/>
    </row>
    <row r="9645" spans="1:1" x14ac:dyDescent="0.35">
      <c r="A9645" s="12"/>
    </row>
    <row r="9646" spans="1:1" x14ac:dyDescent="0.35">
      <c r="A9646" s="12"/>
    </row>
    <row r="9647" spans="1:1" x14ac:dyDescent="0.35">
      <c r="A9647" s="12"/>
    </row>
    <row r="9648" spans="1:1" x14ac:dyDescent="0.35">
      <c r="A9648" s="12"/>
    </row>
    <row r="9649" spans="1:1" x14ac:dyDescent="0.35">
      <c r="A9649" s="12"/>
    </row>
    <row r="9650" spans="1:1" x14ac:dyDescent="0.35">
      <c r="A9650" s="12"/>
    </row>
    <row r="9651" spans="1:1" x14ac:dyDescent="0.35">
      <c r="A9651" s="12"/>
    </row>
    <row r="9652" spans="1:1" x14ac:dyDescent="0.35">
      <c r="A9652" s="12"/>
    </row>
    <row r="9653" spans="1:1" x14ac:dyDescent="0.35">
      <c r="A9653" s="12"/>
    </row>
    <row r="9654" spans="1:1" x14ac:dyDescent="0.35">
      <c r="A9654" s="12"/>
    </row>
    <row r="9655" spans="1:1" x14ac:dyDescent="0.35">
      <c r="A9655" s="12"/>
    </row>
    <row r="9656" spans="1:1" x14ac:dyDescent="0.35">
      <c r="A9656" s="12"/>
    </row>
    <row r="9657" spans="1:1" x14ac:dyDescent="0.35">
      <c r="A9657" s="12"/>
    </row>
    <row r="9658" spans="1:1" x14ac:dyDescent="0.35">
      <c r="A9658" s="12"/>
    </row>
    <row r="9659" spans="1:1" x14ac:dyDescent="0.35">
      <c r="A9659" s="12"/>
    </row>
    <row r="9660" spans="1:1" x14ac:dyDescent="0.35">
      <c r="A9660" s="12"/>
    </row>
    <row r="9661" spans="1:1" x14ac:dyDescent="0.35">
      <c r="A9661" s="12"/>
    </row>
    <row r="9662" spans="1:1" x14ac:dyDescent="0.35">
      <c r="A9662" s="12"/>
    </row>
    <row r="9663" spans="1:1" x14ac:dyDescent="0.35">
      <c r="A9663" s="12"/>
    </row>
    <row r="9664" spans="1:1" x14ac:dyDescent="0.35">
      <c r="A9664" s="12"/>
    </row>
    <row r="9665" spans="1:1" x14ac:dyDescent="0.35">
      <c r="A9665" s="12"/>
    </row>
    <row r="9666" spans="1:1" x14ac:dyDescent="0.35">
      <c r="A9666" s="12"/>
    </row>
    <row r="9667" spans="1:1" x14ac:dyDescent="0.35">
      <c r="A9667" s="12"/>
    </row>
    <row r="9668" spans="1:1" x14ac:dyDescent="0.35">
      <c r="A9668" s="12"/>
    </row>
    <row r="9669" spans="1:1" x14ac:dyDescent="0.35">
      <c r="A9669" s="12"/>
    </row>
    <row r="9670" spans="1:1" x14ac:dyDescent="0.35">
      <c r="A9670" s="12"/>
    </row>
    <row r="9671" spans="1:1" x14ac:dyDescent="0.35">
      <c r="A9671" s="12"/>
    </row>
    <row r="9672" spans="1:1" x14ac:dyDescent="0.35">
      <c r="A9672" s="12"/>
    </row>
    <row r="9673" spans="1:1" x14ac:dyDescent="0.35">
      <c r="A9673" s="12"/>
    </row>
    <row r="9674" spans="1:1" x14ac:dyDescent="0.35">
      <c r="A9674" s="12"/>
    </row>
    <row r="9675" spans="1:1" x14ac:dyDescent="0.35">
      <c r="A9675" s="12"/>
    </row>
    <row r="9676" spans="1:1" x14ac:dyDescent="0.35">
      <c r="A9676" s="12"/>
    </row>
    <row r="9677" spans="1:1" x14ac:dyDescent="0.35">
      <c r="A9677" s="12"/>
    </row>
    <row r="9678" spans="1:1" x14ac:dyDescent="0.35">
      <c r="A9678" s="12"/>
    </row>
    <row r="9679" spans="1:1" x14ac:dyDescent="0.35">
      <c r="A9679" s="12"/>
    </row>
    <row r="9680" spans="1:1" x14ac:dyDescent="0.35">
      <c r="A9680" s="12"/>
    </row>
    <row r="9681" spans="1:1" x14ac:dyDescent="0.35">
      <c r="A9681" s="12"/>
    </row>
    <row r="9682" spans="1:1" x14ac:dyDescent="0.35">
      <c r="A9682" s="12"/>
    </row>
    <row r="9683" spans="1:1" x14ac:dyDescent="0.35">
      <c r="A9683" s="12"/>
    </row>
    <row r="9684" spans="1:1" x14ac:dyDescent="0.35">
      <c r="A9684" s="12"/>
    </row>
    <row r="9685" spans="1:1" x14ac:dyDescent="0.35">
      <c r="A9685" s="12"/>
    </row>
    <row r="9686" spans="1:1" x14ac:dyDescent="0.35">
      <c r="A9686" s="12"/>
    </row>
    <row r="9687" spans="1:1" x14ac:dyDescent="0.35">
      <c r="A9687" s="12"/>
    </row>
    <row r="9688" spans="1:1" x14ac:dyDescent="0.35">
      <c r="A9688" s="12"/>
    </row>
    <row r="9689" spans="1:1" x14ac:dyDescent="0.35">
      <c r="A9689" s="12"/>
    </row>
    <row r="9690" spans="1:1" x14ac:dyDescent="0.35">
      <c r="A9690" s="12"/>
    </row>
    <row r="9691" spans="1:1" x14ac:dyDescent="0.35">
      <c r="A9691" s="12"/>
    </row>
    <row r="9692" spans="1:1" x14ac:dyDescent="0.35">
      <c r="A9692" s="12"/>
    </row>
    <row r="9693" spans="1:1" x14ac:dyDescent="0.35">
      <c r="A9693" s="12"/>
    </row>
    <row r="9694" spans="1:1" x14ac:dyDescent="0.35">
      <c r="A9694" s="12"/>
    </row>
    <row r="9695" spans="1:1" x14ac:dyDescent="0.35">
      <c r="A9695" s="12"/>
    </row>
    <row r="9696" spans="1:1" x14ac:dyDescent="0.35">
      <c r="A9696" s="12"/>
    </row>
    <row r="9697" spans="1:1" x14ac:dyDescent="0.35">
      <c r="A9697" s="12"/>
    </row>
    <row r="9698" spans="1:1" x14ac:dyDescent="0.35">
      <c r="A9698" s="12"/>
    </row>
    <row r="9699" spans="1:1" x14ac:dyDescent="0.35">
      <c r="A9699" s="12"/>
    </row>
    <row r="9700" spans="1:1" x14ac:dyDescent="0.35">
      <c r="A9700" s="12"/>
    </row>
    <row r="9701" spans="1:1" x14ac:dyDescent="0.35">
      <c r="A9701" s="12"/>
    </row>
    <row r="9702" spans="1:1" x14ac:dyDescent="0.35">
      <c r="A9702" s="12"/>
    </row>
    <row r="9703" spans="1:1" x14ac:dyDescent="0.35">
      <c r="A9703" s="12"/>
    </row>
    <row r="9704" spans="1:1" x14ac:dyDescent="0.35">
      <c r="A9704" s="12"/>
    </row>
    <row r="9705" spans="1:1" x14ac:dyDescent="0.35">
      <c r="A9705" s="12"/>
    </row>
    <row r="9706" spans="1:1" x14ac:dyDescent="0.35">
      <c r="A9706" s="12"/>
    </row>
    <row r="9707" spans="1:1" x14ac:dyDescent="0.35">
      <c r="A9707" s="12"/>
    </row>
    <row r="9708" spans="1:1" x14ac:dyDescent="0.35">
      <c r="A9708" s="12"/>
    </row>
    <row r="9709" spans="1:1" x14ac:dyDescent="0.35">
      <c r="A9709" s="12"/>
    </row>
    <row r="9710" spans="1:1" x14ac:dyDescent="0.35">
      <c r="A9710" s="12"/>
    </row>
    <row r="9711" spans="1:1" x14ac:dyDescent="0.35">
      <c r="A9711" s="12"/>
    </row>
    <row r="9712" spans="1:1" x14ac:dyDescent="0.35">
      <c r="A9712" s="12"/>
    </row>
    <row r="9713" spans="1:1" x14ac:dyDescent="0.35">
      <c r="A9713" s="12"/>
    </row>
    <row r="9714" spans="1:1" x14ac:dyDescent="0.35">
      <c r="A9714" s="12"/>
    </row>
    <row r="9715" spans="1:1" x14ac:dyDescent="0.35">
      <c r="A9715" s="12"/>
    </row>
    <row r="9716" spans="1:1" x14ac:dyDescent="0.35">
      <c r="A9716" s="12"/>
    </row>
    <row r="9717" spans="1:1" x14ac:dyDescent="0.35">
      <c r="A9717" s="12"/>
    </row>
    <row r="9718" spans="1:1" x14ac:dyDescent="0.35">
      <c r="A9718" s="12"/>
    </row>
    <row r="9719" spans="1:1" x14ac:dyDescent="0.35">
      <c r="A9719" s="12"/>
    </row>
    <row r="9720" spans="1:1" x14ac:dyDescent="0.35">
      <c r="A9720" s="12"/>
    </row>
    <row r="9721" spans="1:1" x14ac:dyDescent="0.35">
      <c r="A9721" s="12"/>
    </row>
    <row r="9722" spans="1:1" x14ac:dyDescent="0.35">
      <c r="A9722" s="12"/>
    </row>
    <row r="9723" spans="1:1" x14ac:dyDescent="0.35">
      <c r="A9723" s="12"/>
    </row>
    <row r="9724" spans="1:1" x14ac:dyDescent="0.35">
      <c r="A9724" s="12"/>
    </row>
    <row r="9725" spans="1:1" x14ac:dyDescent="0.35">
      <c r="A9725" s="12"/>
    </row>
    <row r="9726" spans="1:1" x14ac:dyDescent="0.35">
      <c r="A9726" s="12"/>
    </row>
    <row r="9727" spans="1:1" x14ac:dyDescent="0.35">
      <c r="A9727" s="12"/>
    </row>
    <row r="9728" spans="1:1" x14ac:dyDescent="0.35">
      <c r="A9728" s="12"/>
    </row>
    <row r="9729" spans="1:1" x14ac:dyDescent="0.35">
      <c r="A9729" s="12"/>
    </row>
    <row r="9730" spans="1:1" x14ac:dyDescent="0.35">
      <c r="A9730" s="12"/>
    </row>
    <row r="9731" spans="1:1" x14ac:dyDescent="0.35">
      <c r="A9731" s="12"/>
    </row>
    <row r="9732" spans="1:1" x14ac:dyDescent="0.35">
      <c r="A9732" s="12"/>
    </row>
    <row r="9733" spans="1:1" x14ac:dyDescent="0.35">
      <c r="A9733" s="12"/>
    </row>
    <row r="9734" spans="1:1" x14ac:dyDescent="0.35">
      <c r="A9734" s="12"/>
    </row>
    <row r="9735" spans="1:1" x14ac:dyDescent="0.35">
      <c r="A9735" s="12"/>
    </row>
    <row r="9736" spans="1:1" x14ac:dyDescent="0.35">
      <c r="A9736" s="12"/>
    </row>
    <row r="9737" spans="1:1" x14ac:dyDescent="0.35">
      <c r="A9737" s="12"/>
    </row>
    <row r="9738" spans="1:1" x14ac:dyDescent="0.35">
      <c r="A9738" s="12"/>
    </row>
    <row r="9739" spans="1:1" x14ac:dyDescent="0.35">
      <c r="A9739" s="12"/>
    </row>
    <row r="9740" spans="1:1" x14ac:dyDescent="0.35">
      <c r="A9740" s="12"/>
    </row>
    <row r="9741" spans="1:1" x14ac:dyDescent="0.35">
      <c r="A9741" s="12"/>
    </row>
    <row r="9742" spans="1:1" x14ac:dyDescent="0.35">
      <c r="A9742" s="12"/>
    </row>
    <row r="9743" spans="1:1" x14ac:dyDescent="0.35">
      <c r="A9743" s="12"/>
    </row>
    <row r="9744" spans="1:1" x14ac:dyDescent="0.35">
      <c r="A9744" s="12"/>
    </row>
    <row r="9745" spans="1:1" x14ac:dyDescent="0.35">
      <c r="A9745" s="12"/>
    </row>
    <row r="9746" spans="1:1" x14ac:dyDescent="0.35">
      <c r="A9746" s="12"/>
    </row>
    <row r="9747" spans="1:1" x14ac:dyDescent="0.35">
      <c r="A9747" s="12"/>
    </row>
    <row r="9748" spans="1:1" x14ac:dyDescent="0.35">
      <c r="A9748" s="12"/>
    </row>
    <row r="9749" spans="1:1" x14ac:dyDescent="0.35">
      <c r="A9749" s="12"/>
    </row>
    <row r="9750" spans="1:1" x14ac:dyDescent="0.35">
      <c r="A9750" s="12"/>
    </row>
    <row r="9751" spans="1:1" x14ac:dyDescent="0.35">
      <c r="A9751" s="12"/>
    </row>
    <row r="9752" spans="1:1" x14ac:dyDescent="0.35">
      <c r="A9752" s="12"/>
    </row>
    <row r="9753" spans="1:1" x14ac:dyDescent="0.35">
      <c r="A9753" s="12"/>
    </row>
    <row r="9754" spans="1:1" x14ac:dyDescent="0.35">
      <c r="A9754" s="12"/>
    </row>
    <row r="9755" spans="1:1" x14ac:dyDescent="0.35">
      <c r="A9755" s="12"/>
    </row>
    <row r="9756" spans="1:1" x14ac:dyDescent="0.35">
      <c r="A9756" s="12"/>
    </row>
    <row r="9757" spans="1:1" x14ac:dyDescent="0.35">
      <c r="A9757" s="12"/>
    </row>
    <row r="9758" spans="1:1" x14ac:dyDescent="0.35">
      <c r="A9758" s="12"/>
    </row>
    <row r="9759" spans="1:1" x14ac:dyDescent="0.35">
      <c r="A9759" s="12"/>
    </row>
    <row r="9760" spans="1:1" x14ac:dyDescent="0.35">
      <c r="A9760" s="12"/>
    </row>
    <row r="9761" spans="1:1" x14ac:dyDescent="0.35">
      <c r="A9761" s="12"/>
    </row>
    <row r="9762" spans="1:1" x14ac:dyDescent="0.35">
      <c r="A9762" s="12"/>
    </row>
    <row r="9763" spans="1:1" x14ac:dyDescent="0.35">
      <c r="A9763" s="12"/>
    </row>
    <row r="9764" spans="1:1" x14ac:dyDescent="0.35">
      <c r="A9764" s="12"/>
    </row>
    <row r="9765" spans="1:1" x14ac:dyDescent="0.35">
      <c r="A9765" s="12"/>
    </row>
    <row r="9766" spans="1:1" x14ac:dyDescent="0.35">
      <c r="A9766" s="12"/>
    </row>
    <row r="9767" spans="1:1" x14ac:dyDescent="0.35">
      <c r="A9767" s="12"/>
    </row>
    <row r="9768" spans="1:1" x14ac:dyDescent="0.35">
      <c r="A9768" s="12"/>
    </row>
    <row r="9769" spans="1:1" x14ac:dyDescent="0.35">
      <c r="A9769" s="12"/>
    </row>
    <row r="9770" spans="1:1" x14ac:dyDescent="0.35">
      <c r="A9770" s="12"/>
    </row>
    <row r="9771" spans="1:1" x14ac:dyDescent="0.35">
      <c r="A9771" s="12"/>
    </row>
    <row r="9772" spans="1:1" x14ac:dyDescent="0.35">
      <c r="A9772" s="12"/>
    </row>
    <row r="9773" spans="1:1" x14ac:dyDescent="0.35">
      <c r="A9773" s="12"/>
    </row>
    <row r="9774" spans="1:1" x14ac:dyDescent="0.35">
      <c r="A9774" s="12"/>
    </row>
    <row r="9775" spans="1:1" x14ac:dyDescent="0.35">
      <c r="A9775" s="12"/>
    </row>
    <row r="9776" spans="1:1" x14ac:dyDescent="0.35">
      <c r="A9776" s="12"/>
    </row>
    <row r="9777" spans="1:1" x14ac:dyDescent="0.35">
      <c r="A9777" s="12"/>
    </row>
    <row r="9778" spans="1:1" x14ac:dyDescent="0.35">
      <c r="A9778" s="12"/>
    </row>
    <row r="9779" spans="1:1" x14ac:dyDescent="0.35">
      <c r="A9779" s="12"/>
    </row>
    <row r="9780" spans="1:1" x14ac:dyDescent="0.35">
      <c r="A9780" s="12"/>
    </row>
    <row r="9781" spans="1:1" x14ac:dyDescent="0.35">
      <c r="A9781" s="12"/>
    </row>
    <row r="9782" spans="1:1" x14ac:dyDescent="0.35">
      <c r="A9782" s="12"/>
    </row>
    <row r="9783" spans="1:1" x14ac:dyDescent="0.35">
      <c r="A9783" s="12"/>
    </row>
    <row r="9784" spans="1:1" x14ac:dyDescent="0.35">
      <c r="A9784" s="12"/>
    </row>
    <row r="9785" spans="1:1" x14ac:dyDescent="0.35">
      <c r="A9785" s="12"/>
    </row>
    <row r="9786" spans="1:1" x14ac:dyDescent="0.35">
      <c r="A9786" s="12"/>
    </row>
    <row r="9787" spans="1:1" x14ac:dyDescent="0.35">
      <c r="A9787" s="12"/>
    </row>
    <row r="9788" spans="1:1" x14ac:dyDescent="0.35">
      <c r="A9788" s="12"/>
    </row>
    <row r="9789" spans="1:1" x14ac:dyDescent="0.35">
      <c r="A9789" s="12"/>
    </row>
    <row r="9790" spans="1:1" x14ac:dyDescent="0.35">
      <c r="A9790" s="12"/>
    </row>
    <row r="9791" spans="1:1" x14ac:dyDescent="0.35">
      <c r="A9791" s="12"/>
    </row>
    <row r="9792" spans="1:1" x14ac:dyDescent="0.35">
      <c r="A9792" s="12"/>
    </row>
    <row r="9793" spans="1:1" x14ac:dyDescent="0.35">
      <c r="A9793" s="12"/>
    </row>
    <row r="9794" spans="1:1" x14ac:dyDescent="0.35">
      <c r="A9794" s="12"/>
    </row>
    <row r="9795" spans="1:1" x14ac:dyDescent="0.35">
      <c r="A9795" s="12"/>
    </row>
    <row r="9796" spans="1:1" x14ac:dyDescent="0.35">
      <c r="A9796" s="12"/>
    </row>
    <row r="9797" spans="1:1" x14ac:dyDescent="0.35">
      <c r="A9797" s="12"/>
    </row>
    <row r="9798" spans="1:1" x14ac:dyDescent="0.35">
      <c r="A9798" s="12"/>
    </row>
    <row r="9799" spans="1:1" x14ac:dyDescent="0.35">
      <c r="A9799" s="12"/>
    </row>
    <row r="9800" spans="1:1" x14ac:dyDescent="0.35">
      <c r="A9800" s="12"/>
    </row>
    <row r="9801" spans="1:1" x14ac:dyDescent="0.35">
      <c r="A9801" s="12"/>
    </row>
    <row r="9802" spans="1:1" x14ac:dyDescent="0.35">
      <c r="A9802" s="12"/>
    </row>
    <row r="9803" spans="1:1" x14ac:dyDescent="0.35">
      <c r="A9803" s="12"/>
    </row>
    <row r="9804" spans="1:1" x14ac:dyDescent="0.35">
      <c r="A9804" s="12"/>
    </row>
    <row r="9805" spans="1:1" x14ac:dyDescent="0.35">
      <c r="A9805" s="12"/>
    </row>
    <row r="9806" spans="1:1" x14ac:dyDescent="0.35">
      <c r="A9806" s="12"/>
    </row>
    <row r="9807" spans="1:1" x14ac:dyDescent="0.35">
      <c r="A9807" s="12"/>
    </row>
    <row r="9808" spans="1:1" x14ac:dyDescent="0.35">
      <c r="A9808" s="12"/>
    </row>
    <row r="9809" spans="1:1" x14ac:dyDescent="0.35">
      <c r="A9809" s="12"/>
    </row>
    <row r="9810" spans="1:1" x14ac:dyDescent="0.35">
      <c r="A9810" s="12"/>
    </row>
    <row r="9811" spans="1:1" x14ac:dyDescent="0.35">
      <c r="A9811" s="12"/>
    </row>
    <row r="9812" spans="1:1" x14ac:dyDescent="0.35">
      <c r="A9812" s="12"/>
    </row>
    <row r="9813" spans="1:1" x14ac:dyDescent="0.35">
      <c r="A9813" s="12"/>
    </row>
    <row r="9814" spans="1:1" x14ac:dyDescent="0.35">
      <c r="A9814" s="12"/>
    </row>
    <row r="9815" spans="1:1" x14ac:dyDescent="0.35">
      <c r="A9815" s="12"/>
    </row>
    <row r="9816" spans="1:1" x14ac:dyDescent="0.35">
      <c r="A9816" s="12"/>
    </row>
    <row r="9817" spans="1:1" x14ac:dyDescent="0.35">
      <c r="A9817" s="12"/>
    </row>
    <row r="9818" spans="1:1" x14ac:dyDescent="0.35">
      <c r="A9818" s="12"/>
    </row>
    <row r="9819" spans="1:1" x14ac:dyDescent="0.35">
      <c r="A9819" s="12"/>
    </row>
    <row r="9820" spans="1:1" x14ac:dyDescent="0.35">
      <c r="A9820" s="12"/>
    </row>
    <row r="9821" spans="1:1" x14ac:dyDescent="0.35">
      <c r="A9821" s="12"/>
    </row>
    <row r="9822" spans="1:1" x14ac:dyDescent="0.35">
      <c r="A9822" s="12"/>
    </row>
    <row r="9823" spans="1:1" x14ac:dyDescent="0.35">
      <c r="A9823" s="12"/>
    </row>
    <row r="9824" spans="1:1" x14ac:dyDescent="0.35">
      <c r="A9824" s="12"/>
    </row>
    <row r="9825" spans="1:1" x14ac:dyDescent="0.35">
      <c r="A9825" s="12"/>
    </row>
    <row r="9826" spans="1:1" x14ac:dyDescent="0.35">
      <c r="A9826" s="12"/>
    </row>
    <row r="9827" spans="1:1" x14ac:dyDescent="0.35">
      <c r="A9827" s="12"/>
    </row>
    <row r="9828" spans="1:1" x14ac:dyDescent="0.35">
      <c r="A9828" s="12"/>
    </row>
    <row r="9829" spans="1:1" x14ac:dyDescent="0.35">
      <c r="A9829" s="12"/>
    </row>
    <row r="9830" spans="1:1" x14ac:dyDescent="0.35">
      <c r="A9830" s="12"/>
    </row>
    <row r="9831" spans="1:1" x14ac:dyDescent="0.35">
      <c r="A9831" s="12"/>
    </row>
    <row r="9832" spans="1:1" x14ac:dyDescent="0.35">
      <c r="A9832" s="12"/>
    </row>
    <row r="9833" spans="1:1" x14ac:dyDescent="0.35">
      <c r="A9833" s="12"/>
    </row>
    <row r="9834" spans="1:1" x14ac:dyDescent="0.35">
      <c r="A9834" s="12"/>
    </row>
    <row r="9835" spans="1:1" x14ac:dyDescent="0.35">
      <c r="A9835" s="12"/>
    </row>
    <row r="9836" spans="1:1" x14ac:dyDescent="0.35">
      <c r="A9836" s="12"/>
    </row>
    <row r="9837" spans="1:1" x14ac:dyDescent="0.35">
      <c r="A9837" s="12"/>
    </row>
    <row r="9838" spans="1:1" x14ac:dyDescent="0.35">
      <c r="A9838" s="12"/>
    </row>
    <row r="9839" spans="1:1" x14ac:dyDescent="0.35">
      <c r="A9839" s="12"/>
    </row>
    <row r="9840" spans="1:1" x14ac:dyDescent="0.35">
      <c r="A9840" s="12"/>
    </row>
    <row r="9841" spans="1:1" x14ac:dyDescent="0.35">
      <c r="A9841" s="12"/>
    </row>
    <row r="9842" spans="1:1" x14ac:dyDescent="0.35">
      <c r="A9842" s="12"/>
    </row>
    <row r="9843" spans="1:1" x14ac:dyDescent="0.35">
      <c r="A9843" s="12"/>
    </row>
    <row r="9844" spans="1:1" x14ac:dyDescent="0.35">
      <c r="A9844" s="12"/>
    </row>
    <row r="9845" spans="1:1" x14ac:dyDescent="0.35">
      <c r="A9845" s="12"/>
    </row>
    <row r="9846" spans="1:1" x14ac:dyDescent="0.35">
      <c r="A9846" s="12"/>
    </row>
    <row r="9847" spans="1:1" x14ac:dyDescent="0.35">
      <c r="A9847" s="12"/>
    </row>
    <row r="9848" spans="1:1" x14ac:dyDescent="0.35">
      <c r="A9848" s="12"/>
    </row>
    <row r="9849" spans="1:1" x14ac:dyDescent="0.35">
      <c r="A9849" s="12"/>
    </row>
    <row r="9850" spans="1:1" x14ac:dyDescent="0.35">
      <c r="A9850" s="12"/>
    </row>
    <row r="9851" spans="1:1" x14ac:dyDescent="0.35">
      <c r="A9851" s="12"/>
    </row>
    <row r="9852" spans="1:1" x14ac:dyDescent="0.35">
      <c r="A9852" s="12"/>
    </row>
    <row r="9853" spans="1:1" x14ac:dyDescent="0.35">
      <c r="A9853" s="12"/>
    </row>
    <row r="9854" spans="1:1" x14ac:dyDescent="0.35">
      <c r="A9854" s="12"/>
    </row>
    <row r="9855" spans="1:1" x14ac:dyDescent="0.35">
      <c r="A9855" s="12"/>
    </row>
    <row r="9856" spans="1:1" x14ac:dyDescent="0.35">
      <c r="A9856" s="12"/>
    </row>
    <row r="9857" spans="1:1" x14ac:dyDescent="0.35">
      <c r="A9857" s="12"/>
    </row>
    <row r="9858" spans="1:1" x14ac:dyDescent="0.35">
      <c r="A9858" s="12"/>
    </row>
    <row r="9859" spans="1:1" x14ac:dyDescent="0.35">
      <c r="A9859" s="12"/>
    </row>
    <row r="9860" spans="1:1" x14ac:dyDescent="0.35">
      <c r="A9860" s="12"/>
    </row>
    <row r="9861" spans="1:1" x14ac:dyDescent="0.35">
      <c r="A9861" s="12"/>
    </row>
    <row r="9862" spans="1:1" x14ac:dyDescent="0.35">
      <c r="A9862" s="12"/>
    </row>
    <row r="9863" spans="1:1" x14ac:dyDescent="0.35">
      <c r="A9863" s="12"/>
    </row>
    <row r="9864" spans="1:1" x14ac:dyDescent="0.35">
      <c r="A9864" s="12"/>
    </row>
    <row r="9865" spans="1:1" x14ac:dyDescent="0.35">
      <c r="A9865" s="12"/>
    </row>
    <row r="9866" spans="1:1" x14ac:dyDescent="0.35">
      <c r="A9866" s="12"/>
    </row>
    <row r="9867" spans="1:1" x14ac:dyDescent="0.35">
      <c r="A9867" s="12"/>
    </row>
    <row r="9868" spans="1:1" x14ac:dyDescent="0.35">
      <c r="A9868" s="12"/>
    </row>
    <row r="9869" spans="1:1" x14ac:dyDescent="0.35">
      <c r="A9869" s="12"/>
    </row>
    <row r="9870" spans="1:1" x14ac:dyDescent="0.35">
      <c r="A9870" s="12"/>
    </row>
    <row r="9871" spans="1:1" x14ac:dyDescent="0.35">
      <c r="A9871" s="12"/>
    </row>
    <row r="9872" spans="1:1" x14ac:dyDescent="0.35">
      <c r="A9872" s="12"/>
    </row>
    <row r="9873" spans="1:1" x14ac:dyDescent="0.35">
      <c r="A9873" s="12"/>
    </row>
    <row r="9874" spans="1:1" x14ac:dyDescent="0.35">
      <c r="A9874" s="12"/>
    </row>
    <row r="9875" spans="1:1" x14ac:dyDescent="0.35">
      <c r="A9875" s="12"/>
    </row>
    <row r="9876" spans="1:1" x14ac:dyDescent="0.35">
      <c r="A9876" s="12"/>
    </row>
    <row r="9877" spans="1:1" x14ac:dyDescent="0.35">
      <c r="A9877" s="12"/>
    </row>
    <row r="9878" spans="1:1" x14ac:dyDescent="0.35">
      <c r="A9878" s="12"/>
    </row>
    <row r="9879" spans="1:1" x14ac:dyDescent="0.35">
      <c r="A9879" s="12"/>
    </row>
    <row r="9880" spans="1:1" x14ac:dyDescent="0.35">
      <c r="A9880" s="12"/>
    </row>
    <row r="9881" spans="1:1" x14ac:dyDescent="0.35">
      <c r="A9881" s="12"/>
    </row>
    <row r="9882" spans="1:1" x14ac:dyDescent="0.35">
      <c r="A9882" s="12"/>
    </row>
    <row r="9883" spans="1:1" x14ac:dyDescent="0.35">
      <c r="A9883" s="12"/>
    </row>
    <row r="9884" spans="1:1" x14ac:dyDescent="0.35">
      <c r="A9884" s="12"/>
    </row>
    <row r="9885" spans="1:1" x14ac:dyDescent="0.35">
      <c r="A9885" s="12"/>
    </row>
    <row r="9886" spans="1:1" x14ac:dyDescent="0.35">
      <c r="A9886" s="12"/>
    </row>
    <row r="9887" spans="1:1" x14ac:dyDescent="0.35">
      <c r="A9887" s="12"/>
    </row>
    <row r="9888" spans="1:1" x14ac:dyDescent="0.35">
      <c r="A9888" s="12"/>
    </row>
    <row r="9889" spans="1:1" x14ac:dyDescent="0.35">
      <c r="A9889" s="12"/>
    </row>
    <row r="9890" spans="1:1" x14ac:dyDescent="0.35">
      <c r="A9890" s="12"/>
    </row>
    <row r="9891" spans="1:1" x14ac:dyDescent="0.35">
      <c r="A9891" s="12"/>
    </row>
    <row r="9892" spans="1:1" x14ac:dyDescent="0.35">
      <c r="A9892" s="12"/>
    </row>
    <row r="9893" spans="1:1" x14ac:dyDescent="0.35">
      <c r="A9893" s="12"/>
    </row>
    <row r="9894" spans="1:1" x14ac:dyDescent="0.35">
      <c r="A9894" s="12"/>
    </row>
    <row r="9895" spans="1:1" x14ac:dyDescent="0.35">
      <c r="A9895" s="12"/>
    </row>
    <row r="9896" spans="1:1" x14ac:dyDescent="0.35">
      <c r="A9896" s="12"/>
    </row>
    <row r="9897" spans="1:1" x14ac:dyDescent="0.35">
      <c r="A9897" s="12"/>
    </row>
    <row r="9898" spans="1:1" x14ac:dyDescent="0.35">
      <c r="A9898" s="12"/>
    </row>
    <row r="9899" spans="1:1" x14ac:dyDescent="0.35">
      <c r="A9899" s="12"/>
    </row>
    <row r="9900" spans="1:1" x14ac:dyDescent="0.35">
      <c r="A9900" s="12"/>
    </row>
    <row r="9901" spans="1:1" x14ac:dyDescent="0.35">
      <c r="A9901" s="12"/>
    </row>
    <row r="9902" spans="1:1" x14ac:dyDescent="0.35">
      <c r="A9902" s="12"/>
    </row>
    <row r="9903" spans="1:1" x14ac:dyDescent="0.35">
      <c r="A9903" s="12"/>
    </row>
    <row r="9904" spans="1:1" x14ac:dyDescent="0.35">
      <c r="A9904" s="12"/>
    </row>
    <row r="9905" spans="1:1" x14ac:dyDescent="0.35">
      <c r="A9905" s="12"/>
    </row>
    <row r="9906" spans="1:1" x14ac:dyDescent="0.35">
      <c r="A9906" s="12"/>
    </row>
    <row r="9907" spans="1:1" x14ac:dyDescent="0.35">
      <c r="A9907" s="12"/>
    </row>
    <row r="9908" spans="1:1" x14ac:dyDescent="0.35">
      <c r="A9908" s="12"/>
    </row>
    <row r="9909" spans="1:1" x14ac:dyDescent="0.35">
      <c r="A9909" s="12"/>
    </row>
    <row r="9910" spans="1:1" x14ac:dyDescent="0.35">
      <c r="A9910" s="12"/>
    </row>
    <row r="9911" spans="1:1" x14ac:dyDescent="0.35">
      <c r="A9911" s="12"/>
    </row>
    <row r="9912" spans="1:1" x14ac:dyDescent="0.35">
      <c r="A9912" s="12"/>
    </row>
    <row r="9913" spans="1:1" x14ac:dyDescent="0.35">
      <c r="A9913" s="12"/>
    </row>
    <row r="9914" spans="1:1" x14ac:dyDescent="0.35">
      <c r="A9914" s="12"/>
    </row>
    <row r="9915" spans="1:1" x14ac:dyDescent="0.35">
      <c r="A9915" s="12"/>
    </row>
    <row r="9916" spans="1:1" x14ac:dyDescent="0.35">
      <c r="A9916" s="12"/>
    </row>
    <row r="9917" spans="1:1" x14ac:dyDescent="0.35">
      <c r="A9917" s="12"/>
    </row>
    <row r="9918" spans="1:1" x14ac:dyDescent="0.35">
      <c r="A9918" s="12"/>
    </row>
    <row r="9919" spans="1:1" x14ac:dyDescent="0.35">
      <c r="A9919" s="12"/>
    </row>
    <row r="9920" spans="1:1" x14ac:dyDescent="0.35">
      <c r="A9920" s="12"/>
    </row>
    <row r="9921" spans="1:1" x14ac:dyDescent="0.35">
      <c r="A9921" s="12"/>
    </row>
    <row r="9922" spans="1:1" x14ac:dyDescent="0.35">
      <c r="A9922" s="12"/>
    </row>
    <row r="9923" spans="1:1" x14ac:dyDescent="0.35">
      <c r="A9923" s="12"/>
    </row>
    <row r="9924" spans="1:1" x14ac:dyDescent="0.35">
      <c r="A9924" s="12"/>
    </row>
    <row r="9925" spans="1:1" x14ac:dyDescent="0.35">
      <c r="A9925" s="12"/>
    </row>
    <row r="9926" spans="1:1" x14ac:dyDescent="0.35">
      <c r="A9926" s="12"/>
    </row>
    <row r="9927" spans="1:1" x14ac:dyDescent="0.35">
      <c r="A9927" s="12"/>
    </row>
    <row r="9928" spans="1:1" x14ac:dyDescent="0.35">
      <c r="A9928" s="12"/>
    </row>
    <row r="9929" spans="1:1" x14ac:dyDescent="0.35">
      <c r="A9929" s="12"/>
    </row>
    <row r="9930" spans="1:1" x14ac:dyDescent="0.35">
      <c r="A9930" s="12"/>
    </row>
    <row r="9931" spans="1:1" x14ac:dyDescent="0.35">
      <c r="A9931" s="12"/>
    </row>
    <row r="9932" spans="1:1" x14ac:dyDescent="0.35">
      <c r="A9932" s="12"/>
    </row>
    <row r="9933" spans="1:1" x14ac:dyDescent="0.35">
      <c r="A9933" s="12"/>
    </row>
    <row r="9934" spans="1:1" x14ac:dyDescent="0.35">
      <c r="A9934" s="12"/>
    </row>
    <row r="9935" spans="1:1" x14ac:dyDescent="0.35">
      <c r="A9935" s="12"/>
    </row>
    <row r="9936" spans="1:1" x14ac:dyDescent="0.35">
      <c r="A9936" s="12"/>
    </row>
    <row r="9937" spans="1:1" x14ac:dyDescent="0.35">
      <c r="A9937" s="12"/>
    </row>
    <row r="9938" spans="1:1" x14ac:dyDescent="0.35">
      <c r="A9938" s="12"/>
    </row>
    <row r="9939" spans="1:1" x14ac:dyDescent="0.35">
      <c r="A9939" s="12"/>
    </row>
    <row r="9940" spans="1:1" x14ac:dyDescent="0.35">
      <c r="A9940" s="12"/>
    </row>
    <row r="9941" spans="1:1" x14ac:dyDescent="0.35">
      <c r="A9941" s="12"/>
    </row>
    <row r="9942" spans="1:1" x14ac:dyDescent="0.35">
      <c r="A9942" s="12"/>
    </row>
    <row r="9943" spans="1:1" x14ac:dyDescent="0.35">
      <c r="A9943" s="12"/>
    </row>
    <row r="9944" spans="1:1" x14ac:dyDescent="0.35">
      <c r="A9944" s="12"/>
    </row>
    <row r="9945" spans="1:1" x14ac:dyDescent="0.35">
      <c r="A9945" s="12"/>
    </row>
    <row r="9946" spans="1:1" x14ac:dyDescent="0.35">
      <c r="A9946" s="12"/>
    </row>
    <row r="9947" spans="1:1" x14ac:dyDescent="0.35">
      <c r="A9947" s="12"/>
    </row>
    <row r="9948" spans="1:1" x14ac:dyDescent="0.35">
      <c r="A9948" s="12"/>
    </row>
    <row r="9949" spans="1:1" x14ac:dyDescent="0.35">
      <c r="A9949" s="12"/>
    </row>
    <row r="9950" spans="1:1" x14ac:dyDescent="0.35">
      <c r="A9950" s="12"/>
    </row>
    <row r="9951" spans="1:1" x14ac:dyDescent="0.35">
      <c r="A9951" s="12"/>
    </row>
    <row r="9952" spans="1:1" x14ac:dyDescent="0.35">
      <c r="A9952" s="12"/>
    </row>
    <row r="9953" spans="1:1" x14ac:dyDescent="0.35">
      <c r="A9953" s="12"/>
    </row>
    <row r="9954" spans="1:1" x14ac:dyDescent="0.35">
      <c r="A9954" s="12"/>
    </row>
    <row r="9955" spans="1:1" x14ac:dyDescent="0.35">
      <c r="A9955" s="12"/>
    </row>
    <row r="9956" spans="1:1" x14ac:dyDescent="0.35">
      <c r="A9956" s="12"/>
    </row>
    <row r="9957" spans="1:1" x14ac:dyDescent="0.35">
      <c r="A9957" s="12"/>
    </row>
    <row r="9958" spans="1:1" x14ac:dyDescent="0.35">
      <c r="A9958" s="12"/>
    </row>
    <row r="9959" spans="1:1" x14ac:dyDescent="0.35">
      <c r="A9959" s="12"/>
    </row>
    <row r="9960" spans="1:1" x14ac:dyDescent="0.35">
      <c r="A9960" s="12"/>
    </row>
    <row r="9961" spans="1:1" x14ac:dyDescent="0.35">
      <c r="A9961" s="12"/>
    </row>
    <row r="9962" spans="1:1" x14ac:dyDescent="0.35">
      <c r="A9962" s="12"/>
    </row>
    <row r="9963" spans="1:1" x14ac:dyDescent="0.35">
      <c r="A9963" s="12"/>
    </row>
    <row r="9964" spans="1:1" x14ac:dyDescent="0.35">
      <c r="A9964" s="12"/>
    </row>
    <row r="9965" spans="1:1" x14ac:dyDescent="0.35">
      <c r="A9965" s="12"/>
    </row>
    <row r="9966" spans="1:1" x14ac:dyDescent="0.35">
      <c r="A9966" s="12"/>
    </row>
    <row r="9967" spans="1:1" x14ac:dyDescent="0.35">
      <c r="A9967" s="12"/>
    </row>
    <row r="9968" spans="1:1" x14ac:dyDescent="0.35">
      <c r="A9968" s="12"/>
    </row>
    <row r="9969" spans="1:1" x14ac:dyDescent="0.35">
      <c r="A9969" s="12"/>
    </row>
    <row r="9970" spans="1:1" x14ac:dyDescent="0.35">
      <c r="A9970" s="12"/>
    </row>
    <row r="9971" spans="1:1" x14ac:dyDescent="0.35">
      <c r="A9971" s="12"/>
    </row>
    <row r="9972" spans="1:1" x14ac:dyDescent="0.35">
      <c r="A9972" s="12"/>
    </row>
    <row r="9973" spans="1:1" x14ac:dyDescent="0.35">
      <c r="A9973" s="12"/>
    </row>
    <row r="9974" spans="1:1" x14ac:dyDescent="0.35">
      <c r="A9974" s="12"/>
    </row>
    <row r="9975" spans="1:1" x14ac:dyDescent="0.35">
      <c r="A9975" s="12"/>
    </row>
    <row r="9976" spans="1:1" x14ac:dyDescent="0.35">
      <c r="A9976" s="12"/>
    </row>
    <row r="9977" spans="1:1" x14ac:dyDescent="0.35">
      <c r="A9977" s="12"/>
    </row>
    <row r="9978" spans="1:1" x14ac:dyDescent="0.35">
      <c r="A9978" s="12"/>
    </row>
    <row r="9979" spans="1:1" x14ac:dyDescent="0.35">
      <c r="A9979" s="12"/>
    </row>
    <row r="9980" spans="1:1" x14ac:dyDescent="0.35">
      <c r="A9980" s="12"/>
    </row>
    <row r="9981" spans="1:1" x14ac:dyDescent="0.35">
      <c r="A9981" s="12"/>
    </row>
    <row r="9982" spans="1:1" x14ac:dyDescent="0.35">
      <c r="A9982" s="12"/>
    </row>
    <row r="9983" spans="1:1" x14ac:dyDescent="0.35">
      <c r="A9983" s="12"/>
    </row>
    <row r="9984" spans="1:1" x14ac:dyDescent="0.35">
      <c r="A9984" s="12"/>
    </row>
    <row r="9985" spans="1:1" x14ac:dyDescent="0.35">
      <c r="A9985" s="12"/>
    </row>
    <row r="9986" spans="1:1" x14ac:dyDescent="0.35">
      <c r="A9986" s="12"/>
    </row>
    <row r="9987" spans="1:1" x14ac:dyDescent="0.35">
      <c r="A9987" s="12"/>
    </row>
    <row r="9988" spans="1:1" x14ac:dyDescent="0.35">
      <c r="A9988" s="12"/>
    </row>
    <row r="9989" spans="1:1" x14ac:dyDescent="0.35">
      <c r="A9989" s="12"/>
    </row>
    <row r="9990" spans="1:1" x14ac:dyDescent="0.35">
      <c r="A9990" s="12"/>
    </row>
    <row r="9991" spans="1:1" x14ac:dyDescent="0.35">
      <c r="A9991" s="12"/>
    </row>
    <row r="9992" spans="1:1" x14ac:dyDescent="0.35">
      <c r="A9992" s="12"/>
    </row>
    <row r="9993" spans="1:1" x14ac:dyDescent="0.35">
      <c r="A9993" s="12"/>
    </row>
    <row r="9994" spans="1:1" x14ac:dyDescent="0.35">
      <c r="A9994" s="12"/>
    </row>
    <row r="9995" spans="1:1" x14ac:dyDescent="0.35">
      <c r="A9995" s="12"/>
    </row>
    <row r="9996" spans="1:1" x14ac:dyDescent="0.35">
      <c r="A9996" s="12"/>
    </row>
    <row r="9997" spans="1:1" x14ac:dyDescent="0.35">
      <c r="A9997" s="12"/>
    </row>
    <row r="9998" spans="1:1" x14ac:dyDescent="0.35">
      <c r="A9998" s="12"/>
    </row>
    <row r="9999" spans="1:1" x14ac:dyDescent="0.35">
      <c r="A9999" s="12"/>
    </row>
    <row r="10000" spans="1:1" x14ac:dyDescent="0.35">
      <c r="A10000" s="12"/>
    </row>
    <row r="10001" spans="1:1" x14ac:dyDescent="0.35">
      <c r="A10001" s="12"/>
    </row>
    <row r="10002" spans="1:1" x14ac:dyDescent="0.35">
      <c r="A10002" s="12"/>
    </row>
    <row r="10003" spans="1:1" x14ac:dyDescent="0.35">
      <c r="A10003" s="12"/>
    </row>
    <row r="10004" spans="1:1" x14ac:dyDescent="0.35">
      <c r="A10004" s="12"/>
    </row>
    <row r="10005" spans="1:1" x14ac:dyDescent="0.35">
      <c r="A10005" s="12"/>
    </row>
    <row r="10006" spans="1:1" x14ac:dyDescent="0.35">
      <c r="A10006" s="12"/>
    </row>
    <row r="10007" spans="1:1" x14ac:dyDescent="0.35">
      <c r="A10007" s="12"/>
    </row>
    <row r="10008" spans="1:1" x14ac:dyDescent="0.35">
      <c r="A10008" s="12"/>
    </row>
    <row r="10009" spans="1:1" x14ac:dyDescent="0.35">
      <c r="A10009" s="12"/>
    </row>
    <row r="10010" spans="1:1" x14ac:dyDescent="0.35">
      <c r="A10010" s="12"/>
    </row>
    <row r="10011" spans="1:1" x14ac:dyDescent="0.35">
      <c r="A10011" s="12"/>
    </row>
    <row r="10012" spans="1:1" x14ac:dyDescent="0.35">
      <c r="A10012" s="12"/>
    </row>
    <row r="10013" spans="1:1" x14ac:dyDescent="0.35">
      <c r="A10013" s="12"/>
    </row>
    <row r="10014" spans="1:1" x14ac:dyDescent="0.35">
      <c r="A10014" s="12"/>
    </row>
    <row r="10015" spans="1:1" x14ac:dyDescent="0.35">
      <c r="A10015" s="12"/>
    </row>
    <row r="10016" spans="1:1" x14ac:dyDescent="0.35">
      <c r="A10016" s="12"/>
    </row>
    <row r="10017" spans="1:1" x14ac:dyDescent="0.35">
      <c r="A10017" s="12"/>
    </row>
    <row r="10018" spans="1:1" x14ac:dyDescent="0.35">
      <c r="A10018" s="12"/>
    </row>
    <row r="10019" spans="1:1" x14ac:dyDescent="0.35">
      <c r="A10019" s="12"/>
    </row>
    <row r="10020" spans="1:1" x14ac:dyDescent="0.35">
      <c r="A10020" s="12"/>
    </row>
    <row r="10021" spans="1:1" x14ac:dyDescent="0.35">
      <c r="A10021" s="12"/>
    </row>
    <row r="10022" spans="1:1" x14ac:dyDescent="0.35">
      <c r="A10022" s="12"/>
    </row>
    <row r="10023" spans="1:1" x14ac:dyDescent="0.35">
      <c r="A10023" s="12"/>
    </row>
    <row r="10024" spans="1:1" x14ac:dyDescent="0.35">
      <c r="A10024" s="12"/>
    </row>
    <row r="10025" spans="1:1" x14ac:dyDescent="0.35">
      <c r="A10025" s="12"/>
    </row>
    <row r="10026" spans="1:1" x14ac:dyDescent="0.35">
      <c r="A10026" s="12"/>
    </row>
    <row r="10027" spans="1:1" x14ac:dyDescent="0.35">
      <c r="A10027" s="12"/>
    </row>
    <row r="10028" spans="1:1" x14ac:dyDescent="0.35">
      <c r="A10028" s="12"/>
    </row>
    <row r="10029" spans="1:1" x14ac:dyDescent="0.35">
      <c r="A10029" s="12"/>
    </row>
    <row r="10030" spans="1:1" x14ac:dyDescent="0.35">
      <c r="A10030" s="12"/>
    </row>
    <row r="10031" spans="1:1" x14ac:dyDescent="0.35">
      <c r="A10031" s="12"/>
    </row>
    <row r="10032" spans="1:1" x14ac:dyDescent="0.35">
      <c r="A10032" s="12"/>
    </row>
    <row r="10033" spans="1:1" x14ac:dyDescent="0.35">
      <c r="A10033" s="12"/>
    </row>
    <row r="10034" spans="1:1" x14ac:dyDescent="0.35">
      <c r="A10034" s="12"/>
    </row>
    <row r="10035" spans="1:1" x14ac:dyDescent="0.35">
      <c r="A10035" s="12"/>
    </row>
    <row r="10036" spans="1:1" x14ac:dyDescent="0.35">
      <c r="A10036" s="12"/>
    </row>
    <row r="10037" spans="1:1" x14ac:dyDescent="0.35">
      <c r="A10037" s="12"/>
    </row>
    <row r="10038" spans="1:1" x14ac:dyDescent="0.35">
      <c r="A10038" s="12"/>
    </row>
    <row r="10039" spans="1:1" x14ac:dyDescent="0.35">
      <c r="A10039" s="12"/>
    </row>
    <row r="10040" spans="1:1" x14ac:dyDescent="0.35">
      <c r="A10040" s="12"/>
    </row>
    <row r="10041" spans="1:1" x14ac:dyDescent="0.35">
      <c r="A10041" s="12"/>
    </row>
    <row r="10042" spans="1:1" x14ac:dyDescent="0.35">
      <c r="A10042" s="12"/>
    </row>
    <row r="10043" spans="1:1" x14ac:dyDescent="0.35">
      <c r="A10043" s="12"/>
    </row>
    <row r="10044" spans="1:1" x14ac:dyDescent="0.35">
      <c r="A10044" s="12"/>
    </row>
    <row r="10045" spans="1:1" x14ac:dyDescent="0.35">
      <c r="A10045" s="12"/>
    </row>
    <row r="10046" spans="1:1" x14ac:dyDescent="0.35">
      <c r="A10046" s="12"/>
    </row>
    <row r="10047" spans="1:1" x14ac:dyDescent="0.35">
      <c r="A10047" s="12"/>
    </row>
    <row r="10048" spans="1:1" x14ac:dyDescent="0.35">
      <c r="A10048" s="12"/>
    </row>
    <row r="10049" spans="1:1" x14ac:dyDescent="0.35">
      <c r="A10049" s="12"/>
    </row>
    <row r="10050" spans="1:1" x14ac:dyDescent="0.35">
      <c r="A10050" s="12"/>
    </row>
    <row r="10051" spans="1:1" x14ac:dyDescent="0.35">
      <c r="A10051" s="12"/>
    </row>
    <row r="10052" spans="1:1" x14ac:dyDescent="0.35">
      <c r="A10052" s="12"/>
    </row>
    <row r="10053" spans="1:1" x14ac:dyDescent="0.35">
      <c r="A10053" s="12"/>
    </row>
    <row r="10054" spans="1:1" x14ac:dyDescent="0.35">
      <c r="A10054" s="12"/>
    </row>
    <row r="10055" spans="1:1" x14ac:dyDescent="0.35">
      <c r="A10055" s="12"/>
    </row>
    <row r="10056" spans="1:1" x14ac:dyDescent="0.35">
      <c r="A10056" s="12"/>
    </row>
    <row r="10057" spans="1:1" x14ac:dyDescent="0.35">
      <c r="A10057" s="12"/>
    </row>
    <row r="10058" spans="1:1" x14ac:dyDescent="0.35">
      <c r="A10058" s="12"/>
    </row>
    <row r="10059" spans="1:1" x14ac:dyDescent="0.35">
      <c r="A10059" s="12"/>
    </row>
    <row r="10060" spans="1:1" x14ac:dyDescent="0.35">
      <c r="A10060" s="12"/>
    </row>
    <row r="10061" spans="1:1" x14ac:dyDescent="0.35">
      <c r="A10061" s="12"/>
    </row>
    <row r="10062" spans="1:1" x14ac:dyDescent="0.35">
      <c r="A10062" s="12"/>
    </row>
    <row r="10063" spans="1:1" x14ac:dyDescent="0.35">
      <c r="A10063" s="12"/>
    </row>
    <row r="10064" spans="1:1" x14ac:dyDescent="0.35">
      <c r="A10064" s="12"/>
    </row>
    <row r="10065" spans="1:1" x14ac:dyDescent="0.35">
      <c r="A10065" s="12"/>
    </row>
    <row r="10066" spans="1:1" x14ac:dyDescent="0.35">
      <c r="A10066" s="12"/>
    </row>
    <row r="10067" spans="1:1" x14ac:dyDescent="0.35">
      <c r="A10067" s="12"/>
    </row>
    <row r="10068" spans="1:1" x14ac:dyDescent="0.35">
      <c r="A10068" s="12"/>
    </row>
    <row r="10069" spans="1:1" x14ac:dyDescent="0.35">
      <c r="A10069" s="12"/>
    </row>
    <row r="10070" spans="1:1" x14ac:dyDescent="0.35">
      <c r="A10070" s="12"/>
    </row>
    <row r="10071" spans="1:1" x14ac:dyDescent="0.35">
      <c r="A10071" s="12"/>
    </row>
    <row r="10072" spans="1:1" x14ac:dyDescent="0.35">
      <c r="A10072" s="12"/>
    </row>
    <row r="10073" spans="1:1" x14ac:dyDescent="0.35">
      <c r="A10073" s="12"/>
    </row>
    <row r="10074" spans="1:1" x14ac:dyDescent="0.35">
      <c r="A10074" s="12"/>
    </row>
    <row r="10075" spans="1:1" x14ac:dyDescent="0.35">
      <c r="A10075" s="12"/>
    </row>
    <row r="10076" spans="1:1" x14ac:dyDescent="0.35">
      <c r="A10076" s="12"/>
    </row>
    <row r="10077" spans="1:1" x14ac:dyDescent="0.35">
      <c r="A10077" s="12"/>
    </row>
    <row r="10078" spans="1:1" x14ac:dyDescent="0.35">
      <c r="A10078" s="12"/>
    </row>
    <row r="10079" spans="1:1" x14ac:dyDescent="0.35">
      <c r="A10079" s="12"/>
    </row>
    <row r="10080" spans="1:1" x14ac:dyDescent="0.35">
      <c r="A10080" s="12"/>
    </row>
    <row r="10081" spans="1:1" x14ac:dyDescent="0.35">
      <c r="A10081" s="12"/>
    </row>
    <row r="10082" spans="1:1" x14ac:dyDescent="0.35">
      <c r="A10082" s="12"/>
    </row>
    <row r="10083" spans="1:1" x14ac:dyDescent="0.35">
      <c r="A10083" s="12"/>
    </row>
    <row r="10084" spans="1:1" x14ac:dyDescent="0.35">
      <c r="A10084" s="12"/>
    </row>
    <row r="10085" spans="1:1" x14ac:dyDescent="0.35">
      <c r="A10085" s="12"/>
    </row>
    <row r="10086" spans="1:1" x14ac:dyDescent="0.35">
      <c r="A10086" s="12"/>
    </row>
    <row r="10087" spans="1:1" x14ac:dyDescent="0.35">
      <c r="A10087" s="12"/>
    </row>
    <row r="10088" spans="1:1" x14ac:dyDescent="0.35">
      <c r="A10088" s="12"/>
    </row>
    <row r="10089" spans="1:1" x14ac:dyDescent="0.35">
      <c r="A10089" s="12"/>
    </row>
    <row r="10090" spans="1:1" x14ac:dyDescent="0.35">
      <c r="A10090" s="12"/>
    </row>
    <row r="10091" spans="1:1" x14ac:dyDescent="0.35">
      <c r="A10091" s="12"/>
    </row>
    <row r="10092" spans="1:1" x14ac:dyDescent="0.35">
      <c r="A10092" s="12"/>
    </row>
    <row r="10093" spans="1:1" x14ac:dyDescent="0.35">
      <c r="A10093" s="12"/>
    </row>
    <row r="10094" spans="1:1" x14ac:dyDescent="0.35">
      <c r="A10094" s="12"/>
    </row>
    <row r="10095" spans="1:1" x14ac:dyDescent="0.35">
      <c r="A10095" s="12"/>
    </row>
    <row r="10096" spans="1:1" x14ac:dyDescent="0.35">
      <c r="A10096" s="12"/>
    </row>
    <row r="10097" spans="1:1" x14ac:dyDescent="0.35">
      <c r="A10097" s="12"/>
    </row>
    <row r="10098" spans="1:1" x14ac:dyDescent="0.35">
      <c r="A10098" s="12"/>
    </row>
    <row r="10099" spans="1:1" x14ac:dyDescent="0.35">
      <c r="A10099" s="12"/>
    </row>
    <row r="10100" spans="1:1" x14ac:dyDescent="0.35">
      <c r="A10100" s="12"/>
    </row>
    <row r="10101" spans="1:1" x14ac:dyDescent="0.35">
      <c r="A10101" s="12"/>
    </row>
    <row r="10102" spans="1:1" x14ac:dyDescent="0.35">
      <c r="A10102" s="12"/>
    </row>
    <row r="10103" spans="1:1" x14ac:dyDescent="0.35">
      <c r="A10103" s="12"/>
    </row>
    <row r="10104" spans="1:1" x14ac:dyDescent="0.35">
      <c r="A10104" s="12"/>
    </row>
    <row r="10105" spans="1:1" x14ac:dyDescent="0.35">
      <c r="A10105" s="12"/>
    </row>
    <row r="10106" spans="1:1" x14ac:dyDescent="0.35">
      <c r="A10106" s="12"/>
    </row>
    <row r="10107" spans="1:1" x14ac:dyDescent="0.35">
      <c r="A10107" s="12"/>
    </row>
    <row r="10108" spans="1:1" x14ac:dyDescent="0.35">
      <c r="A10108" s="12"/>
    </row>
    <row r="10109" spans="1:1" x14ac:dyDescent="0.35">
      <c r="A10109" s="12"/>
    </row>
    <row r="10110" spans="1:1" x14ac:dyDescent="0.35">
      <c r="A10110" s="12"/>
    </row>
    <row r="10111" spans="1:1" x14ac:dyDescent="0.35">
      <c r="A10111" s="12"/>
    </row>
    <row r="10112" spans="1:1" x14ac:dyDescent="0.35">
      <c r="A10112" s="12"/>
    </row>
    <row r="10113" spans="1:1" x14ac:dyDescent="0.35">
      <c r="A10113" s="12"/>
    </row>
    <row r="10114" spans="1:1" x14ac:dyDescent="0.35">
      <c r="A10114" s="12"/>
    </row>
    <row r="10115" spans="1:1" x14ac:dyDescent="0.35">
      <c r="A10115" s="12"/>
    </row>
    <row r="10116" spans="1:1" x14ac:dyDescent="0.35">
      <c r="A10116" s="12"/>
    </row>
    <row r="10117" spans="1:1" x14ac:dyDescent="0.35">
      <c r="A10117" s="12"/>
    </row>
    <row r="10118" spans="1:1" x14ac:dyDescent="0.35">
      <c r="A10118" s="12"/>
    </row>
    <row r="10119" spans="1:1" x14ac:dyDescent="0.35">
      <c r="A10119" s="12"/>
    </row>
    <row r="10120" spans="1:1" x14ac:dyDescent="0.35">
      <c r="A10120" s="12"/>
    </row>
    <row r="10121" spans="1:1" x14ac:dyDescent="0.35">
      <c r="A10121" s="12"/>
    </row>
    <row r="10122" spans="1:1" x14ac:dyDescent="0.35">
      <c r="A10122" s="12"/>
    </row>
    <row r="10123" spans="1:1" x14ac:dyDescent="0.35">
      <c r="A10123" s="12"/>
    </row>
    <row r="10124" spans="1:1" x14ac:dyDescent="0.35">
      <c r="A10124" s="12"/>
    </row>
    <row r="10125" spans="1:1" x14ac:dyDescent="0.35">
      <c r="A10125" s="12"/>
    </row>
    <row r="10126" spans="1:1" x14ac:dyDescent="0.35">
      <c r="A10126" s="12"/>
    </row>
    <row r="10127" spans="1:1" x14ac:dyDescent="0.35">
      <c r="A10127" s="12"/>
    </row>
    <row r="10128" spans="1:1" x14ac:dyDescent="0.35">
      <c r="A10128" s="12"/>
    </row>
    <row r="10129" spans="1:1" x14ac:dyDescent="0.35">
      <c r="A10129" s="12"/>
    </row>
    <row r="10130" spans="1:1" x14ac:dyDescent="0.35">
      <c r="A10130" s="12"/>
    </row>
    <row r="10131" spans="1:1" x14ac:dyDescent="0.35">
      <c r="A10131" s="12"/>
    </row>
    <row r="10132" spans="1:1" x14ac:dyDescent="0.35">
      <c r="A10132" s="12"/>
    </row>
    <row r="10133" spans="1:1" x14ac:dyDescent="0.35">
      <c r="A10133" s="12"/>
    </row>
    <row r="10134" spans="1:1" x14ac:dyDescent="0.35">
      <c r="A10134" s="12"/>
    </row>
    <row r="10135" spans="1:1" x14ac:dyDescent="0.35">
      <c r="A10135" s="12"/>
    </row>
    <row r="10136" spans="1:1" x14ac:dyDescent="0.35">
      <c r="A10136" s="12"/>
    </row>
    <row r="10137" spans="1:1" x14ac:dyDescent="0.35">
      <c r="A10137" s="12"/>
    </row>
    <row r="10138" spans="1:1" x14ac:dyDescent="0.35">
      <c r="A10138" s="12"/>
    </row>
    <row r="10139" spans="1:1" x14ac:dyDescent="0.35">
      <c r="A10139" s="12"/>
    </row>
    <row r="10140" spans="1:1" x14ac:dyDescent="0.35">
      <c r="A10140" s="12"/>
    </row>
    <row r="10141" spans="1:1" x14ac:dyDescent="0.35">
      <c r="A10141" s="12"/>
    </row>
    <row r="10142" spans="1:1" x14ac:dyDescent="0.35">
      <c r="A10142" s="12"/>
    </row>
    <row r="10143" spans="1:1" x14ac:dyDescent="0.35">
      <c r="A10143" s="12"/>
    </row>
    <row r="10144" spans="1:1" x14ac:dyDescent="0.35">
      <c r="A10144" s="12"/>
    </row>
    <row r="10145" spans="1:1" x14ac:dyDescent="0.35">
      <c r="A10145" s="12"/>
    </row>
    <row r="10146" spans="1:1" x14ac:dyDescent="0.35">
      <c r="A10146" s="12"/>
    </row>
    <row r="10147" spans="1:1" x14ac:dyDescent="0.35">
      <c r="A10147" s="12"/>
    </row>
    <row r="10148" spans="1:1" x14ac:dyDescent="0.35">
      <c r="A10148" s="12"/>
    </row>
    <row r="10149" spans="1:1" x14ac:dyDescent="0.35">
      <c r="A10149" s="12"/>
    </row>
    <row r="10150" spans="1:1" x14ac:dyDescent="0.35">
      <c r="A10150" s="12"/>
    </row>
    <row r="10151" spans="1:1" x14ac:dyDescent="0.35">
      <c r="A10151" s="12"/>
    </row>
    <row r="10152" spans="1:1" x14ac:dyDescent="0.35">
      <c r="A10152" s="12"/>
    </row>
    <row r="10153" spans="1:1" x14ac:dyDescent="0.35">
      <c r="A10153" s="12"/>
    </row>
    <row r="10154" spans="1:1" x14ac:dyDescent="0.35">
      <c r="A10154" s="12"/>
    </row>
    <row r="10155" spans="1:1" x14ac:dyDescent="0.35">
      <c r="A10155" s="12"/>
    </row>
    <row r="10156" spans="1:1" x14ac:dyDescent="0.35">
      <c r="A10156" s="12"/>
    </row>
    <row r="10157" spans="1:1" x14ac:dyDescent="0.35">
      <c r="A10157" s="12"/>
    </row>
    <row r="10158" spans="1:1" x14ac:dyDescent="0.35">
      <c r="A10158" s="12"/>
    </row>
    <row r="10159" spans="1:1" x14ac:dyDescent="0.35">
      <c r="A10159" s="12"/>
    </row>
    <row r="10160" spans="1:1" x14ac:dyDescent="0.35">
      <c r="A10160" s="12"/>
    </row>
    <row r="10161" spans="1:1" x14ac:dyDescent="0.35">
      <c r="A10161" s="12"/>
    </row>
    <row r="10162" spans="1:1" x14ac:dyDescent="0.35">
      <c r="A10162" s="12"/>
    </row>
    <row r="10163" spans="1:1" x14ac:dyDescent="0.35">
      <c r="A10163" s="12"/>
    </row>
    <row r="10164" spans="1:1" x14ac:dyDescent="0.35">
      <c r="A10164" s="12"/>
    </row>
    <row r="10165" spans="1:1" x14ac:dyDescent="0.35">
      <c r="A10165" s="12"/>
    </row>
    <row r="10166" spans="1:1" x14ac:dyDescent="0.35">
      <c r="A10166" s="12"/>
    </row>
    <row r="10167" spans="1:1" x14ac:dyDescent="0.35">
      <c r="A10167" s="12"/>
    </row>
    <row r="10168" spans="1:1" x14ac:dyDescent="0.35">
      <c r="A10168" s="12"/>
    </row>
    <row r="10169" spans="1:1" x14ac:dyDescent="0.35">
      <c r="A10169" s="12"/>
    </row>
    <row r="10170" spans="1:1" x14ac:dyDescent="0.35">
      <c r="A10170" s="12"/>
    </row>
    <row r="10171" spans="1:1" x14ac:dyDescent="0.35">
      <c r="A10171" s="12"/>
    </row>
    <row r="10172" spans="1:1" x14ac:dyDescent="0.35">
      <c r="A10172" s="12"/>
    </row>
    <row r="10173" spans="1:1" x14ac:dyDescent="0.35">
      <c r="A10173" s="12"/>
    </row>
    <row r="10174" spans="1:1" x14ac:dyDescent="0.35">
      <c r="A10174" s="12"/>
    </row>
    <row r="10175" spans="1:1" x14ac:dyDescent="0.35">
      <c r="A10175" s="12"/>
    </row>
    <row r="10176" spans="1:1" x14ac:dyDescent="0.35">
      <c r="A10176" s="12"/>
    </row>
    <row r="10177" spans="1:1" x14ac:dyDescent="0.35">
      <c r="A10177" s="12"/>
    </row>
    <row r="10178" spans="1:1" x14ac:dyDescent="0.35">
      <c r="A10178" s="12"/>
    </row>
    <row r="10179" spans="1:1" x14ac:dyDescent="0.35">
      <c r="A10179" s="12"/>
    </row>
    <row r="10180" spans="1:1" x14ac:dyDescent="0.35">
      <c r="A10180" s="12"/>
    </row>
    <row r="10181" spans="1:1" x14ac:dyDescent="0.35">
      <c r="A10181" s="12"/>
    </row>
    <row r="10182" spans="1:1" x14ac:dyDescent="0.35">
      <c r="A10182" s="12"/>
    </row>
    <row r="10183" spans="1:1" x14ac:dyDescent="0.35">
      <c r="A10183" s="12"/>
    </row>
    <row r="10184" spans="1:1" x14ac:dyDescent="0.35">
      <c r="A10184" s="12"/>
    </row>
    <row r="10185" spans="1:1" x14ac:dyDescent="0.35">
      <c r="A10185" s="12"/>
    </row>
    <row r="10186" spans="1:1" x14ac:dyDescent="0.35">
      <c r="A10186" s="12"/>
    </row>
    <row r="10187" spans="1:1" x14ac:dyDescent="0.35">
      <c r="A10187" s="12"/>
    </row>
    <row r="10188" spans="1:1" x14ac:dyDescent="0.35">
      <c r="A10188" s="12"/>
    </row>
    <row r="10189" spans="1:1" x14ac:dyDescent="0.35">
      <c r="A10189" s="12"/>
    </row>
    <row r="10190" spans="1:1" x14ac:dyDescent="0.35">
      <c r="A10190" s="12"/>
    </row>
    <row r="10191" spans="1:1" x14ac:dyDescent="0.35">
      <c r="A10191" s="12"/>
    </row>
    <row r="10192" spans="1:1" x14ac:dyDescent="0.35">
      <c r="A10192" s="12"/>
    </row>
    <row r="10193" spans="1:1" x14ac:dyDescent="0.35">
      <c r="A10193" s="12"/>
    </row>
    <row r="10194" spans="1:1" x14ac:dyDescent="0.35">
      <c r="A10194" s="12"/>
    </row>
    <row r="10195" spans="1:1" x14ac:dyDescent="0.35">
      <c r="A10195" s="12"/>
    </row>
    <row r="10196" spans="1:1" x14ac:dyDescent="0.35">
      <c r="A10196" s="12"/>
    </row>
    <row r="10197" spans="1:1" x14ac:dyDescent="0.35">
      <c r="A10197" s="12"/>
    </row>
    <row r="10198" spans="1:1" x14ac:dyDescent="0.35">
      <c r="A10198" s="12"/>
    </row>
    <row r="10199" spans="1:1" x14ac:dyDescent="0.35">
      <c r="A10199" s="12"/>
    </row>
    <row r="10200" spans="1:1" x14ac:dyDescent="0.35">
      <c r="A10200" s="12"/>
    </row>
    <row r="10201" spans="1:1" x14ac:dyDescent="0.35">
      <c r="A10201" s="12"/>
    </row>
    <row r="10202" spans="1:1" x14ac:dyDescent="0.35">
      <c r="A10202" s="12"/>
    </row>
    <row r="10203" spans="1:1" x14ac:dyDescent="0.35">
      <c r="A10203" s="12"/>
    </row>
    <row r="10204" spans="1:1" x14ac:dyDescent="0.35">
      <c r="A10204" s="12"/>
    </row>
    <row r="10205" spans="1:1" x14ac:dyDescent="0.35">
      <c r="A10205" s="12"/>
    </row>
    <row r="10206" spans="1:1" x14ac:dyDescent="0.35">
      <c r="A10206" s="12"/>
    </row>
    <row r="10207" spans="1:1" x14ac:dyDescent="0.35">
      <c r="A10207" s="12"/>
    </row>
    <row r="10208" spans="1:1" x14ac:dyDescent="0.35">
      <c r="A10208" s="12"/>
    </row>
    <row r="10209" spans="1:1" x14ac:dyDescent="0.35">
      <c r="A10209" s="12"/>
    </row>
    <row r="10210" spans="1:1" x14ac:dyDescent="0.35">
      <c r="A10210" s="12"/>
    </row>
    <row r="10211" spans="1:1" x14ac:dyDescent="0.35">
      <c r="A10211" s="12"/>
    </row>
    <row r="10212" spans="1:1" x14ac:dyDescent="0.35">
      <c r="A10212" s="12"/>
    </row>
    <row r="10213" spans="1:1" x14ac:dyDescent="0.35">
      <c r="A10213" s="12"/>
    </row>
    <row r="10214" spans="1:1" x14ac:dyDescent="0.35">
      <c r="A10214" s="12"/>
    </row>
    <row r="10215" spans="1:1" x14ac:dyDescent="0.35">
      <c r="A10215" s="12"/>
    </row>
    <row r="10216" spans="1:1" x14ac:dyDescent="0.35">
      <c r="A10216" s="12"/>
    </row>
    <row r="10217" spans="1:1" x14ac:dyDescent="0.35">
      <c r="A10217" s="12"/>
    </row>
    <row r="10218" spans="1:1" x14ac:dyDescent="0.35">
      <c r="A10218" s="12"/>
    </row>
    <row r="10219" spans="1:1" x14ac:dyDescent="0.35">
      <c r="A10219" s="12"/>
    </row>
    <row r="10220" spans="1:1" x14ac:dyDescent="0.35">
      <c r="A10220" s="12"/>
    </row>
    <row r="10221" spans="1:1" x14ac:dyDescent="0.35">
      <c r="A10221" s="12"/>
    </row>
    <row r="10222" spans="1:1" x14ac:dyDescent="0.35">
      <c r="A10222" s="12"/>
    </row>
    <row r="10223" spans="1:1" x14ac:dyDescent="0.35">
      <c r="A10223" s="12"/>
    </row>
    <row r="10224" spans="1:1" x14ac:dyDescent="0.35">
      <c r="A10224" s="12"/>
    </row>
    <row r="10225" spans="1:1" x14ac:dyDescent="0.35">
      <c r="A10225" s="12"/>
    </row>
    <row r="10226" spans="1:1" x14ac:dyDescent="0.35">
      <c r="A10226" s="12"/>
    </row>
    <row r="10227" spans="1:1" x14ac:dyDescent="0.35">
      <c r="A10227" s="12"/>
    </row>
    <row r="10228" spans="1:1" x14ac:dyDescent="0.35">
      <c r="A10228" s="12"/>
    </row>
    <row r="10229" spans="1:1" x14ac:dyDescent="0.35">
      <c r="A10229" s="12"/>
    </row>
    <row r="10230" spans="1:1" x14ac:dyDescent="0.35">
      <c r="A10230" s="12"/>
    </row>
    <row r="10231" spans="1:1" x14ac:dyDescent="0.35">
      <c r="A10231" s="12"/>
    </row>
    <row r="10232" spans="1:1" x14ac:dyDescent="0.35">
      <c r="A10232" s="12"/>
    </row>
    <row r="10233" spans="1:1" x14ac:dyDescent="0.35">
      <c r="A10233" s="12"/>
    </row>
    <row r="10234" spans="1:1" x14ac:dyDescent="0.35">
      <c r="A10234" s="12"/>
    </row>
    <row r="10235" spans="1:1" x14ac:dyDescent="0.35">
      <c r="A10235" s="12"/>
    </row>
    <row r="10236" spans="1:1" x14ac:dyDescent="0.35">
      <c r="A10236" s="12"/>
    </row>
    <row r="10237" spans="1:1" x14ac:dyDescent="0.35">
      <c r="A10237" s="12"/>
    </row>
    <row r="10238" spans="1:1" x14ac:dyDescent="0.35">
      <c r="A10238" s="12"/>
    </row>
    <row r="10239" spans="1:1" x14ac:dyDescent="0.35">
      <c r="A10239" s="12"/>
    </row>
    <row r="10240" spans="1:1" x14ac:dyDescent="0.35">
      <c r="A10240" s="12"/>
    </row>
    <row r="10241" spans="1:1" x14ac:dyDescent="0.35">
      <c r="A10241" s="12"/>
    </row>
    <row r="10242" spans="1:1" x14ac:dyDescent="0.35">
      <c r="A10242" s="12"/>
    </row>
    <row r="10243" spans="1:1" x14ac:dyDescent="0.35">
      <c r="A10243" s="12"/>
    </row>
    <row r="10244" spans="1:1" x14ac:dyDescent="0.35">
      <c r="A10244" s="12"/>
    </row>
    <row r="10245" spans="1:1" x14ac:dyDescent="0.35">
      <c r="A10245" s="12"/>
    </row>
    <row r="10246" spans="1:1" x14ac:dyDescent="0.35">
      <c r="A10246" s="12"/>
    </row>
    <row r="10247" spans="1:1" x14ac:dyDescent="0.35">
      <c r="A10247" s="12"/>
    </row>
    <row r="10248" spans="1:1" x14ac:dyDescent="0.35">
      <c r="A10248" s="12"/>
    </row>
    <row r="10249" spans="1:1" x14ac:dyDescent="0.35">
      <c r="A10249" s="12"/>
    </row>
    <row r="10250" spans="1:1" x14ac:dyDescent="0.35">
      <c r="A10250" s="12"/>
    </row>
    <row r="10251" spans="1:1" x14ac:dyDescent="0.35">
      <c r="A10251" s="12"/>
    </row>
    <row r="10252" spans="1:1" x14ac:dyDescent="0.35">
      <c r="A10252" s="12"/>
    </row>
    <row r="10253" spans="1:1" x14ac:dyDescent="0.35">
      <c r="A10253" s="12"/>
    </row>
    <row r="10254" spans="1:1" x14ac:dyDescent="0.35">
      <c r="A10254" s="12"/>
    </row>
    <row r="10255" spans="1:1" x14ac:dyDescent="0.35">
      <c r="A10255" s="12"/>
    </row>
    <row r="10256" spans="1:1" x14ac:dyDescent="0.35">
      <c r="A10256" s="12"/>
    </row>
    <row r="10257" spans="1:1" x14ac:dyDescent="0.35">
      <c r="A10257" s="12"/>
    </row>
    <row r="10258" spans="1:1" x14ac:dyDescent="0.35">
      <c r="A10258" s="12"/>
    </row>
    <row r="10259" spans="1:1" x14ac:dyDescent="0.35">
      <c r="A10259" s="12"/>
    </row>
    <row r="10260" spans="1:1" x14ac:dyDescent="0.35">
      <c r="A10260" s="12"/>
    </row>
    <row r="10261" spans="1:1" x14ac:dyDescent="0.35">
      <c r="A10261" s="12"/>
    </row>
    <row r="10262" spans="1:1" x14ac:dyDescent="0.35">
      <c r="A10262" s="12"/>
    </row>
    <row r="10263" spans="1:1" x14ac:dyDescent="0.35">
      <c r="A10263" s="12"/>
    </row>
    <row r="10264" spans="1:1" x14ac:dyDescent="0.35">
      <c r="A10264" s="12"/>
    </row>
    <row r="10265" spans="1:1" x14ac:dyDescent="0.35">
      <c r="A10265" s="12"/>
    </row>
    <row r="10266" spans="1:1" x14ac:dyDescent="0.35">
      <c r="A10266" s="12"/>
    </row>
    <row r="10267" spans="1:1" x14ac:dyDescent="0.35">
      <c r="A10267" s="12"/>
    </row>
    <row r="10268" spans="1:1" x14ac:dyDescent="0.35">
      <c r="A10268" s="12"/>
    </row>
    <row r="10269" spans="1:1" x14ac:dyDescent="0.35">
      <c r="A10269" s="12"/>
    </row>
    <row r="10270" spans="1:1" x14ac:dyDescent="0.35">
      <c r="A10270" s="12"/>
    </row>
    <row r="10271" spans="1:1" x14ac:dyDescent="0.35">
      <c r="A10271" s="12"/>
    </row>
    <row r="10272" spans="1:1" x14ac:dyDescent="0.35">
      <c r="A10272" s="12"/>
    </row>
    <row r="10273" spans="1:1" x14ac:dyDescent="0.35">
      <c r="A10273" s="12"/>
    </row>
    <row r="10274" spans="1:1" x14ac:dyDescent="0.35">
      <c r="A10274" s="12"/>
    </row>
    <row r="10275" spans="1:1" x14ac:dyDescent="0.35">
      <c r="A10275" s="12"/>
    </row>
    <row r="10276" spans="1:1" x14ac:dyDescent="0.35">
      <c r="A10276" s="12"/>
    </row>
    <row r="10277" spans="1:1" x14ac:dyDescent="0.35">
      <c r="A10277" s="12"/>
    </row>
    <row r="10278" spans="1:1" x14ac:dyDescent="0.35">
      <c r="A10278" s="12"/>
    </row>
    <row r="10279" spans="1:1" x14ac:dyDescent="0.35">
      <c r="A10279" s="12"/>
    </row>
    <row r="10280" spans="1:1" x14ac:dyDescent="0.35">
      <c r="A10280" s="12"/>
    </row>
    <row r="10281" spans="1:1" x14ac:dyDescent="0.35">
      <c r="A10281" s="12"/>
    </row>
    <row r="10282" spans="1:1" x14ac:dyDescent="0.35">
      <c r="A10282" s="12"/>
    </row>
    <row r="10283" spans="1:1" x14ac:dyDescent="0.35">
      <c r="A10283" s="12"/>
    </row>
    <row r="10284" spans="1:1" x14ac:dyDescent="0.35">
      <c r="A10284" s="12"/>
    </row>
    <row r="10285" spans="1:1" x14ac:dyDescent="0.35">
      <c r="A10285" s="12"/>
    </row>
    <row r="10286" spans="1:1" x14ac:dyDescent="0.35">
      <c r="A10286" s="12"/>
    </row>
    <row r="10287" spans="1:1" x14ac:dyDescent="0.35">
      <c r="A10287" s="12"/>
    </row>
    <row r="10288" spans="1:1" x14ac:dyDescent="0.35">
      <c r="A10288" s="12"/>
    </row>
    <row r="10289" spans="1:1" x14ac:dyDescent="0.35">
      <c r="A10289" s="12"/>
    </row>
    <row r="10290" spans="1:1" x14ac:dyDescent="0.35">
      <c r="A10290" s="12"/>
    </row>
    <row r="10291" spans="1:1" x14ac:dyDescent="0.35">
      <c r="A10291" s="12"/>
    </row>
    <row r="10292" spans="1:1" x14ac:dyDescent="0.35">
      <c r="A10292" s="12"/>
    </row>
    <row r="10293" spans="1:1" x14ac:dyDescent="0.35">
      <c r="A10293" s="12"/>
    </row>
    <row r="10294" spans="1:1" x14ac:dyDescent="0.35">
      <c r="A10294" s="12"/>
    </row>
    <row r="10295" spans="1:1" x14ac:dyDescent="0.35">
      <c r="A10295" s="12"/>
    </row>
    <row r="10296" spans="1:1" x14ac:dyDescent="0.35">
      <c r="A10296" s="12"/>
    </row>
    <row r="10297" spans="1:1" x14ac:dyDescent="0.35">
      <c r="A10297" s="12"/>
    </row>
    <row r="10298" spans="1:1" x14ac:dyDescent="0.35">
      <c r="A10298" s="12"/>
    </row>
    <row r="10299" spans="1:1" x14ac:dyDescent="0.35">
      <c r="A10299" s="12"/>
    </row>
    <row r="10300" spans="1:1" x14ac:dyDescent="0.35">
      <c r="A10300" s="12"/>
    </row>
    <row r="10301" spans="1:1" x14ac:dyDescent="0.35">
      <c r="A10301" s="12"/>
    </row>
    <row r="10302" spans="1:1" x14ac:dyDescent="0.35">
      <c r="A10302" s="12"/>
    </row>
    <row r="10303" spans="1:1" x14ac:dyDescent="0.35">
      <c r="A10303" s="12"/>
    </row>
    <row r="10304" spans="1:1" x14ac:dyDescent="0.35">
      <c r="A10304" s="12"/>
    </row>
    <row r="10305" spans="1:1" x14ac:dyDescent="0.35">
      <c r="A10305" s="12"/>
    </row>
    <row r="10306" spans="1:1" x14ac:dyDescent="0.35">
      <c r="A10306" s="12"/>
    </row>
    <row r="10307" spans="1:1" x14ac:dyDescent="0.35">
      <c r="A10307" s="12"/>
    </row>
    <row r="10308" spans="1:1" x14ac:dyDescent="0.35">
      <c r="A10308" s="12"/>
    </row>
    <row r="10309" spans="1:1" x14ac:dyDescent="0.35">
      <c r="A10309" s="12"/>
    </row>
    <row r="10310" spans="1:1" x14ac:dyDescent="0.35">
      <c r="A10310" s="12"/>
    </row>
    <row r="10311" spans="1:1" x14ac:dyDescent="0.35">
      <c r="A10311" s="12"/>
    </row>
    <row r="10312" spans="1:1" x14ac:dyDescent="0.35">
      <c r="A10312" s="12"/>
    </row>
    <row r="10313" spans="1:1" x14ac:dyDescent="0.35">
      <c r="A10313" s="12"/>
    </row>
    <row r="10314" spans="1:1" x14ac:dyDescent="0.35">
      <c r="A10314" s="12"/>
    </row>
    <row r="10315" spans="1:1" x14ac:dyDescent="0.35">
      <c r="A10315" s="12"/>
    </row>
    <row r="10316" spans="1:1" x14ac:dyDescent="0.35">
      <c r="A10316" s="12"/>
    </row>
    <row r="10317" spans="1:1" x14ac:dyDescent="0.35">
      <c r="A10317" s="12"/>
    </row>
    <row r="10318" spans="1:1" x14ac:dyDescent="0.35">
      <c r="A10318" s="12"/>
    </row>
    <row r="10319" spans="1:1" x14ac:dyDescent="0.35">
      <c r="A10319" s="12"/>
    </row>
    <row r="10320" spans="1:1" x14ac:dyDescent="0.35">
      <c r="A10320" s="12"/>
    </row>
    <row r="10321" spans="1:1" x14ac:dyDescent="0.35">
      <c r="A10321" s="12"/>
    </row>
    <row r="10322" spans="1:1" x14ac:dyDescent="0.35">
      <c r="A10322" s="12"/>
    </row>
    <row r="10323" spans="1:1" x14ac:dyDescent="0.35">
      <c r="A10323" s="12"/>
    </row>
    <row r="10324" spans="1:1" x14ac:dyDescent="0.35">
      <c r="A10324" s="12"/>
    </row>
    <row r="10325" spans="1:1" x14ac:dyDescent="0.35">
      <c r="A10325" s="12"/>
    </row>
    <row r="10326" spans="1:1" x14ac:dyDescent="0.35">
      <c r="A10326" s="12"/>
    </row>
    <row r="10327" spans="1:1" x14ac:dyDescent="0.35">
      <c r="A10327" s="12"/>
    </row>
    <row r="10328" spans="1:1" x14ac:dyDescent="0.35">
      <c r="A10328" s="12"/>
    </row>
    <row r="10329" spans="1:1" x14ac:dyDescent="0.35">
      <c r="A10329" s="12"/>
    </row>
    <row r="10330" spans="1:1" x14ac:dyDescent="0.35">
      <c r="A10330" s="12"/>
    </row>
    <row r="10331" spans="1:1" x14ac:dyDescent="0.35">
      <c r="A10331" s="12"/>
    </row>
    <row r="10332" spans="1:1" x14ac:dyDescent="0.35">
      <c r="A10332" s="12"/>
    </row>
    <row r="10333" spans="1:1" x14ac:dyDescent="0.35">
      <c r="A10333" s="12"/>
    </row>
    <row r="10334" spans="1:1" x14ac:dyDescent="0.35">
      <c r="A10334" s="12"/>
    </row>
    <row r="10335" spans="1:1" x14ac:dyDescent="0.35">
      <c r="A10335" s="12"/>
    </row>
    <row r="10336" spans="1:1" x14ac:dyDescent="0.35">
      <c r="A10336" s="12"/>
    </row>
    <row r="10337" spans="1:1" x14ac:dyDescent="0.35">
      <c r="A10337" s="12"/>
    </row>
    <row r="10338" spans="1:1" x14ac:dyDescent="0.35">
      <c r="A10338" s="12"/>
    </row>
    <row r="10339" spans="1:1" x14ac:dyDescent="0.35">
      <c r="A10339" s="12"/>
    </row>
    <row r="10340" spans="1:1" x14ac:dyDescent="0.35">
      <c r="A10340" s="12"/>
    </row>
    <row r="10341" spans="1:1" x14ac:dyDescent="0.35">
      <c r="A10341" s="12"/>
    </row>
    <row r="10342" spans="1:1" x14ac:dyDescent="0.35">
      <c r="A10342" s="12"/>
    </row>
    <row r="10343" spans="1:1" x14ac:dyDescent="0.35">
      <c r="A10343" s="12"/>
    </row>
    <row r="10344" spans="1:1" x14ac:dyDescent="0.35">
      <c r="A10344" s="12"/>
    </row>
    <row r="10345" spans="1:1" x14ac:dyDescent="0.35">
      <c r="A10345" s="12"/>
    </row>
    <row r="10346" spans="1:1" x14ac:dyDescent="0.35">
      <c r="A10346" s="12"/>
    </row>
    <row r="10347" spans="1:1" x14ac:dyDescent="0.35">
      <c r="A10347" s="12"/>
    </row>
    <row r="10348" spans="1:1" x14ac:dyDescent="0.35">
      <c r="A10348" s="12"/>
    </row>
    <row r="10349" spans="1:1" x14ac:dyDescent="0.35">
      <c r="A10349" s="12"/>
    </row>
    <row r="10350" spans="1:1" x14ac:dyDescent="0.35">
      <c r="A10350" s="12"/>
    </row>
    <row r="10351" spans="1:1" x14ac:dyDescent="0.35">
      <c r="A10351" s="12"/>
    </row>
    <row r="10352" spans="1:1" x14ac:dyDescent="0.35">
      <c r="A10352" s="12"/>
    </row>
    <row r="10353" spans="1:1" x14ac:dyDescent="0.35">
      <c r="A10353" s="12"/>
    </row>
    <row r="10354" spans="1:1" x14ac:dyDescent="0.35">
      <c r="A10354" s="12"/>
    </row>
    <row r="10355" spans="1:1" x14ac:dyDescent="0.35">
      <c r="A10355" s="12"/>
    </row>
    <row r="10356" spans="1:1" x14ac:dyDescent="0.35">
      <c r="A10356" s="12"/>
    </row>
    <row r="10357" spans="1:1" x14ac:dyDescent="0.35">
      <c r="A10357" s="12"/>
    </row>
    <row r="10358" spans="1:1" x14ac:dyDescent="0.35">
      <c r="A10358" s="12"/>
    </row>
    <row r="10359" spans="1:1" x14ac:dyDescent="0.35">
      <c r="A10359" s="12"/>
    </row>
    <row r="10360" spans="1:1" x14ac:dyDescent="0.35">
      <c r="A10360" s="12"/>
    </row>
    <row r="10361" spans="1:1" x14ac:dyDescent="0.35">
      <c r="A10361" s="12"/>
    </row>
    <row r="10362" spans="1:1" x14ac:dyDescent="0.35">
      <c r="A10362" s="12"/>
    </row>
    <row r="10363" spans="1:1" x14ac:dyDescent="0.35">
      <c r="A10363" s="12"/>
    </row>
    <row r="10364" spans="1:1" x14ac:dyDescent="0.35">
      <c r="A10364" s="12"/>
    </row>
    <row r="10365" spans="1:1" x14ac:dyDescent="0.35">
      <c r="A10365" s="12"/>
    </row>
    <row r="10366" spans="1:1" x14ac:dyDescent="0.35">
      <c r="A10366" s="12"/>
    </row>
    <row r="10367" spans="1:1" x14ac:dyDescent="0.35">
      <c r="A10367" s="12"/>
    </row>
    <row r="10368" spans="1:1" x14ac:dyDescent="0.35">
      <c r="A10368" s="12"/>
    </row>
    <row r="10369" spans="1:1" x14ac:dyDescent="0.35">
      <c r="A10369" s="12"/>
    </row>
    <row r="10370" spans="1:1" x14ac:dyDescent="0.35">
      <c r="A10370" s="12"/>
    </row>
    <row r="10371" spans="1:1" x14ac:dyDescent="0.35">
      <c r="A10371" s="12"/>
    </row>
    <row r="10372" spans="1:1" x14ac:dyDescent="0.35">
      <c r="A10372" s="12"/>
    </row>
    <row r="10373" spans="1:1" x14ac:dyDescent="0.35">
      <c r="A10373" s="12"/>
    </row>
    <row r="10374" spans="1:1" x14ac:dyDescent="0.35">
      <c r="A10374" s="12"/>
    </row>
    <row r="10375" spans="1:1" x14ac:dyDescent="0.35">
      <c r="A10375" s="12"/>
    </row>
    <row r="10376" spans="1:1" x14ac:dyDescent="0.35">
      <c r="A10376" s="12"/>
    </row>
    <row r="10377" spans="1:1" x14ac:dyDescent="0.35">
      <c r="A10377" s="12"/>
    </row>
    <row r="10378" spans="1:1" x14ac:dyDescent="0.35">
      <c r="A10378" s="12"/>
    </row>
    <row r="10379" spans="1:1" x14ac:dyDescent="0.35">
      <c r="A10379" s="12"/>
    </row>
    <row r="10380" spans="1:1" x14ac:dyDescent="0.35">
      <c r="A10380" s="12"/>
    </row>
    <row r="10381" spans="1:1" x14ac:dyDescent="0.35">
      <c r="A10381" s="12"/>
    </row>
    <row r="10382" spans="1:1" x14ac:dyDescent="0.35">
      <c r="A10382" s="12"/>
    </row>
    <row r="10383" spans="1:1" x14ac:dyDescent="0.35">
      <c r="A10383" s="12"/>
    </row>
    <row r="10384" spans="1:1" x14ac:dyDescent="0.35">
      <c r="A10384" s="12"/>
    </row>
    <row r="10385" spans="1:1" x14ac:dyDescent="0.35">
      <c r="A10385" s="12"/>
    </row>
    <row r="10386" spans="1:1" x14ac:dyDescent="0.35">
      <c r="A10386" s="12"/>
    </row>
    <row r="10387" spans="1:1" x14ac:dyDescent="0.35">
      <c r="A10387" s="12"/>
    </row>
    <row r="10388" spans="1:1" x14ac:dyDescent="0.35">
      <c r="A10388" s="12"/>
    </row>
    <row r="10389" spans="1:1" x14ac:dyDescent="0.35">
      <c r="A10389" s="12"/>
    </row>
    <row r="10390" spans="1:1" x14ac:dyDescent="0.35">
      <c r="A10390" s="12"/>
    </row>
    <row r="10391" spans="1:1" x14ac:dyDescent="0.35">
      <c r="A10391" s="12"/>
    </row>
    <row r="10392" spans="1:1" x14ac:dyDescent="0.35">
      <c r="A10392" s="12"/>
    </row>
    <row r="10393" spans="1:1" x14ac:dyDescent="0.35">
      <c r="A10393" s="12"/>
    </row>
    <row r="10394" spans="1:1" x14ac:dyDescent="0.35">
      <c r="A10394" s="12"/>
    </row>
    <row r="10395" spans="1:1" x14ac:dyDescent="0.35">
      <c r="A10395" s="12"/>
    </row>
    <row r="10396" spans="1:1" x14ac:dyDescent="0.35">
      <c r="A10396" s="12"/>
    </row>
    <row r="10397" spans="1:1" x14ac:dyDescent="0.35">
      <c r="A10397" s="12"/>
    </row>
    <row r="10398" spans="1:1" x14ac:dyDescent="0.35">
      <c r="A10398" s="12"/>
    </row>
    <row r="10399" spans="1:1" x14ac:dyDescent="0.35">
      <c r="A10399" s="12"/>
    </row>
    <row r="10400" spans="1:1" x14ac:dyDescent="0.35">
      <c r="A10400" s="12"/>
    </row>
    <row r="10401" spans="1:1" x14ac:dyDescent="0.35">
      <c r="A10401" s="12"/>
    </row>
    <row r="10402" spans="1:1" x14ac:dyDescent="0.35">
      <c r="A10402" s="12"/>
    </row>
    <row r="10403" spans="1:1" x14ac:dyDescent="0.35">
      <c r="A10403" s="12"/>
    </row>
    <row r="10404" spans="1:1" x14ac:dyDescent="0.35">
      <c r="A10404" s="12"/>
    </row>
    <row r="10405" spans="1:1" x14ac:dyDescent="0.35">
      <c r="A10405" s="12"/>
    </row>
    <row r="10406" spans="1:1" x14ac:dyDescent="0.35">
      <c r="A10406" s="12"/>
    </row>
    <row r="10407" spans="1:1" x14ac:dyDescent="0.35">
      <c r="A10407" s="12"/>
    </row>
    <row r="10408" spans="1:1" x14ac:dyDescent="0.35">
      <c r="A10408" s="12"/>
    </row>
    <row r="10409" spans="1:1" x14ac:dyDescent="0.35">
      <c r="A10409" s="12"/>
    </row>
    <row r="10410" spans="1:1" x14ac:dyDescent="0.35">
      <c r="A10410" s="12"/>
    </row>
    <row r="10411" spans="1:1" x14ac:dyDescent="0.35">
      <c r="A10411" s="12"/>
    </row>
    <row r="10412" spans="1:1" x14ac:dyDescent="0.35">
      <c r="A10412" s="12"/>
    </row>
    <row r="10413" spans="1:1" x14ac:dyDescent="0.35">
      <c r="A10413" s="12"/>
    </row>
    <row r="10414" spans="1:1" x14ac:dyDescent="0.35">
      <c r="A10414" s="12"/>
    </row>
    <row r="10415" spans="1:1" x14ac:dyDescent="0.35">
      <c r="A10415" s="12"/>
    </row>
    <row r="10416" spans="1:1" x14ac:dyDescent="0.35">
      <c r="A10416" s="12"/>
    </row>
    <row r="10417" spans="1:1" x14ac:dyDescent="0.35">
      <c r="A10417" s="12"/>
    </row>
    <row r="10418" spans="1:1" x14ac:dyDescent="0.35">
      <c r="A10418" s="12"/>
    </row>
    <row r="10419" spans="1:1" x14ac:dyDescent="0.35">
      <c r="A10419" s="12"/>
    </row>
    <row r="10420" spans="1:1" x14ac:dyDescent="0.35">
      <c r="A10420" s="12"/>
    </row>
    <row r="10421" spans="1:1" x14ac:dyDescent="0.35">
      <c r="A10421" s="12"/>
    </row>
    <row r="10422" spans="1:1" x14ac:dyDescent="0.35">
      <c r="A10422" s="12"/>
    </row>
    <row r="10423" spans="1:1" x14ac:dyDescent="0.35">
      <c r="A10423" s="12"/>
    </row>
    <row r="10424" spans="1:1" x14ac:dyDescent="0.35">
      <c r="A10424" s="12"/>
    </row>
    <row r="10425" spans="1:1" x14ac:dyDescent="0.35">
      <c r="A10425" s="12"/>
    </row>
    <row r="10426" spans="1:1" x14ac:dyDescent="0.35">
      <c r="A10426" s="12"/>
    </row>
    <row r="10427" spans="1:1" x14ac:dyDescent="0.35">
      <c r="A10427" s="12"/>
    </row>
    <row r="10428" spans="1:1" x14ac:dyDescent="0.35">
      <c r="A10428" s="12"/>
    </row>
    <row r="10429" spans="1:1" x14ac:dyDescent="0.35">
      <c r="A10429" s="12"/>
    </row>
    <row r="10430" spans="1:1" x14ac:dyDescent="0.35">
      <c r="A10430" s="12"/>
    </row>
    <row r="10431" spans="1:1" x14ac:dyDescent="0.35">
      <c r="A10431" s="12"/>
    </row>
    <row r="10432" spans="1:1" x14ac:dyDescent="0.35">
      <c r="A10432" s="12"/>
    </row>
    <row r="10433" spans="1:1" x14ac:dyDescent="0.35">
      <c r="A10433" s="12"/>
    </row>
    <row r="10434" spans="1:1" x14ac:dyDescent="0.35">
      <c r="A10434" s="12"/>
    </row>
    <row r="10435" spans="1:1" x14ac:dyDescent="0.35">
      <c r="A10435" s="12"/>
    </row>
    <row r="10436" spans="1:1" x14ac:dyDescent="0.35">
      <c r="A10436" s="12"/>
    </row>
    <row r="10437" spans="1:1" x14ac:dyDescent="0.35">
      <c r="A10437" s="12"/>
    </row>
    <row r="10438" spans="1:1" x14ac:dyDescent="0.35">
      <c r="A10438" s="12"/>
    </row>
    <row r="10439" spans="1:1" x14ac:dyDescent="0.35">
      <c r="A10439" s="12"/>
    </row>
    <row r="10440" spans="1:1" x14ac:dyDescent="0.35">
      <c r="A10440" s="12"/>
    </row>
    <row r="10441" spans="1:1" x14ac:dyDescent="0.35">
      <c r="A10441" s="12"/>
    </row>
    <row r="10442" spans="1:1" x14ac:dyDescent="0.35">
      <c r="A10442" s="12"/>
    </row>
    <row r="10443" spans="1:1" x14ac:dyDescent="0.35">
      <c r="A10443" s="12"/>
    </row>
    <row r="10444" spans="1:1" x14ac:dyDescent="0.35">
      <c r="A10444" s="12"/>
    </row>
    <row r="10445" spans="1:1" x14ac:dyDescent="0.35">
      <c r="A10445" s="12"/>
    </row>
    <row r="10446" spans="1:1" x14ac:dyDescent="0.35">
      <c r="A10446" s="12"/>
    </row>
    <row r="10447" spans="1:1" x14ac:dyDescent="0.35">
      <c r="A10447" s="12"/>
    </row>
    <row r="10448" spans="1:1" x14ac:dyDescent="0.35">
      <c r="A10448" s="12"/>
    </row>
    <row r="10449" spans="1:1" x14ac:dyDescent="0.35">
      <c r="A10449" s="12"/>
    </row>
    <row r="10450" spans="1:1" x14ac:dyDescent="0.35">
      <c r="A10450" s="12"/>
    </row>
    <row r="10451" spans="1:1" x14ac:dyDescent="0.35">
      <c r="A10451" s="12"/>
    </row>
    <row r="10452" spans="1:1" x14ac:dyDescent="0.35">
      <c r="A10452" s="12"/>
    </row>
    <row r="10453" spans="1:1" x14ac:dyDescent="0.35">
      <c r="A10453" s="12"/>
    </row>
    <row r="10454" spans="1:1" x14ac:dyDescent="0.35">
      <c r="A10454" s="12"/>
    </row>
    <row r="10455" spans="1:1" x14ac:dyDescent="0.35">
      <c r="A10455" s="12"/>
    </row>
    <row r="10456" spans="1:1" x14ac:dyDescent="0.35">
      <c r="A10456" s="12"/>
    </row>
    <row r="10457" spans="1:1" x14ac:dyDescent="0.35">
      <c r="A10457" s="12"/>
    </row>
    <row r="10458" spans="1:1" x14ac:dyDescent="0.35">
      <c r="A10458" s="12"/>
    </row>
    <row r="10459" spans="1:1" x14ac:dyDescent="0.35">
      <c r="A10459" s="12"/>
    </row>
    <row r="10460" spans="1:1" x14ac:dyDescent="0.35">
      <c r="A10460" s="12"/>
    </row>
    <row r="10461" spans="1:1" x14ac:dyDescent="0.35">
      <c r="A10461" s="12"/>
    </row>
    <row r="10462" spans="1:1" x14ac:dyDescent="0.35">
      <c r="A10462" s="12"/>
    </row>
    <row r="10463" spans="1:1" x14ac:dyDescent="0.35">
      <c r="A10463" s="12"/>
    </row>
    <row r="10464" spans="1:1" x14ac:dyDescent="0.35">
      <c r="A10464" s="12"/>
    </row>
    <row r="10465" spans="1:1" x14ac:dyDescent="0.35">
      <c r="A10465" s="12"/>
    </row>
    <row r="10466" spans="1:1" x14ac:dyDescent="0.35">
      <c r="A10466" s="12"/>
    </row>
    <row r="10467" spans="1:1" x14ac:dyDescent="0.35">
      <c r="A10467" s="12"/>
    </row>
    <row r="10468" spans="1:1" x14ac:dyDescent="0.35">
      <c r="A10468" s="12"/>
    </row>
    <row r="10469" spans="1:1" x14ac:dyDescent="0.35">
      <c r="A10469" s="12"/>
    </row>
    <row r="10470" spans="1:1" x14ac:dyDescent="0.35">
      <c r="A10470" s="12"/>
    </row>
    <row r="10471" spans="1:1" x14ac:dyDescent="0.35">
      <c r="A10471" s="12"/>
    </row>
    <row r="10472" spans="1:1" x14ac:dyDescent="0.35">
      <c r="A10472" s="12"/>
    </row>
    <row r="10473" spans="1:1" x14ac:dyDescent="0.35">
      <c r="A10473" s="12"/>
    </row>
    <row r="10474" spans="1:1" x14ac:dyDescent="0.35">
      <c r="A10474" s="12"/>
    </row>
    <row r="10475" spans="1:1" x14ac:dyDescent="0.35">
      <c r="A10475" s="12"/>
    </row>
    <row r="10476" spans="1:1" x14ac:dyDescent="0.35">
      <c r="A10476" s="12"/>
    </row>
    <row r="10477" spans="1:1" x14ac:dyDescent="0.35">
      <c r="A10477" s="12"/>
    </row>
    <row r="10478" spans="1:1" x14ac:dyDescent="0.35">
      <c r="A10478" s="12"/>
    </row>
    <row r="10479" spans="1:1" x14ac:dyDescent="0.35">
      <c r="A10479" s="12"/>
    </row>
    <row r="10480" spans="1:1" x14ac:dyDescent="0.35">
      <c r="A10480" s="12"/>
    </row>
    <row r="10481" spans="1:1" x14ac:dyDescent="0.35">
      <c r="A10481" s="12"/>
    </row>
    <row r="10482" spans="1:1" x14ac:dyDescent="0.35">
      <c r="A10482" s="12"/>
    </row>
    <row r="10483" spans="1:1" x14ac:dyDescent="0.35">
      <c r="A10483" s="12"/>
    </row>
    <row r="10484" spans="1:1" x14ac:dyDescent="0.35">
      <c r="A10484" s="12"/>
    </row>
    <row r="10485" spans="1:1" x14ac:dyDescent="0.35">
      <c r="A10485" s="12"/>
    </row>
    <row r="10486" spans="1:1" x14ac:dyDescent="0.35">
      <c r="A10486" s="12"/>
    </row>
    <row r="10487" spans="1:1" x14ac:dyDescent="0.35">
      <c r="A10487" s="12"/>
    </row>
    <row r="10488" spans="1:1" x14ac:dyDescent="0.35">
      <c r="A10488" s="12"/>
    </row>
    <row r="10489" spans="1:1" x14ac:dyDescent="0.35">
      <c r="A10489" s="12"/>
    </row>
    <row r="10490" spans="1:1" x14ac:dyDescent="0.35">
      <c r="A10490" s="12"/>
    </row>
    <row r="10491" spans="1:1" x14ac:dyDescent="0.35">
      <c r="A10491" s="12"/>
    </row>
    <row r="10492" spans="1:1" x14ac:dyDescent="0.35">
      <c r="A10492" s="12"/>
    </row>
    <row r="10493" spans="1:1" x14ac:dyDescent="0.35">
      <c r="A10493" s="12"/>
    </row>
    <row r="10494" spans="1:1" x14ac:dyDescent="0.35">
      <c r="A10494" s="12"/>
    </row>
    <row r="10495" spans="1:1" x14ac:dyDescent="0.35">
      <c r="A10495" s="12"/>
    </row>
    <row r="10496" spans="1:1" x14ac:dyDescent="0.35">
      <c r="A10496" s="12"/>
    </row>
    <row r="10497" spans="1:1" x14ac:dyDescent="0.35">
      <c r="A10497" s="12"/>
    </row>
    <row r="10498" spans="1:1" x14ac:dyDescent="0.35">
      <c r="A10498" s="12"/>
    </row>
    <row r="10499" spans="1:1" x14ac:dyDescent="0.35">
      <c r="A10499" s="12"/>
    </row>
    <row r="10500" spans="1:1" x14ac:dyDescent="0.35">
      <c r="A10500" s="12"/>
    </row>
    <row r="10501" spans="1:1" x14ac:dyDescent="0.35">
      <c r="A10501" s="12"/>
    </row>
    <row r="10502" spans="1:1" x14ac:dyDescent="0.35">
      <c r="A10502" s="12"/>
    </row>
    <row r="10503" spans="1:1" x14ac:dyDescent="0.35">
      <c r="A10503" s="12"/>
    </row>
    <row r="10504" spans="1:1" x14ac:dyDescent="0.35">
      <c r="A10504" s="12"/>
    </row>
    <row r="10505" spans="1:1" x14ac:dyDescent="0.35">
      <c r="A10505" s="12"/>
    </row>
    <row r="10506" spans="1:1" x14ac:dyDescent="0.35">
      <c r="A10506" s="12"/>
    </row>
    <row r="10507" spans="1:1" x14ac:dyDescent="0.35">
      <c r="A10507" s="12"/>
    </row>
    <row r="10508" spans="1:1" x14ac:dyDescent="0.35">
      <c r="A10508" s="12"/>
    </row>
    <row r="10509" spans="1:1" x14ac:dyDescent="0.35">
      <c r="A10509" s="12"/>
    </row>
    <row r="10510" spans="1:1" x14ac:dyDescent="0.35">
      <c r="A10510" s="12"/>
    </row>
    <row r="10511" spans="1:1" x14ac:dyDescent="0.35">
      <c r="A10511" s="12"/>
    </row>
    <row r="10512" spans="1:1" x14ac:dyDescent="0.35">
      <c r="A10512" s="12"/>
    </row>
    <row r="10513" spans="1:1" x14ac:dyDescent="0.35">
      <c r="A10513" s="12"/>
    </row>
    <row r="10514" spans="1:1" x14ac:dyDescent="0.35">
      <c r="A10514" s="12"/>
    </row>
    <row r="10515" spans="1:1" x14ac:dyDescent="0.35">
      <c r="A10515" s="12"/>
    </row>
    <row r="10516" spans="1:1" x14ac:dyDescent="0.35">
      <c r="A10516" s="12"/>
    </row>
    <row r="10517" spans="1:1" x14ac:dyDescent="0.35">
      <c r="A10517" s="12"/>
    </row>
    <row r="10518" spans="1:1" x14ac:dyDescent="0.35">
      <c r="A10518" s="12"/>
    </row>
    <row r="10519" spans="1:1" x14ac:dyDescent="0.35">
      <c r="A10519" s="12"/>
    </row>
    <row r="10520" spans="1:1" x14ac:dyDescent="0.35">
      <c r="A10520" s="12"/>
    </row>
    <row r="10521" spans="1:1" x14ac:dyDescent="0.35">
      <c r="A10521" s="12"/>
    </row>
    <row r="10522" spans="1:1" x14ac:dyDescent="0.35">
      <c r="A10522" s="12"/>
    </row>
    <row r="10523" spans="1:1" x14ac:dyDescent="0.35">
      <c r="A10523" s="12"/>
    </row>
    <row r="10524" spans="1:1" x14ac:dyDescent="0.35">
      <c r="A10524" s="12"/>
    </row>
    <row r="10525" spans="1:1" x14ac:dyDescent="0.35">
      <c r="A10525" s="12"/>
    </row>
    <row r="10526" spans="1:1" x14ac:dyDescent="0.35">
      <c r="A10526" s="12"/>
    </row>
    <row r="10527" spans="1:1" x14ac:dyDescent="0.35">
      <c r="A10527" s="12"/>
    </row>
    <row r="10528" spans="1:1" x14ac:dyDescent="0.35">
      <c r="A10528" s="12"/>
    </row>
    <row r="10529" spans="1:1" x14ac:dyDescent="0.35">
      <c r="A10529" s="12"/>
    </row>
    <row r="10530" spans="1:1" x14ac:dyDescent="0.35">
      <c r="A10530" s="12"/>
    </row>
    <row r="10531" spans="1:1" x14ac:dyDescent="0.35">
      <c r="A10531" s="12"/>
    </row>
    <row r="10532" spans="1:1" x14ac:dyDescent="0.35">
      <c r="A10532" s="12"/>
    </row>
    <row r="10533" spans="1:1" x14ac:dyDescent="0.35">
      <c r="A10533" s="12"/>
    </row>
    <row r="10534" spans="1:1" x14ac:dyDescent="0.35">
      <c r="A10534" s="12"/>
    </row>
    <row r="10535" spans="1:1" x14ac:dyDescent="0.35">
      <c r="A10535" s="12"/>
    </row>
    <row r="10536" spans="1:1" x14ac:dyDescent="0.35">
      <c r="A10536" s="12"/>
    </row>
    <row r="10537" spans="1:1" x14ac:dyDescent="0.35">
      <c r="A10537" s="12"/>
    </row>
    <row r="10538" spans="1:1" x14ac:dyDescent="0.35">
      <c r="A10538" s="12"/>
    </row>
    <row r="10539" spans="1:1" x14ac:dyDescent="0.35">
      <c r="A10539" s="12"/>
    </row>
    <row r="10540" spans="1:1" x14ac:dyDescent="0.35">
      <c r="A10540" s="12"/>
    </row>
    <row r="10541" spans="1:1" x14ac:dyDescent="0.35">
      <c r="A10541" s="12"/>
    </row>
    <row r="10542" spans="1:1" x14ac:dyDescent="0.35">
      <c r="A10542" s="12"/>
    </row>
    <row r="10543" spans="1:1" x14ac:dyDescent="0.35">
      <c r="A10543" s="12"/>
    </row>
    <row r="10544" spans="1:1" x14ac:dyDescent="0.35">
      <c r="A10544" s="12"/>
    </row>
    <row r="10545" spans="1:1" x14ac:dyDescent="0.35">
      <c r="A10545" s="12"/>
    </row>
    <row r="10546" spans="1:1" x14ac:dyDescent="0.35">
      <c r="A10546" s="12"/>
    </row>
    <row r="10547" spans="1:1" x14ac:dyDescent="0.35">
      <c r="A10547" s="12"/>
    </row>
    <row r="10548" spans="1:1" x14ac:dyDescent="0.35">
      <c r="A10548" s="12"/>
    </row>
    <row r="10549" spans="1:1" x14ac:dyDescent="0.35">
      <c r="A10549" s="12"/>
    </row>
    <row r="10550" spans="1:1" x14ac:dyDescent="0.35">
      <c r="A10550" s="12"/>
    </row>
    <row r="10551" spans="1:1" x14ac:dyDescent="0.35">
      <c r="A10551" s="12"/>
    </row>
    <row r="10552" spans="1:1" x14ac:dyDescent="0.35">
      <c r="A10552" s="12"/>
    </row>
    <row r="10553" spans="1:1" x14ac:dyDescent="0.35">
      <c r="A10553" s="12"/>
    </row>
    <row r="10554" spans="1:1" x14ac:dyDescent="0.35">
      <c r="A10554" s="12"/>
    </row>
    <row r="10555" spans="1:1" x14ac:dyDescent="0.35">
      <c r="A10555" s="12"/>
    </row>
    <row r="10556" spans="1:1" x14ac:dyDescent="0.35">
      <c r="A10556" s="12"/>
    </row>
    <row r="10557" spans="1:1" x14ac:dyDescent="0.35">
      <c r="A10557" s="12"/>
    </row>
    <row r="10558" spans="1:1" x14ac:dyDescent="0.35">
      <c r="A10558" s="12"/>
    </row>
    <row r="10559" spans="1:1" x14ac:dyDescent="0.35">
      <c r="A10559" s="12"/>
    </row>
    <row r="10560" spans="1:1" x14ac:dyDescent="0.35">
      <c r="A10560" s="12"/>
    </row>
    <row r="10561" spans="1:1" x14ac:dyDescent="0.35">
      <c r="A10561" s="12"/>
    </row>
    <row r="10562" spans="1:1" x14ac:dyDescent="0.35">
      <c r="A10562" s="12"/>
    </row>
    <row r="10563" spans="1:1" x14ac:dyDescent="0.35">
      <c r="A10563" s="12"/>
    </row>
    <row r="10564" spans="1:1" x14ac:dyDescent="0.35">
      <c r="A10564" s="12"/>
    </row>
    <row r="10565" spans="1:1" x14ac:dyDescent="0.35">
      <c r="A10565" s="12"/>
    </row>
    <row r="10566" spans="1:1" x14ac:dyDescent="0.35">
      <c r="A10566" s="12"/>
    </row>
    <row r="10567" spans="1:1" x14ac:dyDescent="0.35">
      <c r="A10567" s="12"/>
    </row>
    <row r="10568" spans="1:1" x14ac:dyDescent="0.35">
      <c r="A10568" s="12"/>
    </row>
    <row r="10569" spans="1:1" x14ac:dyDescent="0.35">
      <c r="A10569" s="12"/>
    </row>
    <row r="10570" spans="1:1" x14ac:dyDescent="0.35">
      <c r="A10570" s="12"/>
    </row>
    <row r="10571" spans="1:1" x14ac:dyDescent="0.35">
      <c r="A10571" s="12"/>
    </row>
    <row r="10572" spans="1:1" x14ac:dyDescent="0.35">
      <c r="A10572" s="12"/>
    </row>
    <row r="10573" spans="1:1" x14ac:dyDescent="0.35">
      <c r="A10573" s="12"/>
    </row>
    <row r="10574" spans="1:1" x14ac:dyDescent="0.35">
      <c r="A10574" s="12"/>
    </row>
    <row r="10575" spans="1:1" x14ac:dyDescent="0.35">
      <c r="A10575" s="12"/>
    </row>
    <row r="10576" spans="1:1" x14ac:dyDescent="0.35">
      <c r="A10576" s="12"/>
    </row>
    <row r="10577" spans="1:1" x14ac:dyDescent="0.35">
      <c r="A10577" s="12"/>
    </row>
    <row r="10578" spans="1:1" x14ac:dyDescent="0.35">
      <c r="A10578" s="12"/>
    </row>
    <row r="10579" spans="1:1" x14ac:dyDescent="0.35">
      <c r="A10579" s="12"/>
    </row>
    <row r="10580" spans="1:1" x14ac:dyDescent="0.35">
      <c r="A10580" s="12"/>
    </row>
    <row r="10581" spans="1:1" x14ac:dyDescent="0.35">
      <c r="A10581" s="12"/>
    </row>
    <row r="10582" spans="1:1" x14ac:dyDescent="0.35">
      <c r="A10582" s="12"/>
    </row>
    <row r="10583" spans="1:1" x14ac:dyDescent="0.35">
      <c r="A10583" s="12"/>
    </row>
    <row r="10584" spans="1:1" x14ac:dyDescent="0.35">
      <c r="A10584" s="12"/>
    </row>
    <row r="10585" spans="1:1" x14ac:dyDescent="0.35">
      <c r="A10585" s="12"/>
    </row>
    <row r="10586" spans="1:1" x14ac:dyDescent="0.35">
      <c r="A10586" s="12"/>
    </row>
    <row r="10587" spans="1:1" x14ac:dyDescent="0.35">
      <c r="A10587" s="12"/>
    </row>
    <row r="10588" spans="1:1" x14ac:dyDescent="0.35">
      <c r="A10588" s="12"/>
    </row>
    <row r="10589" spans="1:1" x14ac:dyDescent="0.35">
      <c r="A10589" s="12"/>
    </row>
    <row r="10590" spans="1:1" x14ac:dyDescent="0.35">
      <c r="A10590" s="12"/>
    </row>
    <row r="10591" spans="1:1" x14ac:dyDescent="0.35">
      <c r="A10591" s="12"/>
    </row>
    <row r="10592" spans="1:1" x14ac:dyDescent="0.35">
      <c r="A10592" s="12"/>
    </row>
    <row r="10593" spans="1:1" x14ac:dyDescent="0.35">
      <c r="A10593" s="12"/>
    </row>
    <row r="10594" spans="1:1" x14ac:dyDescent="0.35">
      <c r="A10594" s="12"/>
    </row>
    <row r="10595" spans="1:1" x14ac:dyDescent="0.35">
      <c r="A10595" s="12"/>
    </row>
    <row r="10596" spans="1:1" x14ac:dyDescent="0.35">
      <c r="A10596" s="12"/>
    </row>
    <row r="10597" spans="1:1" x14ac:dyDescent="0.35">
      <c r="A10597" s="12"/>
    </row>
    <row r="10598" spans="1:1" x14ac:dyDescent="0.35">
      <c r="A10598" s="12"/>
    </row>
    <row r="10599" spans="1:1" x14ac:dyDescent="0.35">
      <c r="A10599" s="12"/>
    </row>
    <row r="10600" spans="1:1" x14ac:dyDescent="0.35">
      <c r="A10600" s="12"/>
    </row>
    <row r="10601" spans="1:1" x14ac:dyDescent="0.35">
      <c r="A10601" s="12"/>
    </row>
    <row r="10602" spans="1:1" x14ac:dyDescent="0.35">
      <c r="A10602" s="12"/>
    </row>
    <row r="10603" spans="1:1" x14ac:dyDescent="0.35">
      <c r="A10603" s="12"/>
    </row>
    <row r="10604" spans="1:1" x14ac:dyDescent="0.35">
      <c r="A10604" s="12"/>
    </row>
    <row r="10605" spans="1:1" x14ac:dyDescent="0.35">
      <c r="A10605" s="12"/>
    </row>
    <row r="10606" spans="1:1" x14ac:dyDescent="0.35">
      <c r="A10606" s="12"/>
    </row>
    <row r="10607" spans="1:1" x14ac:dyDescent="0.35">
      <c r="A10607" s="12"/>
    </row>
    <row r="10608" spans="1:1" x14ac:dyDescent="0.35">
      <c r="A10608" s="12"/>
    </row>
    <row r="10609" spans="1:1" x14ac:dyDescent="0.35">
      <c r="A10609" s="12"/>
    </row>
    <row r="10610" spans="1:1" x14ac:dyDescent="0.35">
      <c r="A10610" s="12"/>
    </row>
    <row r="10611" spans="1:1" x14ac:dyDescent="0.35">
      <c r="A10611" s="12"/>
    </row>
    <row r="10612" spans="1:1" x14ac:dyDescent="0.35">
      <c r="A10612" s="12"/>
    </row>
    <row r="10613" spans="1:1" x14ac:dyDescent="0.35">
      <c r="A10613" s="12"/>
    </row>
    <row r="10614" spans="1:1" x14ac:dyDescent="0.35">
      <c r="A10614" s="12"/>
    </row>
    <row r="10615" spans="1:1" x14ac:dyDescent="0.35">
      <c r="A10615" s="12"/>
    </row>
    <row r="10616" spans="1:1" x14ac:dyDescent="0.35">
      <c r="A10616" s="12"/>
    </row>
    <row r="10617" spans="1:1" x14ac:dyDescent="0.35">
      <c r="A10617" s="12"/>
    </row>
    <row r="10618" spans="1:1" x14ac:dyDescent="0.35">
      <c r="A10618" s="12"/>
    </row>
    <row r="10619" spans="1:1" x14ac:dyDescent="0.35">
      <c r="A10619" s="12"/>
    </row>
    <row r="10620" spans="1:1" x14ac:dyDescent="0.35">
      <c r="A10620" s="12"/>
    </row>
    <row r="10621" spans="1:1" x14ac:dyDescent="0.35">
      <c r="A10621" s="12"/>
    </row>
    <row r="10622" spans="1:1" x14ac:dyDescent="0.35">
      <c r="A10622" s="12"/>
    </row>
    <row r="10623" spans="1:1" x14ac:dyDescent="0.35">
      <c r="A10623" s="12"/>
    </row>
    <row r="10624" spans="1:1" x14ac:dyDescent="0.35">
      <c r="A10624" s="12"/>
    </row>
    <row r="10625" spans="1:1" x14ac:dyDescent="0.35">
      <c r="A10625" s="12"/>
    </row>
    <row r="10626" spans="1:1" x14ac:dyDescent="0.35">
      <c r="A10626" s="12"/>
    </row>
    <row r="10627" spans="1:1" x14ac:dyDescent="0.35">
      <c r="A10627" s="12"/>
    </row>
    <row r="10628" spans="1:1" x14ac:dyDescent="0.35">
      <c r="A10628" s="12"/>
    </row>
    <row r="10629" spans="1:1" x14ac:dyDescent="0.35">
      <c r="A10629" s="12"/>
    </row>
    <row r="10630" spans="1:1" x14ac:dyDescent="0.35">
      <c r="A10630" s="12"/>
    </row>
    <row r="10631" spans="1:1" x14ac:dyDescent="0.35">
      <c r="A10631" s="12"/>
    </row>
    <row r="10632" spans="1:1" x14ac:dyDescent="0.35">
      <c r="A10632" s="12"/>
    </row>
    <row r="10633" spans="1:1" x14ac:dyDescent="0.35">
      <c r="A10633" s="12"/>
    </row>
    <row r="10634" spans="1:1" x14ac:dyDescent="0.35">
      <c r="A10634" s="12"/>
    </row>
    <row r="10635" spans="1:1" x14ac:dyDescent="0.35">
      <c r="A10635" s="12"/>
    </row>
    <row r="10636" spans="1:1" x14ac:dyDescent="0.35">
      <c r="A10636" s="12"/>
    </row>
    <row r="10637" spans="1:1" x14ac:dyDescent="0.35">
      <c r="A10637" s="12"/>
    </row>
    <row r="10638" spans="1:1" x14ac:dyDescent="0.35">
      <c r="A10638" s="12"/>
    </row>
    <row r="10639" spans="1:1" x14ac:dyDescent="0.35">
      <c r="A10639" s="12"/>
    </row>
    <row r="10640" spans="1:1" x14ac:dyDescent="0.35">
      <c r="A10640" s="12"/>
    </row>
    <row r="10641" spans="1:1" x14ac:dyDescent="0.35">
      <c r="A10641" s="12"/>
    </row>
    <row r="10642" spans="1:1" x14ac:dyDescent="0.35">
      <c r="A10642" s="12"/>
    </row>
    <row r="10643" spans="1:1" x14ac:dyDescent="0.35">
      <c r="A10643" s="12"/>
    </row>
    <row r="10644" spans="1:1" x14ac:dyDescent="0.35">
      <c r="A10644" s="12"/>
    </row>
    <row r="10645" spans="1:1" x14ac:dyDescent="0.35">
      <c r="A10645" s="12"/>
    </row>
    <row r="10646" spans="1:1" x14ac:dyDescent="0.35">
      <c r="A10646" s="12"/>
    </row>
    <row r="10647" spans="1:1" x14ac:dyDescent="0.35">
      <c r="A10647" s="12"/>
    </row>
    <row r="10648" spans="1:1" x14ac:dyDescent="0.35">
      <c r="A10648" s="12"/>
    </row>
    <row r="10649" spans="1:1" x14ac:dyDescent="0.35">
      <c r="A10649" s="12"/>
    </row>
    <row r="10650" spans="1:1" x14ac:dyDescent="0.35">
      <c r="A10650" s="12"/>
    </row>
    <row r="10651" spans="1:1" x14ac:dyDescent="0.35">
      <c r="A10651" s="12"/>
    </row>
    <row r="10652" spans="1:1" x14ac:dyDescent="0.35">
      <c r="A10652" s="12"/>
    </row>
    <row r="10653" spans="1:1" x14ac:dyDescent="0.35">
      <c r="A10653" s="12"/>
    </row>
    <row r="10654" spans="1:1" x14ac:dyDescent="0.35">
      <c r="A10654" s="12"/>
    </row>
    <row r="10655" spans="1:1" x14ac:dyDescent="0.35">
      <c r="A10655" s="12"/>
    </row>
    <row r="10656" spans="1:1" x14ac:dyDescent="0.35">
      <c r="A10656" s="12"/>
    </row>
    <row r="10657" spans="1:1" x14ac:dyDescent="0.35">
      <c r="A10657" s="12"/>
    </row>
    <row r="10658" spans="1:1" x14ac:dyDescent="0.35">
      <c r="A10658" s="12"/>
    </row>
    <row r="10659" spans="1:1" x14ac:dyDescent="0.35">
      <c r="A10659" s="12"/>
    </row>
    <row r="10660" spans="1:1" x14ac:dyDescent="0.35">
      <c r="A10660" s="12"/>
    </row>
    <row r="10661" spans="1:1" x14ac:dyDescent="0.35">
      <c r="A10661" s="12"/>
    </row>
    <row r="10662" spans="1:1" x14ac:dyDescent="0.35">
      <c r="A10662" s="12"/>
    </row>
    <row r="10663" spans="1:1" x14ac:dyDescent="0.35">
      <c r="A10663" s="12"/>
    </row>
    <row r="10664" spans="1:1" x14ac:dyDescent="0.35">
      <c r="A10664" s="12"/>
    </row>
    <row r="10665" spans="1:1" x14ac:dyDescent="0.35">
      <c r="A10665" s="12"/>
    </row>
    <row r="10666" spans="1:1" x14ac:dyDescent="0.35">
      <c r="A10666" s="12"/>
    </row>
    <row r="10667" spans="1:1" x14ac:dyDescent="0.35">
      <c r="A10667" s="12"/>
    </row>
    <row r="10668" spans="1:1" x14ac:dyDescent="0.35">
      <c r="A10668" s="12"/>
    </row>
    <row r="10669" spans="1:1" x14ac:dyDescent="0.35">
      <c r="A10669" s="12"/>
    </row>
    <row r="10670" spans="1:1" x14ac:dyDescent="0.35">
      <c r="A10670" s="12"/>
    </row>
    <row r="10671" spans="1:1" x14ac:dyDescent="0.35">
      <c r="A10671" s="12"/>
    </row>
    <row r="10672" spans="1:1" x14ac:dyDescent="0.35">
      <c r="A10672" s="12"/>
    </row>
    <row r="10673" spans="1:1" x14ac:dyDescent="0.35">
      <c r="A10673" s="12"/>
    </row>
    <row r="10674" spans="1:1" x14ac:dyDescent="0.35">
      <c r="A10674" s="12"/>
    </row>
    <row r="10675" spans="1:1" x14ac:dyDescent="0.35">
      <c r="A10675" s="12"/>
    </row>
    <row r="10676" spans="1:1" x14ac:dyDescent="0.35">
      <c r="A10676" s="12"/>
    </row>
    <row r="10677" spans="1:1" x14ac:dyDescent="0.35">
      <c r="A10677" s="12"/>
    </row>
    <row r="10678" spans="1:1" x14ac:dyDescent="0.35">
      <c r="A10678" s="12"/>
    </row>
    <row r="10679" spans="1:1" x14ac:dyDescent="0.35">
      <c r="A10679" s="12"/>
    </row>
    <row r="10680" spans="1:1" x14ac:dyDescent="0.35">
      <c r="A10680" s="12"/>
    </row>
    <row r="10681" spans="1:1" x14ac:dyDescent="0.35">
      <c r="A10681" s="12"/>
    </row>
    <row r="10682" spans="1:1" x14ac:dyDescent="0.35">
      <c r="A10682" s="12"/>
    </row>
    <row r="10683" spans="1:1" x14ac:dyDescent="0.35">
      <c r="A10683" s="12"/>
    </row>
    <row r="10684" spans="1:1" x14ac:dyDescent="0.35">
      <c r="A10684" s="12"/>
    </row>
    <row r="10685" spans="1:1" x14ac:dyDescent="0.35">
      <c r="A10685" s="12"/>
    </row>
    <row r="10686" spans="1:1" x14ac:dyDescent="0.35">
      <c r="A10686" s="12"/>
    </row>
    <row r="10687" spans="1:1" x14ac:dyDescent="0.35">
      <c r="A10687" s="12"/>
    </row>
    <row r="10688" spans="1:1" x14ac:dyDescent="0.35">
      <c r="A10688" s="12"/>
    </row>
    <row r="10689" spans="1:1" x14ac:dyDescent="0.35">
      <c r="A10689" s="12"/>
    </row>
    <row r="10690" spans="1:1" x14ac:dyDescent="0.35">
      <c r="A10690" s="12"/>
    </row>
    <row r="10691" spans="1:1" x14ac:dyDescent="0.35">
      <c r="A10691" s="12"/>
    </row>
    <row r="10692" spans="1:1" x14ac:dyDescent="0.35">
      <c r="A10692" s="12"/>
    </row>
    <row r="10693" spans="1:1" x14ac:dyDescent="0.35">
      <c r="A10693" s="12"/>
    </row>
    <row r="10694" spans="1:1" x14ac:dyDescent="0.35">
      <c r="A10694" s="12"/>
    </row>
    <row r="10695" spans="1:1" x14ac:dyDescent="0.35">
      <c r="A10695" s="12"/>
    </row>
    <row r="10696" spans="1:1" x14ac:dyDescent="0.35">
      <c r="A10696" s="12"/>
    </row>
    <row r="10697" spans="1:1" x14ac:dyDescent="0.35">
      <c r="A10697" s="12"/>
    </row>
    <row r="10698" spans="1:1" x14ac:dyDescent="0.35">
      <c r="A10698" s="12"/>
    </row>
    <row r="10699" spans="1:1" x14ac:dyDescent="0.35">
      <c r="A10699" s="12"/>
    </row>
    <row r="10700" spans="1:1" x14ac:dyDescent="0.35">
      <c r="A10700" s="12"/>
    </row>
    <row r="10701" spans="1:1" x14ac:dyDescent="0.35">
      <c r="A10701" s="12"/>
    </row>
    <row r="10702" spans="1:1" x14ac:dyDescent="0.35">
      <c r="A10702" s="12"/>
    </row>
    <row r="10703" spans="1:1" x14ac:dyDescent="0.35">
      <c r="A10703" s="12"/>
    </row>
    <row r="10704" spans="1:1" x14ac:dyDescent="0.35">
      <c r="A10704" s="12"/>
    </row>
    <row r="10705" spans="1:1" x14ac:dyDescent="0.35">
      <c r="A10705" s="12"/>
    </row>
    <row r="10706" spans="1:1" x14ac:dyDescent="0.35">
      <c r="A10706" s="12"/>
    </row>
    <row r="10707" spans="1:1" x14ac:dyDescent="0.35">
      <c r="A10707" s="12"/>
    </row>
    <row r="10708" spans="1:1" x14ac:dyDescent="0.35">
      <c r="A10708" s="12"/>
    </row>
    <row r="10709" spans="1:1" x14ac:dyDescent="0.35">
      <c r="A10709" s="12"/>
    </row>
    <row r="10710" spans="1:1" x14ac:dyDescent="0.35">
      <c r="A10710" s="12"/>
    </row>
    <row r="10711" spans="1:1" x14ac:dyDescent="0.35">
      <c r="A10711" s="12"/>
    </row>
    <row r="10712" spans="1:1" x14ac:dyDescent="0.35">
      <c r="A10712" s="12"/>
    </row>
    <row r="10713" spans="1:1" x14ac:dyDescent="0.35">
      <c r="A10713" s="12"/>
    </row>
    <row r="10714" spans="1:1" x14ac:dyDescent="0.35">
      <c r="A10714" s="12"/>
    </row>
    <row r="10715" spans="1:1" x14ac:dyDescent="0.35">
      <c r="A10715" s="12"/>
    </row>
    <row r="10716" spans="1:1" x14ac:dyDescent="0.35">
      <c r="A10716" s="12"/>
    </row>
    <row r="10717" spans="1:1" x14ac:dyDescent="0.35">
      <c r="A10717" s="12"/>
    </row>
    <row r="10718" spans="1:1" x14ac:dyDescent="0.35">
      <c r="A10718" s="12"/>
    </row>
    <row r="10719" spans="1:1" x14ac:dyDescent="0.35">
      <c r="A10719" s="12"/>
    </row>
    <row r="10720" spans="1:1" x14ac:dyDescent="0.35">
      <c r="A10720" s="12"/>
    </row>
    <row r="10721" spans="1:1" x14ac:dyDescent="0.35">
      <c r="A10721" s="12"/>
    </row>
    <row r="10722" spans="1:1" x14ac:dyDescent="0.35">
      <c r="A10722" s="12"/>
    </row>
    <row r="10723" spans="1:1" x14ac:dyDescent="0.35">
      <c r="A10723" s="12"/>
    </row>
    <row r="10724" spans="1:1" x14ac:dyDescent="0.35">
      <c r="A10724" s="12"/>
    </row>
    <row r="10725" spans="1:1" x14ac:dyDescent="0.35">
      <c r="A10725" s="12"/>
    </row>
    <row r="10726" spans="1:1" x14ac:dyDescent="0.35">
      <c r="A10726" s="12"/>
    </row>
    <row r="10727" spans="1:1" x14ac:dyDescent="0.35">
      <c r="A10727" s="12"/>
    </row>
    <row r="10728" spans="1:1" x14ac:dyDescent="0.35">
      <c r="A10728" s="12"/>
    </row>
    <row r="10729" spans="1:1" x14ac:dyDescent="0.35">
      <c r="A10729" s="12"/>
    </row>
    <row r="10730" spans="1:1" x14ac:dyDescent="0.35">
      <c r="A10730" s="12"/>
    </row>
    <row r="10731" spans="1:1" x14ac:dyDescent="0.35">
      <c r="A10731" s="12"/>
    </row>
    <row r="10732" spans="1:1" x14ac:dyDescent="0.35">
      <c r="A10732" s="12"/>
    </row>
    <row r="10733" spans="1:1" x14ac:dyDescent="0.35">
      <c r="A10733" s="12"/>
    </row>
    <row r="10734" spans="1:1" x14ac:dyDescent="0.35">
      <c r="A10734" s="12"/>
    </row>
    <row r="10735" spans="1:1" x14ac:dyDescent="0.35">
      <c r="A10735" s="12"/>
    </row>
    <row r="10736" spans="1:1" x14ac:dyDescent="0.35">
      <c r="A10736" s="12"/>
    </row>
    <row r="10737" spans="1:1" x14ac:dyDescent="0.35">
      <c r="A10737" s="12"/>
    </row>
    <row r="10738" spans="1:1" x14ac:dyDescent="0.35">
      <c r="A10738" s="12"/>
    </row>
    <row r="10739" spans="1:1" x14ac:dyDescent="0.35">
      <c r="A10739" s="12"/>
    </row>
    <row r="10740" spans="1:1" x14ac:dyDescent="0.35">
      <c r="A10740" s="12"/>
    </row>
    <row r="10741" spans="1:1" x14ac:dyDescent="0.35">
      <c r="A10741" s="12"/>
    </row>
    <row r="10742" spans="1:1" x14ac:dyDescent="0.35">
      <c r="A10742" s="12"/>
    </row>
    <row r="10743" spans="1:1" x14ac:dyDescent="0.35">
      <c r="A10743" s="12"/>
    </row>
    <row r="10744" spans="1:1" x14ac:dyDescent="0.35">
      <c r="A10744" s="12"/>
    </row>
    <row r="10745" spans="1:1" x14ac:dyDescent="0.35">
      <c r="A10745" s="12"/>
    </row>
    <row r="10746" spans="1:1" x14ac:dyDescent="0.35">
      <c r="A10746" s="12"/>
    </row>
    <row r="10747" spans="1:1" x14ac:dyDescent="0.35">
      <c r="A10747" s="12"/>
    </row>
    <row r="10748" spans="1:1" x14ac:dyDescent="0.35">
      <c r="A10748" s="12"/>
    </row>
    <row r="10749" spans="1:1" x14ac:dyDescent="0.35">
      <c r="A10749" s="12"/>
    </row>
    <row r="10750" spans="1:1" x14ac:dyDescent="0.35">
      <c r="A10750" s="12"/>
    </row>
    <row r="10751" spans="1:1" x14ac:dyDescent="0.35">
      <c r="A10751" s="12"/>
    </row>
    <row r="10752" spans="1:1" x14ac:dyDescent="0.35">
      <c r="A10752" s="12"/>
    </row>
    <row r="10753" spans="1:1" x14ac:dyDescent="0.35">
      <c r="A10753" s="12"/>
    </row>
    <row r="10754" spans="1:1" x14ac:dyDescent="0.35">
      <c r="A10754" s="12"/>
    </row>
    <row r="10755" spans="1:1" x14ac:dyDescent="0.35">
      <c r="A10755" s="12"/>
    </row>
    <row r="10756" spans="1:1" x14ac:dyDescent="0.35">
      <c r="A10756" s="12"/>
    </row>
    <row r="10757" spans="1:1" x14ac:dyDescent="0.35">
      <c r="A10757" s="12"/>
    </row>
    <row r="10758" spans="1:1" x14ac:dyDescent="0.35">
      <c r="A10758" s="12"/>
    </row>
    <row r="10759" spans="1:1" x14ac:dyDescent="0.35">
      <c r="A10759" s="12"/>
    </row>
    <row r="10760" spans="1:1" x14ac:dyDescent="0.35">
      <c r="A10760" s="12"/>
    </row>
    <row r="10761" spans="1:1" x14ac:dyDescent="0.35">
      <c r="A10761" s="12"/>
    </row>
    <row r="10762" spans="1:1" x14ac:dyDescent="0.35">
      <c r="A10762" s="12"/>
    </row>
    <row r="10763" spans="1:1" x14ac:dyDescent="0.35">
      <c r="A10763" s="12"/>
    </row>
    <row r="10764" spans="1:1" x14ac:dyDescent="0.35">
      <c r="A10764" s="12"/>
    </row>
    <row r="10765" spans="1:1" x14ac:dyDescent="0.35">
      <c r="A10765" s="12"/>
    </row>
    <row r="10766" spans="1:1" x14ac:dyDescent="0.35">
      <c r="A10766" s="12"/>
    </row>
    <row r="10767" spans="1:1" x14ac:dyDescent="0.35">
      <c r="A10767" s="12"/>
    </row>
    <row r="10768" spans="1:1" x14ac:dyDescent="0.35">
      <c r="A10768" s="12"/>
    </row>
    <row r="10769" spans="1:1" x14ac:dyDescent="0.35">
      <c r="A10769" s="12"/>
    </row>
    <row r="10770" spans="1:1" x14ac:dyDescent="0.35">
      <c r="A10770" s="12"/>
    </row>
    <row r="10771" spans="1:1" x14ac:dyDescent="0.35">
      <c r="A10771" s="12"/>
    </row>
    <row r="10772" spans="1:1" x14ac:dyDescent="0.35">
      <c r="A10772" s="12"/>
    </row>
    <row r="10773" spans="1:1" x14ac:dyDescent="0.35">
      <c r="A10773" s="12"/>
    </row>
    <row r="10774" spans="1:1" x14ac:dyDescent="0.35">
      <c r="A10774" s="12"/>
    </row>
    <row r="10775" spans="1:1" x14ac:dyDescent="0.35">
      <c r="A10775" s="12"/>
    </row>
    <row r="10776" spans="1:1" x14ac:dyDescent="0.35">
      <c r="A10776" s="12"/>
    </row>
    <row r="10777" spans="1:1" x14ac:dyDescent="0.35">
      <c r="A10777" s="12"/>
    </row>
    <row r="10778" spans="1:1" x14ac:dyDescent="0.35">
      <c r="A10778" s="12"/>
    </row>
    <row r="10779" spans="1:1" x14ac:dyDescent="0.35">
      <c r="A10779" s="12"/>
    </row>
    <row r="10780" spans="1:1" x14ac:dyDescent="0.35">
      <c r="A10780" s="12"/>
    </row>
    <row r="10781" spans="1:1" x14ac:dyDescent="0.35">
      <c r="A10781" s="12"/>
    </row>
    <row r="10782" spans="1:1" x14ac:dyDescent="0.35">
      <c r="A10782" s="12"/>
    </row>
    <row r="10783" spans="1:1" x14ac:dyDescent="0.35">
      <c r="A10783" s="12"/>
    </row>
    <row r="10784" spans="1:1" x14ac:dyDescent="0.35">
      <c r="A10784" s="12"/>
    </row>
    <row r="10785" spans="1:1" x14ac:dyDescent="0.35">
      <c r="A10785" s="12"/>
    </row>
    <row r="10786" spans="1:1" x14ac:dyDescent="0.35">
      <c r="A10786" s="12"/>
    </row>
    <row r="10787" spans="1:1" x14ac:dyDescent="0.35">
      <c r="A10787" s="12"/>
    </row>
    <row r="10788" spans="1:1" x14ac:dyDescent="0.35">
      <c r="A10788" s="12"/>
    </row>
    <row r="10789" spans="1:1" x14ac:dyDescent="0.35">
      <c r="A10789" s="12"/>
    </row>
    <row r="10790" spans="1:1" x14ac:dyDescent="0.35">
      <c r="A10790" s="12"/>
    </row>
    <row r="10791" spans="1:1" x14ac:dyDescent="0.35">
      <c r="A10791" s="12"/>
    </row>
    <row r="10792" spans="1:1" x14ac:dyDescent="0.35">
      <c r="A10792" s="12"/>
    </row>
    <row r="10793" spans="1:1" x14ac:dyDescent="0.35">
      <c r="A10793" s="12"/>
    </row>
    <row r="10794" spans="1:1" x14ac:dyDescent="0.35">
      <c r="A10794" s="12"/>
    </row>
    <row r="10795" spans="1:1" x14ac:dyDescent="0.35">
      <c r="A10795" s="12"/>
    </row>
    <row r="10796" spans="1:1" x14ac:dyDescent="0.35">
      <c r="A10796" s="12"/>
    </row>
    <row r="10797" spans="1:1" x14ac:dyDescent="0.35">
      <c r="A10797" s="12"/>
    </row>
    <row r="10798" spans="1:1" x14ac:dyDescent="0.35">
      <c r="A10798" s="12"/>
    </row>
    <row r="10799" spans="1:1" x14ac:dyDescent="0.35">
      <c r="A10799" s="12"/>
    </row>
    <row r="10800" spans="1:1" x14ac:dyDescent="0.35">
      <c r="A10800" s="12"/>
    </row>
    <row r="10801" spans="1:1" x14ac:dyDescent="0.35">
      <c r="A10801" s="12"/>
    </row>
    <row r="10802" spans="1:1" x14ac:dyDescent="0.35">
      <c r="A10802" s="12"/>
    </row>
    <row r="10803" spans="1:1" x14ac:dyDescent="0.35">
      <c r="A10803" s="12"/>
    </row>
    <row r="10804" spans="1:1" x14ac:dyDescent="0.35">
      <c r="A10804" s="12"/>
    </row>
    <row r="10805" spans="1:1" x14ac:dyDescent="0.35">
      <c r="A10805" s="12"/>
    </row>
    <row r="10806" spans="1:1" x14ac:dyDescent="0.35">
      <c r="A10806" s="12"/>
    </row>
    <row r="10807" spans="1:1" x14ac:dyDescent="0.35">
      <c r="A10807" s="12"/>
    </row>
    <row r="10808" spans="1:1" x14ac:dyDescent="0.35">
      <c r="A10808" s="12"/>
    </row>
    <row r="10809" spans="1:1" x14ac:dyDescent="0.35">
      <c r="A10809" s="12"/>
    </row>
    <row r="10810" spans="1:1" x14ac:dyDescent="0.35">
      <c r="A10810" s="12"/>
    </row>
    <row r="10811" spans="1:1" x14ac:dyDescent="0.35">
      <c r="A10811" s="12"/>
    </row>
    <row r="10812" spans="1:1" x14ac:dyDescent="0.35">
      <c r="A10812" s="12"/>
    </row>
    <row r="10813" spans="1:1" x14ac:dyDescent="0.35">
      <c r="A10813" s="12"/>
    </row>
    <row r="10814" spans="1:1" x14ac:dyDescent="0.35">
      <c r="A10814" s="12"/>
    </row>
    <row r="10815" spans="1:1" x14ac:dyDescent="0.35">
      <c r="A10815" s="12"/>
    </row>
    <row r="10816" spans="1:1" x14ac:dyDescent="0.35">
      <c r="A10816" s="12"/>
    </row>
    <row r="10817" spans="1:1" x14ac:dyDescent="0.35">
      <c r="A10817" s="12"/>
    </row>
    <row r="10818" spans="1:1" x14ac:dyDescent="0.35">
      <c r="A10818" s="12"/>
    </row>
    <row r="10819" spans="1:1" x14ac:dyDescent="0.35">
      <c r="A10819" s="12"/>
    </row>
    <row r="10820" spans="1:1" x14ac:dyDescent="0.35">
      <c r="A10820" s="12"/>
    </row>
    <row r="10821" spans="1:1" x14ac:dyDescent="0.35">
      <c r="A10821" s="12"/>
    </row>
    <row r="10822" spans="1:1" x14ac:dyDescent="0.35">
      <c r="A10822" s="12"/>
    </row>
    <row r="10823" spans="1:1" x14ac:dyDescent="0.35">
      <c r="A10823" s="12"/>
    </row>
    <row r="10824" spans="1:1" x14ac:dyDescent="0.35">
      <c r="A10824" s="12"/>
    </row>
    <row r="10825" spans="1:1" x14ac:dyDescent="0.35">
      <c r="A10825" s="12"/>
    </row>
    <row r="10826" spans="1:1" x14ac:dyDescent="0.35">
      <c r="A10826" s="12"/>
    </row>
    <row r="10827" spans="1:1" x14ac:dyDescent="0.35">
      <c r="A10827" s="12"/>
    </row>
    <row r="10828" spans="1:1" x14ac:dyDescent="0.35">
      <c r="A10828" s="12"/>
    </row>
    <row r="10829" spans="1:1" x14ac:dyDescent="0.35">
      <c r="A10829" s="12"/>
    </row>
    <row r="10830" spans="1:1" x14ac:dyDescent="0.35">
      <c r="A10830" s="12"/>
    </row>
    <row r="10831" spans="1:1" x14ac:dyDescent="0.35">
      <c r="A10831" s="12"/>
    </row>
    <row r="10832" spans="1:1" x14ac:dyDescent="0.35">
      <c r="A10832" s="12"/>
    </row>
    <row r="10833" spans="1:1" x14ac:dyDescent="0.35">
      <c r="A10833" s="12"/>
    </row>
    <row r="10834" spans="1:1" x14ac:dyDescent="0.35">
      <c r="A10834" s="12"/>
    </row>
    <row r="10835" spans="1:1" x14ac:dyDescent="0.35">
      <c r="A10835" s="12"/>
    </row>
    <row r="10836" spans="1:1" x14ac:dyDescent="0.35">
      <c r="A10836" s="12"/>
    </row>
    <row r="10837" spans="1:1" x14ac:dyDescent="0.35">
      <c r="A10837" s="12"/>
    </row>
    <row r="10838" spans="1:1" x14ac:dyDescent="0.35">
      <c r="A10838" s="12"/>
    </row>
    <row r="10839" spans="1:1" x14ac:dyDescent="0.35">
      <c r="A10839" s="12"/>
    </row>
    <row r="10840" spans="1:1" x14ac:dyDescent="0.35">
      <c r="A10840" s="12"/>
    </row>
    <row r="10841" spans="1:1" x14ac:dyDescent="0.35">
      <c r="A10841" s="12"/>
    </row>
    <row r="10842" spans="1:1" x14ac:dyDescent="0.35">
      <c r="A10842" s="12"/>
    </row>
    <row r="10843" spans="1:1" x14ac:dyDescent="0.35">
      <c r="A10843" s="12"/>
    </row>
    <row r="10844" spans="1:1" x14ac:dyDescent="0.35">
      <c r="A10844" s="12"/>
    </row>
    <row r="10845" spans="1:1" x14ac:dyDescent="0.35">
      <c r="A10845" s="12"/>
    </row>
    <row r="10846" spans="1:1" x14ac:dyDescent="0.35">
      <c r="A10846" s="12"/>
    </row>
    <row r="10847" spans="1:1" x14ac:dyDescent="0.35">
      <c r="A10847" s="12"/>
    </row>
    <row r="10848" spans="1:1" x14ac:dyDescent="0.35">
      <c r="A10848" s="12"/>
    </row>
    <row r="10849" spans="1:1" x14ac:dyDescent="0.35">
      <c r="A10849" s="12"/>
    </row>
    <row r="10850" spans="1:1" x14ac:dyDescent="0.35">
      <c r="A10850" s="12"/>
    </row>
    <row r="10851" spans="1:1" x14ac:dyDescent="0.35">
      <c r="A10851" s="12"/>
    </row>
    <row r="10852" spans="1:1" x14ac:dyDescent="0.35">
      <c r="A10852" s="12"/>
    </row>
    <row r="10853" spans="1:1" x14ac:dyDescent="0.35">
      <c r="A10853" s="12"/>
    </row>
    <row r="10854" spans="1:1" x14ac:dyDescent="0.35">
      <c r="A10854" s="12"/>
    </row>
    <row r="10855" spans="1:1" x14ac:dyDescent="0.35">
      <c r="A10855" s="12"/>
    </row>
    <row r="10856" spans="1:1" x14ac:dyDescent="0.35">
      <c r="A10856" s="12"/>
    </row>
    <row r="10857" spans="1:1" x14ac:dyDescent="0.35">
      <c r="A10857" s="12"/>
    </row>
    <row r="10858" spans="1:1" x14ac:dyDescent="0.35">
      <c r="A10858" s="12"/>
    </row>
    <row r="10859" spans="1:1" x14ac:dyDescent="0.35">
      <c r="A10859" s="12"/>
    </row>
    <row r="10860" spans="1:1" x14ac:dyDescent="0.35">
      <c r="A10860" s="12"/>
    </row>
    <row r="10861" spans="1:1" x14ac:dyDescent="0.35">
      <c r="A10861" s="12"/>
    </row>
    <row r="10862" spans="1:1" x14ac:dyDescent="0.35">
      <c r="A10862" s="12"/>
    </row>
    <row r="10863" spans="1:1" x14ac:dyDescent="0.35">
      <c r="A10863" s="12"/>
    </row>
    <row r="10864" spans="1:1" x14ac:dyDescent="0.35">
      <c r="A10864" s="12"/>
    </row>
    <row r="10865" spans="1:1" x14ac:dyDescent="0.35">
      <c r="A10865" s="12"/>
    </row>
    <row r="10866" spans="1:1" x14ac:dyDescent="0.35">
      <c r="A10866" s="12"/>
    </row>
    <row r="10867" spans="1:1" x14ac:dyDescent="0.35">
      <c r="A10867" s="12"/>
    </row>
    <row r="10868" spans="1:1" x14ac:dyDescent="0.35">
      <c r="A10868" s="12"/>
    </row>
    <row r="10869" spans="1:1" x14ac:dyDescent="0.35">
      <c r="A10869" s="12"/>
    </row>
    <row r="10870" spans="1:1" x14ac:dyDescent="0.35">
      <c r="A10870" s="12"/>
    </row>
    <row r="10871" spans="1:1" x14ac:dyDescent="0.35">
      <c r="A10871" s="12"/>
    </row>
    <row r="10872" spans="1:1" x14ac:dyDescent="0.35">
      <c r="A10872" s="12"/>
    </row>
    <row r="10873" spans="1:1" x14ac:dyDescent="0.35">
      <c r="A10873" s="12"/>
    </row>
    <row r="10874" spans="1:1" x14ac:dyDescent="0.35">
      <c r="A10874" s="12"/>
    </row>
    <row r="10875" spans="1:1" x14ac:dyDescent="0.35">
      <c r="A10875" s="12"/>
    </row>
    <row r="10876" spans="1:1" x14ac:dyDescent="0.35">
      <c r="A10876" s="12"/>
    </row>
    <row r="10877" spans="1:1" x14ac:dyDescent="0.35">
      <c r="A10877" s="12"/>
    </row>
    <row r="10878" spans="1:1" x14ac:dyDescent="0.35">
      <c r="A10878" s="12"/>
    </row>
    <row r="10879" spans="1:1" x14ac:dyDescent="0.35">
      <c r="A10879" s="12"/>
    </row>
    <row r="10880" spans="1:1" x14ac:dyDescent="0.35">
      <c r="A10880" s="12"/>
    </row>
    <row r="10881" spans="1:1" x14ac:dyDescent="0.35">
      <c r="A10881" s="12"/>
    </row>
    <row r="10882" spans="1:1" x14ac:dyDescent="0.35">
      <c r="A10882" s="12"/>
    </row>
    <row r="10883" spans="1:1" x14ac:dyDescent="0.35">
      <c r="A10883" s="12"/>
    </row>
    <row r="10884" spans="1:1" x14ac:dyDescent="0.35">
      <c r="A10884" s="12"/>
    </row>
    <row r="10885" spans="1:1" x14ac:dyDescent="0.35">
      <c r="A10885" s="12"/>
    </row>
    <row r="10886" spans="1:1" x14ac:dyDescent="0.35">
      <c r="A10886" s="12"/>
    </row>
    <row r="10887" spans="1:1" x14ac:dyDescent="0.35">
      <c r="A10887" s="12"/>
    </row>
    <row r="10888" spans="1:1" x14ac:dyDescent="0.35">
      <c r="A10888" s="12"/>
    </row>
    <row r="10889" spans="1:1" x14ac:dyDescent="0.35">
      <c r="A10889" s="12"/>
    </row>
    <row r="10890" spans="1:1" x14ac:dyDescent="0.35">
      <c r="A10890" s="12"/>
    </row>
    <row r="10891" spans="1:1" x14ac:dyDescent="0.35">
      <c r="A10891" s="12"/>
    </row>
    <row r="10892" spans="1:1" x14ac:dyDescent="0.35">
      <c r="A10892" s="12"/>
    </row>
    <row r="10893" spans="1:1" x14ac:dyDescent="0.35">
      <c r="A10893" s="12"/>
    </row>
    <row r="10894" spans="1:1" x14ac:dyDescent="0.35">
      <c r="A10894" s="12"/>
    </row>
    <row r="10895" spans="1:1" x14ac:dyDescent="0.35">
      <c r="A10895" s="12"/>
    </row>
    <row r="10896" spans="1:1" x14ac:dyDescent="0.35">
      <c r="A10896" s="12"/>
    </row>
    <row r="10897" spans="1:1" x14ac:dyDescent="0.35">
      <c r="A10897" s="12"/>
    </row>
    <row r="10898" spans="1:1" x14ac:dyDescent="0.35">
      <c r="A10898" s="12"/>
    </row>
    <row r="10899" spans="1:1" x14ac:dyDescent="0.35">
      <c r="A10899" s="12"/>
    </row>
    <row r="10900" spans="1:1" x14ac:dyDescent="0.35">
      <c r="A10900" s="12"/>
    </row>
    <row r="10901" spans="1:1" x14ac:dyDescent="0.35">
      <c r="A10901" s="12"/>
    </row>
    <row r="10902" spans="1:1" x14ac:dyDescent="0.35">
      <c r="A10902" s="12"/>
    </row>
    <row r="10903" spans="1:1" x14ac:dyDescent="0.35">
      <c r="A10903" s="12"/>
    </row>
    <row r="10904" spans="1:1" x14ac:dyDescent="0.35">
      <c r="A10904" s="12"/>
    </row>
    <row r="10905" spans="1:1" x14ac:dyDescent="0.35">
      <c r="A10905" s="12"/>
    </row>
    <row r="10906" spans="1:1" x14ac:dyDescent="0.35">
      <c r="A10906" s="12"/>
    </row>
    <row r="10907" spans="1:1" x14ac:dyDescent="0.35">
      <c r="A10907" s="12"/>
    </row>
    <row r="10908" spans="1:1" x14ac:dyDescent="0.35">
      <c r="A10908" s="12"/>
    </row>
    <row r="10909" spans="1:1" x14ac:dyDescent="0.35">
      <c r="A10909" s="12"/>
    </row>
    <row r="10910" spans="1:1" x14ac:dyDescent="0.35">
      <c r="A10910" s="12"/>
    </row>
    <row r="10911" spans="1:1" x14ac:dyDescent="0.35">
      <c r="A10911" s="12"/>
    </row>
    <row r="10912" spans="1:1" x14ac:dyDescent="0.35">
      <c r="A10912" s="12"/>
    </row>
    <row r="10913" spans="1:1" x14ac:dyDescent="0.35">
      <c r="A10913" s="12"/>
    </row>
    <row r="10914" spans="1:1" x14ac:dyDescent="0.35">
      <c r="A10914" s="12"/>
    </row>
    <row r="10915" spans="1:1" x14ac:dyDescent="0.35">
      <c r="A10915" s="12"/>
    </row>
    <row r="10916" spans="1:1" x14ac:dyDescent="0.35">
      <c r="A10916" s="12"/>
    </row>
    <row r="10917" spans="1:1" x14ac:dyDescent="0.35">
      <c r="A10917" s="12"/>
    </row>
    <row r="10918" spans="1:1" x14ac:dyDescent="0.35">
      <c r="A10918" s="12"/>
    </row>
    <row r="10919" spans="1:1" x14ac:dyDescent="0.35">
      <c r="A10919" s="12"/>
    </row>
    <row r="10920" spans="1:1" x14ac:dyDescent="0.35">
      <c r="A10920" s="12"/>
    </row>
    <row r="10921" spans="1:1" x14ac:dyDescent="0.35">
      <c r="A10921" s="12"/>
    </row>
    <row r="10922" spans="1:1" x14ac:dyDescent="0.35">
      <c r="A10922" s="12"/>
    </row>
    <row r="10923" spans="1:1" x14ac:dyDescent="0.35">
      <c r="A10923" s="12"/>
    </row>
    <row r="10924" spans="1:1" x14ac:dyDescent="0.35">
      <c r="A10924" s="12"/>
    </row>
    <row r="10925" spans="1:1" x14ac:dyDescent="0.35">
      <c r="A10925" s="12"/>
    </row>
    <row r="10926" spans="1:1" x14ac:dyDescent="0.35">
      <c r="A10926" s="12"/>
    </row>
    <row r="10927" spans="1:1" x14ac:dyDescent="0.35">
      <c r="A10927" s="12"/>
    </row>
    <row r="10928" spans="1:1" x14ac:dyDescent="0.35">
      <c r="A10928" s="12"/>
    </row>
    <row r="10929" spans="1:1" x14ac:dyDescent="0.35">
      <c r="A10929" s="12"/>
    </row>
    <row r="10930" spans="1:1" x14ac:dyDescent="0.35">
      <c r="A10930" s="12"/>
    </row>
    <row r="10931" spans="1:1" x14ac:dyDescent="0.35">
      <c r="A10931" s="12"/>
    </row>
    <row r="10932" spans="1:1" x14ac:dyDescent="0.35">
      <c r="A10932" s="12"/>
    </row>
    <row r="10933" spans="1:1" x14ac:dyDescent="0.35">
      <c r="A10933" s="12"/>
    </row>
    <row r="10934" spans="1:1" x14ac:dyDescent="0.35">
      <c r="A10934" s="12"/>
    </row>
    <row r="10935" spans="1:1" x14ac:dyDescent="0.35">
      <c r="A10935" s="12"/>
    </row>
    <row r="10936" spans="1:1" x14ac:dyDescent="0.35">
      <c r="A10936" s="12"/>
    </row>
    <row r="10937" spans="1:1" x14ac:dyDescent="0.35">
      <c r="A10937" s="12"/>
    </row>
    <row r="10938" spans="1:1" x14ac:dyDescent="0.35">
      <c r="A10938" s="12"/>
    </row>
    <row r="10939" spans="1:1" x14ac:dyDescent="0.35">
      <c r="A10939" s="12"/>
    </row>
    <row r="10940" spans="1:1" x14ac:dyDescent="0.35">
      <c r="A10940" s="12"/>
    </row>
    <row r="10941" spans="1:1" x14ac:dyDescent="0.35">
      <c r="A10941" s="12"/>
    </row>
    <row r="10942" spans="1:1" x14ac:dyDescent="0.35">
      <c r="A10942" s="12"/>
    </row>
    <row r="10943" spans="1:1" x14ac:dyDescent="0.35">
      <c r="A10943" s="12"/>
    </row>
    <row r="10944" spans="1:1" x14ac:dyDescent="0.35">
      <c r="A10944" s="12"/>
    </row>
    <row r="10945" spans="1:1" x14ac:dyDescent="0.35">
      <c r="A10945" s="12"/>
    </row>
    <row r="10946" spans="1:1" x14ac:dyDescent="0.35">
      <c r="A10946" s="12"/>
    </row>
    <row r="10947" spans="1:1" x14ac:dyDescent="0.35">
      <c r="A10947" s="12"/>
    </row>
    <row r="10948" spans="1:1" x14ac:dyDescent="0.35">
      <c r="A10948" s="12"/>
    </row>
    <row r="10949" spans="1:1" x14ac:dyDescent="0.35">
      <c r="A10949" s="12"/>
    </row>
    <row r="10950" spans="1:1" x14ac:dyDescent="0.35">
      <c r="A10950" s="12"/>
    </row>
    <row r="10951" spans="1:1" x14ac:dyDescent="0.35">
      <c r="A10951" s="12"/>
    </row>
    <row r="10952" spans="1:1" x14ac:dyDescent="0.35">
      <c r="A10952" s="12"/>
    </row>
    <row r="10953" spans="1:1" x14ac:dyDescent="0.35">
      <c r="A10953" s="12"/>
    </row>
    <row r="10954" spans="1:1" x14ac:dyDescent="0.35">
      <c r="A10954" s="12"/>
    </row>
    <row r="10955" spans="1:1" x14ac:dyDescent="0.35">
      <c r="A10955" s="12"/>
    </row>
    <row r="10956" spans="1:1" x14ac:dyDescent="0.35">
      <c r="A10956" s="12"/>
    </row>
    <row r="10957" spans="1:1" x14ac:dyDescent="0.35">
      <c r="A10957" s="12"/>
    </row>
    <row r="10958" spans="1:1" x14ac:dyDescent="0.35">
      <c r="A10958" s="12"/>
    </row>
    <row r="10959" spans="1:1" x14ac:dyDescent="0.35">
      <c r="A10959" s="12"/>
    </row>
    <row r="10960" spans="1:1" x14ac:dyDescent="0.35">
      <c r="A10960" s="12"/>
    </row>
    <row r="10961" spans="1:1" x14ac:dyDescent="0.35">
      <c r="A10961" s="12"/>
    </row>
    <row r="10962" spans="1:1" x14ac:dyDescent="0.35">
      <c r="A10962" s="12"/>
    </row>
    <row r="10963" spans="1:1" x14ac:dyDescent="0.35">
      <c r="A10963" s="12"/>
    </row>
    <row r="10964" spans="1:1" x14ac:dyDescent="0.35">
      <c r="A10964" s="12"/>
    </row>
    <row r="10965" spans="1:1" x14ac:dyDescent="0.35">
      <c r="A10965" s="12"/>
    </row>
    <row r="10966" spans="1:1" x14ac:dyDescent="0.35">
      <c r="A10966" s="12"/>
    </row>
    <row r="10967" spans="1:1" x14ac:dyDescent="0.35">
      <c r="A10967" s="12"/>
    </row>
    <row r="10968" spans="1:1" x14ac:dyDescent="0.35">
      <c r="A10968" s="12"/>
    </row>
    <row r="10969" spans="1:1" x14ac:dyDescent="0.35">
      <c r="A10969" s="12"/>
    </row>
    <row r="10970" spans="1:1" x14ac:dyDescent="0.35">
      <c r="A10970" s="12"/>
    </row>
    <row r="10971" spans="1:1" x14ac:dyDescent="0.35">
      <c r="A10971" s="12"/>
    </row>
    <row r="10972" spans="1:1" x14ac:dyDescent="0.35">
      <c r="A10972" s="12"/>
    </row>
    <row r="10973" spans="1:1" x14ac:dyDescent="0.35">
      <c r="A10973" s="12"/>
    </row>
    <row r="10974" spans="1:1" x14ac:dyDescent="0.35">
      <c r="A10974" s="12"/>
    </row>
    <row r="10975" spans="1:1" x14ac:dyDescent="0.35">
      <c r="A10975" s="12"/>
    </row>
    <row r="10976" spans="1:1" x14ac:dyDescent="0.35">
      <c r="A10976" s="12"/>
    </row>
    <row r="10977" spans="1:1" x14ac:dyDescent="0.35">
      <c r="A10977" s="12"/>
    </row>
    <row r="10978" spans="1:1" x14ac:dyDescent="0.35">
      <c r="A10978" s="12"/>
    </row>
    <row r="10979" spans="1:1" x14ac:dyDescent="0.35">
      <c r="A10979" s="12"/>
    </row>
    <row r="10980" spans="1:1" x14ac:dyDescent="0.35">
      <c r="A10980" s="12"/>
    </row>
    <row r="10981" spans="1:1" x14ac:dyDescent="0.35">
      <c r="A10981" s="12"/>
    </row>
    <row r="10982" spans="1:1" x14ac:dyDescent="0.35">
      <c r="A10982" s="12"/>
    </row>
    <row r="10983" spans="1:1" x14ac:dyDescent="0.35">
      <c r="A10983" s="12"/>
    </row>
    <row r="10984" spans="1:1" x14ac:dyDescent="0.35">
      <c r="A10984" s="12"/>
    </row>
    <row r="10985" spans="1:1" x14ac:dyDescent="0.35">
      <c r="A10985" s="12"/>
    </row>
    <row r="10986" spans="1:1" x14ac:dyDescent="0.35">
      <c r="A10986" s="12"/>
    </row>
    <row r="10987" spans="1:1" x14ac:dyDescent="0.35">
      <c r="A10987" s="12"/>
    </row>
    <row r="10988" spans="1:1" x14ac:dyDescent="0.35">
      <c r="A10988" s="12"/>
    </row>
    <row r="10989" spans="1:1" x14ac:dyDescent="0.35">
      <c r="A10989" s="12"/>
    </row>
    <row r="10990" spans="1:1" x14ac:dyDescent="0.35">
      <c r="A10990" s="12"/>
    </row>
    <row r="10991" spans="1:1" x14ac:dyDescent="0.35">
      <c r="A10991" s="12"/>
    </row>
    <row r="10992" spans="1:1" x14ac:dyDescent="0.35">
      <c r="A10992" s="12"/>
    </row>
    <row r="10993" spans="1:1" x14ac:dyDescent="0.35">
      <c r="A10993" s="12"/>
    </row>
    <row r="10994" spans="1:1" x14ac:dyDescent="0.35">
      <c r="A10994" s="12"/>
    </row>
    <row r="10995" spans="1:1" x14ac:dyDescent="0.35">
      <c r="A10995" s="12"/>
    </row>
    <row r="10996" spans="1:1" x14ac:dyDescent="0.35">
      <c r="A10996" s="12"/>
    </row>
    <row r="10997" spans="1:1" x14ac:dyDescent="0.35">
      <c r="A10997" s="12"/>
    </row>
    <row r="10998" spans="1:1" x14ac:dyDescent="0.35">
      <c r="A10998" s="12"/>
    </row>
    <row r="10999" spans="1:1" x14ac:dyDescent="0.35">
      <c r="A10999" s="12"/>
    </row>
    <row r="11000" spans="1:1" x14ac:dyDescent="0.35">
      <c r="A11000" s="12"/>
    </row>
    <row r="11001" spans="1:1" x14ac:dyDescent="0.35">
      <c r="A11001" s="12"/>
    </row>
    <row r="11002" spans="1:1" x14ac:dyDescent="0.35">
      <c r="A11002" s="12"/>
    </row>
    <row r="11003" spans="1:1" x14ac:dyDescent="0.35">
      <c r="A11003" s="12"/>
    </row>
    <row r="11004" spans="1:1" x14ac:dyDescent="0.35">
      <c r="A11004" s="12"/>
    </row>
    <row r="11005" spans="1:1" x14ac:dyDescent="0.35">
      <c r="A11005" s="12"/>
    </row>
    <row r="11006" spans="1:1" x14ac:dyDescent="0.35">
      <c r="A11006" s="12"/>
    </row>
    <row r="11007" spans="1:1" x14ac:dyDescent="0.35">
      <c r="A11007" s="12"/>
    </row>
    <row r="11008" spans="1:1" x14ac:dyDescent="0.35">
      <c r="A11008" s="12"/>
    </row>
    <row r="11009" spans="1:1" x14ac:dyDescent="0.35">
      <c r="A11009" s="12"/>
    </row>
    <row r="11010" spans="1:1" x14ac:dyDescent="0.35">
      <c r="A11010" s="12"/>
    </row>
    <row r="11011" spans="1:1" x14ac:dyDescent="0.35">
      <c r="A11011" s="12"/>
    </row>
    <row r="11012" spans="1:1" x14ac:dyDescent="0.35">
      <c r="A11012" s="12"/>
    </row>
    <row r="11013" spans="1:1" x14ac:dyDescent="0.35">
      <c r="A11013" s="12"/>
    </row>
    <row r="11014" spans="1:1" x14ac:dyDescent="0.35">
      <c r="A11014" s="12"/>
    </row>
    <row r="11015" spans="1:1" x14ac:dyDescent="0.35">
      <c r="A11015" s="12"/>
    </row>
    <row r="11016" spans="1:1" x14ac:dyDescent="0.35">
      <c r="A11016" s="12"/>
    </row>
    <row r="11017" spans="1:1" x14ac:dyDescent="0.35">
      <c r="A11017" s="12"/>
    </row>
    <row r="11018" spans="1:1" x14ac:dyDescent="0.35">
      <c r="A11018" s="12"/>
    </row>
    <row r="11019" spans="1:1" x14ac:dyDescent="0.35">
      <c r="A11019" s="12"/>
    </row>
    <row r="11020" spans="1:1" x14ac:dyDescent="0.35">
      <c r="A11020" s="12"/>
    </row>
    <row r="11021" spans="1:1" x14ac:dyDescent="0.35">
      <c r="A11021" s="12"/>
    </row>
    <row r="11022" spans="1:1" x14ac:dyDescent="0.35">
      <c r="A11022" s="12"/>
    </row>
    <row r="11023" spans="1:1" x14ac:dyDescent="0.35">
      <c r="A11023" s="12"/>
    </row>
    <row r="11024" spans="1:1" x14ac:dyDescent="0.35">
      <c r="A11024" s="12"/>
    </row>
    <row r="11025" spans="1:1" x14ac:dyDescent="0.35">
      <c r="A11025" s="12"/>
    </row>
    <row r="11026" spans="1:1" x14ac:dyDescent="0.35">
      <c r="A11026" s="12"/>
    </row>
    <row r="11027" spans="1:1" x14ac:dyDescent="0.35">
      <c r="A11027" s="12"/>
    </row>
    <row r="11028" spans="1:1" x14ac:dyDescent="0.35">
      <c r="A11028" s="12"/>
    </row>
    <row r="11029" spans="1:1" x14ac:dyDescent="0.35">
      <c r="A11029" s="12"/>
    </row>
    <row r="11030" spans="1:1" x14ac:dyDescent="0.35">
      <c r="A11030" s="12"/>
    </row>
    <row r="11031" spans="1:1" x14ac:dyDescent="0.35">
      <c r="A11031" s="12"/>
    </row>
    <row r="11032" spans="1:1" x14ac:dyDescent="0.35">
      <c r="A11032" s="12"/>
    </row>
    <row r="11033" spans="1:1" x14ac:dyDescent="0.35">
      <c r="A11033" s="12"/>
    </row>
    <row r="11034" spans="1:1" x14ac:dyDescent="0.35">
      <c r="A11034" s="12"/>
    </row>
    <row r="11035" spans="1:1" x14ac:dyDescent="0.35">
      <c r="A11035" s="12"/>
    </row>
    <row r="11036" spans="1:1" x14ac:dyDescent="0.35">
      <c r="A11036" s="12"/>
    </row>
    <row r="11037" spans="1:1" x14ac:dyDescent="0.35">
      <c r="A11037" s="12"/>
    </row>
    <row r="11038" spans="1:1" x14ac:dyDescent="0.35">
      <c r="A11038" s="12"/>
    </row>
    <row r="11039" spans="1:1" x14ac:dyDescent="0.35">
      <c r="A11039" s="12"/>
    </row>
    <row r="11040" spans="1:1" x14ac:dyDescent="0.35">
      <c r="A11040" s="12"/>
    </row>
    <row r="11041" spans="1:1" x14ac:dyDescent="0.35">
      <c r="A11041" s="12"/>
    </row>
    <row r="11042" spans="1:1" x14ac:dyDescent="0.35">
      <c r="A11042" s="12"/>
    </row>
    <row r="11043" spans="1:1" x14ac:dyDescent="0.35">
      <c r="A11043" s="12"/>
    </row>
    <row r="11044" spans="1:1" x14ac:dyDescent="0.35">
      <c r="A11044" s="12"/>
    </row>
    <row r="11045" spans="1:1" x14ac:dyDescent="0.35">
      <c r="A11045" s="12"/>
    </row>
    <row r="11046" spans="1:1" x14ac:dyDescent="0.35">
      <c r="A11046" s="12"/>
    </row>
    <row r="11047" spans="1:1" x14ac:dyDescent="0.35">
      <c r="A11047" s="12"/>
    </row>
    <row r="11048" spans="1:1" x14ac:dyDescent="0.35">
      <c r="A11048" s="12"/>
    </row>
    <row r="11049" spans="1:1" x14ac:dyDescent="0.35">
      <c r="A11049" s="12"/>
    </row>
    <row r="11050" spans="1:1" x14ac:dyDescent="0.35">
      <c r="A11050" s="12"/>
    </row>
    <row r="11051" spans="1:1" x14ac:dyDescent="0.35">
      <c r="A11051" s="12"/>
    </row>
    <row r="11052" spans="1:1" x14ac:dyDescent="0.35">
      <c r="A11052" s="12"/>
    </row>
    <row r="11053" spans="1:1" x14ac:dyDescent="0.35">
      <c r="A11053" s="12"/>
    </row>
    <row r="11054" spans="1:1" x14ac:dyDescent="0.35">
      <c r="A11054" s="12"/>
    </row>
    <row r="11055" spans="1:1" x14ac:dyDescent="0.35">
      <c r="A11055" s="12"/>
    </row>
    <row r="11056" spans="1:1" x14ac:dyDescent="0.35">
      <c r="A11056" s="12"/>
    </row>
    <row r="11057" spans="1:1" x14ac:dyDescent="0.35">
      <c r="A11057" s="12"/>
    </row>
    <row r="11058" spans="1:1" x14ac:dyDescent="0.35">
      <c r="A11058" s="12"/>
    </row>
    <row r="11059" spans="1:1" x14ac:dyDescent="0.35">
      <c r="A11059" s="12"/>
    </row>
    <row r="11060" spans="1:1" x14ac:dyDescent="0.35">
      <c r="A11060" s="12"/>
    </row>
    <row r="11061" spans="1:1" x14ac:dyDescent="0.35">
      <c r="A11061" s="12"/>
    </row>
    <row r="11062" spans="1:1" x14ac:dyDescent="0.35">
      <c r="A11062" s="12"/>
    </row>
    <row r="11063" spans="1:1" x14ac:dyDescent="0.35">
      <c r="A11063" s="12"/>
    </row>
    <row r="11064" spans="1:1" x14ac:dyDescent="0.35">
      <c r="A11064" s="12"/>
    </row>
    <row r="11065" spans="1:1" x14ac:dyDescent="0.35">
      <c r="A11065" s="12"/>
    </row>
    <row r="11066" spans="1:1" x14ac:dyDescent="0.35">
      <c r="A11066" s="12"/>
    </row>
    <row r="11067" spans="1:1" x14ac:dyDescent="0.35">
      <c r="A11067" s="12"/>
    </row>
    <row r="11068" spans="1:1" x14ac:dyDescent="0.35">
      <c r="A11068" s="12"/>
    </row>
    <row r="11069" spans="1:1" x14ac:dyDescent="0.35">
      <c r="A11069" s="12"/>
    </row>
    <row r="11070" spans="1:1" x14ac:dyDescent="0.35">
      <c r="A11070" s="12"/>
    </row>
    <row r="11071" spans="1:1" x14ac:dyDescent="0.35">
      <c r="A11071" s="12"/>
    </row>
    <row r="11072" spans="1:1" x14ac:dyDescent="0.35">
      <c r="A11072" s="12"/>
    </row>
    <row r="11073" spans="1:1" x14ac:dyDescent="0.35">
      <c r="A11073" s="12"/>
    </row>
    <row r="11074" spans="1:1" x14ac:dyDescent="0.35">
      <c r="A11074" s="12"/>
    </row>
    <row r="11075" spans="1:1" x14ac:dyDescent="0.35">
      <c r="A11075" s="12"/>
    </row>
    <row r="11076" spans="1:1" x14ac:dyDescent="0.35">
      <c r="A11076" s="12"/>
    </row>
    <row r="11077" spans="1:1" x14ac:dyDescent="0.35">
      <c r="A11077" s="12"/>
    </row>
    <row r="11078" spans="1:1" x14ac:dyDescent="0.35">
      <c r="A11078" s="12"/>
    </row>
    <row r="11079" spans="1:1" x14ac:dyDescent="0.35">
      <c r="A11079" s="12"/>
    </row>
    <row r="11080" spans="1:1" x14ac:dyDescent="0.35">
      <c r="A11080" s="12"/>
    </row>
    <row r="11081" spans="1:1" x14ac:dyDescent="0.35">
      <c r="A11081" s="12"/>
    </row>
    <row r="11082" spans="1:1" x14ac:dyDescent="0.35">
      <c r="A11082" s="12"/>
    </row>
    <row r="11083" spans="1:1" x14ac:dyDescent="0.35">
      <c r="A11083" s="12"/>
    </row>
    <row r="11084" spans="1:1" x14ac:dyDescent="0.35">
      <c r="A11084" s="12"/>
    </row>
    <row r="11085" spans="1:1" x14ac:dyDescent="0.35">
      <c r="A11085" s="12"/>
    </row>
    <row r="11086" spans="1:1" x14ac:dyDescent="0.35">
      <c r="A11086" s="12"/>
    </row>
    <row r="11087" spans="1:1" x14ac:dyDescent="0.35">
      <c r="A11087" s="12"/>
    </row>
    <row r="11088" spans="1:1" x14ac:dyDescent="0.35">
      <c r="A11088" s="12"/>
    </row>
    <row r="11089" spans="1:1" x14ac:dyDescent="0.35">
      <c r="A11089" s="12"/>
    </row>
    <row r="11090" spans="1:1" x14ac:dyDescent="0.35">
      <c r="A11090" s="12"/>
    </row>
    <row r="11091" spans="1:1" x14ac:dyDescent="0.35">
      <c r="A11091" s="12"/>
    </row>
    <row r="11092" spans="1:1" x14ac:dyDescent="0.35">
      <c r="A11092" s="12"/>
    </row>
    <row r="11093" spans="1:1" x14ac:dyDescent="0.35">
      <c r="A11093" s="12"/>
    </row>
    <row r="11094" spans="1:1" x14ac:dyDescent="0.35">
      <c r="A11094" s="12"/>
    </row>
    <row r="11095" spans="1:1" x14ac:dyDescent="0.35">
      <c r="A11095" s="12"/>
    </row>
    <row r="11096" spans="1:1" x14ac:dyDescent="0.35">
      <c r="A11096" s="12"/>
    </row>
    <row r="11097" spans="1:1" x14ac:dyDescent="0.35">
      <c r="A11097" s="12"/>
    </row>
    <row r="11098" spans="1:1" x14ac:dyDescent="0.35">
      <c r="A11098" s="12"/>
    </row>
    <row r="11099" spans="1:1" x14ac:dyDescent="0.35">
      <c r="A11099" s="12"/>
    </row>
    <row r="11100" spans="1:1" x14ac:dyDescent="0.35">
      <c r="A11100" s="12"/>
    </row>
    <row r="11101" spans="1:1" x14ac:dyDescent="0.35">
      <c r="A11101" s="12"/>
    </row>
    <row r="11102" spans="1:1" x14ac:dyDescent="0.35">
      <c r="A11102" s="12"/>
    </row>
    <row r="11103" spans="1:1" x14ac:dyDescent="0.35">
      <c r="A11103" s="12"/>
    </row>
    <row r="11104" spans="1:1" x14ac:dyDescent="0.35">
      <c r="A11104" s="12"/>
    </row>
    <row r="11105" spans="1:1" x14ac:dyDescent="0.35">
      <c r="A11105" s="12"/>
    </row>
    <row r="11106" spans="1:1" x14ac:dyDescent="0.35">
      <c r="A11106" s="12"/>
    </row>
    <row r="11107" spans="1:1" x14ac:dyDescent="0.35">
      <c r="A11107" s="12"/>
    </row>
    <row r="11108" spans="1:1" x14ac:dyDescent="0.35">
      <c r="A11108" s="12"/>
    </row>
    <row r="11109" spans="1:1" x14ac:dyDescent="0.35">
      <c r="A11109" s="12"/>
    </row>
    <row r="11110" spans="1:1" x14ac:dyDescent="0.35">
      <c r="A11110" s="12"/>
    </row>
    <row r="11111" spans="1:1" x14ac:dyDescent="0.35">
      <c r="A11111" s="12"/>
    </row>
    <row r="11112" spans="1:1" x14ac:dyDescent="0.35">
      <c r="A11112" s="12"/>
    </row>
    <row r="11113" spans="1:1" x14ac:dyDescent="0.35">
      <c r="A11113" s="12"/>
    </row>
    <row r="11114" spans="1:1" x14ac:dyDescent="0.35">
      <c r="A11114" s="12"/>
    </row>
    <row r="11115" spans="1:1" x14ac:dyDescent="0.35">
      <c r="A11115" s="12"/>
    </row>
    <row r="11116" spans="1:1" x14ac:dyDescent="0.35">
      <c r="A11116" s="12"/>
    </row>
    <row r="11117" spans="1:1" x14ac:dyDescent="0.35">
      <c r="A11117" s="12"/>
    </row>
    <row r="11118" spans="1:1" x14ac:dyDescent="0.35">
      <c r="A11118" s="12"/>
    </row>
    <row r="11119" spans="1:1" x14ac:dyDescent="0.35">
      <c r="A11119" s="12"/>
    </row>
    <row r="11120" spans="1:1" x14ac:dyDescent="0.35">
      <c r="A11120" s="12"/>
    </row>
    <row r="11121" spans="1:1" x14ac:dyDescent="0.35">
      <c r="A11121" s="12"/>
    </row>
    <row r="11122" spans="1:1" x14ac:dyDescent="0.35">
      <c r="A11122" s="12"/>
    </row>
    <row r="11123" spans="1:1" x14ac:dyDescent="0.35">
      <c r="A11123" s="12"/>
    </row>
    <row r="11124" spans="1:1" x14ac:dyDescent="0.35">
      <c r="A11124" s="12"/>
    </row>
    <row r="11125" spans="1:1" x14ac:dyDescent="0.35">
      <c r="A11125" s="12"/>
    </row>
    <row r="11126" spans="1:1" x14ac:dyDescent="0.35">
      <c r="A11126" s="12"/>
    </row>
    <row r="11127" spans="1:1" x14ac:dyDescent="0.35">
      <c r="A11127" s="12"/>
    </row>
    <row r="11128" spans="1:1" x14ac:dyDescent="0.35">
      <c r="A11128" s="12"/>
    </row>
    <row r="11129" spans="1:1" x14ac:dyDescent="0.35">
      <c r="A11129" s="12"/>
    </row>
    <row r="11130" spans="1:1" x14ac:dyDescent="0.35">
      <c r="A11130" s="12"/>
    </row>
    <row r="11131" spans="1:1" x14ac:dyDescent="0.35">
      <c r="A11131" s="12"/>
    </row>
    <row r="11132" spans="1:1" x14ac:dyDescent="0.35">
      <c r="A11132" s="12"/>
    </row>
    <row r="11133" spans="1:1" x14ac:dyDescent="0.35">
      <c r="A11133" s="12"/>
    </row>
    <row r="11134" spans="1:1" x14ac:dyDescent="0.35">
      <c r="A11134" s="12"/>
    </row>
    <row r="11135" spans="1:1" x14ac:dyDescent="0.35">
      <c r="A11135" s="12"/>
    </row>
    <row r="11136" spans="1:1" x14ac:dyDescent="0.35">
      <c r="A11136" s="12"/>
    </row>
    <row r="11137" spans="1:1" x14ac:dyDescent="0.35">
      <c r="A11137" s="12"/>
    </row>
    <row r="11138" spans="1:1" x14ac:dyDescent="0.35">
      <c r="A11138" s="12"/>
    </row>
    <row r="11139" spans="1:1" x14ac:dyDescent="0.35">
      <c r="A11139" s="12"/>
    </row>
    <row r="11140" spans="1:1" x14ac:dyDescent="0.35">
      <c r="A11140" s="12"/>
    </row>
    <row r="11141" spans="1:1" x14ac:dyDescent="0.35">
      <c r="A11141" s="12"/>
    </row>
    <row r="11142" spans="1:1" x14ac:dyDescent="0.35">
      <c r="A11142" s="12"/>
    </row>
    <row r="11143" spans="1:1" x14ac:dyDescent="0.35">
      <c r="A11143" s="12"/>
    </row>
    <row r="11144" spans="1:1" x14ac:dyDescent="0.35">
      <c r="A11144" s="12"/>
    </row>
    <row r="11145" spans="1:1" x14ac:dyDescent="0.35">
      <c r="A11145" s="12"/>
    </row>
    <row r="11146" spans="1:1" x14ac:dyDescent="0.35">
      <c r="A11146" s="12"/>
    </row>
    <row r="11147" spans="1:1" x14ac:dyDescent="0.35">
      <c r="A11147" s="12"/>
    </row>
    <row r="11148" spans="1:1" x14ac:dyDescent="0.35">
      <c r="A11148" s="12"/>
    </row>
    <row r="11149" spans="1:1" x14ac:dyDescent="0.35">
      <c r="A11149" s="12"/>
    </row>
    <row r="11150" spans="1:1" x14ac:dyDescent="0.35">
      <c r="A11150" s="12"/>
    </row>
    <row r="11151" spans="1:1" x14ac:dyDescent="0.35">
      <c r="A11151" s="12"/>
    </row>
    <row r="11152" spans="1:1" x14ac:dyDescent="0.35">
      <c r="A11152" s="12"/>
    </row>
    <row r="11153" spans="1:1" x14ac:dyDescent="0.35">
      <c r="A11153" s="12"/>
    </row>
    <row r="11154" spans="1:1" x14ac:dyDescent="0.35">
      <c r="A11154" s="12"/>
    </row>
    <row r="11155" spans="1:1" x14ac:dyDescent="0.35">
      <c r="A11155" s="12"/>
    </row>
    <row r="11156" spans="1:1" x14ac:dyDescent="0.35">
      <c r="A11156" s="12"/>
    </row>
    <row r="11157" spans="1:1" x14ac:dyDescent="0.35">
      <c r="A11157" s="12"/>
    </row>
    <row r="11158" spans="1:1" x14ac:dyDescent="0.35">
      <c r="A11158" s="12"/>
    </row>
    <row r="11159" spans="1:1" x14ac:dyDescent="0.35">
      <c r="A11159" s="12"/>
    </row>
    <row r="11160" spans="1:1" x14ac:dyDescent="0.35">
      <c r="A11160" s="12"/>
    </row>
    <row r="11161" spans="1:1" x14ac:dyDescent="0.35">
      <c r="A11161" s="12"/>
    </row>
    <row r="11162" spans="1:1" x14ac:dyDescent="0.35">
      <c r="A11162" s="12"/>
    </row>
    <row r="11163" spans="1:1" x14ac:dyDescent="0.35">
      <c r="A11163" s="12"/>
    </row>
    <row r="11164" spans="1:1" x14ac:dyDescent="0.35">
      <c r="A11164" s="12"/>
    </row>
    <row r="11165" spans="1:1" x14ac:dyDescent="0.35">
      <c r="A11165" s="12"/>
    </row>
    <row r="11166" spans="1:1" x14ac:dyDescent="0.35">
      <c r="A11166" s="12"/>
    </row>
    <row r="11167" spans="1:1" x14ac:dyDescent="0.35">
      <c r="A11167" s="12"/>
    </row>
    <row r="11168" spans="1:1" x14ac:dyDescent="0.35">
      <c r="A11168" s="12"/>
    </row>
    <row r="11169" spans="1:1" x14ac:dyDescent="0.35">
      <c r="A11169" s="12"/>
    </row>
    <row r="11170" spans="1:1" x14ac:dyDescent="0.35">
      <c r="A11170" s="12"/>
    </row>
    <row r="11171" spans="1:1" x14ac:dyDescent="0.35">
      <c r="A11171" s="12"/>
    </row>
    <row r="11172" spans="1:1" x14ac:dyDescent="0.35">
      <c r="A11172" s="12"/>
    </row>
    <row r="11173" spans="1:1" x14ac:dyDescent="0.35">
      <c r="A11173" s="12"/>
    </row>
    <row r="11174" spans="1:1" x14ac:dyDescent="0.35">
      <c r="A11174" s="12"/>
    </row>
    <row r="11175" spans="1:1" x14ac:dyDescent="0.35">
      <c r="A11175" s="12"/>
    </row>
    <row r="11176" spans="1:1" x14ac:dyDescent="0.35">
      <c r="A11176" s="12"/>
    </row>
    <row r="11177" spans="1:1" x14ac:dyDescent="0.35">
      <c r="A11177" s="12"/>
    </row>
    <row r="11178" spans="1:1" x14ac:dyDescent="0.35">
      <c r="A11178" s="12"/>
    </row>
    <row r="11179" spans="1:1" x14ac:dyDescent="0.35">
      <c r="A11179" s="12"/>
    </row>
    <row r="11180" spans="1:1" x14ac:dyDescent="0.35">
      <c r="A11180" s="12"/>
    </row>
    <row r="11181" spans="1:1" x14ac:dyDescent="0.35">
      <c r="A11181" s="12"/>
    </row>
    <row r="11182" spans="1:1" x14ac:dyDescent="0.35">
      <c r="A11182" s="12"/>
    </row>
    <row r="11183" spans="1:1" x14ac:dyDescent="0.35">
      <c r="A11183" s="12"/>
    </row>
    <row r="11184" spans="1:1" x14ac:dyDescent="0.35">
      <c r="A11184" s="12"/>
    </row>
    <row r="11185" spans="1:1" x14ac:dyDescent="0.35">
      <c r="A11185" s="12"/>
    </row>
    <row r="11186" spans="1:1" x14ac:dyDescent="0.35">
      <c r="A11186" s="12"/>
    </row>
    <row r="11187" spans="1:1" x14ac:dyDescent="0.35">
      <c r="A11187" s="12"/>
    </row>
    <row r="11188" spans="1:1" x14ac:dyDescent="0.35">
      <c r="A11188" s="12"/>
    </row>
    <row r="11189" spans="1:1" x14ac:dyDescent="0.35">
      <c r="A11189" s="12"/>
    </row>
    <row r="11190" spans="1:1" x14ac:dyDescent="0.35">
      <c r="A11190" s="12"/>
    </row>
    <row r="11191" spans="1:1" x14ac:dyDescent="0.35">
      <c r="A11191" s="12"/>
    </row>
    <row r="11192" spans="1:1" x14ac:dyDescent="0.35">
      <c r="A11192" s="12"/>
    </row>
    <row r="11193" spans="1:1" x14ac:dyDescent="0.35">
      <c r="A11193" s="12"/>
    </row>
    <row r="11194" spans="1:1" x14ac:dyDescent="0.35">
      <c r="A11194" s="12"/>
    </row>
    <row r="11195" spans="1:1" x14ac:dyDescent="0.35">
      <c r="A11195" s="12"/>
    </row>
    <row r="11196" spans="1:1" x14ac:dyDescent="0.35">
      <c r="A11196" s="12"/>
    </row>
    <row r="11197" spans="1:1" x14ac:dyDescent="0.35">
      <c r="A11197" s="12"/>
    </row>
    <row r="11198" spans="1:1" x14ac:dyDescent="0.35">
      <c r="A11198" s="12"/>
    </row>
    <row r="11199" spans="1:1" x14ac:dyDescent="0.35">
      <c r="A11199" s="12"/>
    </row>
    <row r="11200" spans="1:1" x14ac:dyDescent="0.35">
      <c r="A11200" s="12"/>
    </row>
    <row r="11201" spans="1:1" x14ac:dyDescent="0.35">
      <c r="A11201" s="12"/>
    </row>
    <row r="11202" spans="1:1" x14ac:dyDescent="0.35">
      <c r="A11202" s="12"/>
    </row>
    <row r="11203" spans="1:1" x14ac:dyDescent="0.35">
      <c r="A11203" s="12"/>
    </row>
    <row r="11204" spans="1:1" x14ac:dyDescent="0.35">
      <c r="A11204" s="12"/>
    </row>
    <row r="11205" spans="1:1" x14ac:dyDescent="0.35">
      <c r="A11205" s="12"/>
    </row>
    <row r="11206" spans="1:1" x14ac:dyDescent="0.35">
      <c r="A11206" s="12"/>
    </row>
    <row r="11207" spans="1:1" x14ac:dyDescent="0.35">
      <c r="A11207" s="12"/>
    </row>
    <row r="11208" spans="1:1" x14ac:dyDescent="0.35">
      <c r="A11208" s="12"/>
    </row>
    <row r="11209" spans="1:1" x14ac:dyDescent="0.35">
      <c r="A11209" s="12"/>
    </row>
    <row r="11210" spans="1:1" x14ac:dyDescent="0.35">
      <c r="A11210" s="12"/>
    </row>
    <row r="11211" spans="1:1" x14ac:dyDescent="0.35">
      <c r="A11211" s="12"/>
    </row>
    <row r="11212" spans="1:1" x14ac:dyDescent="0.35">
      <c r="A11212" s="12"/>
    </row>
    <row r="11213" spans="1:1" x14ac:dyDescent="0.35">
      <c r="A11213" s="12"/>
    </row>
    <row r="11214" spans="1:1" x14ac:dyDescent="0.35">
      <c r="A11214" s="12"/>
    </row>
    <row r="11215" spans="1:1" x14ac:dyDescent="0.35">
      <c r="A11215" s="12"/>
    </row>
    <row r="11216" spans="1:1" x14ac:dyDescent="0.35">
      <c r="A11216" s="12"/>
    </row>
    <row r="11217" spans="1:1" x14ac:dyDescent="0.35">
      <c r="A11217" s="12"/>
    </row>
    <row r="11218" spans="1:1" x14ac:dyDescent="0.35">
      <c r="A11218" s="12"/>
    </row>
    <row r="11219" spans="1:1" x14ac:dyDescent="0.35">
      <c r="A11219" s="12"/>
    </row>
    <row r="11220" spans="1:1" x14ac:dyDescent="0.35">
      <c r="A11220" s="12"/>
    </row>
    <row r="11221" spans="1:1" x14ac:dyDescent="0.35">
      <c r="A11221" s="12"/>
    </row>
    <row r="11222" spans="1:1" x14ac:dyDescent="0.35">
      <c r="A11222" s="12"/>
    </row>
    <row r="11223" spans="1:1" x14ac:dyDescent="0.35">
      <c r="A11223" s="12"/>
    </row>
    <row r="11224" spans="1:1" x14ac:dyDescent="0.35">
      <c r="A11224" s="12"/>
    </row>
    <row r="11225" spans="1:1" x14ac:dyDescent="0.35">
      <c r="A11225" s="12"/>
    </row>
    <row r="11226" spans="1:1" x14ac:dyDescent="0.35">
      <c r="A11226" s="12"/>
    </row>
    <row r="11227" spans="1:1" x14ac:dyDescent="0.35">
      <c r="A11227" s="12"/>
    </row>
    <row r="11228" spans="1:1" x14ac:dyDescent="0.35">
      <c r="A11228" s="12"/>
    </row>
    <row r="11229" spans="1:1" x14ac:dyDescent="0.35">
      <c r="A11229" s="12"/>
    </row>
    <row r="11230" spans="1:1" x14ac:dyDescent="0.35">
      <c r="A11230" s="12"/>
    </row>
    <row r="11231" spans="1:1" x14ac:dyDescent="0.35">
      <c r="A11231" s="12"/>
    </row>
    <row r="11232" spans="1:1" x14ac:dyDescent="0.35">
      <c r="A11232" s="12"/>
    </row>
    <row r="11233" spans="1:1" x14ac:dyDescent="0.35">
      <c r="A11233" s="12"/>
    </row>
    <row r="11234" spans="1:1" x14ac:dyDescent="0.35">
      <c r="A11234" s="12"/>
    </row>
    <row r="11235" spans="1:1" x14ac:dyDescent="0.35">
      <c r="A11235" s="12"/>
    </row>
    <row r="11236" spans="1:1" x14ac:dyDescent="0.35">
      <c r="A11236" s="12"/>
    </row>
    <row r="11237" spans="1:1" x14ac:dyDescent="0.35">
      <c r="A11237" s="12"/>
    </row>
    <row r="11238" spans="1:1" x14ac:dyDescent="0.35">
      <c r="A11238" s="12"/>
    </row>
    <row r="11239" spans="1:1" x14ac:dyDescent="0.35">
      <c r="A11239" s="12"/>
    </row>
    <row r="11240" spans="1:1" x14ac:dyDescent="0.35">
      <c r="A11240" s="12"/>
    </row>
    <row r="11241" spans="1:1" x14ac:dyDescent="0.35">
      <c r="A11241" s="12"/>
    </row>
    <row r="11242" spans="1:1" x14ac:dyDescent="0.35">
      <c r="A11242" s="12"/>
    </row>
    <row r="11243" spans="1:1" x14ac:dyDescent="0.35">
      <c r="A11243" s="12"/>
    </row>
    <row r="11244" spans="1:1" x14ac:dyDescent="0.35">
      <c r="A11244" s="12"/>
    </row>
    <row r="11245" spans="1:1" x14ac:dyDescent="0.35">
      <c r="A11245" s="12"/>
    </row>
    <row r="11246" spans="1:1" x14ac:dyDescent="0.35">
      <c r="A11246" s="12"/>
    </row>
    <row r="11247" spans="1:1" x14ac:dyDescent="0.35">
      <c r="A11247" s="12"/>
    </row>
    <row r="11248" spans="1:1" x14ac:dyDescent="0.35">
      <c r="A11248" s="12"/>
    </row>
    <row r="11249" spans="1:1" x14ac:dyDescent="0.35">
      <c r="A11249" s="12"/>
    </row>
    <row r="11250" spans="1:1" x14ac:dyDescent="0.35">
      <c r="A11250" s="12"/>
    </row>
    <row r="11251" spans="1:1" x14ac:dyDescent="0.35">
      <c r="A11251" s="12"/>
    </row>
    <row r="11252" spans="1:1" x14ac:dyDescent="0.35">
      <c r="A11252" s="12"/>
    </row>
    <row r="11253" spans="1:1" x14ac:dyDescent="0.35">
      <c r="A11253" s="12"/>
    </row>
    <row r="11254" spans="1:1" x14ac:dyDescent="0.35">
      <c r="A11254" s="12"/>
    </row>
    <row r="11255" spans="1:1" x14ac:dyDescent="0.35">
      <c r="A11255" s="12"/>
    </row>
    <row r="11256" spans="1:1" x14ac:dyDescent="0.35">
      <c r="A11256" s="12"/>
    </row>
    <row r="11257" spans="1:1" x14ac:dyDescent="0.35">
      <c r="A11257" s="12"/>
    </row>
    <row r="11258" spans="1:1" x14ac:dyDescent="0.35">
      <c r="A11258" s="12"/>
    </row>
    <row r="11259" spans="1:1" x14ac:dyDescent="0.35">
      <c r="A11259" s="12"/>
    </row>
    <row r="11260" spans="1:1" x14ac:dyDescent="0.35">
      <c r="A11260" s="12"/>
    </row>
    <row r="11261" spans="1:1" x14ac:dyDescent="0.35">
      <c r="A11261" s="12"/>
    </row>
    <row r="11262" spans="1:1" x14ac:dyDescent="0.35">
      <c r="A11262" s="12"/>
    </row>
    <row r="11263" spans="1:1" x14ac:dyDescent="0.35">
      <c r="A11263" s="12"/>
    </row>
    <row r="11264" spans="1:1" x14ac:dyDescent="0.35">
      <c r="A11264" s="12"/>
    </row>
    <row r="11265" spans="1:1" x14ac:dyDescent="0.35">
      <c r="A11265" s="12"/>
    </row>
    <row r="11266" spans="1:1" x14ac:dyDescent="0.35">
      <c r="A11266" s="12"/>
    </row>
    <row r="11267" spans="1:1" x14ac:dyDescent="0.35">
      <c r="A11267" s="12"/>
    </row>
    <row r="11268" spans="1:1" x14ac:dyDescent="0.35">
      <c r="A11268" s="12"/>
    </row>
    <row r="11269" spans="1:1" x14ac:dyDescent="0.35">
      <c r="A11269" s="12"/>
    </row>
    <row r="11270" spans="1:1" x14ac:dyDescent="0.35">
      <c r="A11270" s="12"/>
    </row>
    <row r="11271" spans="1:1" x14ac:dyDescent="0.35">
      <c r="A11271" s="12"/>
    </row>
    <row r="11272" spans="1:1" x14ac:dyDescent="0.35">
      <c r="A11272" s="12"/>
    </row>
    <row r="11273" spans="1:1" x14ac:dyDescent="0.35">
      <c r="A11273" s="12"/>
    </row>
    <row r="11274" spans="1:1" x14ac:dyDescent="0.35">
      <c r="A11274" s="12"/>
    </row>
    <row r="11275" spans="1:1" x14ac:dyDescent="0.35">
      <c r="A11275" s="12"/>
    </row>
    <row r="11276" spans="1:1" x14ac:dyDescent="0.35">
      <c r="A11276" s="12"/>
    </row>
    <row r="11277" spans="1:1" x14ac:dyDescent="0.35">
      <c r="A11277" s="12"/>
    </row>
    <row r="11278" spans="1:1" x14ac:dyDescent="0.35">
      <c r="A11278" s="12"/>
    </row>
    <row r="11279" spans="1:1" x14ac:dyDescent="0.35">
      <c r="A11279" s="12"/>
    </row>
    <row r="11280" spans="1:1" x14ac:dyDescent="0.35">
      <c r="A11280" s="12"/>
    </row>
    <row r="11281" spans="1:1" x14ac:dyDescent="0.35">
      <c r="A11281" s="12"/>
    </row>
    <row r="11282" spans="1:1" x14ac:dyDescent="0.35">
      <c r="A11282" s="12"/>
    </row>
    <row r="11283" spans="1:1" x14ac:dyDescent="0.35">
      <c r="A11283" s="12"/>
    </row>
    <row r="11284" spans="1:1" x14ac:dyDescent="0.35">
      <c r="A11284" s="12"/>
    </row>
    <row r="11285" spans="1:1" x14ac:dyDescent="0.35">
      <c r="A11285" s="12"/>
    </row>
    <row r="11286" spans="1:1" x14ac:dyDescent="0.35">
      <c r="A11286" s="12"/>
    </row>
    <row r="11287" spans="1:1" x14ac:dyDescent="0.35">
      <c r="A11287" s="12"/>
    </row>
    <row r="11288" spans="1:1" x14ac:dyDescent="0.35">
      <c r="A11288" s="12"/>
    </row>
    <row r="11289" spans="1:1" x14ac:dyDescent="0.35">
      <c r="A11289" s="12"/>
    </row>
    <row r="11290" spans="1:1" x14ac:dyDescent="0.35">
      <c r="A11290" s="12"/>
    </row>
    <row r="11291" spans="1:1" x14ac:dyDescent="0.35">
      <c r="A11291" s="12"/>
    </row>
    <row r="11292" spans="1:1" x14ac:dyDescent="0.35">
      <c r="A11292" s="12"/>
    </row>
    <row r="11293" spans="1:1" x14ac:dyDescent="0.35">
      <c r="A11293" s="12"/>
    </row>
    <row r="11294" spans="1:1" x14ac:dyDescent="0.35">
      <c r="A11294" s="12"/>
    </row>
    <row r="11295" spans="1:1" x14ac:dyDescent="0.35">
      <c r="A11295" s="12"/>
    </row>
    <row r="11296" spans="1:1" x14ac:dyDescent="0.35">
      <c r="A11296" s="12"/>
    </row>
    <row r="11297" spans="1:1" x14ac:dyDescent="0.35">
      <c r="A11297" s="12"/>
    </row>
    <row r="11298" spans="1:1" x14ac:dyDescent="0.35">
      <c r="A11298" s="12"/>
    </row>
    <row r="11299" spans="1:1" x14ac:dyDescent="0.35">
      <c r="A11299" s="12"/>
    </row>
    <row r="11300" spans="1:1" x14ac:dyDescent="0.35">
      <c r="A11300" s="12"/>
    </row>
    <row r="11301" spans="1:1" x14ac:dyDescent="0.35">
      <c r="A11301" s="12"/>
    </row>
    <row r="11302" spans="1:1" x14ac:dyDescent="0.35">
      <c r="A11302" s="12"/>
    </row>
    <row r="11303" spans="1:1" x14ac:dyDescent="0.35">
      <c r="A11303" s="12"/>
    </row>
    <row r="11304" spans="1:1" x14ac:dyDescent="0.35">
      <c r="A11304" s="12"/>
    </row>
    <row r="11305" spans="1:1" x14ac:dyDescent="0.35">
      <c r="A11305" s="12"/>
    </row>
    <row r="11306" spans="1:1" x14ac:dyDescent="0.35">
      <c r="A11306" s="12"/>
    </row>
    <row r="11307" spans="1:1" x14ac:dyDescent="0.35">
      <c r="A11307" s="12"/>
    </row>
    <row r="11308" spans="1:1" x14ac:dyDescent="0.35">
      <c r="A11308" s="12"/>
    </row>
    <row r="11309" spans="1:1" x14ac:dyDescent="0.35">
      <c r="A11309" s="12"/>
    </row>
    <row r="11310" spans="1:1" x14ac:dyDescent="0.35">
      <c r="A11310" s="12"/>
    </row>
    <row r="11311" spans="1:1" x14ac:dyDescent="0.35">
      <c r="A11311" s="12"/>
    </row>
    <row r="11312" spans="1:1" x14ac:dyDescent="0.35">
      <c r="A11312" s="12"/>
    </row>
    <row r="11313" spans="1:1" x14ac:dyDescent="0.35">
      <c r="A11313" s="12"/>
    </row>
    <row r="11314" spans="1:1" x14ac:dyDescent="0.35">
      <c r="A11314" s="12"/>
    </row>
    <row r="11315" spans="1:1" x14ac:dyDescent="0.35">
      <c r="A11315" s="12"/>
    </row>
    <row r="11316" spans="1:1" x14ac:dyDescent="0.35">
      <c r="A11316" s="12"/>
    </row>
    <row r="11317" spans="1:1" x14ac:dyDescent="0.35">
      <c r="A11317" s="12"/>
    </row>
    <row r="11318" spans="1:1" x14ac:dyDescent="0.35">
      <c r="A11318" s="12"/>
    </row>
    <row r="11319" spans="1:1" x14ac:dyDescent="0.35">
      <c r="A11319" s="12"/>
    </row>
    <row r="11320" spans="1:1" x14ac:dyDescent="0.35">
      <c r="A11320" s="12"/>
    </row>
    <row r="11321" spans="1:1" x14ac:dyDescent="0.35">
      <c r="A11321" s="12"/>
    </row>
    <row r="11322" spans="1:1" x14ac:dyDescent="0.35">
      <c r="A11322" s="12"/>
    </row>
    <row r="11323" spans="1:1" x14ac:dyDescent="0.35">
      <c r="A11323" s="12"/>
    </row>
    <row r="11324" spans="1:1" x14ac:dyDescent="0.35">
      <c r="A11324" s="12"/>
    </row>
    <row r="11325" spans="1:1" x14ac:dyDescent="0.35">
      <c r="A11325" s="12"/>
    </row>
    <row r="11326" spans="1:1" x14ac:dyDescent="0.35">
      <c r="A11326" s="12"/>
    </row>
    <row r="11327" spans="1:1" x14ac:dyDescent="0.35">
      <c r="A11327" s="12"/>
    </row>
    <row r="11328" spans="1:1" x14ac:dyDescent="0.35">
      <c r="A11328" s="12"/>
    </row>
    <row r="11329" spans="1:1" x14ac:dyDescent="0.35">
      <c r="A11329" s="12"/>
    </row>
    <row r="11330" spans="1:1" x14ac:dyDescent="0.35">
      <c r="A11330" s="12"/>
    </row>
    <row r="11331" spans="1:1" x14ac:dyDescent="0.35">
      <c r="A11331" s="12"/>
    </row>
    <row r="11332" spans="1:1" x14ac:dyDescent="0.35">
      <c r="A11332" s="12"/>
    </row>
    <row r="11333" spans="1:1" x14ac:dyDescent="0.35">
      <c r="A11333" s="12"/>
    </row>
    <row r="11334" spans="1:1" x14ac:dyDescent="0.35">
      <c r="A11334" s="12"/>
    </row>
    <row r="11335" spans="1:1" x14ac:dyDescent="0.35">
      <c r="A11335" s="12"/>
    </row>
    <row r="11336" spans="1:1" x14ac:dyDescent="0.35">
      <c r="A11336" s="12"/>
    </row>
    <row r="11337" spans="1:1" x14ac:dyDescent="0.35">
      <c r="A11337" s="12"/>
    </row>
    <row r="11338" spans="1:1" x14ac:dyDescent="0.35">
      <c r="A11338" s="12"/>
    </row>
    <row r="11339" spans="1:1" x14ac:dyDescent="0.35">
      <c r="A11339" s="12"/>
    </row>
    <row r="11340" spans="1:1" x14ac:dyDescent="0.35">
      <c r="A11340" s="12"/>
    </row>
    <row r="11341" spans="1:1" x14ac:dyDescent="0.35">
      <c r="A11341" s="12"/>
    </row>
    <row r="11342" spans="1:1" x14ac:dyDescent="0.35">
      <c r="A11342" s="12"/>
    </row>
    <row r="11343" spans="1:1" x14ac:dyDescent="0.35">
      <c r="A11343" s="12"/>
    </row>
    <row r="11344" spans="1:1" x14ac:dyDescent="0.35">
      <c r="A11344" s="12"/>
    </row>
    <row r="11345" spans="1:1" x14ac:dyDescent="0.35">
      <c r="A11345" s="12"/>
    </row>
    <row r="11346" spans="1:1" x14ac:dyDescent="0.35">
      <c r="A11346" s="12"/>
    </row>
    <row r="11347" spans="1:1" x14ac:dyDescent="0.35">
      <c r="A11347" s="12"/>
    </row>
    <row r="11348" spans="1:1" x14ac:dyDescent="0.35">
      <c r="A11348" s="12"/>
    </row>
    <row r="11349" spans="1:1" x14ac:dyDescent="0.35">
      <c r="A11349" s="12"/>
    </row>
    <row r="11350" spans="1:1" x14ac:dyDescent="0.35">
      <c r="A11350" s="12"/>
    </row>
    <row r="11351" spans="1:1" x14ac:dyDescent="0.35">
      <c r="A11351" s="12"/>
    </row>
    <row r="11352" spans="1:1" x14ac:dyDescent="0.35">
      <c r="A11352" s="12"/>
    </row>
    <row r="11353" spans="1:1" x14ac:dyDescent="0.35">
      <c r="A11353" s="12"/>
    </row>
    <row r="11354" spans="1:1" x14ac:dyDescent="0.35">
      <c r="A11354" s="12"/>
    </row>
    <row r="11355" spans="1:1" x14ac:dyDescent="0.35">
      <c r="A11355" s="12"/>
    </row>
    <row r="11356" spans="1:1" x14ac:dyDescent="0.35">
      <c r="A11356" s="12"/>
    </row>
    <row r="11357" spans="1:1" x14ac:dyDescent="0.35">
      <c r="A11357" s="12"/>
    </row>
    <row r="11358" spans="1:1" x14ac:dyDescent="0.35">
      <c r="A11358" s="12"/>
    </row>
    <row r="11359" spans="1:1" x14ac:dyDescent="0.35">
      <c r="A11359" s="12"/>
    </row>
    <row r="11360" spans="1:1" x14ac:dyDescent="0.35">
      <c r="A11360" s="12"/>
    </row>
    <row r="11361" spans="1:1" x14ac:dyDescent="0.35">
      <c r="A11361" s="12"/>
    </row>
    <row r="11362" spans="1:1" x14ac:dyDescent="0.35">
      <c r="A11362" s="12"/>
    </row>
    <row r="11363" spans="1:1" x14ac:dyDescent="0.35">
      <c r="A11363" s="12"/>
    </row>
    <row r="11364" spans="1:1" x14ac:dyDescent="0.35">
      <c r="A11364" s="12"/>
    </row>
    <row r="11365" spans="1:1" x14ac:dyDescent="0.35">
      <c r="A11365" s="12"/>
    </row>
    <row r="11366" spans="1:1" x14ac:dyDescent="0.35">
      <c r="A11366" s="12"/>
    </row>
    <row r="11367" spans="1:1" x14ac:dyDescent="0.35">
      <c r="A11367" s="12"/>
    </row>
    <row r="11368" spans="1:1" x14ac:dyDescent="0.35">
      <c r="A11368" s="12"/>
    </row>
    <row r="11369" spans="1:1" x14ac:dyDescent="0.35">
      <c r="A11369" s="12"/>
    </row>
    <row r="11370" spans="1:1" x14ac:dyDescent="0.35">
      <c r="A11370" s="12"/>
    </row>
    <row r="11371" spans="1:1" x14ac:dyDescent="0.35">
      <c r="A11371" s="12"/>
    </row>
    <row r="11372" spans="1:1" x14ac:dyDescent="0.35">
      <c r="A11372" s="12"/>
    </row>
    <row r="11373" spans="1:1" x14ac:dyDescent="0.35">
      <c r="A11373" s="12"/>
    </row>
    <row r="11374" spans="1:1" x14ac:dyDescent="0.35">
      <c r="A11374" s="12"/>
    </row>
    <row r="11375" spans="1:1" x14ac:dyDescent="0.35">
      <c r="A11375" s="12"/>
    </row>
    <row r="11376" spans="1:1" x14ac:dyDescent="0.35">
      <c r="A11376" s="12"/>
    </row>
    <row r="11377" spans="1:1" x14ac:dyDescent="0.35">
      <c r="A11377" s="12"/>
    </row>
    <row r="11378" spans="1:1" x14ac:dyDescent="0.35">
      <c r="A11378" s="12"/>
    </row>
    <row r="11379" spans="1:1" x14ac:dyDescent="0.35">
      <c r="A11379" s="12"/>
    </row>
    <row r="11380" spans="1:1" x14ac:dyDescent="0.35">
      <c r="A11380" s="12"/>
    </row>
    <row r="11381" spans="1:1" x14ac:dyDescent="0.35">
      <c r="A11381" s="12"/>
    </row>
    <row r="11382" spans="1:1" x14ac:dyDescent="0.35">
      <c r="A11382" s="12"/>
    </row>
    <row r="11383" spans="1:1" x14ac:dyDescent="0.35">
      <c r="A11383" s="12"/>
    </row>
    <row r="11384" spans="1:1" x14ac:dyDescent="0.35">
      <c r="A11384" s="12"/>
    </row>
    <row r="11385" spans="1:1" x14ac:dyDescent="0.35">
      <c r="A11385" s="12"/>
    </row>
    <row r="11386" spans="1:1" x14ac:dyDescent="0.35">
      <c r="A11386" s="12"/>
    </row>
    <row r="11387" spans="1:1" x14ac:dyDescent="0.35">
      <c r="A11387" s="12"/>
    </row>
    <row r="11388" spans="1:1" x14ac:dyDescent="0.35">
      <c r="A11388" s="12"/>
    </row>
    <row r="11389" spans="1:1" x14ac:dyDescent="0.35">
      <c r="A11389" s="12"/>
    </row>
    <row r="11390" spans="1:1" x14ac:dyDescent="0.35">
      <c r="A11390" s="12"/>
    </row>
    <row r="11391" spans="1:1" x14ac:dyDescent="0.35">
      <c r="A11391" s="12"/>
    </row>
    <row r="11392" spans="1:1" x14ac:dyDescent="0.35">
      <c r="A11392" s="12"/>
    </row>
    <row r="11393" spans="1:1" x14ac:dyDescent="0.35">
      <c r="A11393" s="12"/>
    </row>
    <row r="11394" spans="1:1" x14ac:dyDescent="0.35">
      <c r="A11394" s="12"/>
    </row>
    <row r="11395" spans="1:1" x14ac:dyDescent="0.35">
      <c r="A11395" s="12"/>
    </row>
    <row r="11396" spans="1:1" x14ac:dyDescent="0.35">
      <c r="A11396" s="12"/>
    </row>
    <row r="11397" spans="1:1" x14ac:dyDescent="0.35">
      <c r="A11397" s="12"/>
    </row>
    <row r="11398" spans="1:1" x14ac:dyDescent="0.35">
      <c r="A11398" s="12"/>
    </row>
    <row r="11399" spans="1:1" x14ac:dyDescent="0.35">
      <c r="A11399" s="12"/>
    </row>
    <row r="11400" spans="1:1" x14ac:dyDescent="0.35">
      <c r="A11400" s="12"/>
    </row>
    <row r="11401" spans="1:1" x14ac:dyDescent="0.35">
      <c r="A11401" s="12"/>
    </row>
    <row r="11402" spans="1:1" x14ac:dyDescent="0.35">
      <c r="A11402" s="12"/>
    </row>
    <row r="11403" spans="1:1" x14ac:dyDescent="0.35">
      <c r="A11403" s="12"/>
    </row>
    <row r="11404" spans="1:1" x14ac:dyDescent="0.35">
      <c r="A11404" s="12"/>
    </row>
    <row r="11405" spans="1:1" x14ac:dyDescent="0.35">
      <c r="A11405" s="12"/>
    </row>
    <row r="11406" spans="1:1" x14ac:dyDescent="0.35">
      <c r="A11406" s="12"/>
    </row>
    <row r="11407" spans="1:1" x14ac:dyDescent="0.35">
      <c r="A11407" s="12"/>
    </row>
    <row r="11408" spans="1:1" x14ac:dyDescent="0.35">
      <c r="A11408" s="12"/>
    </row>
    <row r="11409" spans="1:1" x14ac:dyDescent="0.35">
      <c r="A11409" s="12"/>
    </row>
    <row r="11410" spans="1:1" x14ac:dyDescent="0.35">
      <c r="A11410" s="12"/>
    </row>
    <row r="11411" spans="1:1" x14ac:dyDescent="0.35">
      <c r="A11411" s="12"/>
    </row>
    <row r="11412" spans="1:1" x14ac:dyDescent="0.35">
      <c r="A11412" s="12"/>
    </row>
    <row r="11413" spans="1:1" x14ac:dyDescent="0.35">
      <c r="A11413" s="12"/>
    </row>
    <row r="11414" spans="1:1" x14ac:dyDescent="0.35">
      <c r="A11414" s="12"/>
    </row>
    <row r="11415" spans="1:1" x14ac:dyDescent="0.35">
      <c r="A11415" s="12"/>
    </row>
    <row r="11416" spans="1:1" x14ac:dyDescent="0.35">
      <c r="A11416" s="12"/>
    </row>
    <row r="11417" spans="1:1" x14ac:dyDescent="0.35">
      <c r="A11417" s="12"/>
    </row>
    <row r="11418" spans="1:1" x14ac:dyDescent="0.35">
      <c r="A11418" s="12"/>
    </row>
    <row r="11419" spans="1:1" x14ac:dyDescent="0.35">
      <c r="A11419" s="12"/>
    </row>
    <row r="11420" spans="1:1" x14ac:dyDescent="0.35">
      <c r="A11420" s="12"/>
    </row>
    <row r="11421" spans="1:1" x14ac:dyDescent="0.35">
      <c r="A11421" s="12"/>
    </row>
    <row r="11422" spans="1:1" x14ac:dyDescent="0.35">
      <c r="A11422" s="12"/>
    </row>
    <row r="11423" spans="1:1" x14ac:dyDescent="0.35">
      <c r="A11423" s="12"/>
    </row>
    <row r="11424" spans="1:1" x14ac:dyDescent="0.35">
      <c r="A11424" s="12"/>
    </row>
    <row r="11425" spans="1:1" x14ac:dyDescent="0.35">
      <c r="A11425" s="12"/>
    </row>
    <row r="11426" spans="1:1" x14ac:dyDescent="0.35">
      <c r="A11426" s="12"/>
    </row>
    <row r="11427" spans="1:1" x14ac:dyDescent="0.35">
      <c r="A11427" s="12"/>
    </row>
    <row r="11428" spans="1:1" x14ac:dyDescent="0.35">
      <c r="A11428" s="12"/>
    </row>
    <row r="11429" spans="1:1" x14ac:dyDescent="0.35">
      <c r="A11429" s="12"/>
    </row>
    <row r="11430" spans="1:1" x14ac:dyDescent="0.35">
      <c r="A11430" s="12"/>
    </row>
    <row r="11431" spans="1:1" x14ac:dyDescent="0.35">
      <c r="A11431" s="12"/>
    </row>
    <row r="11432" spans="1:1" x14ac:dyDescent="0.35">
      <c r="A11432" s="12"/>
    </row>
    <row r="11433" spans="1:1" x14ac:dyDescent="0.35">
      <c r="A11433" s="12"/>
    </row>
    <row r="11434" spans="1:1" x14ac:dyDescent="0.35">
      <c r="A11434" s="12"/>
    </row>
    <row r="11435" spans="1:1" x14ac:dyDescent="0.35">
      <c r="A11435" s="12"/>
    </row>
    <row r="11436" spans="1:1" x14ac:dyDescent="0.35">
      <c r="A11436" s="12"/>
    </row>
    <row r="11437" spans="1:1" x14ac:dyDescent="0.35">
      <c r="A11437" s="12"/>
    </row>
    <row r="11438" spans="1:1" x14ac:dyDescent="0.35">
      <c r="A11438" s="12"/>
    </row>
    <row r="11439" spans="1:1" x14ac:dyDescent="0.35">
      <c r="A11439" s="12"/>
    </row>
    <row r="11440" spans="1:1" x14ac:dyDescent="0.35">
      <c r="A11440" s="12"/>
    </row>
    <row r="11441" spans="1:1" x14ac:dyDescent="0.35">
      <c r="A11441" s="12"/>
    </row>
    <row r="11442" spans="1:1" x14ac:dyDescent="0.35">
      <c r="A11442" s="12"/>
    </row>
    <row r="11443" spans="1:1" x14ac:dyDescent="0.35">
      <c r="A11443" s="12"/>
    </row>
    <row r="11444" spans="1:1" x14ac:dyDescent="0.35">
      <c r="A11444" s="12"/>
    </row>
    <row r="11445" spans="1:1" x14ac:dyDescent="0.35">
      <c r="A11445" s="12"/>
    </row>
    <row r="11446" spans="1:1" x14ac:dyDescent="0.35">
      <c r="A11446" s="12"/>
    </row>
    <row r="11447" spans="1:1" x14ac:dyDescent="0.35">
      <c r="A11447" s="12"/>
    </row>
    <row r="11448" spans="1:1" x14ac:dyDescent="0.35">
      <c r="A11448" s="12"/>
    </row>
    <row r="11449" spans="1:1" x14ac:dyDescent="0.35">
      <c r="A11449" s="12"/>
    </row>
    <row r="11450" spans="1:1" x14ac:dyDescent="0.35">
      <c r="A11450" s="12"/>
    </row>
    <row r="11451" spans="1:1" x14ac:dyDescent="0.35">
      <c r="A11451" s="12"/>
    </row>
    <row r="11452" spans="1:1" x14ac:dyDescent="0.35">
      <c r="A11452" s="12"/>
    </row>
    <row r="11453" spans="1:1" x14ac:dyDescent="0.35">
      <c r="A11453" s="12"/>
    </row>
    <row r="11454" spans="1:1" x14ac:dyDescent="0.35">
      <c r="A11454" s="12"/>
    </row>
    <row r="11455" spans="1:1" x14ac:dyDescent="0.35">
      <c r="A11455" s="12"/>
    </row>
    <row r="11456" spans="1:1" x14ac:dyDescent="0.35">
      <c r="A11456" s="12"/>
    </row>
    <row r="11457" spans="1:1" x14ac:dyDescent="0.35">
      <c r="A11457" s="12"/>
    </row>
    <row r="11458" spans="1:1" x14ac:dyDescent="0.35">
      <c r="A11458" s="12"/>
    </row>
    <row r="11459" spans="1:1" x14ac:dyDescent="0.35">
      <c r="A11459" s="12"/>
    </row>
    <row r="11460" spans="1:1" x14ac:dyDescent="0.35">
      <c r="A11460" s="12"/>
    </row>
    <row r="11461" spans="1:1" x14ac:dyDescent="0.35">
      <c r="A11461" s="12"/>
    </row>
    <row r="11462" spans="1:1" x14ac:dyDescent="0.35">
      <c r="A11462" s="12"/>
    </row>
    <row r="11463" spans="1:1" x14ac:dyDescent="0.35">
      <c r="A11463" s="12"/>
    </row>
    <row r="11464" spans="1:1" x14ac:dyDescent="0.35">
      <c r="A11464" s="12"/>
    </row>
    <row r="11465" spans="1:1" x14ac:dyDescent="0.35">
      <c r="A11465" s="12"/>
    </row>
    <row r="11466" spans="1:1" x14ac:dyDescent="0.35">
      <c r="A11466" s="12"/>
    </row>
    <row r="11467" spans="1:1" x14ac:dyDescent="0.35">
      <c r="A11467" s="12"/>
    </row>
    <row r="11468" spans="1:1" x14ac:dyDescent="0.35">
      <c r="A11468" s="12"/>
    </row>
    <row r="11469" spans="1:1" x14ac:dyDescent="0.35">
      <c r="A11469" s="12"/>
    </row>
    <row r="11470" spans="1:1" x14ac:dyDescent="0.35">
      <c r="A11470" s="12"/>
    </row>
    <row r="11471" spans="1:1" x14ac:dyDescent="0.35">
      <c r="A11471" s="12"/>
    </row>
    <row r="11472" spans="1:1" x14ac:dyDescent="0.35">
      <c r="A11472" s="12"/>
    </row>
    <row r="11473" spans="1:1" x14ac:dyDescent="0.35">
      <c r="A11473" s="12"/>
    </row>
    <row r="11474" spans="1:1" x14ac:dyDescent="0.35">
      <c r="A11474" s="12"/>
    </row>
    <row r="11475" spans="1:1" x14ac:dyDescent="0.35">
      <c r="A11475" s="12"/>
    </row>
    <row r="11476" spans="1:1" x14ac:dyDescent="0.35">
      <c r="A11476" s="12"/>
    </row>
    <row r="11477" spans="1:1" x14ac:dyDescent="0.35">
      <c r="A11477" s="12"/>
    </row>
    <row r="11478" spans="1:1" x14ac:dyDescent="0.35">
      <c r="A11478" s="12"/>
    </row>
    <row r="11479" spans="1:1" x14ac:dyDescent="0.35">
      <c r="A11479" s="12"/>
    </row>
    <row r="11480" spans="1:1" x14ac:dyDescent="0.35">
      <c r="A11480" s="12"/>
    </row>
    <row r="11481" spans="1:1" x14ac:dyDescent="0.35">
      <c r="A11481" s="12"/>
    </row>
    <row r="11482" spans="1:1" x14ac:dyDescent="0.35">
      <c r="A11482" s="12"/>
    </row>
    <row r="11483" spans="1:1" x14ac:dyDescent="0.35">
      <c r="A11483" s="12"/>
    </row>
    <row r="11484" spans="1:1" x14ac:dyDescent="0.35">
      <c r="A11484" s="12"/>
    </row>
    <row r="11485" spans="1:1" x14ac:dyDescent="0.35">
      <c r="A11485" s="12"/>
    </row>
    <row r="11486" spans="1:1" x14ac:dyDescent="0.35">
      <c r="A11486" s="12"/>
    </row>
    <row r="11487" spans="1:1" x14ac:dyDescent="0.35">
      <c r="A11487" s="12"/>
    </row>
    <row r="11488" spans="1:1" x14ac:dyDescent="0.35">
      <c r="A11488" s="12"/>
    </row>
    <row r="11489" spans="1:1" x14ac:dyDescent="0.35">
      <c r="A11489" s="12"/>
    </row>
    <row r="11490" spans="1:1" x14ac:dyDescent="0.35">
      <c r="A11490" s="12"/>
    </row>
    <row r="11491" spans="1:1" x14ac:dyDescent="0.35">
      <c r="A11491" s="12"/>
    </row>
    <row r="11492" spans="1:1" x14ac:dyDescent="0.35">
      <c r="A11492" s="12"/>
    </row>
    <row r="11493" spans="1:1" x14ac:dyDescent="0.35">
      <c r="A11493" s="12"/>
    </row>
    <row r="11494" spans="1:1" x14ac:dyDescent="0.35">
      <c r="A11494" s="12"/>
    </row>
    <row r="11495" spans="1:1" x14ac:dyDescent="0.35">
      <c r="A11495" s="12"/>
    </row>
    <row r="11496" spans="1:1" x14ac:dyDescent="0.35">
      <c r="A11496" s="12"/>
    </row>
    <row r="11497" spans="1:1" x14ac:dyDescent="0.35">
      <c r="A11497" s="12"/>
    </row>
    <row r="11498" spans="1:1" x14ac:dyDescent="0.35">
      <c r="A11498" s="12"/>
    </row>
    <row r="11499" spans="1:1" x14ac:dyDescent="0.35">
      <c r="A11499" s="12"/>
    </row>
    <row r="11500" spans="1:1" x14ac:dyDescent="0.35">
      <c r="A11500" s="12"/>
    </row>
    <row r="11501" spans="1:1" x14ac:dyDescent="0.35">
      <c r="A11501" s="12"/>
    </row>
    <row r="11502" spans="1:1" x14ac:dyDescent="0.35">
      <c r="A11502" s="12"/>
    </row>
    <row r="11503" spans="1:1" x14ac:dyDescent="0.35">
      <c r="A11503" s="12"/>
    </row>
    <row r="11504" spans="1:1" x14ac:dyDescent="0.35">
      <c r="A11504" s="12"/>
    </row>
    <row r="11505" spans="1:1" x14ac:dyDescent="0.35">
      <c r="A11505" s="12"/>
    </row>
    <row r="11506" spans="1:1" x14ac:dyDescent="0.35">
      <c r="A11506" s="12"/>
    </row>
    <row r="11507" spans="1:1" x14ac:dyDescent="0.35">
      <c r="A11507" s="12"/>
    </row>
    <row r="11508" spans="1:1" x14ac:dyDescent="0.35">
      <c r="A11508" s="12"/>
    </row>
    <row r="11509" spans="1:1" x14ac:dyDescent="0.35">
      <c r="A11509" s="12"/>
    </row>
    <row r="11510" spans="1:1" x14ac:dyDescent="0.35">
      <c r="A11510" s="12"/>
    </row>
    <row r="11511" spans="1:1" x14ac:dyDescent="0.35">
      <c r="A11511" s="12"/>
    </row>
    <row r="11512" spans="1:1" x14ac:dyDescent="0.35">
      <c r="A11512" s="12"/>
    </row>
    <row r="11513" spans="1:1" x14ac:dyDescent="0.35">
      <c r="A11513" s="12"/>
    </row>
    <row r="11514" spans="1:1" x14ac:dyDescent="0.35">
      <c r="A11514" s="12"/>
    </row>
    <row r="11515" spans="1:1" x14ac:dyDescent="0.35">
      <c r="A11515" s="12"/>
    </row>
    <row r="11516" spans="1:1" x14ac:dyDescent="0.35">
      <c r="A11516" s="12"/>
    </row>
    <row r="11517" spans="1:1" x14ac:dyDescent="0.35">
      <c r="A11517" s="12"/>
    </row>
    <row r="11518" spans="1:1" x14ac:dyDescent="0.35">
      <c r="A11518" s="12"/>
    </row>
    <row r="11519" spans="1:1" x14ac:dyDescent="0.35">
      <c r="A11519" s="12"/>
    </row>
    <row r="11520" spans="1:1" x14ac:dyDescent="0.35">
      <c r="A11520" s="12"/>
    </row>
    <row r="11521" spans="1:1" x14ac:dyDescent="0.35">
      <c r="A11521" s="12"/>
    </row>
    <row r="11522" spans="1:1" x14ac:dyDescent="0.35">
      <c r="A11522" s="12"/>
    </row>
    <row r="11523" spans="1:1" x14ac:dyDescent="0.35">
      <c r="A11523" s="12"/>
    </row>
    <row r="11524" spans="1:1" x14ac:dyDescent="0.35">
      <c r="A11524" s="12"/>
    </row>
    <row r="11525" spans="1:1" x14ac:dyDescent="0.35">
      <c r="A11525" s="12"/>
    </row>
    <row r="11526" spans="1:1" x14ac:dyDescent="0.35">
      <c r="A11526" s="12"/>
    </row>
    <row r="11527" spans="1:1" x14ac:dyDescent="0.35">
      <c r="A11527" s="12"/>
    </row>
    <row r="11528" spans="1:1" x14ac:dyDescent="0.35">
      <c r="A11528" s="12"/>
    </row>
    <row r="11529" spans="1:1" x14ac:dyDescent="0.35">
      <c r="A11529" s="12"/>
    </row>
    <row r="11530" spans="1:1" x14ac:dyDescent="0.35">
      <c r="A11530" s="12"/>
    </row>
    <row r="11531" spans="1:1" x14ac:dyDescent="0.35">
      <c r="A11531" s="12"/>
    </row>
    <row r="11532" spans="1:1" x14ac:dyDescent="0.35">
      <c r="A11532" s="12"/>
    </row>
    <row r="11533" spans="1:1" x14ac:dyDescent="0.35">
      <c r="A11533" s="12"/>
    </row>
    <row r="11534" spans="1:1" x14ac:dyDescent="0.35">
      <c r="A11534" s="12"/>
    </row>
    <row r="11535" spans="1:1" x14ac:dyDescent="0.35">
      <c r="A11535" s="12"/>
    </row>
    <row r="11536" spans="1:1" x14ac:dyDescent="0.35">
      <c r="A11536" s="12"/>
    </row>
    <row r="11537" spans="1:1" x14ac:dyDescent="0.35">
      <c r="A11537" s="12"/>
    </row>
    <row r="11538" spans="1:1" x14ac:dyDescent="0.35">
      <c r="A11538" s="12"/>
    </row>
    <row r="11539" spans="1:1" x14ac:dyDescent="0.35">
      <c r="A11539" s="12"/>
    </row>
    <row r="11540" spans="1:1" x14ac:dyDescent="0.35">
      <c r="A11540" s="12"/>
    </row>
    <row r="11541" spans="1:1" x14ac:dyDescent="0.35">
      <c r="A11541" s="12"/>
    </row>
    <row r="11542" spans="1:1" x14ac:dyDescent="0.35">
      <c r="A11542" s="12"/>
    </row>
    <row r="11543" spans="1:1" x14ac:dyDescent="0.35">
      <c r="A11543" s="12"/>
    </row>
    <row r="11544" spans="1:1" x14ac:dyDescent="0.35">
      <c r="A11544" s="12"/>
    </row>
    <row r="11545" spans="1:1" x14ac:dyDescent="0.35">
      <c r="A11545" s="12"/>
    </row>
    <row r="11546" spans="1:1" x14ac:dyDescent="0.35">
      <c r="A11546" s="12"/>
    </row>
    <row r="11547" spans="1:1" x14ac:dyDescent="0.35">
      <c r="A11547" s="12"/>
    </row>
    <row r="11548" spans="1:1" x14ac:dyDescent="0.35">
      <c r="A11548" s="12"/>
    </row>
    <row r="11549" spans="1:1" x14ac:dyDescent="0.35">
      <c r="A11549" s="12"/>
    </row>
    <row r="11550" spans="1:1" x14ac:dyDescent="0.35">
      <c r="A11550" s="12"/>
    </row>
    <row r="11551" spans="1:1" x14ac:dyDescent="0.35">
      <c r="A11551" s="12"/>
    </row>
    <row r="11552" spans="1:1" x14ac:dyDescent="0.35">
      <c r="A11552" s="12"/>
    </row>
    <row r="11553" spans="1:1" x14ac:dyDescent="0.35">
      <c r="A11553" s="12"/>
    </row>
    <row r="11554" spans="1:1" x14ac:dyDescent="0.35">
      <c r="A11554" s="12"/>
    </row>
    <row r="11555" spans="1:1" x14ac:dyDescent="0.35">
      <c r="A11555" s="12"/>
    </row>
    <row r="11556" spans="1:1" x14ac:dyDescent="0.35">
      <c r="A11556" s="12"/>
    </row>
    <row r="11557" spans="1:1" x14ac:dyDescent="0.35">
      <c r="A11557" s="12"/>
    </row>
    <row r="11558" spans="1:1" x14ac:dyDescent="0.35">
      <c r="A11558" s="12"/>
    </row>
    <row r="11559" spans="1:1" x14ac:dyDescent="0.35">
      <c r="A11559" s="12"/>
    </row>
    <row r="11560" spans="1:1" x14ac:dyDescent="0.35">
      <c r="A11560" s="12"/>
    </row>
    <row r="11561" spans="1:1" x14ac:dyDescent="0.35">
      <c r="A11561" s="12"/>
    </row>
    <row r="11562" spans="1:1" x14ac:dyDescent="0.35">
      <c r="A11562" s="12"/>
    </row>
    <row r="11563" spans="1:1" x14ac:dyDescent="0.35">
      <c r="A11563" s="12"/>
    </row>
    <row r="11564" spans="1:1" x14ac:dyDescent="0.35">
      <c r="A11564" s="12"/>
    </row>
    <row r="11565" spans="1:1" x14ac:dyDescent="0.35">
      <c r="A11565" s="12"/>
    </row>
    <row r="11566" spans="1:1" x14ac:dyDescent="0.35">
      <c r="A11566" s="12"/>
    </row>
    <row r="11567" spans="1:1" x14ac:dyDescent="0.35">
      <c r="A11567" s="12"/>
    </row>
    <row r="11568" spans="1:1" x14ac:dyDescent="0.35">
      <c r="A11568" s="12"/>
    </row>
    <row r="11569" spans="1:1" x14ac:dyDescent="0.35">
      <c r="A11569" s="12"/>
    </row>
    <row r="11570" spans="1:1" x14ac:dyDescent="0.35">
      <c r="A11570" s="12"/>
    </row>
    <row r="11571" spans="1:1" x14ac:dyDescent="0.35">
      <c r="A11571" s="12"/>
    </row>
    <row r="11572" spans="1:1" x14ac:dyDescent="0.35">
      <c r="A11572" s="12"/>
    </row>
    <row r="11573" spans="1:1" x14ac:dyDescent="0.35">
      <c r="A11573" s="12"/>
    </row>
    <row r="11574" spans="1:1" x14ac:dyDescent="0.35">
      <c r="A11574" s="12"/>
    </row>
    <row r="11575" spans="1:1" x14ac:dyDescent="0.35">
      <c r="A11575" s="12"/>
    </row>
    <row r="11576" spans="1:1" x14ac:dyDescent="0.35">
      <c r="A11576" s="12"/>
    </row>
    <row r="11577" spans="1:1" x14ac:dyDescent="0.35">
      <c r="A11577" s="12"/>
    </row>
    <row r="11578" spans="1:1" x14ac:dyDescent="0.35">
      <c r="A11578" s="12"/>
    </row>
    <row r="11579" spans="1:1" x14ac:dyDescent="0.35">
      <c r="A11579" s="12"/>
    </row>
    <row r="11580" spans="1:1" x14ac:dyDescent="0.35">
      <c r="A11580" s="12"/>
    </row>
    <row r="11581" spans="1:1" x14ac:dyDescent="0.35">
      <c r="A11581" s="12"/>
    </row>
    <row r="11582" spans="1:1" x14ac:dyDescent="0.35">
      <c r="A11582" s="12"/>
    </row>
    <row r="11583" spans="1:1" x14ac:dyDescent="0.35">
      <c r="A11583" s="12"/>
    </row>
    <row r="11584" spans="1:1" x14ac:dyDescent="0.35">
      <c r="A11584" s="12"/>
    </row>
    <row r="11585" spans="1:1" x14ac:dyDescent="0.35">
      <c r="A11585" s="12"/>
    </row>
    <row r="11586" spans="1:1" x14ac:dyDescent="0.35">
      <c r="A11586" s="12"/>
    </row>
    <row r="11587" spans="1:1" x14ac:dyDescent="0.35">
      <c r="A11587" s="12"/>
    </row>
    <row r="11588" spans="1:1" x14ac:dyDescent="0.35">
      <c r="A11588" s="12"/>
    </row>
    <row r="11589" spans="1:1" x14ac:dyDescent="0.35">
      <c r="A11589" s="12"/>
    </row>
    <row r="11590" spans="1:1" x14ac:dyDescent="0.35">
      <c r="A11590" s="12"/>
    </row>
    <row r="11591" spans="1:1" x14ac:dyDescent="0.35">
      <c r="A11591" s="12"/>
    </row>
    <row r="11592" spans="1:1" x14ac:dyDescent="0.35">
      <c r="A11592" s="12"/>
    </row>
    <row r="11593" spans="1:1" x14ac:dyDescent="0.35">
      <c r="A11593" s="12"/>
    </row>
    <row r="11594" spans="1:1" x14ac:dyDescent="0.35">
      <c r="A11594" s="12"/>
    </row>
    <row r="11595" spans="1:1" x14ac:dyDescent="0.35">
      <c r="A11595" s="12"/>
    </row>
    <row r="11596" spans="1:1" x14ac:dyDescent="0.35">
      <c r="A11596" s="12"/>
    </row>
    <row r="11597" spans="1:1" x14ac:dyDescent="0.35">
      <c r="A11597" s="12"/>
    </row>
    <row r="11598" spans="1:1" x14ac:dyDescent="0.35">
      <c r="A11598" s="12"/>
    </row>
    <row r="11599" spans="1:1" x14ac:dyDescent="0.35">
      <c r="A11599" s="12"/>
    </row>
    <row r="11600" spans="1:1" x14ac:dyDescent="0.35">
      <c r="A11600" s="12"/>
    </row>
    <row r="11601" spans="1:1" x14ac:dyDescent="0.35">
      <c r="A11601" s="12"/>
    </row>
    <row r="11602" spans="1:1" x14ac:dyDescent="0.35">
      <c r="A11602" s="12"/>
    </row>
    <row r="11603" spans="1:1" x14ac:dyDescent="0.35">
      <c r="A11603" s="12"/>
    </row>
    <row r="11604" spans="1:1" x14ac:dyDescent="0.35">
      <c r="A11604" s="12"/>
    </row>
    <row r="11605" spans="1:1" x14ac:dyDescent="0.35">
      <c r="A11605" s="12"/>
    </row>
    <row r="11606" spans="1:1" x14ac:dyDescent="0.35">
      <c r="A11606" s="12"/>
    </row>
    <row r="11607" spans="1:1" x14ac:dyDescent="0.35">
      <c r="A11607" s="12"/>
    </row>
    <row r="11608" spans="1:1" x14ac:dyDescent="0.35">
      <c r="A11608" s="12"/>
    </row>
    <row r="11609" spans="1:1" x14ac:dyDescent="0.35">
      <c r="A11609" s="12"/>
    </row>
    <row r="11610" spans="1:1" x14ac:dyDescent="0.35">
      <c r="A11610" s="12"/>
    </row>
    <row r="11611" spans="1:1" x14ac:dyDescent="0.35">
      <c r="A11611" s="12"/>
    </row>
    <row r="11612" spans="1:1" x14ac:dyDescent="0.35">
      <c r="A11612" s="12"/>
    </row>
    <row r="11613" spans="1:1" x14ac:dyDescent="0.35">
      <c r="A11613" s="12"/>
    </row>
    <row r="11614" spans="1:1" x14ac:dyDescent="0.35">
      <c r="A11614" s="12"/>
    </row>
    <row r="11615" spans="1:1" x14ac:dyDescent="0.35">
      <c r="A11615" s="12"/>
    </row>
    <row r="11616" spans="1:1" x14ac:dyDescent="0.35">
      <c r="A11616" s="12"/>
    </row>
    <row r="11617" spans="1:1" x14ac:dyDescent="0.35">
      <c r="A11617" s="12"/>
    </row>
    <row r="11618" spans="1:1" x14ac:dyDescent="0.35">
      <c r="A11618" s="12"/>
    </row>
    <row r="11619" spans="1:1" x14ac:dyDescent="0.35">
      <c r="A11619" s="12"/>
    </row>
    <row r="11620" spans="1:1" x14ac:dyDescent="0.35">
      <c r="A11620" s="12"/>
    </row>
    <row r="11621" spans="1:1" x14ac:dyDescent="0.35">
      <c r="A11621" s="12"/>
    </row>
    <row r="11622" spans="1:1" x14ac:dyDescent="0.35">
      <c r="A11622" s="12"/>
    </row>
    <row r="11623" spans="1:1" x14ac:dyDescent="0.35">
      <c r="A11623" s="12"/>
    </row>
    <row r="11624" spans="1:1" x14ac:dyDescent="0.35">
      <c r="A11624" s="12"/>
    </row>
    <row r="11625" spans="1:1" x14ac:dyDescent="0.35">
      <c r="A11625" s="12"/>
    </row>
    <row r="11626" spans="1:1" x14ac:dyDescent="0.35">
      <c r="A11626" s="12"/>
    </row>
    <row r="11627" spans="1:1" x14ac:dyDescent="0.35">
      <c r="A11627" s="12"/>
    </row>
    <row r="11628" spans="1:1" x14ac:dyDescent="0.35">
      <c r="A11628" s="12"/>
    </row>
    <row r="11629" spans="1:1" x14ac:dyDescent="0.35">
      <c r="A11629" s="12"/>
    </row>
    <row r="11630" spans="1:1" x14ac:dyDescent="0.35">
      <c r="A11630" s="12"/>
    </row>
    <row r="11631" spans="1:1" x14ac:dyDescent="0.35">
      <c r="A11631" s="12"/>
    </row>
    <row r="11632" spans="1:1" x14ac:dyDescent="0.35">
      <c r="A11632" s="12"/>
    </row>
    <row r="11633" spans="1:1" x14ac:dyDescent="0.35">
      <c r="A11633" s="12"/>
    </row>
    <row r="11634" spans="1:1" x14ac:dyDescent="0.35">
      <c r="A11634" s="12"/>
    </row>
    <row r="11635" spans="1:1" x14ac:dyDescent="0.35">
      <c r="A11635" s="12"/>
    </row>
    <row r="11636" spans="1:1" x14ac:dyDescent="0.35">
      <c r="A11636" s="12"/>
    </row>
    <row r="11637" spans="1:1" x14ac:dyDescent="0.35">
      <c r="A11637" s="12"/>
    </row>
    <row r="11638" spans="1:1" x14ac:dyDescent="0.35">
      <c r="A11638" s="12"/>
    </row>
    <row r="11639" spans="1:1" x14ac:dyDescent="0.35">
      <c r="A11639" s="12"/>
    </row>
    <row r="11640" spans="1:1" x14ac:dyDescent="0.35">
      <c r="A11640" s="12"/>
    </row>
    <row r="11641" spans="1:1" x14ac:dyDescent="0.35">
      <c r="A11641" s="12"/>
    </row>
    <row r="11642" spans="1:1" x14ac:dyDescent="0.35">
      <c r="A11642" s="12"/>
    </row>
    <row r="11643" spans="1:1" x14ac:dyDescent="0.35">
      <c r="A11643" s="12"/>
    </row>
    <row r="11644" spans="1:1" x14ac:dyDescent="0.35">
      <c r="A11644" s="12"/>
    </row>
    <row r="11645" spans="1:1" x14ac:dyDescent="0.35">
      <c r="A11645" s="12"/>
    </row>
    <row r="11646" spans="1:1" x14ac:dyDescent="0.35">
      <c r="A11646" s="12"/>
    </row>
    <row r="11647" spans="1:1" x14ac:dyDescent="0.35">
      <c r="A11647" s="12"/>
    </row>
    <row r="11648" spans="1:1" x14ac:dyDescent="0.35">
      <c r="A11648" s="12"/>
    </row>
    <row r="11649" spans="1:1" x14ac:dyDescent="0.35">
      <c r="A11649" s="12"/>
    </row>
    <row r="11650" spans="1:1" x14ac:dyDescent="0.35">
      <c r="A11650" s="12"/>
    </row>
    <row r="11651" spans="1:1" x14ac:dyDescent="0.35">
      <c r="A11651" s="12"/>
    </row>
    <row r="11652" spans="1:1" x14ac:dyDescent="0.35">
      <c r="A11652" s="12"/>
    </row>
    <row r="11653" spans="1:1" x14ac:dyDescent="0.35">
      <c r="A11653" s="12"/>
    </row>
    <row r="11654" spans="1:1" x14ac:dyDescent="0.35">
      <c r="A11654" s="12"/>
    </row>
    <row r="11655" spans="1:1" x14ac:dyDescent="0.35">
      <c r="A11655" s="12"/>
    </row>
    <row r="11656" spans="1:1" x14ac:dyDescent="0.35">
      <c r="A11656" s="12"/>
    </row>
    <row r="11657" spans="1:1" x14ac:dyDescent="0.35">
      <c r="A11657" s="12"/>
    </row>
    <row r="11658" spans="1:1" x14ac:dyDescent="0.35">
      <c r="A11658" s="12"/>
    </row>
    <row r="11659" spans="1:1" x14ac:dyDescent="0.35">
      <c r="A11659" s="12"/>
    </row>
    <row r="11660" spans="1:1" x14ac:dyDescent="0.35">
      <c r="A11660" s="12"/>
    </row>
    <row r="11661" spans="1:1" x14ac:dyDescent="0.35">
      <c r="A11661" s="12"/>
    </row>
    <row r="11662" spans="1:1" x14ac:dyDescent="0.35">
      <c r="A11662" s="12"/>
    </row>
    <row r="11663" spans="1:1" x14ac:dyDescent="0.35">
      <c r="A11663" s="12"/>
    </row>
    <row r="11664" spans="1:1" x14ac:dyDescent="0.35">
      <c r="A11664" s="12"/>
    </row>
    <row r="11665" spans="1:1" x14ac:dyDescent="0.35">
      <c r="A11665" s="12"/>
    </row>
    <row r="11666" spans="1:1" x14ac:dyDescent="0.35">
      <c r="A11666" s="12"/>
    </row>
    <row r="11667" spans="1:1" x14ac:dyDescent="0.35">
      <c r="A11667" s="12"/>
    </row>
    <row r="11668" spans="1:1" x14ac:dyDescent="0.35">
      <c r="A11668" s="12"/>
    </row>
    <row r="11669" spans="1:1" x14ac:dyDescent="0.35">
      <c r="A11669" s="12"/>
    </row>
    <row r="11670" spans="1:1" x14ac:dyDescent="0.35">
      <c r="A11670" s="12"/>
    </row>
    <row r="11671" spans="1:1" x14ac:dyDescent="0.35">
      <c r="A11671" s="12"/>
    </row>
    <row r="11672" spans="1:1" x14ac:dyDescent="0.35">
      <c r="A11672" s="12"/>
    </row>
    <row r="11673" spans="1:1" x14ac:dyDescent="0.35">
      <c r="A11673" s="12"/>
    </row>
    <row r="11674" spans="1:1" x14ac:dyDescent="0.35">
      <c r="A11674" s="12"/>
    </row>
    <row r="11675" spans="1:1" x14ac:dyDescent="0.35">
      <c r="A11675" s="12"/>
    </row>
    <row r="11676" spans="1:1" x14ac:dyDescent="0.35">
      <c r="A11676" s="12"/>
    </row>
    <row r="11677" spans="1:1" x14ac:dyDescent="0.35">
      <c r="A11677" s="12"/>
    </row>
    <row r="11678" spans="1:1" x14ac:dyDescent="0.35">
      <c r="A11678" s="12"/>
    </row>
    <row r="11679" spans="1:1" x14ac:dyDescent="0.35">
      <c r="A11679" s="12"/>
    </row>
    <row r="11680" spans="1:1" x14ac:dyDescent="0.35">
      <c r="A11680" s="12"/>
    </row>
    <row r="11681" spans="1:1" x14ac:dyDescent="0.35">
      <c r="A11681" s="12"/>
    </row>
    <row r="11682" spans="1:1" x14ac:dyDescent="0.35">
      <c r="A11682" s="12"/>
    </row>
    <row r="11683" spans="1:1" x14ac:dyDescent="0.35">
      <c r="A11683" s="12"/>
    </row>
    <row r="11684" spans="1:1" x14ac:dyDescent="0.35">
      <c r="A11684" s="12"/>
    </row>
    <row r="11685" spans="1:1" x14ac:dyDescent="0.35">
      <c r="A11685" s="12"/>
    </row>
    <row r="11686" spans="1:1" x14ac:dyDescent="0.35">
      <c r="A11686" s="12"/>
    </row>
    <row r="11687" spans="1:1" x14ac:dyDescent="0.35">
      <c r="A11687" s="12"/>
    </row>
    <row r="11688" spans="1:1" x14ac:dyDescent="0.35">
      <c r="A11688" s="12"/>
    </row>
    <row r="11689" spans="1:1" x14ac:dyDescent="0.35">
      <c r="A11689" s="12"/>
    </row>
    <row r="11690" spans="1:1" x14ac:dyDescent="0.35">
      <c r="A11690" s="12"/>
    </row>
    <row r="11691" spans="1:1" x14ac:dyDescent="0.35">
      <c r="A11691" s="12"/>
    </row>
    <row r="11692" spans="1:1" x14ac:dyDescent="0.35">
      <c r="A11692" s="12"/>
    </row>
    <row r="11693" spans="1:1" x14ac:dyDescent="0.35">
      <c r="A11693" s="12"/>
    </row>
    <row r="11694" spans="1:1" x14ac:dyDescent="0.35">
      <c r="A11694" s="12"/>
    </row>
    <row r="11695" spans="1:1" x14ac:dyDescent="0.35">
      <c r="A11695" s="12"/>
    </row>
    <row r="11696" spans="1:1" x14ac:dyDescent="0.35">
      <c r="A11696" s="12"/>
    </row>
    <row r="11697" spans="1:1" x14ac:dyDescent="0.35">
      <c r="A11697" s="12"/>
    </row>
    <row r="11698" spans="1:1" x14ac:dyDescent="0.35">
      <c r="A11698" s="12"/>
    </row>
    <row r="11699" spans="1:1" x14ac:dyDescent="0.35">
      <c r="A11699" s="12"/>
    </row>
    <row r="11700" spans="1:1" x14ac:dyDescent="0.35">
      <c r="A11700" s="12"/>
    </row>
    <row r="11701" spans="1:1" x14ac:dyDescent="0.35">
      <c r="A11701" s="12"/>
    </row>
    <row r="11702" spans="1:1" x14ac:dyDescent="0.35">
      <c r="A11702" s="12"/>
    </row>
    <row r="11703" spans="1:1" x14ac:dyDescent="0.35">
      <c r="A11703" s="12"/>
    </row>
    <row r="11704" spans="1:1" x14ac:dyDescent="0.35">
      <c r="A11704" s="12"/>
    </row>
    <row r="11705" spans="1:1" x14ac:dyDescent="0.35">
      <c r="A11705" s="12"/>
    </row>
    <row r="11706" spans="1:1" x14ac:dyDescent="0.35">
      <c r="A11706" s="12"/>
    </row>
    <row r="11707" spans="1:1" x14ac:dyDescent="0.35">
      <c r="A11707" s="12"/>
    </row>
    <row r="11708" spans="1:1" x14ac:dyDescent="0.35">
      <c r="A11708" s="12"/>
    </row>
    <row r="11709" spans="1:1" x14ac:dyDescent="0.35">
      <c r="A11709" s="12"/>
    </row>
    <row r="11710" spans="1:1" x14ac:dyDescent="0.35">
      <c r="A11710" s="12"/>
    </row>
    <row r="11711" spans="1:1" x14ac:dyDescent="0.35">
      <c r="A11711" s="12"/>
    </row>
    <row r="11712" spans="1:1" x14ac:dyDescent="0.35">
      <c r="A11712" s="12"/>
    </row>
    <row r="11713" spans="1:1" x14ac:dyDescent="0.35">
      <c r="A11713" s="12"/>
    </row>
    <row r="11714" spans="1:1" x14ac:dyDescent="0.35">
      <c r="A11714" s="12"/>
    </row>
    <row r="11715" spans="1:1" x14ac:dyDescent="0.35">
      <c r="A11715" s="12"/>
    </row>
    <row r="11716" spans="1:1" x14ac:dyDescent="0.35">
      <c r="A11716" s="12"/>
    </row>
    <row r="11717" spans="1:1" x14ac:dyDescent="0.35">
      <c r="A11717" s="12"/>
    </row>
    <row r="11718" spans="1:1" x14ac:dyDescent="0.35">
      <c r="A11718" s="12"/>
    </row>
    <row r="11719" spans="1:1" x14ac:dyDescent="0.35">
      <c r="A11719" s="12"/>
    </row>
    <row r="11720" spans="1:1" x14ac:dyDescent="0.35">
      <c r="A11720" s="12"/>
    </row>
    <row r="11721" spans="1:1" x14ac:dyDescent="0.35">
      <c r="A11721" s="12"/>
    </row>
    <row r="11722" spans="1:1" x14ac:dyDescent="0.35">
      <c r="A11722" s="12"/>
    </row>
    <row r="11723" spans="1:1" x14ac:dyDescent="0.35">
      <c r="A11723" s="12"/>
    </row>
    <row r="11724" spans="1:1" x14ac:dyDescent="0.35">
      <c r="A11724" s="12"/>
    </row>
    <row r="11725" spans="1:1" x14ac:dyDescent="0.35">
      <c r="A11725" s="12"/>
    </row>
    <row r="11726" spans="1:1" x14ac:dyDescent="0.35">
      <c r="A11726" s="12"/>
    </row>
    <row r="11727" spans="1:1" x14ac:dyDescent="0.35">
      <c r="A11727" s="12"/>
    </row>
    <row r="11728" spans="1:1" x14ac:dyDescent="0.35">
      <c r="A11728" s="12"/>
    </row>
    <row r="11729" spans="1:1" x14ac:dyDescent="0.35">
      <c r="A11729" s="12"/>
    </row>
    <row r="11730" spans="1:1" x14ac:dyDescent="0.35">
      <c r="A11730" s="12"/>
    </row>
    <row r="11731" spans="1:1" x14ac:dyDescent="0.35">
      <c r="A11731" s="12"/>
    </row>
    <row r="11732" spans="1:1" x14ac:dyDescent="0.35">
      <c r="A11732" s="12"/>
    </row>
    <row r="11733" spans="1:1" x14ac:dyDescent="0.35">
      <c r="A11733" s="12"/>
    </row>
    <row r="11734" spans="1:1" x14ac:dyDescent="0.35">
      <c r="A11734" s="12"/>
    </row>
    <row r="11735" spans="1:1" x14ac:dyDescent="0.35">
      <c r="A11735" s="12"/>
    </row>
    <row r="11736" spans="1:1" x14ac:dyDescent="0.35">
      <c r="A11736" s="12"/>
    </row>
    <row r="11737" spans="1:1" x14ac:dyDescent="0.35">
      <c r="A11737" s="12"/>
    </row>
    <row r="11738" spans="1:1" x14ac:dyDescent="0.35">
      <c r="A11738" s="12"/>
    </row>
    <row r="11739" spans="1:1" x14ac:dyDescent="0.35">
      <c r="A11739" s="12"/>
    </row>
    <row r="11740" spans="1:1" x14ac:dyDescent="0.35">
      <c r="A11740" s="12"/>
    </row>
    <row r="11741" spans="1:1" x14ac:dyDescent="0.35">
      <c r="A11741" s="12"/>
    </row>
    <row r="11742" spans="1:1" x14ac:dyDescent="0.35">
      <c r="A11742" s="12"/>
    </row>
    <row r="11743" spans="1:1" x14ac:dyDescent="0.35">
      <c r="A11743" s="12"/>
    </row>
    <row r="11744" spans="1:1" x14ac:dyDescent="0.35">
      <c r="A11744" s="12"/>
    </row>
    <row r="11745" spans="1:1" x14ac:dyDescent="0.35">
      <c r="A11745" s="12"/>
    </row>
    <row r="11746" spans="1:1" x14ac:dyDescent="0.35">
      <c r="A11746" s="12"/>
    </row>
    <row r="11747" spans="1:1" x14ac:dyDescent="0.35">
      <c r="A11747" s="12"/>
    </row>
    <row r="11748" spans="1:1" x14ac:dyDescent="0.35">
      <c r="A11748" s="12"/>
    </row>
    <row r="11749" spans="1:1" x14ac:dyDescent="0.35">
      <c r="A11749" s="12"/>
    </row>
    <row r="11750" spans="1:1" x14ac:dyDescent="0.35">
      <c r="A11750" s="12"/>
    </row>
    <row r="11751" spans="1:1" x14ac:dyDescent="0.35">
      <c r="A11751" s="12"/>
    </row>
    <row r="11752" spans="1:1" x14ac:dyDescent="0.35">
      <c r="A11752" s="12"/>
    </row>
    <row r="11753" spans="1:1" x14ac:dyDescent="0.35">
      <c r="A11753" s="12"/>
    </row>
    <row r="11754" spans="1:1" x14ac:dyDescent="0.35">
      <c r="A11754" s="12"/>
    </row>
    <row r="11755" spans="1:1" x14ac:dyDescent="0.35">
      <c r="A11755" s="12"/>
    </row>
    <row r="11756" spans="1:1" x14ac:dyDescent="0.35">
      <c r="A11756" s="12"/>
    </row>
    <row r="11757" spans="1:1" x14ac:dyDescent="0.35">
      <c r="A11757" s="12"/>
    </row>
    <row r="11758" spans="1:1" x14ac:dyDescent="0.35">
      <c r="A11758" s="12"/>
    </row>
    <row r="11759" spans="1:1" x14ac:dyDescent="0.35">
      <c r="A11759" s="12"/>
    </row>
    <row r="11760" spans="1:1" x14ac:dyDescent="0.35">
      <c r="A11760" s="12"/>
    </row>
    <row r="11761" spans="1:1" x14ac:dyDescent="0.35">
      <c r="A11761" s="12"/>
    </row>
    <row r="11762" spans="1:1" x14ac:dyDescent="0.35">
      <c r="A11762" s="12"/>
    </row>
    <row r="11763" spans="1:1" x14ac:dyDescent="0.35">
      <c r="A11763" s="12"/>
    </row>
    <row r="11764" spans="1:1" x14ac:dyDescent="0.35">
      <c r="A11764" s="12"/>
    </row>
    <row r="11765" spans="1:1" x14ac:dyDescent="0.35">
      <c r="A11765" s="12"/>
    </row>
    <row r="11766" spans="1:1" x14ac:dyDescent="0.35">
      <c r="A11766" s="12"/>
    </row>
    <row r="11767" spans="1:1" x14ac:dyDescent="0.35">
      <c r="A11767" s="12"/>
    </row>
    <row r="11768" spans="1:1" x14ac:dyDescent="0.35">
      <c r="A11768" s="12"/>
    </row>
    <row r="11769" spans="1:1" x14ac:dyDescent="0.35">
      <c r="A11769" s="12"/>
    </row>
    <row r="11770" spans="1:1" x14ac:dyDescent="0.35">
      <c r="A11770" s="12"/>
    </row>
    <row r="11771" spans="1:1" x14ac:dyDescent="0.35">
      <c r="A11771" s="12"/>
    </row>
    <row r="11772" spans="1:1" x14ac:dyDescent="0.35">
      <c r="A11772" s="12"/>
    </row>
    <row r="11773" spans="1:1" x14ac:dyDescent="0.35">
      <c r="A11773" s="12"/>
    </row>
    <row r="11774" spans="1:1" x14ac:dyDescent="0.35">
      <c r="A11774" s="12"/>
    </row>
    <row r="11775" spans="1:1" x14ac:dyDescent="0.35">
      <c r="A11775" s="12"/>
    </row>
    <row r="11776" spans="1:1" x14ac:dyDescent="0.35">
      <c r="A11776" s="12"/>
    </row>
    <row r="11777" spans="1:1" x14ac:dyDescent="0.35">
      <c r="A11777" s="12"/>
    </row>
    <row r="11778" spans="1:1" x14ac:dyDescent="0.35">
      <c r="A11778" s="12"/>
    </row>
    <row r="11779" spans="1:1" x14ac:dyDescent="0.35">
      <c r="A11779" s="12"/>
    </row>
    <row r="11780" spans="1:1" x14ac:dyDescent="0.35">
      <c r="A11780" s="12"/>
    </row>
    <row r="11781" spans="1:1" x14ac:dyDescent="0.35">
      <c r="A11781" s="12"/>
    </row>
    <row r="11782" spans="1:1" x14ac:dyDescent="0.35">
      <c r="A11782" s="12"/>
    </row>
    <row r="11783" spans="1:1" x14ac:dyDescent="0.35">
      <c r="A11783" s="12"/>
    </row>
    <row r="11784" spans="1:1" x14ac:dyDescent="0.35">
      <c r="A11784" s="12"/>
    </row>
    <row r="11785" spans="1:1" x14ac:dyDescent="0.35">
      <c r="A11785" s="12"/>
    </row>
    <row r="11786" spans="1:1" x14ac:dyDescent="0.35">
      <c r="A11786" s="12"/>
    </row>
    <row r="11787" spans="1:1" x14ac:dyDescent="0.35">
      <c r="A11787" s="12"/>
    </row>
    <row r="11788" spans="1:1" x14ac:dyDescent="0.35">
      <c r="A11788" s="12"/>
    </row>
    <row r="11789" spans="1:1" x14ac:dyDescent="0.35">
      <c r="A11789" s="12"/>
    </row>
    <row r="11790" spans="1:1" x14ac:dyDescent="0.35">
      <c r="A11790" s="12"/>
    </row>
    <row r="11791" spans="1:1" x14ac:dyDescent="0.35">
      <c r="A11791" s="12"/>
    </row>
    <row r="11792" spans="1:1" x14ac:dyDescent="0.35">
      <c r="A11792" s="12"/>
    </row>
    <row r="11793" spans="1:1" x14ac:dyDescent="0.35">
      <c r="A11793" s="12"/>
    </row>
    <row r="11794" spans="1:1" x14ac:dyDescent="0.35">
      <c r="A11794" s="12"/>
    </row>
    <row r="11795" spans="1:1" x14ac:dyDescent="0.35">
      <c r="A11795" s="12"/>
    </row>
    <row r="11796" spans="1:1" x14ac:dyDescent="0.35">
      <c r="A11796" s="12"/>
    </row>
    <row r="11797" spans="1:1" x14ac:dyDescent="0.35">
      <c r="A11797" s="12"/>
    </row>
    <row r="11798" spans="1:1" x14ac:dyDescent="0.35">
      <c r="A11798" s="12"/>
    </row>
    <row r="11799" spans="1:1" x14ac:dyDescent="0.35">
      <c r="A11799" s="12"/>
    </row>
    <row r="11800" spans="1:1" x14ac:dyDescent="0.35">
      <c r="A11800" s="12"/>
    </row>
    <row r="11801" spans="1:1" x14ac:dyDescent="0.35">
      <c r="A11801" s="12"/>
    </row>
    <row r="11802" spans="1:1" x14ac:dyDescent="0.35">
      <c r="A11802" s="12"/>
    </row>
    <row r="11803" spans="1:1" x14ac:dyDescent="0.35">
      <c r="A11803" s="12"/>
    </row>
    <row r="11804" spans="1:1" x14ac:dyDescent="0.35">
      <c r="A11804" s="12"/>
    </row>
    <row r="11805" spans="1:1" x14ac:dyDescent="0.35">
      <c r="A11805" s="12"/>
    </row>
    <row r="11806" spans="1:1" x14ac:dyDescent="0.35">
      <c r="A11806" s="12"/>
    </row>
    <row r="11807" spans="1:1" x14ac:dyDescent="0.35">
      <c r="A11807" s="12"/>
    </row>
    <row r="11808" spans="1:1" x14ac:dyDescent="0.35">
      <c r="A11808" s="12"/>
    </row>
    <row r="11809" spans="1:1" x14ac:dyDescent="0.35">
      <c r="A11809" s="12"/>
    </row>
    <row r="11810" spans="1:1" x14ac:dyDescent="0.35">
      <c r="A11810" s="12"/>
    </row>
    <row r="11811" spans="1:1" x14ac:dyDescent="0.35">
      <c r="A11811" s="12"/>
    </row>
    <row r="11812" spans="1:1" x14ac:dyDescent="0.35">
      <c r="A11812" s="12"/>
    </row>
    <row r="11813" spans="1:1" x14ac:dyDescent="0.35">
      <c r="A11813" s="12"/>
    </row>
    <row r="11814" spans="1:1" x14ac:dyDescent="0.35">
      <c r="A11814" s="12"/>
    </row>
    <row r="11815" spans="1:1" x14ac:dyDescent="0.35">
      <c r="A11815" s="12"/>
    </row>
    <row r="11816" spans="1:1" x14ac:dyDescent="0.35">
      <c r="A11816" s="12"/>
    </row>
    <row r="11817" spans="1:1" x14ac:dyDescent="0.35">
      <c r="A11817" s="12"/>
    </row>
    <row r="11818" spans="1:1" x14ac:dyDescent="0.35">
      <c r="A11818" s="12"/>
    </row>
    <row r="11819" spans="1:1" x14ac:dyDescent="0.35">
      <c r="A11819" s="12"/>
    </row>
    <row r="11820" spans="1:1" x14ac:dyDescent="0.35">
      <c r="A11820" s="12"/>
    </row>
    <row r="11821" spans="1:1" x14ac:dyDescent="0.35">
      <c r="A11821" s="12"/>
    </row>
    <row r="11822" spans="1:1" x14ac:dyDescent="0.35">
      <c r="A11822" s="12"/>
    </row>
    <row r="11823" spans="1:1" x14ac:dyDescent="0.35">
      <c r="A11823" s="12"/>
    </row>
    <row r="11824" spans="1:1" x14ac:dyDescent="0.35">
      <c r="A11824" s="12"/>
    </row>
    <row r="11825" spans="1:1" x14ac:dyDescent="0.35">
      <c r="A11825" s="12"/>
    </row>
    <row r="11826" spans="1:1" x14ac:dyDescent="0.35">
      <c r="A11826" s="12"/>
    </row>
    <row r="11827" spans="1:1" x14ac:dyDescent="0.35">
      <c r="A11827" s="12"/>
    </row>
    <row r="11828" spans="1:1" x14ac:dyDescent="0.35">
      <c r="A11828" s="12"/>
    </row>
    <row r="11829" spans="1:1" x14ac:dyDescent="0.35">
      <c r="A11829" s="12"/>
    </row>
    <row r="11830" spans="1:1" x14ac:dyDescent="0.35">
      <c r="A11830" s="12"/>
    </row>
    <row r="11831" spans="1:1" x14ac:dyDescent="0.35">
      <c r="A11831" s="12"/>
    </row>
    <row r="11832" spans="1:1" x14ac:dyDescent="0.35">
      <c r="A11832" s="12"/>
    </row>
    <row r="11833" spans="1:1" x14ac:dyDescent="0.35">
      <c r="A11833" s="12"/>
    </row>
    <row r="11834" spans="1:1" x14ac:dyDescent="0.35">
      <c r="A11834" s="12"/>
    </row>
    <row r="11835" spans="1:1" x14ac:dyDescent="0.35">
      <c r="A11835" s="12"/>
    </row>
    <row r="11836" spans="1:1" x14ac:dyDescent="0.35">
      <c r="A11836" s="12"/>
    </row>
    <row r="11837" spans="1:1" x14ac:dyDescent="0.35">
      <c r="A11837" s="12"/>
    </row>
    <row r="11838" spans="1:1" x14ac:dyDescent="0.35">
      <c r="A11838" s="12"/>
    </row>
    <row r="11839" spans="1:1" x14ac:dyDescent="0.35">
      <c r="A11839" s="12"/>
    </row>
    <row r="11840" spans="1:1" x14ac:dyDescent="0.35">
      <c r="A11840" s="12"/>
    </row>
    <row r="11841" spans="1:1" x14ac:dyDescent="0.35">
      <c r="A11841" s="12"/>
    </row>
    <row r="11842" spans="1:1" x14ac:dyDescent="0.35">
      <c r="A11842" s="12"/>
    </row>
    <row r="11843" spans="1:1" x14ac:dyDescent="0.35">
      <c r="A11843" s="12"/>
    </row>
    <row r="11844" spans="1:1" x14ac:dyDescent="0.35">
      <c r="A11844" s="12"/>
    </row>
    <row r="11845" spans="1:1" x14ac:dyDescent="0.35">
      <c r="A11845" s="12"/>
    </row>
    <row r="11846" spans="1:1" x14ac:dyDescent="0.35">
      <c r="A11846" s="12"/>
    </row>
    <row r="11847" spans="1:1" x14ac:dyDescent="0.35">
      <c r="A11847" s="12"/>
    </row>
    <row r="11848" spans="1:1" x14ac:dyDescent="0.35">
      <c r="A11848" s="12"/>
    </row>
    <row r="11849" spans="1:1" x14ac:dyDescent="0.35">
      <c r="A11849" s="12"/>
    </row>
    <row r="11850" spans="1:1" x14ac:dyDescent="0.35">
      <c r="A11850" s="12"/>
    </row>
    <row r="11851" spans="1:1" x14ac:dyDescent="0.35">
      <c r="A11851" s="12"/>
    </row>
    <row r="11852" spans="1:1" x14ac:dyDescent="0.35">
      <c r="A11852" s="12"/>
    </row>
    <row r="11853" spans="1:1" x14ac:dyDescent="0.35">
      <c r="A11853" s="12"/>
    </row>
    <row r="11854" spans="1:1" x14ac:dyDescent="0.35">
      <c r="A11854" s="12"/>
    </row>
    <row r="11855" spans="1:1" x14ac:dyDescent="0.35">
      <c r="A11855" s="12"/>
    </row>
    <row r="11856" spans="1:1" x14ac:dyDescent="0.35">
      <c r="A11856" s="12"/>
    </row>
    <row r="11857" spans="1:1" x14ac:dyDescent="0.35">
      <c r="A11857" s="12"/>
    </row>
    <row r="11858" spans="1:1" x14ac:dyDescent="0.35">
      <c r="A11858" s="12"/>
    </row>
    <row r="11859" spans="1:1" x14ac:dyDescent="0.35">
      <c r="A11859" s="12"/>
    </row>
    <row r="11860" spans="1:1" x14ac:dyDescent="0.35">
      <c r="A11860" s="12"/>
    </row>
    <row r="11861" spans="1:1" x14ac:dyDescent="0.35">
      <c r="A11861" s="12"/>
    </row>
    <row r="11862" spans="1:1" x14ac:dyDescent="0.35">
      <c r="A11862" s="12"/>
    </row>
    <row r="11863" spans="1:1" x14ac:dyDescent="0.35">
      <c r="A11863" s="12"/>
    </row>
    <row r="11864" spans="1:1" x14ac:dyDescent="0.35">
      <c r="A11864" s="12"/>
    </row>
    <row r="11865" spans="1:1" x14ac:dyDescent="0.35">
      <c r="A11865" s="12"/>
    </row>
    <row r="11866" spans="1:1" x14ac:dyDescent="0.35">
      <c r="A11866" s="12"/>
    </row>
    <row r="11867" spans="1:1" x14ac:dyDescent="0.35">
      <c r="A11867" s="12"/>
    </row>
    <row r="11868" spans="1:1" x14ac:dyDescent="0.35">
      <c r="A11868" s="12"/>
    </row>
    <row r="11869" spans="1:1" x14ac:dyDescent="0.35">
      <c r="A11869" s="12"/>
    </row>
    <row r="11870" spans="1:1" x14ac:dyDescent="0.35">
      <c r="A11870" s="12"/>
    </row>
    <row r="11871" spans="1:1" x14ac:dyDescent="0.35">
      <c r="A11871" s="12"/>
    </row>
    <row r="11872" spans="1:1" x14ac:dyDescent="0.35">
      <c r="A11872" s="12"/>
    </row>
    <row r="11873" spans="1:1" x14ac:dyDescent="0.35">
      <c r="A11873" s="12"/>
    </row>
    <row r="11874" spans="1:1" x14ac:dyDescent="0.35">
      <c r="A11874" s="12"/>
    </row>
    <row r="11875" spans="1:1" x14ac:dyDescent="0.35">
      <c r="A11875" s="12"/>
    </row>
    <row r="11876" spans="1:1" x14ac:dyDescent="0.35">
      <c r="A11876" s="12"/>
    </row>
    <row r="11877" spans="1:1" x14ac:dyDescent="0.35">
      <c r="A11877" s="12"/>
    </row>
    <row r="11878" spans="1:1" x14ac:dyDescent="0.35">
      <c r="A11878" s="12"/>
    </row>
    <row r="11879" spans="1:1" x14ac:dyDescent="0.35">
      <c r="A11879" s="12"/>
    </row>
    <row r="11880" spans="1:1" x14ac:dyDescent="0.35">
      <c r="A11880" s="12"/>
    </row>
    <row r="11881" spans="1:1" x14ac:dyDescent="0.35">
      <c r="A11881" s="12"/>
    </row>
    <row r="11882" spans="1:1" x14ac:dyDescent="0.35">
      <c r="A11882" s="12"/>
    </row>
    <row r="11883" spans="1:1" x14ac:dyDescent="0.35">
      <c r="A11883" s="12"/>
    </row>
    <row r="11884" spans="1:1" x14ac:dyDescent="0.35">
      <c r="A11884" s="12"/>
    </row>
    <row r="11885" spans="1:1" x14ac:dyDescent="0.35">
      <c r="A11885" s="12"/>
    </row>
    <row r="11886" spans="1:1" x14ac:dyDescent="0.35">
      <c r="A11886" s="12"/>
    </row>
    <row r="11887" spans="1:1" x14ac:dyDescent="0.35">
      <c r="A11887" s="12"/>
    </row>
    <row r="11888" spans="1:1" x14ac:dyDescent="0.35">
      <c r="A11888" s="12"/>
    </row>
    <row r="11889" spans="1:1" x14ac:dyDescent="0.35">
      <c r="A11889" s="12"/>
    </row>
    <row r="11890" spans="1:1" x14ac:dyDescent="0.35">
      <c r="A11890" s="12"/>
    </row>
    <row r="11891" spans="1:1" x14ac:dyDescent="0.35">
      <c r="A11891" s="12"/>
    </row>
    <row r="11892" spans="1:1" x14ac:dyDescent="0.35">
      <c r="A11892" s="12"/>
    </row>
    <row r="11893" spans="1:1" x14ac:dyDescent="0.35">
      <c r="A11893" s="12"/>
    </row>
    <row r="11894" spans="1:1" x14ac:dyDescent="0.35">
      <c r="A11894" s="12"/>
    </row>
    <row r="11895" spans="1:1" x14ac:dyDescent="0.35">
      <c r="A11895" s="12"/>
    </row>
    <row r="11896" spans="1:1" x14ac:dyDescent="0.35">
      <c r="A11896" s="12"/>
    </row>
    <row r="11897" spans="1:1" x14ac:dyDescent="0.35">
      <c r="A11897" s="12"/>
    </row>
    <row r="11898" spans="1:1" x14ac:dyDescent="0.35">
      <c r="A11898" s="12"/>
    </row>
    <row r="11899" spans="1:1" x14ac:dyDescent="0.35">
      <c r="A11899" s="12"/>
    </row>
    <row r="11900" spans="1:1" x14ac:dyDescent="0.35">
      <c r="A11900" s="12"/>
    </row>
    <row r="11901" spans="1:1" x14ac:dyDescent="0.35">
      <c r="A11901" s="12"/>
    </row>
    <row r="11902" spans="1:1" x14ac:dyDescent="0.35">
      <c r="A11902" s="12"/>
    </row>
    <row r="11903" spans="1:1" x14ac:dyDescent="0.35">
      <c r="A11903" s="12"/>
    </row>
    <row r="11904" spans="1:1" x14ac:dyDescent="0.35">
      <c r="A11904" s="12"/>
    </row>
    <row r="11905" spans="1:1" x14ac:dyDescent="0.35">
      <c r="A11905" s="12"/>
    </row>
    <row r="11906" spans="1:1" x14ac:dyDescent="0.35">
      <c r="A11906" s="12"/>
    </row>
    <row r="11907" spans="1:1" x14ac:dyDescent="0.35">
      <c r="A11907" s="12"/>
    </row>
    <row r="11908" spans="1:1" x14ac:dyDescent="0.35">
      <c r="A11908" s="12"/>
    </row>
    <row r="11909" spans="1:1" x14ac:dyDescent="0.35">
      <c r="A11909" s="12"/>
    </row>
    <row r="11910" spans="1:1" x14ac:dyDescent="0.35">
      <c r="A11910" s="12"/>
    </row>
    <row r="11911" spans="1:1" x14ac:dyDescent="0.35">
      <c r="A11911" s="12"/>
    </row>
    <row r="11912" spans="1:1" x14ac:dyDescent="0.35">
      <c r="A11912" s="12"/>
    </row>
    <row r="11913" spans="1:1" x14ac:dyDescent="0.35">
      <c r="A11913" s="12"/>
    </row>
    <row r="11914" spans="1:1" x14ac:dyDescent="0.35">
      <c r="A11914" s="12"/>
    </row>
    <row r="11915" spans="1:1" x14ac:dyDescent="0.35">
      <c r="A11915" s="12"/>
    </row>
    <row r="11916" spans="1:1" x14ac:dyDescent="0.35">
      <c r="A11916" s="12"/>
    </row>
    <row r="11917" spans="1:1" x14ac:dyDescent="0.35">
      <c r="A11917" s="12"/>
    </row>
    <row r="11918" spans="1:1" x14ac:dyDescent="0.35">
      <c r="A11918" s="12"/>
    </row>
    <row r="11919" spans="1:1" x14ac:dyDescent="0.35">
      <c r="A11919" s="12"/>
    </row>
    <row r="11920" spans="1:1" x14ac:dyDescent="0.35">
      <c r="A11920" s="12"/>
    </row>
    <row r="11921" spans="1:1" x14ac:dyDescent="0.35">
      <c r="A11921" s="12"/>
    </row>
    <row r="11922" spans="1:1" x14ac:dyDescent="0.35">
      <c r="A11922" s="12"/>
    </row>
    <row r="11923" spans="1:1" x14ac:dyDescent="0.35">
      <c r="A11923" s="12"/>
    </row>
    <row r="11924" spans="1:1" x14ac:dyDescent="0.35">
      <c r="A11924" s="12"/>
    </row>
    <row r="11925" spans="1:1" x14ac:dyDescent="0.35">
      <c r="A11925" s="12"/>
    </row>
    <row r="11926" spans="1:1" x14ac:dyDescent="0.35">
      <c r="A11926" s="12"/>
    </row>
    <row r="11927" spans="1:1" x14ac:dyDescent="0.35">
      <c r="A11927" s="12"/>
    </row>
    <row r="11928" spans="1:1" x14ac:dyDescent="0.35">
      <c r="A11928" s="12"/>
    </row>
    <row r="11929" spans="1:1" x14ac:dyDescent="0.35">
      <c r="A11929" s="12"/>
    </row>
    <row r="11930" spans="1:1" x14ac:dyDescent="0.35">
      <c r="A11930" s="12"/>
    </row>
    <row r="11931" spans="1:1" x14ac:dyDescent="0.35">
      <c r="A11931" s="12"/>
    </row>
    <row r="11932" spans="1:1" x14ac:dyDescent="0.35">
      <c r="A11932" s="12"/>
    </row>
    <row r="11933" spans="1:1" x14ac:dyDescent="0.35">
      <c r="A11933" s="12"/>
    </row>
    <row r="11934" spans="1:1" x14ac:dyDescent="0.35">
      <c r="A11934" s="12"/>
    </row>
    <row r="11935" spans="1:1" x14ac:dyDescent="0.35">
      <c r="A11935" s="12"/>
    </row>
    <row r="11936" spans="1:1" x14ac:dyDescent="0.35">
      <c r="A11936" s="12"/>
    </row>
    <row r="11937" spans="1:1" x14ac:dyDescent="0.35">
      <c r="A11937" s="12"/>
    </row>
    <row r="11938" spans="1:1" x14ac:dyDescent="0.35">
      <c r="A11938" s="12"/>
    </row>
    <row r="11939" spans="1:1" x14ac:dyDescent="0.35">
      <c r="A11939" s="12"/>
    </row>
    <row r="11940" spans="1:1" x14ac:dyDescent="0.35">
      <c r="A11940" s="12"/>
    </row>
    <row r="11941" spans="1:1" x14ac:dyDescent="0.35">
      <c r="A11941" s="12"/>
    </row>
    <row r="11942" spans="1:1" x14ac:dyDescent="0.35">
      <c r="A11942" s="12"/>
    </row>
    <row r="11943" spans="1:1" x14ac:dyDescent="0.35">
      <c r="A11943" s="12"/>
    </row>
    <row r="11944" spans="1:1" x14ac:dyDescent="0.35">
      <c r="A11944" s="12"/>
    </row>
    <row r="11945" spans="1:1" x14ac:dyDescent="0.35">
      <c r="A11945" s="12"/>
    </row>
    <row r="11946" spans="1:1" x14ac:dyDescent="0.35">
      <c r="A11946" s="12"/>
    </row>
    <row r="11947" spans="1:1" x14ac:dyDescent="0.35">
      <c r="A11947" s="12"/>
    </row>
    <row r="11948" spans="1:1" x14ac:dyDescent="0.35">
      <c r="A11948" s="12"/>
    </row>
    <row r="11949" spans="1:1" x14ac:dyDescent="0.35">
      <c r="A11949" s="12"/>
    </row>
    <row r="11950" spans="1:1" x14ac:dyDescent="0.35">
      <c r="A11950" s="12"/>
    </row>
    <row r="11951" spans="1:1" x14ac:dyDescent="0.35">
      <c r="A11951" s="12"/>
    </row>
    <row r="11952" spans="1:1" x14ac:dyDescent="0.35">
      <c r="A11952" s="12"/>
    </row>
    <row r="11953" spans="1:1" x14ac:dyDescent="0.35">
      <c r="A11953" s="12"/>
    </row>
    <row r="11954" spans="1:1" x14ac:dyDescent="0.35">
      <c r="A11954" s="12"/>
    </row>
    <row r="11955" spans="1:1" x14ac:dyDescent="0.35">
      <c r="A11955" s="12"/>
    </row>
    <row r="11956" spans="1:1" x14ac:dyDescent="0.35">
      <c r="A11956" s="12"/>
    </row>
    <row r="11957" spans="1:1" x14ac:dyDescent="0.35">
      <c r="A11957" s="12"/>
    </row>
    <row r="11958" spans="1:1" x14ac:dyDescent="0.35">
      <c r="A11958" s="12"/>
    </row>
    <row r="11959" spans="1:1" x14ac:dyDescent="0.35">
      <c r="A11959" s="12"/>
    </row>
    <row r="11960" spans="1:1" x14ac:dyDescent="0.35">
      <c r="A11960" s="12"/>
    </row>
    <row r="11961" spans="1:1" x14ac:dyDescent="0.35">
      <c r="A11961" s="12"/>
    </row>
    <row r="11962" spans="1:1" x14ac:dyDescent="0.35">
      <c r="A11962" s="12"/>
    </row>
    <row r="11963" spans="1:1" x14ac:dyDescent="0.35">
      <c r="A11963" s="12"/>
    </row>
    <row r="11964" spans="1:1" x14ac:dyDescent="0.35">
      <c r="A11964" s="12"/>
    </row>
    <row r="11965" spans="1:1" x14ac:dyDescent="0.35">
      <c r="A11965" s="12"/>
    </row>
    <row r="11966" spans="1:1" x14ac:dyDescent="0.35">
      <c r="A11966" s="12"/>
    </row>
    <row r="11967" spans="1:1" x14ac:dyDescent="0.35">
      <c r="A11967" s="12"/>
    </row>
    <row r="11968" spans="1:1" x14ac:dyDescent="0.35">
      <c r="A11968" s="12"/>
    </row>
    <row r="11969" spans="1:1" x14ac:dyDescent="0.35">
      <c r="A11969" s="12"/>
    </row>
    <row r="11970" spans="1:1" x14ac:dyDescent="0.35">
      <c r="A11970" s="12"/>
    </row>
    <row r="11971" spans="1:1" x14ac:dyDescent="0.35">
      <c r="A11971" s="12"/>
    </row>
    <row r="11972" spans="1:1" x14ac:dyDescent="0.35">
      <c r="A11972" s="12"/>
    </row>
    <row r="11973" spans="1:1" x14ac:dyDescent="0.35">
      <c r="A11973" s="12"/>
    </row>
    <row r="11974" spans="1:1" x14ac:dyDescent="0.35">
      <c r="A11974" s="12"/>
    </row>
    <row r="11975" spans="1:1" x14ac:dyDescent="0.35">
      <c r="A11975" s="12"/>
    </row>
    <row r="11976" spans="1:1" x14ac:dyDescent="0.35">
      <c r="A11976" s="12"/>
    </row>
    <row r="11977" spans="1:1" x14ac:dyDescent="0.35">
      <c r="A11977" s="12"/>
    </row>
    <row r="11978" spans="1:1" x14ac:dyDescent="0.35">
      <c r="A11978" s="12"/>
    </row>
    <row r="11979" spans="1:1" x14ac:dyDescent="0.35">
      <c r="A11979" s="12"/>
    </row>
    <row r="11980" spans="1:1" x14ac:dyDescent="0.35">
      <c r="A11980" s="12"/>
    </row>
    <row r="11981" spans="1:1" x14ac:dyDescent="0.35">
      <c r="A11981" s="12"/>
    </row>
    <row r="11982" spans="1:1" x14ac:dyDescent="0.35">
      <c r="A11982" s="12"/>
    </row>
    <row r="11983" spans="1:1" x14ac:dyDescent="0.35">
      <c r="A11983" s="12"/>
    </row>
    <row r="11984" spans="1:1" x14ac:dyDescent="0.35">
      <c r="A11984" s="12"/>
    </row>
    <row r="11985" spans="1:1" x14ac:dyDescent="0.35">
      <c r="A11985" s="12"/>
    </row>
    <row r="11986" spans="1:1" x14ac:dyDescent="0.35">
      <c r="A11986" s="12"/>
    </row>
    <row r="11987" spans="1:1" x14ac:dyDescent="0.35">
      <c r="A11987" s="12"/>
    </row>
    <row r="11988" spans="1:1" x14ac:dyDescent="0.35">
      <c r="A11988" s="12"/>
    </row>
    <row r="11989" spans="1:1" x14ac:dyDescent="0.35">
      <c r="A11989" s="12"/>
    </row>
    <row r="11990" spans="1:1" x14ac:dyDescent="0.35">
      <c r="A11990" s="12"/>
    </row>
    <row r="11991" spans="1:1" x14ac:dyDescent="0.35">
      <c r="A11991" s="12"/>
    </row>
    <row r="11992" spans="1:1" x14ac:dyDescent="0.35">
      <c r="A11992" s="12"/>
    </row>
    <row r="11993" spans="1:1" x14ac:dyDescent="0.35">
      <c r="A11993" s="12"/>
    </row>
    <row r="11994" spans="1:1" x14ac:dyDescent="0.35">
      <c r="A11994" s="12"/>
    </row>
    <row r="11995" spans="1:1" x14ac:dyDescent="0.35">
      <c r="A11995" s="12"/>
    </row>
    <row r="11996" spans="1:1" x14ac:dyDescent="0.35">
      <c r="A11996" s="12"/>
    </row>
    <row r="11997" spans="1:1" x14ac:dyDescent="0.35">
      <c r="A11997" s="12"/>
    </row>
    <row r="11998" spans="1:1" x14ac:dyDescent="0.35">
      <c r="A11998" s="12"/>
    </row>
    <row r="11999" spans="1:1" x14ac:dyDescent="0.35">
      <c r="A11999" s="12"/>
    </row>
    <row r="12000" spans="1:1" x14ac:dyDescent="0.35">
      <c r="A12000" s="12"/>
    </row>
    <row r="12001" spans="1:1" x14ac:dyDescent="0.35">
      <c r="A12001" s="12"/>
    </row>
    <row r="12002" spans="1:1" x14ac:dyDescent="0.35">
      <c r="A12002" s="12"/>
    </row>
    <row r="12003" spans="1:1" x14ac:dyDescent="0.35">
      <c r="A12003" s="12"/>
    </row>
    <row r="12004" spans="1:1" x14ac:dyDescent="0.35">
      <c r="A12004" s="12"/>
    </row>
    <row r="12005" spans="1:1" x14ac:dyDescent="0.35">
      <c r="A12005" s="12"/>
    </row>
    <row r="12006" spans="1:1" x14ac:dyDescent="0.35">
      <c r="A12006" s="12"/>
    </row>
    <row r="12007" spans="1:1" x14ac:dyDescent="0.35">
      <c r="A12007" s="12"/>
    </row>
    <row r="12008" spans="1:1" x14ac:dyDescent="0.35">
      <c r="A12008" s="12"/>
    </row>
    <row r="12009" spans="1:1" x14ac:dyDescent="0.35">
      <c r="A12009" s="12"/>
    </row>
    <row r="12010" spans="1:1" x14ac:dyDescent="0.35">
      <c r="A12010" s="12"/>
    </row>
    <row r="12011" spans="1:1" x14ac:dyDescent="0.35">
      <c r="A12011" s="12"/>
    </row>
    <row r="12012" spans="1:1" x14ac:dyDescent="0.35">
      <c r="A12012" s="12"/>
    </row>
    <row r="12013" spans="1:1" x14ac:dyDescent="0.35">
      <c r="A12013" s="12"/>
    </row>
    <row r="12014" spans="1:1" x14ac:dyDescent="0.35">
      <c r="A12014" s="12"/>
    </row>
    <row r="12015" spans="1:1" x14ac:dyDescent="0.35">
      <c r="A12015" s="12"/>
    </row>
    <row r="12016" spans="1:1" x14ac:dyDescent="0.35">
      <c r="A12016" s="12"/>
    </row>
    <row r="12017" spans="1:1" x14ac:dyDescent="0.35">
      <c r="A12017" s="12"/>
    </row>
    <row r="12018" spans="1:1" x14ac:dyDescent="0.35">
      <c r="A12018" s="12"/>
    </row>
    <row r="12019" spans="1:1" x14ac:dyDescent="0.35">
      <c r="A12019" s="12"/>
    </row>
    <row r="12020" spans="1:1" x14ac:dyDescent="0.35">
      <c r="A12020" s="12"/>
    </row>
    <row r="12021" spans="1:1" x14ac:dyDescent="0.35">
      <c r="A12021" s="12"/>
    </row>
    <row r="12022" spans="1:1" x14ac:dyDescent="0.35">
      <c r="A12022" s="12"/>
    </row>
    <row r="12023" spans="1:1" x14ac:dyDescent="0.35">
      <c r="A12023" s="12"/>
    </row>
    <row r="12024" spans="1:1" x14ac:dyDescent="0.35">
      <c r="A12024" s="12"/>
    </row>
    <row r="12025" spans="1:1" x14ac:dyDescent="0.35">
      <c r="A12025" s="12"/>
    </row>
    <row r="12026" spans="1:1" x14ac:dyDescent="0.35">
      <c r="A12026" s="12"/>
    </row>
    <row r="12027" spans="1:1" x14ac:dyDescent="0.35">
      <c r="A12027" s="12"/>
    </row>
    <row r="12028" spans="1:1" x14ac:dyDescent="0.35">
      <c r="A12028" s="12"/>
    </row>
    <row r="12029" spans="1:1" x14ac:dyDescent="0.35">
      <c r="A12029" s="12"/>
    </row>
    <row r="12030" spans="1:1" x14ac:dyDescent="0.35">
      <c r="A12030" s="12"/>
    </row>
    <row r="12031" spans="1:1" x14ac:dyDescent="0.35">
      <c r="A12031" s="12"/>
    </row>
    <row r="12032" spans="1:1" x14ac:dyDescent="0.35">
      <c r="A12032" s="12"/>
    </row>
    <row r="12033" spans="1:1" x14ac:dyDescent="0.35">
      <c r="A12033" s="12"/>
    </row>
    <row r="12034" spans="1:1" x14ac:dyDescent="0.35">
      <c r="A12034" s="12"/>
    </row>
    <row r="12035" spans="1:1" x14ac:dyDescent="0.35">
      <c r="A12035" s="12"/>
    </row>
    <row r="12036" spans="1:1" x14ac:dyDescent="0.35">
      <c r="A12036" s="12"/>
    </row>
    <row r="12037" spans="1:1" x14ac:dyDescent="0.35">
      <c r="A12037" s="12"/>
    </row>
    <row r="12038" spans="1:1" x14ac:dyDescent="0.35">
      <c r="A12038" s="12"/>
    </row>
    <row r="12039" spans="1:1" x14ac:dyDescent="0.35">
      <c r="A12039" s="12"/>
    </row>
    <row r="12040" spans="1:1" x14ac:dyDescent="0.35">
      <c r="A12040" s="12"/>
    </row>
    <row r="12041" spans="1:1" x14ac:dyDescent="0.35">
      <c r="A12041" s="12"/>
    </row>
    <row r="12042" spans="1:1" x14ac:dyDescent="0.35">
      <c r="A12042" s="12"/>
    </row>
    <row r="12043" spans="1:1" x14ac:dyDescent="0.35">
      <c r="A12043" s="12"/>
    </row>
    <row r="12044" spans="1:1" x14ac:dyDescent="0.35">
      <c r="A12044" s="12"/>
    </row>
    <row r="12045" spans="1:1" x14ac:dyDescent="0.35">
      <c r="A12045" s="12"/>
    </row>
    <row r="12046" spans="1:1" x14ac:dyDescent="0.35">
      <c r="A12046" s="12"/>
    </row>
    <row r="12047" spans="1:1" x14ac:dyDescent="0.35">
      <c r="A12047" s="12"/>
    </row>
    <row r="12048" spans="1:1" x14ac:dyDescent="0.35">
      <c r="A12048" s="12"/>
    </row>
    <row r="12049" spans="1:1" x14ac:dyDescent="0.35">
      <c r="A12049" s="12"/>
    </row>
    <row r="12050" spans="1:1" x14ac:dyDescent="0.35">
      <c r="A12050" s="12"/>
    </row>
    <row r="12051" spans="1:1" x14ac:dyDescent="0.35">
      <c r="A12051" s="12"/>
    </row>
    <row r="12052" spans="1:1" x14ac:dyDescent="0.35">
      <c r="A12052" s="12"/>
    </row>
    <row r="12053" spans="1:1" x14ac:dyDescent="0.35">
      <c r="A12053" s="12"/>
    </row>
    <row r="12054" spans="1:1" x14ac:dyDescent="0.35">
      <c r="A12054" s="12"/>
    </row>
    <row r="12055" spans="1:1" x14ac:dyDescent="0.35">
      <c r="A12055" s="12"/>
    </row>
    <row r="12056" spans="1:1" x14ac:dyDescent="0.35">
      <c r="A12056" s="12"/>
    </row>
    <row r="12057" spans="1:1" x14ac:dyDescent="0.35">
      <c r="A12057" s="12"/>
    </row>
    <row r="12058" spans="1:1" x14ac:dyDescent="0.35">
      <c r="A12058" s="12"/>
    </row>
    <row r="12059" spans="1:1" x14ac:dyDescent="0.35">
      <c r="A12059" s="12"/>
    </row>
    <row r="12060" spans="1:1" x14ac:dyDescent="0.35">
      <c r="A12060" s="12"/>
    </row>
    <row r="12061" spans="1:1" x14ac:dyDescent="0.35">
      <c r="A12061" s="12"/>
    </row>
    <row r="12062" spans="1:1" x14ac:dyDescent="0.35">
      <c r="A12062" s="12"/>
    </row>
    <row r="12063" spans="1:1" x14ac:dyDescent="0.35">
      <c r="A12063" s="12"/>
    </row>
    <row r="12064" spans="1:1" x14ac:dyDescent="0.35">
      <c r="A12064" s="12"/>
    </row>
    <row r="12065" spans="1:1" x14ac:dyDescent="0.35">
      <c r="A12065" s="12"/>
    </row>
    <row r="12066" spans="1:1" x14ac:dyDescent="0.35">
      <c r="A12066" s="12"/>
    </row>
    <row r="12067" spans="1:1" x14ac:dyDescent="0.35">
      <c r="A12067" s="12"/>
    </row>
    <row r="12068" spans="1:1" x14ac:dyDescent="0.35">
      <c r="A12068" s="12"/>
    </row>
    <row r="12069" spans="1:1" x14ac:dyDescent="0.35">
      <c r="A12069" s="12"/>
    </row>
    <row r="12070" spans="1:1" x14ac:dyDescent="0.35">
      <c r="A12070" s="12"/>
    </row>
    <row r="12071" spans="1:1" x14ac:dyDescent="0.35">
      <c r="A12071" s="12"/>
    </row>
    <row r="12072" spans="1:1" x14ac:dyDescent="0.35">
      <c r="A12072" s="12"/>
    </row>
    <row r="12073" spans="1:1" x14ac:dyDescent="0.35">
      <c r="A12073" s="12"/>
    </row>
    <row r="12074" spans="1:1" x14ac:dyDescent="0.35">
      <c r="A12074" s="12"/>
    </row>
    <row r="12075" spans="1:1" x14ac:dyDescent="0.35">
      <c r="A12075" s="12"/>
    </row>
    <row r="12076" spans="1:1" x14ac:dyDescent="0.35">
      <c r="A12076" s="12"/>
    </row>
    <row r="12077" spans="1:1" x14ac:dyDescent="0.35">
      <c r="A12077" s="12"/>
    </row>
    <row r="12078" spans="1:1" x14ac:dyDescent="0.35">
      <c r="A12078" s="12"/>
    </row>
    <row r="12079" spans="1:1" x14ac:dyDescent="0.35">
      <c r="A12079" s="12"/>
    </row>
    <row r="12080" spans="1:1" x14ac:dyDescent="0.35">
      <c r="A12080" s="12"/>
    </row>
    <row r="12081" spans="1:1" x14ac:dyDescent="0.35">
      <c r="A12081" s="12"/>
    </row>
    <row r="12082" spans="1:1" x14ac:dyDescent="0.35">
      <c r="A12082" s="12"/>
    </row>
    <row r="12083" spans="1:1" x14ac:dyDescent="0.35">
      <c r="A12083" s="12"/>
    </row>
    <row r="12084" spans="1:1" x14ac:dyDescent="0.35">
      <c r="A12084" s="12"/>
    </row>
    <row r="12085" spans="1:1" x14ac:dyDescent="0.35">
      <c r="A12085" s="12"/>
    </row>
    <row r="12086" spans="1:1" x14ac:dyDescent="0.35">
      <c r="A12086" s="12"/>
    </row>
    <row r="12087" spans="1:1" x14ac:dyDescent="0.35">
      <c r="A12087" s="12"/>
    </row>
    <row r="12088" spans="1:1" x14ac:dyDescent="0.35">
      <c r="A12088" s="12"/>
    </row>
    <row r="12089" spans="1:1" x14ac:dyDescent="0.35">
      <c r="A12089" s="12"/>
    </row>
    <row r="12090" spans="1:1" x14ac:dyDescent="0.35">
      <c r="A12090" s="12"/>
    </row>
    <row r="12091" spans="1:1" x14ac:dyDescent="0.35">
      <c r="A12091" s="12"/>
    </row>
    <row r="12092" spans="1:1" x14ac:dyDescent="0.35">
      <c r="A12092" s="12"/>
    </row>
    <row r="12093" spans="1:1" x14ac:dyDescent="0.35">
      <c r="A12093" s="12"/>
    </row>
    <row r="12094" spans="1:1" x14ac:dyDescent="0.35">
      <c r="A12094" s="12"/>
    </row>
    <row r="12095" spans="1:1" x14ac:dyDescent="0.35">
      <c r="A12095" s="12"/>
    </row>
    <row r="12096" spans="1:1" x14ac:dyDescent="0.35">
      <c r="A12096" s="12"/>
    </row>
    <row r="12097" spans="1:1" x14ac:dyDescent="0.35">
      <c r="A12097" s="12"/>
    </row>
    <row r="12098" spans="1:1" x14ac:dyDescent="0.35">
      <c r="A12098" s="12"/>
    </row>
    <row r="12099" spans="1:1" x14ac:dyDescent="0.35">
      <c r="A12099" s="12"/>
    </row>
    <row r="12100" spans="1:1" x14ac:dyDescent="0.35">
      <c r="A12100" s="12"/>
    </row>
    <row r="12101" spans="1:1" x14ac:dyDescent="0.35">
      <c r="A12101" s="12"/>
    </row>
    <row r="12102" spans="1:1" x14ac:dyDescent="0.35">
      <c r="A12102" s="12"/>
    </row>
    <row r="12103" spans="1:1" x14ac:dyDescent="0.35">
      <c r="A12103" s="12"/>
    </row>
    <row r="12104" spans="1:1" x14ac:dyDescent="0.35">
      <c r="A12104" s="12"/>
    </row>
    <row r="12105" spans="1:1" x14ac:dyDescent="0.35">
      <c r="A12105" s="12"/>
    </row>
    <row r="12106" spans="1:1" x14ac:dyDescent="0.35">
      <c r="A12106" s="12"/>
    </row>
    <row r="12107" spans="1:1" x14ac:dyDescent="0.35">
      <c r="A12107" s="12"/>
    </row>
    <row r="12108" spans="1:1" x14ac:dyDescent="0.35">
      <c r="A12108" s="12"/>
    </row>
    <row r="12109" spans="1:1" x14ac:dyDescent="0.35">
      <c r="A12109" s="12"/>
    </row>
    <row r="12110" spans="1:1" x14ac:dyDescent="0.35">
      <c r="A12110" s="12"/>
    </row>
    <row r="12111" spans="1:1" x14ac:dyDescent="0.35">
      <c r="A12111" s="12"/>
    </row>
    <row r="12112" spans="1:1" x14ac:dyDescent="0.35">
      <c r="A12112" s="12"/>
    </row>
    <row r="12113" spans="1:1" x14ac:dyDescent="0.35">
      <c r="A12113" s="12"/>
    </row>
    <row r="12114" spans="1:1" x14ac:dyDescent="0.35">
      <c r="A12114" s="12"/>
    </row>
    <row r="12115" spans="1:1" x14ac:dyDescent="0.35">
      <c r="A12115" s="12"/>
    </row>
    <row r="12116" spans="1:1" x14ac:dyDescent="0.35">
      <c r="A12116" s="12"/>
    </row>
    <row r="12117" spans="1:1" x14ac:dyDescent="0.35">
      <c r="A12117" s="12"/>
    </row>
    <row r="12118" spans="1:1" x14ac:dyDescent="0.35">
      <c r="A12118" s="12"/>
    </row>
    <row r="12119" spans="1:1" x14ac:dyDescent="0.35">
      <c r="A12119" s="12"/>
    </row>
    <row r="12120" spans="1:1" x14ac:dyDescent="0.35">
      <c r="A12120" s="12"/>
    </row>
    <row r="12121" spans="1:1" x14ac:dyDescent="0.35">
      <c r="A12121" s="12"/>
    </row>
    <row r="12122" spans="1:1" x14ac:dyDescent="0.35">
      <c r="A12122" s="12"/>
    </row>
    <row r="12123" spans="1:1" x14ac:dyDescent="0.35">
      <c r="A12123" s="12"/>
    </row>
    <row r="12124" spans="1:1" x14ac:dyDescent="0.35">
      <c r="A12124" s="12"/>
    </row>
    <row r="12125" spans="1:1" x14ac:dyDescent="0.35">
      <c r="A12125" s="12"/>
    </row>
    <row r="12126" spans="1:1" x14ac:dyDescent="0.35">
      <c r="A12126" s="12"/>
    </row>
    <row r="12127" spans="1:1" x14ac:dyDescent="0.35">
      <c r="A12127" s="12"/>
    </row>
    <row r="12128" spans="1:1" x14ac:dyDescent="0.35">
      <c r="A12128" s="12"/>
    </row>
    <row r="12129" spans="1:1" x14ac:dyDescent="0.35">
      <c r="A12129" s="12"/>
    </row>
    <row r="12130" spans="1:1" x14ac:dyDescent="0.35">
      <c r="A12130" s="12"/>
    </row>
    <row r="12131" spans="1:1" x14ac:dyDescent="0.35">
      <c r="A12131" s="12"/>
    </row>
    <row r="12132" spans="1:1" x14ac:dyDescent="0.35">
      <c r="A12132" s="12"/>
    </row>
    <row r="12133" spans="1:1" x14ac:dyDescent="0.35">
      <c r="A12133" s="12"/>
    </row>
    <row r="12134" spans="1:1" x14ac:dyDescent="0.35">
      <c r="A12134" s="12"/>
    </row>
    <row r="12135" spans="1:1" x14ac:dyDescent="0.35">
      <c r="A12135" s="12"/>
    </row>
    <row r="12136" spans="1:1" x14ac:dyDescent="0.35">
      <c r="A12136" s="12"/>
    </row>
    <row r="12137" spans="1:1" x14ac:dyDescent="0.35">
      <c r="A12137" s="12"/>
    </row>
    <row r="12138" spans="1:1" x14ac:dyDescent="0.35">
      <c r="A12138" s="12"/>
    </row>
    <row r="12139" spans="1:1" x14ac:dyDescent="0.35">
      <c r="A12139" s="12"/>
    </row>
    <row r="12140" spans="1:1" x14ac:dyDescent="0.35">
      <c r="A12140" s="12"/>
    </row>
    <row r="12141" spans="1:1" x14ac:dyDescent="0.35">
      <c r="A12141" s="12"/>
    </row>
    <row r="12142" spans="1:1" x14ac:dyDescent="0.35">
      <c r="A12142" s="12"/>
    </row>
    <row r="12143" spans="1:1" x14ac:dyDescent="0.35">
      <c r="A12143" s="12"/>
    </row>
    <row r="12144" spans="1:1" x14ac:dyDescent="0.35">
      <c r="A12144" s="12"/>
    </row>
    <row r="12145" spans="1:1" x14ac:dyDescent="0.35">
      <c r="A12145" s="12"/>
    </row>
    <row r="12146" spans="1:1" x14ac:dyDescent="0.35">
      <c r="A12146" s="12"/>
    </row>
    <row r="12147" spans="1:1" x14ac:dyDescent="0.35">
      <c r="A12147" s="12"/>
    </row>
    <row r="12148" spans="1:1" x14ac:dyDescent="0.35">
      <c r="A12148" s="12"/>
    </row>
    <row r="12149" spans="1:1" x14ac:dyDescent="0.35">
      <c r="A12149" s="12"/>
    </row>
    <row r="12150" spans="1:1" x14ac:dyDescent="0.35">
      <c r="A12150" s="12"/>
    </row>
    <row r="12151" spans="1:1" x14ac:dyDescent="0.35">
      <c r="A12151" s="12"/>
    </row>
    <row r="12152" spans="1:1" x14ac:dyDescent="0.35">
      <c r="A12152" s="12"/>
    </row>
    <row r="12153" spans="1:1" x14ac:dyDescent="0.35">
      <c r="A12153" s="12"/>
    </row>
    <row r="12154" spans="1:1" x14ac:dyDescent="0.35">
      <c r="A12154" s="12"/>
    </row>
    <row r="12155" spans="1:1" x14ac:dyDescent="0.35">
      <c r="A12155" s="12"/>
    </row>
    <row r="12156" spans="1:1" x14ac:dyDescent="0.35">
      <c r="A12156" s="12"/>
    </row>
    <row r="12157" spans="1:1" x14ac:dyDescent="0.35">
      <c r="A12157" s="12"/>
    </row>
    <row r="12158" spans="1:1" x14ac:dyDescent="0.35">
      <c r="A12158" s="12"/>
    </row>
    <row r="12159" spans="1:1" x14ac:dyDescent="0.35">
      <c r="A12159" s="12"/>
    </row>
    <row r="12160" spans="1:1" x14ac:dyDescent="0.35">
      <c r="A12160" s="12"/>
    </row>
    <row r="12161" spans="1:1" x14ac:dyDescent="0.35">
      <c r="A12161" s="12"/>
    </row>
    <row r="12162" spans="1:1" x14ac:dyDescent="0.35">
      <c r="A12162" s="12"/>
    </row>
    <row r="12163" spans="1:1" x14ac:dyDescent="0.35">
      <c r="A12163" s="12"/>
    </row>
    <row r="12164" spans="1:1" x14ac:dyDescent="0.35">
      <c r="A12164" s="12"/>
    </row>
    <row r="12165" spans="1:1" x14ac:dyDescent="0.35">
      <c r="A12165" s="12"/>
    </row>
    <row r="12166" spans="1:1" x14ac:dyDescent="0.35">
      <c r="A12166" s="12"/>
    </row>
    <row r="12167" spans="1:1" x14ac:dyDescent="0.35">
      <c r="A12167" s="12"/>
    </row>
    <row r="12168" spans="1:1" x14ac:dyDescent="0.35">
      <c r="A12168" s="12"/>
    </row>
    <row r="12169" spans="1:1" x14ac:dyDescent="0.35">
      <c r="A12169" s="12"/>
    </row>
    <row r="12170" spans="1:1" x14ac:dyDescent="0.35">
      <c r="A12170" s="12"/>
    </row>
    <row r="12171" spans="1:1" x14ac:dyDescent="0.35">
      <c r="A12171" s="12"/>
    </row>
    <row r="12172" spans="1:1" x14ac:dyDescent="0.35">
      <c r="A12172" s="12"/>
    </row>
    <row r="12173" spans="1:1" x14ac:dyDescent="0.35">
      <c r="A12173" s="12"/>
    </row>
    <row r="12174" spans="1:1" x14ac:dyDescent="0.35">
      <c r="A12174" s="12"/>
    </row>
    <row r="12175" spans="1:1" x14ac:dyDescent="0.35">
      <c r="A12175" s="12"/>
    </row>
    <row r="12176" spans="1:1" x14ac:dyDescent="0.35">
      <c r="A12176" s="12"/>
    </row>
    <row r="12177" spans="1:1" x14ac:dyDescent="0.35">
      <c r="A12177" s="12"/>
    </row>
    <row r="12178" spans="1:1" x14ac:dyDescent="0.35">
      <c r="A12178" s="12"/>
    </row>
    <row r="12179" spans="1:1" x14ac:dyDescent="0.35">
      <c r="A12179" s="12"/>
    </row>
    <row r="12180" spans="1:1" x14ac:dyDescent="0.35">
      <c r="A12180" s="12"/>
    </row>
    <row r="12181" spans="1:1" x14ac:dyDescent="0.35">
      <c r="A12181" s="12"/>
    </row>
    <row r="12182" spans="1:1" x14ac:dyDescent="0.35">
      <c r="A12182" s="12"/>
    </row>
    <row r="12183" spans="1:1" x14ac:dyDescent="0.35">
      <c r="A12183" s="12"/>
    </row>
    <row r="12184" spans="1:1" x14ac:dyDescent="0.35">
      <c r="A12184" s="12"/>
    </row>
    <row r="12185" spans="1:1" x14ac:dyDescent="0.35">
      <c r="A12185" s="12"/>
    </row>
    <row r="12186" spans="1:1" x14ac:dyDescent="0.35">
      <c r="A12186" s="12"/>
    </row>
    <row r="12187" spans="1:1" x14ac:dyDescent="0.35">
      <c r="A12187" s="12"/>
    </row>
    <row r="12188" spans="1:1" x14ac:dyDescent="0.35">
      <c r="A12188" s="12"/>
    </row>
    <row r="12189" spans="1:1" x14ac:dyDescent="0.35">
      <c r="A12189" s="12"/>
    </row>
    <row r="12190" spans="1:1" x14ac:dyDescent="0.35">
      <c r="A12190" s="12"/>
    </row>
    <row r="12191" spans="1:1" x14ac:dyDescent="0.35">
      <c r="A12191" s="12"/>
    </row>
    <row r="12192" spans="1:1" x14ac:dyDescent="0.35">
      <c r="A12192" s="12"/>
    </row>
    <row r="12193" spans="1:1" x14ac:dyDescent="0.35">
      <c r="A12193" s="12"/>
    </row>
    <row r="12194" spans="1:1" x14ac:dyDescent="0.35">
      <c r="A12194" s="12"/>
    </row>
    <row r="12195" spans="1:1" x14ac:dyDescent="0.35">
      <c r="A12195" s="12"/>
    </row>
    <row r="12196" spans="1:1" x14ac:dyDescent="0.35">
      <c r="A12196" s="12"/>
    </row>
    <row r="12197" spans="1:1" x14ac:dyDescent="0.35">
      <c r="A12197" s="12"/>
    </row>
    <row r="12198" spans="1:1" x14ac:dyDescent="0.35">
      <c r="A12198" s="12"/>
    </row>
    <row r="12199" spans="1:1" x14ac:dyDescent="0.35">
      <c r="A12199" s="12"/>
    </row>
    <row r="12200" spans="1:1" x14ac:dyDescent="0.35">
      <c r="A12200" s="12"/>
    </row>
    <row r="12201" spans="1:1" x14ac:dyDescent="0.35">
      <c r="A12201" s="12"/>
    </row>
    <row r="12202" spans="1:1" x14ac:dyDescent="0.35">
      <c r="A12202" s="12"/>
    </row>
    <row r="12203" spans="1:1" x14ac:dyDescent="0.35">
      <c r="A12203" s="12"/>
    </row>
    <row r="12204" spans="1:1" x14ac:dyDescent="0.35">
      <c r="A12204" s="12"/>
    </row>
    <row r="12205" spans="1:1" x14ac:dyDescent="0.35">
      <c r="A12205" s="12"/>
    </row>
    <row r="12206" spans="1:1" x14ac:dyDescent="0.35">
      <c r="A12206" s="12"/>
    </row>
    <row r="12207" spans="1:1" x14ac:dyDescent="0.35">
      <c r="A12207" s="12"/>
    </row>
    <row r="12208" spans="1:1" x14ac:dyDescent="0.35">
      <c r="A12208" s="12"/>
    </row>
    <row r="12209" spans="1:1" x14ac:dyDescent="0.35">
      <c r="A12209" s="12"/>
    </row>
    <row r="12210" spans="1:1" x14ac:dyDescent="0.35">
      <c r="A12210" s="12"/>
    </row>
    <row r="12211" spans="1:1" x14ac:dyDescent="0.35">
      <c r="A12211" s="12"/>
    </row>
    <row r="12212" spans="1:1" x14ac:dyDescent="0.35">
      <c r="A12212" s="12"/>
    </row>
    <row r="12213" spans="1:1" x14ac:dyDescent="0.35">
      <c r="A12213" s="12"/>
    </row>
    <row r="12214" spans="1:1" x14ac:dyDescent="0.35">
      <c r="A12214" s="12"/>
    </row>
    <row r="12215" spans="1:1" x14ac:dyDescent="0.35">
      <c r="A12215" s="12"/>
    </row>
    <row r="12216" spans="1:1" x14ac:dyDescent="0.35">
      <c r="A12216" s="12"/>
    </row>
    <row r="12217" spans="1:1" x14ac:dyDescent="0.35">
      <c r="A12217" s="12"/>
    </row>
    <row r="12218" spans="1:1" x14ac:dyDescent="0.35">
      <c r="A12218" s="12"/>
    </row>
    <row r="12219" spans="1:1" x14ac:dyDescent="0.35">
      <c r="A12219" s="12"/>
    </row>
    <row r="12220" spans="1:1" x14ac:dyDescent="0.35">
      <c r="A12220" s="12"/>
    </row>
    <row r="12221" spans="1:1" x14ac:dyDescent="0.35">
      <c r="A12221" s="12"/>
    </row>
    <row r="12222" spans="1:1" x14ac:dyDescent="0.35">
      <c r="A12222" s="12"/>
    </row>
    <row r="12223" spans="1:1" x14ac:dyDescent="0.35">
      <c r="A12223" s="12"/>
    </row>
    <row r="12224" spans="1:1" x14ac:dyDescent="0.35">
      <c r="A12224" s="12"/>
    </row>
    <row r="12225" spans="1:1" x14ac:dyDescent="0.35">
      <c r="A12225" s="12"/>
    </row>
    <row r="12226" spans="1:1" x14ac:dyDescent="0.35">
      <c r="A12226" s="12"/>
    </row>
    <row r="12227" spans="1:1" x14ac:dyDescent="0.35">
      <c r="A12227" s="12"/>
    </row>
    <row r="12228" spans="1:1" x14ac:dyDescent="0.35">
      <c r="A12228" s="12"/>
    </row>
    <row r="12229" spans="1:1" x14ac:dyDescent="0.35">
      <c r="A12229" s="12"/>
    </row>
    <row r="12230" spans="1:1" x14ac:dyDescent="0.35">
      <c r="A12230" s="12"/>
    </row>
    <row r="12231" spans="1:1" x14ac:dyDescent="0.35">
      <c r="A12231" s="12"/>
    </row>
    <row r="12232" spans="1:1" x14ac:dyDescent="0.35">
      <c r="A12232" s="12"/>
    </row>
    <row r="12233" spans="1:1" x14ac:dyDescent="0.35">
      <c r="A12233" s="12"/>
    </row>
    <row r="12234" spans="1:1" x14ac:dyDescent="0.35">
      <c r="A12234" s="12"/>
    </row>
    <row r="12235" spans="1:1" x14ac:dyDescent="0.35">
      <c r="A12235" s="12"/>
    </row>
    <row r="12236" spans="1:1" x14ac:dyDescent="0.35">
      <c r="A12236" s="12"/>
    </row>
    <row r="12237" spans="1:1" x14ac:dyDescent="0.35">
      <c r="A12237" s="12"/>
    </row>
    <row r="12238" spans="1:1" x14ac:dyDescent="0.35">
      <c r="A12238" s="12"/>
    </row>
    <row r="12239" spans="1:1" x14ac:dyDescent="0.35">
      <c r="A12239" s="12"/>
    </row>
    <row r="12240" spans="1:1" x14ac:dyDescent="0.35">
      <c r="A12240" s="12"/>
    </row>
    <row r="12241" spans="1:1" x14ac:dyDescent="0.35">
      <c r="A12241" s="12"/>
    </row>
    <row r="12242" spans="1:1" x14ac:dyDescent="0.35">
      <c r="A12242" s="12"/>
    </row>
    <row r="12243" spans="1:1" x14ac:dyDescent="0.35">
      <c r="A12243" s="12"/>
    </row>
    <row r="12244" spans="1:1" x14ac:dyDescent="0.35">
      <c r="A12244" s="12"/>
    </row>
    <row r="12245" spans="1:1" x14ac:dyDescent="0.35">
      <c r="A12245" s="12"/>
    </row>
    <row r="12246" spans="1:1" x14ac:dyDescent="0.35">
      <c r="A12246" s="12"/>
    </row>
    <row r="12247" spans="1:1" x14ac:dyDescent="0.35">
      <c r="A12247" s="12"/>
    </row>
    <row r="12248" spans="1:1" x14ac:dyDescent="0.35">
      <c r="A12248" s="12"/>
    </row>
    <row r="12249" spans="1:1" x14ac:dyDescent="0.35">
      <c r="A12249" s="12"/>
    </row>
    <row r="12250" spans="1:1" x14ac:dyDescent="0.35">
      <c r="A12250" s="12"/>
    </row>
    <row r="12251" spans="1:1" x14ac:dyDescent="0.35">
      <c r="A12251" s="12"/>
    </row>
    <row r="12252" spans="1:1" x14ac:dyDescent="0.35">
      <c r="A12252" s="12"/>
    </row>
    <row r="12253" spans="1:1" x14ac:dyDescent="0.35">
      <c r="A12253" s="12"/>
    </row>
    <row r="12254" spans="1:1" x14ac:dyDescent="0.35">
      <c r="A12254" s="12"/>
    </row>
    <row r="12255" spans="1:1" x14ac:dyDescent="0.35">
      <c r="A12255" s="12"/>
    </row>
    <row r="12256" spans="1:1" x14ac:dyDescent="0.35">
      <c r="A12256" s="12"/>
    </row>
    <row r="12257" spans="1:1" x14ac:dyDescent="0.35">
      <c r="A12257" s="12"/>
    </row>
    <row r="12258" spans="1:1" x14ac:dyDescent="0.35">
      <c r="A12258" s="12"/>
    </row>
    <row r="12259" spans="1:1" x14ac:dyDescent="0.35">
      <c r="A12259" s="12"/>
    </row>
    <row r="12260" spans="1:1" x14ac:dyDescent="0.35">
      <c r="A12260" s="12"/>
    </row>
    <row r="12261" spans="1:1" x14ac:dyDescent="0.35">
      <c r="A12261" s="12"/>
    </row>
    <row r="12262" spans="1:1" x14ac:dyDescent="0.35">
      <c r="A12262" s="12"/>
    </row>
    <row r="12263" spans="1:1" x14ac:dyDescent="0.35">
      <c r="A12263" s="12"/>
    </row>
    <row r="12264" spans="1:1" x14ac:dyDescent="0.35">
      <c r="A12264" s="12"/>
    </row>
    <row r="12265" spans="1:1" x14ac:dyDescent="0.35">
      <c r="A12265" s="12"/>
    </row>
    <row r="12266" spans="1:1" x14ac:dyDescent="0.35">
      <c r="A12266" s="12"/>
    </row>
    <row r="12267" spans="1:1" x14ac:dyDescent="0.35">
      <c r="A12267" s="12"/>
    </row>
    <row r="12268" spans="1:1" x14ac:dyDescent="0.35">
      <c r="A12268" s="12"/>
    </row>
    <row r="12269" spans="1:1" x14ac:dyDescent="0.35">
      <c r="A12269" s="12"/>
    </row>
    <row r="12270" spans="1:1" x14ac:dyDescent="0.35">
      <c r="A12270" s="12"/>
    </row>
    <row r="12271" spans="1:1" x14ac:dyDescent="0.35">
      <c r="A12271" s="12"/>
    </row>
    <row r="12272" spans="1:1" x14ac:dyDescent="0.35">
      <c r="A12272" s="12"/>
    </row>
    <row r="12273" spans="1:1" x14ac:dyDescent="0.35">
      <c r="A12273" s="12"/>
    </row>
    <row r="12274" spans="1:1" x14ac:dyDescent="0.35">
      <c r="A12274" s="12"/>
    </row>
    <row r="12275" spans="1:1" x14ac:dyDescent="0.35">
      <c r="A12275" s="12"/>
    </row>
    <row r="12276" spans="1:1" x14ac:dyDescent="0.35">
      <c r="A12276" s="12"/>
    </row>
    <row r="12277" spans="1:1" x14ac:dyDescent="0.35">
      <c r="A12277" s="12"/>
    </row>
    <row r="12278" spans="1:1" x14ac:dyDescent="0.35">
      <c r="A12278" s="12"/>
    </row>
    <row r="12279" spans="1:1" x14ac:dyDescent="0.35">
      <c r="A12279" s="12"/>
    </row>
    <row r="12280" spans="1:1" x14ac:dyDescent="0.35">
      <c r="A12280" s="12"/>
    </row>
    <row r="12281" spans="1:1" x14ac:dyDescent="0.35">
      <c r="A12281" s="12"/>
    </row>
    <row r="12282" spans="1:1" x14ac:dyDescent="0.35">
      <c r="A12282" s="12"/>
    </row>
    <row r="12283" spans="1:1" x14ac:dyDescent="0.35">
      <c r="A12283" s="12"/>
    </row>
    <row r="12284" spans="1:1" x14ac:dyDescent="0.35">
      <c r="A12284" s="12"/>
    </row>
    <row r="12285" spans="1:1" x14ac:dyDescent="0.35">
      <c r="A12285" s="12"/>
    </row>
    <row r="12286" spans="1:1" x14ac:dyDescent="0.35">
      <c r="A12286" s="12"/>
    </row>
    <row r="12287" spans="1:1" x14ac:dyDescent="0.35">
      <c r="A12287" s="12"/>
    </row>
    <row r="12288" spans="1:1" x14ac:dyDescent="0.35">
      <c r="A12288" s="12"/>
    </row>
    <row r="12289" spans="1:1" x14ac:dyDescent="0.35">
      <c r="A12289" s="12"/>
    </row>
    <row r="12290" spans="1:1" x14ac:dyDescent="0.35">
      <c r="A12290" s="12"/>
    </row>
    <row r="12291" spans="1:1" x14ac:dyDescent="0.35">
      <c r="A12291" s="12"/>
    </row>
    <row r="12292" spans="1:1" x14ac:dyDescent="0.35">
      <c r="A12292" s="12"/>
    </row>
    <row r="12293" spans="1:1" x14ac:dyDescent="0.35">
      <c r="A12293" s="12"/>
    </row>
    <row r="12294" spans="1:1" x14ac:dyDescent="0.35">
      <c r="A12294" s="12"/>
    </row>
    <row r="12295" spans="1:1" x14ac:dyDescent="0.35">
      <c r="A12295" s="12"/>
    </row>
    <row r="12296" spans="1:1" x14ac:dyDescent="0.35">
      <c r="A12296" s="12"/>
    </row>
    <row r="12297" spans="1:1" x14ac:dyDescent="0.35">
      <c r="A12297" s="12"/>
    </row>
    <row r="12298" spans="1:1" x14ac:dyDescent="0.35">
      <c r="A12298" s="12"/>
    </row>
    <row r="12299" spans="1:1" x14ac:dyDescent="0.35">
      <c r="A12299" s="12"/>
    </row>
    <row r="12300" spans="1:1" x14ac:dyDescent="0.35">
      <c r="A12300" s="12"/>
    </row>
    <row r="12301" spans="1:1" x14ac:dyDescent="0.35">
      <c r="A12301" s="12"/>
    </row>
    <row r="12302" spans="1:1" x14ac:dyDescent="0.35">
      <c r="A12302" s="12"/>
    </row>
    <row r="12303" spans="1:1" x14ac:dyDescent="0.35">
      <c r="A12303" s="12"/>
    </row>
    <row r="12304" spans="1:1" x14ac:dyDescent="0.35">
      <c r="A12304" s="12"/>
    </row>
    <row r="12305" spans="1:1" x14ac:dyDescent="0.35">
      <c r="A12305" s="12"/>
    </row>
    <row r="12306" spans="1:1" x14ac:dyDescent="0.35">
      <c r="A12306" s="12"/>
    </row>
    <row r="12307" spans="1:1" x14ac:dyDescent="0.35">
      <c r="A12307" s="12"/>
    </row>
    <row r="12308" spans="1:1" x14ac:dyDescent="0.35">
      <c r="A12308" s="12"/>
    </row>
    <row r="12309" spans="1:1" x14ac:dyDescent="0.35">
      <c r="A12309" s="12"/>
    </row>
    <row r="12310" spans="1:1" x14ac:dyDescent="0.35">
      <c r="A12310" s="12"/>
    </row>
    <row r="12311" spans="1:1" x14ac:dyDescent="0.35">
      <c r="A12311" s="12"/>
    </row>
    <row r="12312" spans="1:1" x14ac:dyDescent="0.35">
      <c r="A12312" s="12"/>
    </row>
    <row r="12313" spans="1:1" x14ac:dyDescent="0.35">
      <c r="A12313" s="12"/>
    </row>
    <row r="12314" spans="1:1" x14ac:dyDescent="0.35">
      <c r="A12314" s="12"/>
    </row>
    <row r="12315" spans="1:1" x14ac:dyDescent="0.35">
      <c r="A12315" s="12"/>
    </row>
    <row r="12316" spans="1:1" x14ac:dyDescent="0.35">
      <c r="A12316" s="12"/>
    </row>
    <row r="12317" spans="1:1" x14ac:dyDescent="0.35">
      <c r="A12317" s="12"/>
    </row>
    <row r="12318" spans="1:1" x14ac:dyDescent="0.35">
      <c r="A12318" s="12"/>
    </row>
    <row r="12319" spans="1:1" x14ac:dyDescent="0.35">
      <c r="A12319" s="12"/>
    </row>
    <row r="12320" spans="1:1" x14ac:dyDescent="0.35">
      <c r="A12320" s="12"/>
    </row>
    <row r="12321" spans="1:1" x14ac:dyDescent="0.35">
      <c r="A12321" s="12"/>
    </row>
    <row r="12322" spans="1:1" x14ac:dyDescent="0.35">
      <c r="A12322" s="12"/>
    </row>
    <row r="12323" spans="1:1" x14ac:dyDescent="0.35">
      <c r="A12323" s="12"/>
    </row>
    <row r="12324" spans="1:1" x14ac:dyDescent="0.35">
      <c r="A12324" s="12"/>
    </row>
    <row r="12325" spans="1:1" x14ac:dyDescent="0.35">
      <c r="A12325" s="12"/>
    </row>
    <row r="12326" spans="1:1" x14ac:dyDescent="0.35">
      <c r="A12326" s="12"/>
    </row>
    <row r="12327" spans="1:1" x14ac:dyDescent="0.35">
      <c r="A12327" s="12"/>
    </row>
    <row r="12328" spans="1:1" x14ac:dyDescent="0.35">
      <c r="A12328" s="12"/>
    </row>
    <row r="12329" spans="1:1" x14ac:dyDescent="0.35">
      <c r="A12329" s="12"/>
    </row>
    <row r="12330" spans="1:1" x14ac:dyDescent="0.35">
      <c r="A12330" s="12"/>
    </row>
    <row r="12331" spans="1:1" x14ac:dyDescent="0.35">
      <c r="A12331" s="12"/>
    </row>
    <row r="12332" spans="1:1" x14ac:dyDescent="0.35">
      <c r="A12332" s="12"/>
    </row>
    <row r="12333" spans="1:1" x14ac:dyDescent="0.35">
      <c r="A12333" s="12"/>
    </row>
    <row r="12334" spans="1:1" x14ac:dyDescent="0.35">
      <c r="A12334" s="12"/>
    </row>
    <row r="12335" spans="1:1" x14ac:dyDescent="0.35">
      <c r="A12335" s="12"/>
    </row>
    <row r="12336" spans="1:1" x14ac:dyDescent="0.35">
      <c r="A12336" s="12"/>
    </row>
    <row r="12337" spans="1:1" x14ac:dyDescent="0.35">
      <c r="A12337" s="12"/>
    </row>
    <row r="12338" spans="1:1" x14ac:dyDescent="0.35">
      <c r="A12338" s="12"/>
    </row>
    <row r="12339" spans="1:1" x14ac:dyDescent="0.35">
      <c r="A12339" s="12"/>
    </row>
    <row r="12340" spans="1:1" x14ac:dyDescent="0.35">
      <c r="A12340" s="12"/>
    </row>
    <row r="12341" spans="1:1" x14ac:dyDescent="0.35">
      <c r="A12341" s="12"/>
    </row>
    <row r="12342" spans="1:1" x14ac:dyDescent="0.35">
      <c r="A12342" s="12"/>
    </row>
    <row r="12343" spans="1:1" x14ac:dyDescent="0.35">
      <c r="A12343" s="12"/>
    </row>
    <row r="12344" spans="1:1" x14ac:dyDescent="0.35">
      <c r="A12344" s="12"/>
    </row>
    <row r="12345" spans="1:1" x14ac:dyDescent="0.35">
      <c r="A12345" s="12"/>
    </row>
    <row r="12346" spans="1:1" x14ac:dyDescent="0.35">
      <c r="A12346" s="12"/>
    </row>
    <row r="12347" spans="1:1" x14ac:dyDescent="0.35">
      <c r="A12347" s="12"/>
    </row>
    <row r="12348" spans="1:1" x14ac:dyDescent="0.35">
      <c r="A12348" s="12"/>
    </row>
    <row r="12349" spans="1:1" x14ac:dyDescent="0.35">
      <c r="A12349" s="12"/>
    </row>
    <row r="12350" spans="1:1" x14ac:dyDescent="0.35">
      <c r="A12350" s="12"/>
    </row>
    <row r="12351" spans="1:1" x14ac:dyDescent="0.35">
      <c r="A12351" s="12"/>
    </row>
    <row r="12352" spans="1:1" x14ac:dyDescent="0.35">
      <c r="A12352" s="12"/>
    </row>
    <row r="12353" spans="1:1" x14ac:dyDescent="0.35">
      <c r="A12353" s="12"/>
    </row>
    <row r="12354" spans="1:1" x14ac:dyDescent="0.35">
      <c r="A12354" s="12"/>
    </row>
    <row r="12355" spans="1:1" x14ac:dyDescent="0.35">
      <c r="A12355" s="12"/>
    </row>
    <row r="12356" spans="1:1" x14ac:dyDescent="0.35">
      <c r="A12356" s="12"/>
    </row>
    <row r="12357" spans="1:1" x14ac:dyDescent="0.35">
      <c r="A12357" s="12"/>
    </row>
    <row r="12358" spans="1:1" x14ac:dyDescent="0.35">
      <c r="A12358" s="12"/>
    </row>
    <row r="12359" spans="1:1" x14ac:dyDescent="0.35">
      <c r="A12359" s="12"/>
    </row>
    <row r="12360" spans="1:1" x14ac:dyDescent="0.35">
      <c r="A12360" s="12"/>
    </row>
    <row r="12361" spans="1:1" x14ac:dyDescent="0.35">
      <c r="A12361" s="12"/>
    </row>
    <row r="12362" spans="1:1" x14ac:dyDescent="0.35">
      <c r="A12362" s="12"/>
    </row>
    <row r="12363" spans="1:1" x14ac:dyDescent="0.35">
      <c r="A12363" s="12"/>
    </row>
    <row r="12364" spans="1:1" x14ac:dyDescent="0.35">
      <c r="A12364" s="12"/>
    </row>
    <row r="12365" spans="1:1" x14ac:dyDescent="0.35">
      <c r="A12365" s="12"/>
    </row>
    <row r="12366" spans="1:1" x14ac:dyDescent="0.35">
      <c r="A12366" s="12"/>
    </row>
    <row r="12367" spans="1:1" x14ac:dyDescent="0.35">
      <c r="A12367" s="12"/>
    </row>
    <row r="12368" spans="1:1" x14ac:dyDescent="0.35">
      <c r="A12368" s="12"/>
    </row>
    <row r="12369" spans="1:1" x14ac:dyDescent="0.35">
      <c r="A12369" s="12"/>
    </row>
    <row r="12370" spans="1:1" x14ac:dyDescent="0.35">
      <c r="A12370" s="12"/>
    </row>
    <row r="12371" spans="1:1" x14ac:dyDescent="0.35">
      <c r="A12371" s="12"/>
    </row>
    <row r="12372" spans="1:1" x14ac:dyDescent="0.35">
      <c r="A12372" s="12"/>
    </row>
    <row r="12373" spans="1:1" x14ac:dyDescent="0.35">
      <c r="A12373" s="12"/>
    </row>
    <row r="12374" spans="1:1" x14ac:dyDescent="0.35">
      <c r="A12374" s="12"/>
    </row>
    <row r="12375" spans="1:1" x14ac:dyDescent="0.35">
      <c r="A12375" s="12"/>
    </row>
    <row r="12376" spans="1:1" x14ac:dyDescent="0.35">
      <c r="A12376" s="12"/>
    </row>
    <row r="12377" spans="1:1" x14ac:dyDescent="0.35">
      <c r="A12377" s="12"/>
    </row>
    <row r="12378" spans="1:1" x14ac:dyDescent="0.35">
      <c r="A12378" s="12"/>
    </row>
    <row r="12379" spans="1:1" x14ac:dyDescent="0.35">
      <c r="A12379" s="12"/>
    </row>
    <row r="12380" spans="1:1" x14ac:dyDescent="0.35">
      <c r="A12380" s="12"/>
    </row>
    <row r="12381" spans="1:1" x14ac:dyDescent="0.35">
      <c r="A12381" s="12"/>
    </row>
    <row r="12382" spans="1:1" x14ac:dyDescent="0.35">
      <c r="A12382" s="12"/>
    </row>
    <row r="12383" spans="1:1" x14ac:dyDescent="0.35">
      <c r="A12383" s="12"/>
    </row>
    <row r="12384" spans="1:1" x14ac:dyDescent="0.35">
      <c r="A12384" s="12"/>
    </row>
    <row r="12385" spans="1:1" x14ac:dyDescent="0.35">
      <c r="A12385" s="12"/>
    </row>
    <row r="12386" spans="1:1" x14ac:dyDescent="0.35">
      <c r="A12386" s="12"/>
    </row>
    <row r="12387" spans="1:1" x14ac:dyDescent="0.35">
      <c r="A12387" s="12"/>
    </row>
    <row r="12388" spans="1:1" x14ac:dyDescent="0.35">
      <c r="A12388" s="12"/>
    </row>
    <row r="12389" spans="1:1" x14ac:dyDescent="0.35">
      <c r="A12389" s="12"/>
    </row>
    <row r="12390" spans="1:1" x14ac:dyDescent="0.35">
      <c r="A12390" s="12"/>
    </row>
    <row r="12391" spans="1:1" x14ac:dyDescent="0.35">
      <c r="A12391" s="12"/>
    </row>
    <row r="12392" spans="1:1" x14ac:dyDescent="0.35">
      <c r="A12392" s="12"/>
    </row>
    <row r="12393" spans="1:1" x14ac:dyDescent="0.35">
      <c r="A12393" s="12"/>
    </row>
    <row r="12394" spans="1:1" x14ac:dyDescent="0.35">
      <c r="A12394" s="12"/>
    </row>
    <row r="12395" spans="1:1" x14ac:dyDescent="0.35">
      <c r="A12395" s="12"/>
    </row>
    <row r="12396" spans="1:1" x14ac:dyDescent="0.35">
      <c r="A12396" s="12"/>
    </row>
    <row r="12397" spans="1:1" x14ac:dyDescent="0.35">
      <c r="A12397" s="12"/>
    </row>
    <row r="12398" spans="1:1" x14ac:dyDescent="0.35">
      <c r="A12398" s="12"/>
    </row>
    <row r="12399" spans="1:1" x14ac:dyDescent="0.35">
      <c r="A12399" s="12"/>
    </row>
    <row r="12400" spans="1:1" x14ac:dyDescent="0.35">
      <c r="A12400" s="12"/>
    </row>
    <row r="12401" spans="1:1" x14ac:dyDescent="0.35">
      <c r="A12401" s="12"/>
    </row>
    <row r="12402" spans="1:1" x14ac:dyDescent="0.35">
      <c r="A12402" s="12"/>
    </row>
    <row r="12403" spans="1:1" x14ac:dyDescent="0.35">
      <c r="A12403" s="12"/>
    </row>
    <row r="12404" spans="1:1" x14ac:dyDescent="0.35">
      <c r="A12404" s="12"/>
    </row>
    <row r="12405" spans="1:1" x14ac:dyDescent="0.35">
      <c r="A12405" s="12"/>
    </row>
    <row r="12406" spans="1:1" x14ac:dyDescent="0.35">
      <c r="A12406" s="12"/>
    </row>
    <row r="12407" spans="1:1" x14ac:dyDescent="0.35">
      <c r="A12407" s="12"/>
    </row>
    <row r="12408" spans="1:1" x14ac:dyDescent="0.35">
      <c r="A12408" s="12"/>
    </row>
    <row r="12409" spans="1:1" x14ac:dyDescent="0.35">
      <c r="A12409" s="12"/>
    </row>
    <row r="12410" spans="1:1" x14ac:dyDescent="0.35">
      <c r="A12410" s="12"/>
    </row>
    <row r="12411" spans="1:1" x14ac:dyDescent="0.35">
      <c r="A12411" s="12"/>
    </row>
    <row r="12412" spans="1:1" x14ac:dyDescent="0.35">
      <c r="A12412" s="12"/>
    </row>
    <row r="12413" spans="1:1" x14ac:dyDescent="0.35">
      <c r="A12413" s="12"/>
    </row>
    <row r="12414" spans="1:1" x14ac:dyDescent="0.35">
      <c r="A12414" s="12"/>
    </row>
    <row r="12415" spans="1:1" x14ac:dyDescent="0.35">
      <c r="A12415" s="12"/>
    </row>
    <row r="12416" spans="1:1" x14ac:dyDescent="0.35">
      <c r="A12416" s="12"/>
    </row>
    <row r="12417" spans="1:1" x14ac:dyDescent="0.35">
      <c r="A12417" s="12"/>
    </row>
    <row r="12418" spans="1:1" x14ac:dyDescent="0.35">
      <c r="A12418" s="12"/>
    </row>
    <row r="12419" spans="1:1" x14ac:dyDescent="0.35">
      <c r="A12419" s="12"/>
    </row>
    <row r="12420" spans="1:1" x14ac:dyDescent="0.35">
      <c r="A12420" s="12"/>
    </row>
    <row r="12421" spans="1:1" x14ac:dyDescent="0.35">
      <c r="A12421" s="12"/>
    </row>
    <row r="12422" spans="1:1" x14ac:dyDescent="0.35">
      <c r="A12422" s="12"/>
    </row>
    <row r="12423" spans="1:1" x14ac:dyDescent="0.35">
      <c r="A12423" s="12"/>
    </row>
    <row r="12424" spans="1:1" x14ac:dyDescent="0.35">
      <c r="A12424" s="12"/>
    </row>
    <row r="12425" spans="1:1" x14ac:dyDescent="0.35">
      <c r="A12425" s="12"/>
    </row>
    <row r="12426" spans="1:1" x14ac:dyDescent="0.35">
      <c r="A12426" s="12"/>
    </row>
    <row r="12427" spans="1:1" x14ac:dyDescent="0.35">
      <c r="A12427" s="12"/>
    </row>
    <row r="12428" spans="1:1" x14ac:dyDescent="0.35">
      <c r="A12428" s="12"/>
    </row>
    <row r="12429" spans="1:1" x14ac:dyDescent="0.35">
      <c r="A12429" s="12"/>
    </row>
    <row r="12430" spans="1:1" x14ac:dyDescent="0.35">
      <c r="A12430" s="12"/>
    </row>
    <row r="12431" spans="1:1" x14ac:dyDescent="0.35">
      <c r="A12431" s="12"/>
    </row>
    <row r="12432" spans="1:1" x14ac:dyDescent="0.35">
      <c r="A12432" s="12"/>
    </row>
    <row r="12433" spans="1:1" x14ac:dyDescent="0.35">
      <c r="A12433" s="12"/>
    </row>
    <row r="12434" spans="1:1" x14ac:dyDescent="0.35">
      <c r="A12434" s="12"/>
    </row>
    <row r="12435" spans="1:1" x14ac:dyDescent="0.35">
      <c r="A12435" s="12"/>
    </row>
    <row r="12436" spans="1:1" x14ac:dyDescent="0.35">
      <c r="A12436" s="12"/>
    </row>
    <row r="12437" spans="1:1" x14ac:dyDescent="0.35">
      <c r="A12437" s="12"/>
    </row>
    <row r="12438" spans="1:1" x14ac:dyDescent="0.35">
      <c r="A12438" s="12"/>
    </row>
    <row r="12439" spans="1:1" x14ac:dyDescent="0.35">
      <c r="A12439" s="12"/>
    </row>
    <row r="12440" spans="1:1" x14ac:dyDescent="0.35">
      <c r="A12440" s="12"/>
    </row>
    <row r="12441" spans="1:1" x14ac:dyDescent="0.35">
      <c r="A12441" s="12"/>
    </row>
    <row r="12442" spans="1:1" x14ac:dyDescent="0.35">
      <c r="A12442" s="12"/>
    </row>
    <row r="12443" spans="1:1" x14ac:dyDescent="0.35">
      <c r="A12443" s="12"/>
    </row>
    <row r="12444" spans="1:1" x14ac:dyDescent="0.35">
      <c r="A12444" s="12"/>
    </row>
    <row r="12445" spans="1:1" x14ac:dyDescent="0.35">
      <c r="A12445" s="12"/>
    </row>
    <row r="12446" spans="1:1" x14ac:dyDescent="0.35">
      <c r="A12446" s="12"/>
    </row>
    <row r="12447" spans="1:1" x14ac:dyDescent="0.35">
      <c r="A12447" s="12"/>
    </row>
    <row r="12448" spans="1:1" x14ac:dyDescent="0.35">
      <c r="A12448" s="12"/>
    </row>
    <row r="12449" spans="1:1" x14ac:dyDescent="0.35">
      <c r="A12449" s="12"/>
    </row>
    <row r="12450" spans="1:1" x14ac:dyDescent="0.35">
      <c r="A12450" s="12"/>
    </row>
    <row r="12451" spans="1:1" x14ac:dyDescent="0.35">
      <c r="A12451" s="12"/>
    </row>
    <row r="12452" spans="1:1" x14ac:dyDescent="0.35">
      <c r="A12452" s="12"/>
    </row>
    <row r="12453" spans="1:1" x14ac:dyDescent="0.35">
      <c r="A12453" s="12"/>
    </row>
    <row r="12454" spans="1:1" x14ac:dyDescent="0.35">
      <c r="A12454" s="12"/>
    </row>
    <row r="12455" spans="1:1" x14ac:dyDescent="0.35">
      <c r="A12455" s="12"/>
    </row>
    <row r="12456" spans="1:1" x14ac:dyDescent="0.35">
      <c r="A12456" s="12"/>
    </row>
    <row r="12457" spans="1:1" x14ac:dyDescent="0.35">
      <c r="A12457" s="12"/>
    </row>
    <row r="12458" spans="1:1" x14ac:dyDescent="0.35">
      <c r="A12458" s="12"/>
    </row>
    <row r="12459" spans="1:1" x14ac:dyDescent="0.35">
      <c r="A12459" s="12"/>
    </row>
    <row r="12460" spans="1:1" x14ac:dyDescent="0.35">
      <c r="A12460" s="12"/>
    </row>
    <row r="12461" spans="1:1" x14ac:dyDescent="0.35">
      <c r="A12461" s="12"/>
    </row>
    <row r="12462" spans="1:1" x14ac:dyDescent="0.35">
      <c r="A12462" s="12"/>
    </row>
    <row r="12463" spans="1:1" x14ac:dyDescent="0.35">
      <c r="A12463" s="12"/>
    </row>
    <row r="12464" spans="1:1" x14ac:dyDescent="0.35">
      <c r="A12464" s="12"/>
    </row>
    <row r="12465" spans="1:1" x14ac:dyDescent="0.35">
      <c r="A12465" s="12"/>
    </row>
    <row r="12466" spans="1:1" x14ac:dyDescent="0.35">
      <c r="A12466" s="12"/>
    </row>
    <row r="12467" spans="1:1" x14ac:dyDescent="0.35">
      <c r="A12467" s="12"/>
    </row>
    <row r="12468" spans="1:1" x14ac:dyDescent="0.35">
      <c r="A12468" s="12"/>
    </row>
    <row r="12469" spans="1:1" x14ac:dyDescent="0.35">
      <c r="A12469" s="12"/>
    </row>
    <row r="12470" spans="1:1" x14ac:dyDescent="0.35">
      <c r="A12470" s="12"/>
    </row>
    <row r="12471" spans="1:1" x14ac:dyDescent="0.35">
      <c r="A12471" s="12"/>
    </row>
    <row r="12472" spans="1:1" x14ac:dyDescent="0.35">
      <c r="A12472" s="12"/>
    </row>
    <row r="12473" spans="1:1" x14ac:dyDescent="0.35">
      <c r="A12473" s="12"/>
    </row>
    <row r="12474" spans="1:1" x14ac:dyDescent="0.35">
      <c r="A12474" s="12"/>
    </row>
    <row r="12475" spans="1:1" x14ac:dyDescent="0.35">
      <c r="A12475" s="12"/>
    </row>
    <row r="12476" spans="1:1" x14ac:dyDescent="0.35">
      <c r="A12476" s="12"/>
    </row>
    <row r="12477" spans="1:1" x14ac:dyDescent="0.35">
      <c r="A12477" s="12"/>
    </row>
    <row r="12478" spans="1:1" x14ac:dyDescent="0.35">
      <c r="A12478" s="12"/>
    </row>
    <row r="12479" spans="1:1" x14ac:dyDescent="0.35">
      <c r="A12479" s="12"/>
    </row>
    <row r="12480" spans="1:1" x14ac:dyDescent="0.35">
      <c r="A12480" s="12"/>
    </row>
    <row r="12481" spans="1:1" x14ac:dyDescent="0.35">
      <c r="A12481" s="12"/>
    </row>
    <row r="12482" spans="1:1" x14ac:dyDescent="0.35">
      <c r="A12482" s="12"/>
    </row>
    <row r="12483" spans="1:1" x14ac:dyDescent="0.35">
      <c r="A12483" s="12"/>
    </row>
    <row r="12484" spans="1:1" x14ac:dyDescent="0.35">
      <c r="A12484" s="12"/>
    </row>
    <row r="12485" spans="1:1" x14ac:dyDescent="0.35">
      <c r="A12485" s="12"/>
    </row>
    <row r="12486" spans="1:1" x14ac:dyDescent="0.35">
      <c r="A12486" s="12"/>
    </row>
    <row r="12487" spans="1:1" x14ac:dyDescent="0.35">
      <c r="A12487" s="12"/>
    </row>
    <row r="12488" spans="1:1" x14ac:dyDescent="0.35">
      <c r="A12488" s="12"/>
    </row>
    <row r="12489" spans="1:1" x14ac:dyDescent="0.35">
      <c r="A12489" s="12"/>
    </row>
    <row r="12490" spans="1:1" x14ac:dyDescent="0.35">
      <c r="A12490" s="12"/>
    </row>
    <row r="12491" spans="1:1" x14ac:dyDescent="0.35">
      <c r="A12491" s="12"/>
    </row>
    <row r="12492" spans="1:1" x14ac:dyDescent="0.35">
      <c r="A12492" s="12"/>
    </row>
    <row r="12493" spans="1:1" x14ac:dyDescent="0.35">
      <c r="A12493" s="12"/>
    </row>
    <row r="12494" spans="1:1" x14ac:dyDescent="0.35">
      <c r="A12494" s="12"/>
    </row>
    <row r="12495" spans="1:1" x14ac:dyDescent="0.35">
      <c r="A12495" s="12"/>
    </row>
    <row r="12496" spans="1:1" x14ac:dyDescent="0.35">
      <c r="A12496" s="12"/>
    </row>
    <row r="12497" spans="1:1" x14ac:dyDescent="0.35">
      <c r="A12497" s="12"/>
    </row>
    <row r="12498" spans="1:1" x14ac:dyDescent="0.35">
      <c r="A12498" s="12"/>
    </row>
    <row r="12499" spans="1:1" x14ac:dyDescent="0.35">
      <c r="A12499" s="12"/>
    </row>
    <row r="12500" spans="1:1" x14ac:dyDescent="0.35">
      <c r="A12500" s="12"/>
    </row>
    <row r="12501" spans="1:1" x14ac:dyDescent="0.35">
      <c r="A12501" s="12"/>
    </row>
    <row r="12502" spans="1:1" x14ac:dyDescent="0.35">
      <c r="A12502" s="12"/>
    </row>
    <row r="12503" spans="1:1" x14ac:dyDescent="0.35">
      <c r="A12503" s="12"/>
    </row>
    <row r="12504" spans="1:1" x14ac:dyDescent="0.35">
      <c r="A12504" s="12"/>
    </row>
    <row r="12505" spans="1:1" x14ac:dyDescent="0.35">
      <c r="A12505" s="12"/>
    </row>
    <row r="12506" spans="1:1" x14ac:dyDescent="0.35">
      <c r="A12506" s="12"/>
    </row>
    <row r="12507" spans="1:1" x14ac:dyDescent="0.35">
      <c r="A12507" s="12"/>
    </row>
    <row r="12508" spans="1:1" x14ac:dyDescent="0.35">
      <c r="A12508" s="12"/>
    </row>
    <row r="12509" spans="1:1" x14ac:dyDescent="0.35">
      <c r="A12509" s="12"/>
    </row>
    <row r="12510" spans="1:1" x14ac:dyDescent="0.35">
      <c r="A12510" s="12"/>
    </row>
    <row r="12511" spans="1:1" x14ac:dyDescent="0.35">
      <c r="A12511" s="12"/>
    </row>
    <row r="12512" spans="1:1" x14ac:dyDescent="0.35">
      <c r="A12512" s="12"/>
    </row>
    <row r="12513" spans="1:1" x14ac:dyDescent="0.35">
      <c r="A12513" s="12"/>
    </row>
    <row r="12514" spans="1:1" x14ac:dyDescent="0.35">
      <c r="A12514" s="12"/>
    </row>
    <row r="12515" spans="1:1" x14ac:dyDescent="0.35">
      <c r="A12515" s="12"/>
    </row>
    <row r="12516" spans="1:1" x14ac:dyDescent="0.35">
      <c r="A12516" s="12"/>
    </row>
    <row r="12517" spans="1:1" x14ac:dyDescent="0.35">
      <c r="A12517" s="12"/>
    </row>
    <row r="12518" spans="1:1" x14ac:dyDescent="0.35">
      <c r="A12518" s="12"/>
    </row>
    <row r="12519" spans="1:1" x14ac:dyDescent="0.35">
      <c r="A12519" s="12"/>
    </row>
    <row r="12520" spans="1:1" x14ac:dyDescent="0.35">
      <c r="A12520" s="12"/>
    </row>
    <row r="12521" spans="1:1" x14ac:dyDescent="0.35">
      <c r="A12521" s="12"/>
    </row>
    <row r="12522" spans="1:1" x14ac:dyDescent="0.35">
      <c r="A12522" s="12"/>
    </row>
    <row r="12523" spans="1:1" x14ac:dyDescent="0.35">
      <c r="A12523" s="12"/>
    </row>
    <row r="12524" spans="1:1" x14ac:dyDescent="0.35">
      <c r="A12524" s="12"/>
    </row>
    <row r="12525" spans="1:1" x14ac:dyDescent="0.35">
      <c r="A12525" s="12"/>
    </row>
    <row r="12526" spans="1:1" x14ac:dyDescent="0.35">
      <c r="A12526" s="12"/>
    </row>
    <row r="12527" spans="1:1" x14ac:dyDescent="0.35">
      <c r="A12527" s="12"/>
    </row>
    <row r="12528" spans="1:1" x14ac:dyDescent="0.35">
      <c r="A12528" s="12"/>
    </row>
    <row r="12529" spans="1:1" x14ac:dyDescent="0.35">
      <c r="A12529" s="12"/>
    </row>
    <row r="12530" spans="1:1" x14ac:dyDescent="0.35">
      <c r="A12530" s="12"/>
    </row>
    <row r="12531" spans="1:1" x14ac:dyDescent="0.35">
      <c r="A12531" s="12"/>
    </row>
    <row r="12532" spans="1:1" x14ac:dyDescent="0.35">
      <c r="A12532" s="12"/>
    </row>
    <row r="12533" spans="1:1" x14ac:dyDescent="0.35">
      <c r="A12533" s="12"/>
    </row>
    <row r="12534" spans="1:1" x14ac:dyDescent="0.35">
      <c r="A12534" s="12"/>
    </row>
    <row r="12535" spans="1:1" x14ac:dyDescent="0.35">
      <c r="A12535" s="12"/>
    </row>
    <row r="12536" spans="1:1" x14ac:dyDescent="0.35">
      <c r="A12536" s="12"/>
    </row>
    <row r="12537" spans="1:1" x14ac:dyDescent="0.35">
      <c r="A12537" s="12"/>
    </row>
    <row r="12538" spans="1:1" x14ac:dyDescent="0.35">
      <c r="A12538" s="12"/>
    </row>
    <row r="12539" spans="1:1" x14ac:dyDescent="0.35">
      <c r="A12539" s="12"/>
    </row>
    <row r="12540" spans="1:1" x14ac:dyDescent="0.35">
      <c r="A12540" s="12"/>
    </row>
    <row r="12541" spans="1:1" x14ac:dyDescent="0.35">
      <c r="A12541" s="12"/>
    </row>
    <row r="12542" spans="1:1" x14ac:dyDescent="0.35">
      <c r="A12542" s="12"/>
    </row>
    <row r="12543" spans="1:1" x14ac:dyDescent="0.35">
      <c r="A12543" s="12"/>
    </row>
    <row r="12544" spans="1:1" x14ac:dyDescent="0.35">
      <c r="A12544" s="12"/>
    </row>
    <row r="12545" spans="1:1" x14ac:dyDescent="0.35">
      <c r="A12545" s="12"/>
    </row>
    <row r="12546" spans="1:1" x14ac:dyDescent="0.35">
      <c r="A12546" s="12"/>
    </row>
    <row r="12547" spans="1:1" x14ac:dyDescent="0.35">
      <c r="A12547" s="12"/>
    </row>
    <row r="12548" spans="1:1" x14ac:dyDescent="0.35">
      <c r="A12548" s="12"/>
    </row>
    <row r="12549" spans="1:1" x14ac:dyDescent="0.35">
      <c r="A12549" s="12"/>
    </row>
    <row r="12550" spans="1:1" x14ac:dyDescent="0.35">
      <c r="A12550" s="12"/>
    </row>
    <row r="12551" spans="1:1" x14ac:dyDescent="0.35">
      <c r="A12551" s="12"/>
    </row>
    <row r="12552" spans="1:1" x14ac:dyDescent="0.35">
      <c r="A12552" s="12"/>
    </row>
    <row r="12553" spans="1:1" x14ac:dyDescent="0.35">
      <c r="A12553" s="12"/>
    </row>
    <row r="12554" spans="1:1" x14ac:dyDescent="0.35">
      <c r="A12554" s="12"/>
    </row>
    <row r="12555" spans="1:1" x14ac:dyDescent="0.35">
      <c r="A12555" s="12"/>
    </row>
    <row r="12556" spans="1:1" x14ac:dyDescent="0.35">
      <c r="A12556" s="12"/>
    </row>
    <row r="12557" spans="1:1" x14ac:dyDescent="0.35">
      <c r="A12557" s="12"/>
    </row>
    <row r="12558" spans="1:1" x14ac:dyDescent="0.35">
      <c r="A12558" s="12"/>
    </row>
    <row r="12559" spans="1:1" x14ac:dyDescent="0.35">
      <c r="A12559" s="12"/>
    </row>
    <row r="12560" spans="1:1" x14ac:dyDescent="0.35">
      <c r="A12560" s="12"/>
    </row>
    <row r="12561" spans="1:1" x14ac:dyDescent="0.35">
      <c r="A12561" s="12"/>
    </row>
    <row r="12562" spans="1:1" x14ac:dyDescent="0.35">
      <c r="A12562" s="12"/>
    </row>
    <row r="12563" spans="1:1" x14ac:dyDescent="0.35">
      <c r="A12563" s="12"/>
    </row>
    <row r="12564" spans="1:1" x14ac:dyDescent="0.35">
      <c r="A12564" s="12"/>
    </row>
    <row r="12565" spans="1:1" x14ac:dyDescent="0.35">
      <c r="A12565" s="12"/>
    </row>
    <row r="12566" spans="1:1" x14ac:dyDescent="0.35">
      <c r="A12566" s="12"/>
    </row>
    <row r="12567" spans="1:1" x14ac:dyDescent="0.35">
      <c r="A12567" s="12"/>
    </row>
    <row r="12568" spans="1:1" x14ac:dyDescent="0.35">
      <c r="A12568" s="12"/>
    </row>
    <row r="12569" spans="1:1" x14ac:dyDescent="0.35">
      <c r="A12569" s="12"/>
    </row>
    <row r="12570" spans="1:1" x14ac:dyDescent="0.35">
      <c r="A12570" s="12"/>
    </row>
    <row r="12571" spans="1:1" x14ac:dyDescent="0.35">
      <c r="A12571" s="12"/>
    </row>
    <row r="12572" spans="1:1" x14ac:dyDescent="0.35">
      <c r="A12572" s="12"/>
    </row>
    <row r="12573" spans="1:1" x14ac:dyDescent="0.35">
      <c r="A12573" s="12"/>
    </row>
    <row r="12574" spans="1:1" x14ac:dyDescent="0.35">
      <c r="A12574" s="12"/>
    </row>
    <row r="12575" spans="1:1" x14ac:dyDescent="0.35">
      <c r="A12575" s="12"/>
    </row>
    <row r="12576" spans="1:1" x14ac:dyDescent="0.35">
      <c r="A12576" s="12"/>
    </row>
    <row r="12577" spans="1:1" x14ac:dyDescent="0.35">
      <c r="A12577" s="12"/>
    </row>
    <row r="12578" spans="1:1" x14ac:dyDescent="0.35">
      <c r="A12578" s="12"/>
    </row>
    <row r="12579" spans="1:1" x14ac:dyDescent="0.35">
      <c r="A12579" s="12"/>
    </row>
    <row r="12580" spans="1:1" x14ac:dyDescent="0.35">
      <c r="A12580" s="12"/>
    </row>
    <row r="12581" spans="1:1" x14ac:dyDescent="0.35">
      <c r="A12581" s="12"/>
    </row>
    <row r="12582" spans="1:1" x14ac:dyDescent="0.35">
      <c r="A12582" s="12"/>
    </row>
    <row r="12583" spans="1:1" x14ac:dyDescent="0.35">
      <c r="A12583" s="12"/>
    </row>
    <row r="12584" spans="1:1" x14ac:dyDescent="0.35">
      <c r="A12584" s="12"/>
    </row>
    <row r="12585" spans="1:1" x14ac:dyDescent="0.35">
      <c r="A12585" s="12"/>
    </row>
    <row r="12586" spans="1:1" x14ac:dyDescent="0.35">
      <c r="A12586" s="12"/>
    </row>
    <row r="12587" spans="1:1" x14ac:dyDescent="0.35">
      <c r="A12587" s="12"/>
    </row>
    <row r="12588" spans="1:1" x14ac:dyDescent="0.35">
      <c r="A12588" s="12"/>
    </row>
    <row r="12589" spans="1:1" x14ac:dyDescent="0.35">
      <c r="A12589" s="12"/>
    </row>
    <row r="12590" spans="1:1" x14ac:dyDescent="0.35">
      <c r="A12590" s="12"/>
    </row>
    <row r="12591" spans="1:1" x14ac:dyDescent="0.35">
      <c r="A12591" s="12"/>
    </row>
    <row r="12592" spans="1:1" x14ac:dyDescent="0.35">
      <c r="A12592" s="12"/>
    </row>
    <row r="12593" spans="1:1" x14ac:dyDescent="0.35">
      <c r="A12593" s="12"/>
    </row>
    <row r="12594" spans="1:1" x14ac:dyDescent="0.35">
      <c r="A12594" s="12"/>
    </row>
    <row r="12595" spans="1:1" x14ac:dyDescent="0.35">
      <c r="A12595" s="12"/>
    </row>
    <row r="12596" spans="1:1" x14ac:dyDescent="0.35">
      <c r="A12596" s="12"/>
    </row>
    <row r="12597" spans="1:1" x14ac:dyDescent="0.35">
      <c r="A12597" s="12"/>
    </row>
    <row r="12598" spans="1:1" x14ac:dyDescent="0.35">
      <c r="A12598" s="12"/>
    </row>
    <row r="12599" spans="1:1" x14ac:dyDescent="0.35">
      <c r="A12599" s="12"/>
    </row>
    <row r="12600" spans="1:1" x14ac:dyDescent="0.35">
      <c r="A12600" s="12"/>
    </row>
    <row r="12601" spans="1:1" x14ac:dyDescent="0.35">
      <c r="A12601" s="12"/>
    </row>
    <row r="12602" spans="1:1" x14ac:dyDescent="0.35">
      <c r="A12602" s="12"/>
    </row>
    <row r="12603" spans="1:1" x14ac:dyDescent="0.35">
      <c r="A12603" s="12"/>
    </row>
    <row r="12604" spans="1:1" x14ac:dyDescent="0.35">
      <c r="A12604" s="12"/>
    </row>
    <row r="12605" spans="1:1" x14ac:dyDescent="0.35">
      <c r="A12605" s="12"/>
    </row>
    <row r="12606" spans="1:1" x14ac:dyDescent="0.35">
      <c r="A12606" s="12"/>
    </row>
    <row r="12607" spans="1:1" x14ac:dyDescent="0.35">
      <c r="A12607" s="12"/>
    </row>
    <row r="12608" spans="1:1" x14ac:dyDescent="0.35">
      <c r="A12608" s="12"/>
    </row>
    <row r="12609" spans="1:1" x14ac:dyDescent="0.35">
      <c r="A12609" s="12"/>
    </row>
    <row r="12610" spans="1:1" x14ac:dyDescent="0.35">
      <c r="A12610" s="12"/>
    </row>
    <row r="12611" spans="1:1" x14ac:dyDescent="0.35">
      <c r="A12611" s="12"/>
    </row>
    <row r="12612" spans="1:1" x14ac:dyDescent="0.35">
      <c r="A12612" s="12"/>
    </row>
    <row r="12613" spans="1:1" x14ac:dyDescent="0.35">
      <c r="A12613" s="12"/>
    </row>
    <row r="12614" spans="1:1" x14ac:dyDescent="0.35">
      <c r="A12614" s="12"/>
    </row>
    <row r="12615" spans="1:1" x14ac:dyDescent="0.35">
      <c r="A12615" s="12"/>
    </row>
    <row r="12616" spans="1:1" x14ac:dyDescent="0.35">
      <c r="A12616" s="12"/>
    </row>
    <row r="12617" spans="1:1" x14ac:dyDescent="0.35">
      <c r="A12617" s="12"/>
    </row>
    <row r="12618" spans="1:1" x14ac:dyDescent="0.35">
      <c r="A12618" s="12"/>
    </row>
    <row r="12619" spans="1:1" x14ac:dyDescent="0.35">
      <c r="A12619" s="12"/>
    </row>
    <row r="12620" spans="1:1" x14ac:dyDescent="0.35">
      <c r="A12620" s="12"/>
    </row>
    <row r="12621" spans="1:1" x14ac:dyDescent="0.35">
      <c r="A12621" s="12"/>
    </row>
    <row r="12622" spans="1:1" x14ac:dyDescent="0.35">
      <c r="A12622" s="12"/>
    </row>
    <row r="12623" spans="1:1" x14ac:dyDescent="0.35">
      <c r="A12623" s="12"/>
    </row>
    <row r="12624" spans="1:1" x14ac:dyDescent="0.35">
      <c r="A12624" s="12"/>
    </row>
    <row r="12625" spans="1:1" x14ac:dyDescent="0.35">
      <c r="A12625" s="12"/>
    </row>
    <row r="12626" spans="1:1" x14ac:dyDescent="0.35">
      <c r="A12626" s="12"/>
    </row>
    <row r="12627" spans="1:1" x14ac:dyDescent="0.35">
      <c r="A12627" s="12"/>
    </row>
    <row r="12628" spans="1:1" x14ac:dyDescent="0.35">
      <c r="A12628" s="12"/>
    </row>
    <row r="12629" spans="1:1" x14ac:dyDescent="0.35">
      <c r="A12629" s="12"/>
    </row>
    <row r="12630" spans="1:1" x14ac:dyDescent="0.35">
      <c r="A12630" s="12"/>
    </row>
    <row r="12631" spans="1:1" x14ac:dyDescent="0.35">
      <c r="A12631" s="12"/>
    </row>
    <row r="12632" spans="1:1" x14ac:dyDescent="0.35">
      <c r="A12632" s="12"/>
    </row>
    <row r="12633" spans="1:1" x14ac:dyDescent="0.35">
      <c r="A12633" s="12"/>
    </row>
    <row r="12634" spans="1:1" x14ac:dyDescent="0.35">
      <c r="A12634" s="12"/>
    </row>
    <row r="12635" spans="1:1" x14ac:dyDescent="0.35">
      <c r="A12635" s="12"/>
    </row>
    <row r="12636" spans="1:1" x14ac:dyDescent="0.35">
      <c r="A12636" s="12"/>
    </row>
    <row r="12637" spans="1:1" x14ac:dyDescent="0.35">
      <c r="A12637" s="12"/>
    </row>
    <row r="12638" spans="1:1" x14ac:dyDescent="0.35">
      <c r="A12638" s="12"/>
    </row>
    <row r="12639" spans="1:1" x14ac:dyDescent="0.35">
      <c r="A12639" s="12"/>
    </row>
    <row r="12640" spans="1:1" x14ac:dyDescent="0.35">
      <c r="A12640" s="12"/>
    </row>
    <row r="12641" spans="1:1" x14ac:dyDescent="0.35">
      <c r="A12641" s="12"/>
    </row>
    <row r="12642" spans="1:1" x14ac:dyDescent="0.35">
      <c r="A12642" s="12"/>
    </row>
    <row r="12643" spans="1:1" x14ac:dyDescent="0.35">
      <c r="A12643" s="12"/>
    </row>
    <row r="12644" spans="1:1" x14ac:dyDescent="0.35">
      <c r="A12644" s="12"/>
    </row>
    <row r="12645" spans="1:1" x14ac:dyDescent="0.35">
      <c r="A12645" s="12"/>
    </row>
    <row r="12646" spans="1:1" x14ac:dyDescent="0.35">
      <c r="A12646" s="12"/>
    </row>
    <row r="12647" spans="1:1" x14ac:dyDescent="0.35">
      <c r="A12647" s="12"/>
    </row>
    <row r="12648" spans="1:1" x14ac:dyDescent="0.35">
      <c r="A12648" s="12"/>
    </row>
    <row r="12649" spans="1:1" x14ac:dyDescent="0.35">
      <c r="A12649" s="12"/>
    </row>
    <row r="12650" spans="1:1" x14ac:dyDescent="0.35">
      <c r="A12650" s="12"/>
    </row>
    <row r="12651" spans="1:1" x14ac:dyDescent="0.35">
      <c r="A12651" s="12"/>
    </row>
    <row r="12652" spans="1:1" x14ac:dyDescent="0.35">
      <c r="A12652" s="12"/>
    </row>
    <row r="12653" spans="1:1" x14ac:dyDescent="0.35">
      <c r="A12653" s="12"/>
    </row>
    <row r="12654" spans="1:1" x14ac:dyDescent="0.35">
      <c r="A12654" s="12"/>
    </row>
    <row r="12655" spans="1:1" x14ac:dyDescent="0.35">
      <c r="A12655" s="12"/>
    </row>
    <row r="12656" spans="1:1" x14ac:dyDescent="0.35">
      <c r="A12656" s="12"/>
    </row>
    <row r="12657" spans="1:1" x14ac:dyDescent="0.35">
      <c r="A12657" s="12"/>
    </row>
    <row r="12658" spans="1:1" x14ac:dyDescent="0.35">
      <c r="A12658" s="12"/>
    </row>
    <row r="12659" spans="1:1" x14ac:dyDescent="0.35">
      <c r="A12659" s="12"/>
    </row>
    <row r="12660" spans="1:1" x14ac:dyDescent="0.35">
      <c r="A12660" s="12"/>
    </row>
    <row r="12661" spans="1:1" x14ac:dyDescent="0.35">
      <c r="A12661" s="12"/>
    </row>
    <row r="12662" spans="1:1" x14ac:dyDescent="0.35">
      <c r="A12662" s="12"/>
    </row>
    <row r="12663" spans="1:1" x14ac:dyDescent="0.35">
      <c r="A12663" s="12"/>
    </row>
    <row r="12664" spans="1:1" x14ac:dyDescent="0.35">
      <c r="A12664" s="12"/>
    </row>
    <row r="12665" spans="1:1" x14ac:dyDescent="0.35">
      <c r="A12665" s="12"/>
    </row>
    <row r="12666" spans="1:1" x14ac:dyDescent="0.35">
      <c r="A12666" s="12"/>
    </row>
    <row r="12667" spans="1:1" x14ac:dyDescent="0.35">
      <c r="A12667" s="12"/>
    </row>
    <row r="12668" spans="1:1" x14ac:dyDescent="0.35">
      <c r="A12668" s="12"/>
    </row>
    <row r="12669" spans="1:1" x14ac:dyDescent="0.35">
      <c r="A12669" s="12"/>
    </row>
    <row r="12670" spans="1:1" x14ac:dyDescent="0.35">
      <c r="A12670" s="12"/>
    </row>
    <row r="12671" spans="1:1" x14ac:dyDescent="0.35">
      <c r="A12671" s="12"/>
    </row>
    <row r="12672" spans="1:1" x14ac:dyDescent="0.35">
      <c r="A12672" s="12"/>
    </row>
    <row r="12673" spans="1:1" x14ac:dyDescent="0.35">
      <c r="A12673" s="12"/>
    </row>
    <row r="12674" spans="1:1" x14ac:dyDescent="0.35">
      <c r="A12674" s="12"/>
    </row>
    <row r="12675" spans="1:1" x14ac:dyDescent="0.35">
      <c r="A12675" s="12"/>
    </row>
    <row r="12676" spans="1:1" x14ac:dyDescent="0.35">
      <c r="A12676" s="12"/>
    </row>
    <row r="12677" spans="1:1" x14ac:dyDescent="0.35">
      <c r="A12677" s="12"/>
    </row>
    <row r="12678" spans="1:1" x14ac:dyDescent="0.35">
      <c r="A12678" s="12"/>
    </row>
    <row r="12679" spans="1:1" x14ac:dyDescent="0.35">
      <c r="A12679" s="12"/>
    </row>
    <row r="12680" spans="1:1" x14ac:dyDescent="0.35">
      <c r="A12680" s="12"/>
    </row>
    <row r="12681" spans="1:1" x14ac:dyDescent="0.35">
      <c r="A12681" s="12"/>
    </row>
    <row r="12682" spans="1:1" x14ac:dyDescent="0.35">
      <c r="A12682" s="12"/>
    </row>
    <row r="12683" spans="1:1" x14ac:dyDescent="0.35">
      <c r="A12683" s="12"/>
    </row>
    <row r="12684" spans="1:1" x14ac:dyDescent="0.35">
      <c r="A12684" s="12"/>
    </row>
    <row r="12685" spans="1:1" x14ac:dyDescent="0.35">
      <c r="A12685" s="12"/>
    </row>
    <row r="12686" spans="1:1" x14ac:dyDescent="0.35">
      <c r="A12686" s="12"/>
    </row>
    <row r="12687" spans="1:1" x14ac:dyDescent="0.35">
      <c r="A12687" s="12"/>
    </row>
    <row r="12688" spans="1:1" x14ac:dyDescent="0.35">
      <c r="A12688" s="12"/>
    </row>
    <row r="12689" spans="1:1" x14ac:dyDescent="0.35">
      <c r="A12689" s="12"/>
    </row>
    <row r="12690" spans="1:1" x14ac:dyDescent="0.35">
      <c r="A12690" s="12"/>
    </row>
    <row r="12691" spans="1:1" x14ac:dyDescent="0.35">
      <c r="A12691" s="12"/>
    </row>
    <row r="12692" spans="1:1" x14ac:dyDescent="0.35">
      <c r="A12692" s="12"/>
    </row>
    <row r="12693" spans="1:1" x14ac:dyDescent="0.35">
      <c r="A12693" s="12"/>
    </row>
    <row r="12694" spans="1:1" x14ac:dyDescent="0.35">
      <c r="A12694" s="12"/>
    </row>
    <row r="12695" spans="1:1" x14ac:dyDescent="0.35">
      <c r="A12695" s="12"/>
    </row>
    <row r="12696" spans="1:1" x14ac:dyDescent="0.35">
      <c r="A12696" s="12"/>
    </row>
    <row r="12697" spans="1:1" x14ac:dyDescent="0.35">
      <c r="A12697" s="12"/>
    </row>
    <row r="12698" spans="1:1" x14ac:dyDescent="0.35">
      <c r="A12698" s="12"/>
    </row>
    <row r="12699" spans="1:1" x14ac:dyDescent="0.35">
      <c r="A12699" s="12"/>
    </row>
    <row r="12700" spans="1:1" x14ac:dyDescent="0.35">
      <c r="A12700" s="12"/>
    </row>
    <row r="12701" spans="1:1" x14ac:dyDescent="0.35">
      <c r="A12701" s="12"/>
    </row>
    <row r="12702" spans="1:1" x14ac:dyDescent="0.35">
      <c r="A12702" s="12"/>
    </row>
    <row r="12703" spans="1:1" x14ac:dyDescent="0.35">
      <c r="A12703" s="12"/>
    </row>
    <row r="12704" spans="1:1" x14ac:dyDescent="0.35">
      <c r="A12704" s="12"/>
    </row>
    <row r="12705" spans="1:1" x14ac:dyDescent="0.35">
      <c r="A12705" s="12"/>
    </row>
    <row r="12706" spans="1:1" x14ac:dyDescent="0.35">
      <c r="A12706" s="12"/>
    </row>
    <row r="12707" spans="1:1" x14ac:dyDescent="0.35">
      <c r="A12707" s="12"/>
    </row>
    <row r="12708" spans="1:1" x14ac:dyDescent="0.35">
      <c r="A12708" s="12"/>
    </row>
    <row r="12709" spans="1:1" x14ac:dyDescent="0.35">
      <c r="A12709" s="12"/>
    </row>
    <row r="12710" spans="1:1" x14ac:dyDescent="0.35">
      <c r="A12710" s="12"/>
    </row>
    <row r="12711" spans="1:1" x14ac:dyDescent="0.35">
      <c r="A12711" s="12"/>
    </row>
    <row r="12712" spans="1:1" x14ac:dyDescent="0.35">
      <c r="A12712" s="12"/>
    </row>
    <row r="12713" spans="1:1" x14ac:dyDescent="0.35">
      <c r="A12713" s="12"/>
    </row>
    <row r="12714" spans="1:1" x14ac:dyDescent="0.35">
      <c r="A12714" s="12"/>
    </row>
    <row r="12715" spans="1:1" x14ac:dyDescent="0.35">
      <c r="A12715" s="12"/>
    </row>
    <row r="12716" spans="1:1" x14ac:dyDescent="0.35">
      <c r="A12716" s="12"/>
    </row>
    <row r="12717" spans="1:1" x14ac:dyDescent="0.35">
      <c r="A12717" s="12"/>
    </row>
    <row r="12718" spans="1:1" x14ac:dyDescent="0.35">
      <c r="A12718" s="12"/>
    </row>
    <row r="12719" spans="1:1" x14ac:dyDescent="0.35">
      <c r="A12719" s="12"/>
    </row>
    <row r="12720" spans="1:1" x14ac:dyDescent="0.35">
      <c r="A12720" s="12"/>
    </row>
    <row r="12721" spans="1:1" x14ac:dyDescent="0.35">
      <c r="A12721" s="12"/>
    </row>
    <row r="12722" spans="1:1" x14ac:dyDescent="0.35">
      <c r="A12722" s="12"/>
    </row>
    <row r="12723" spans="1:1" x14ac:dyDescent="0.35">
      <c r="A12723" s="12"/>
    </row>
    <row r="12724" spans="1:1" x14ac:dyDescent="0.35">
      <c r="A12724" s="12"/>
    </row>
    <row r="12725" spans="1:1" x14ac:dyDescent="0.35">
      <c r="A12725" s="12"/>
    </row>
    <row r="12726" spans="1:1" x14ac:dyDescent="0.35">
      <c r="A12726" s="12"/>
    </row>
    <row r="12727" spans="1:1" x14ac:dyDescent="0.35">
      <c r="A12727" s="12"/>
    </row>
    <row r="12728" spans="1:1" x14ac:dyDescent="0.35">
      <c r="A12728" s="12"/>
    </row>
    <row r="12729" spans="1:1" x14ac:dyDescent="0.35">
      <c r="A12729" s="12"/>
    </row>
    <row r="12730" spans="1:1" x14ac:dyDescent="0.35">
      <c r="A12730" s="12"/>
    </row>
    <row r="12731" spans="1:1" x14ac:dyDescent="0.35">
      <c r="A12731" s="12"/>
    </row>
    <row r="12732" spans="1:1" x14ac:dyDescent="0.35">
      <c r="A12732" s="12"/>
    </row>
    <row r="12733" spans="1:1" x14ac:dyDescent="0.35">
      <c r="A12733" s="12"/>
    </row>
    <row r="12734" spans="1:1" x14ac:dyDescent="0.35">
      <c r="A12734" s="12"/>
    </row>
    <row r="12735" spans="1:1" x14ac:dyDescent="0.35">
      <c r="A12735" s="12"/>
    </row>
    <row r="12736" spans="1:1" x14ac:dyDescent="0.35">
      <c r="A12736" s="12"/>
    </row>
    <row r="12737" spans="1:1" x14ac:dyDescent="0.35">
      <c r="A12737" s="12"/>
    </row>
    <row r="12738" spans="1:1" x14ac:dyDescent="0.35">
      <c r="A12738" s="12"/>
    </row>
    <row r="12739" spans="1:1" x14ac:dyDescent="0.35">
      <c r="A12739" s="12"/>
    </row>
    <row r="12740" spans="1:1" x14ac:dyDescent="0.35">
      <c r="A12740" s="12"/>
    </row>
    <row r="12741" spans="1:1" x14ac:dyDescent="0.35">
      <c r="A12741" s="12"/>
    </row>
    <row r="12742" spans="1:1" x14ac:dyDescent="0.35">
      <c r="A12742" s="12"/>
    </row>
    <row r="12743" spans="1:1" x14ac:dyDescent="0.35">
      <c r="A12743" s="12"/>
    </row>
    <row r="12744" spans="1:1" x14ac:dyDescent="0.35">
      <c r="A12744" s="12"/>
    </row>
    <row r="12745" spans="1:1" x14ac:dyDescent="0.35">
      <c r="A12745" s="12"/>
    </row>
    <row r="12746" spans="1:1" x14ac:dyDescent="0.35">
      <c r="A12746" s="12"/>
    </row>
    <row r="12747" spans="1:1" x14ac:dyDescent="0.35">
      <c r="A12747" s="12"/>
    </row>
    <row r="12748" spans="1:1" x14ac:dyDescent="0.35">
      <c r="A12748" s="12"/>
    </row>
    <row r="12749" spans="1:1" x14ac:dyDescent="0.35">
      <c r="A12749" s="12"/>
    </row>
    <row r="12750" spans="1:1" x14ac:dyDescent="0.35">
      <c r="A12750" s="12"/>
    </row>
    <row r="12751" spans="1:1" x14ac:dyDescent="0.35">
      <c r="A12751" s="12"/>
    </row>
    <row r="12752" spans="1:1" x14ac:dyDescent="0.35">
      <c r="A12752" s="12"/>
    </row>
    <row r="12753" spans="1:1" x14ac:dyDescent="0.35">
      <c r="A12753" s="12"/>
    </row>
    <row r="12754" spans="1:1" x14ac:dyDescent="0.35">
      <c r="A12754" s="12"/>
    </row>
    <row r="12755" spans="1:1" x14ac:dyDescent="0.35">
      <c r="A12755" s="12"/>
    </row>
    <row r="12756" spans="1:1" x14ac:dyDescent="0.35">
      <c r="A12756" s="12"/>
    </row>
    <row r="12757" spans="1:1" x14ac:dyDescent="0.35">
      <c r="A12757" s="12"/>
    </row>
    <row r="12758" spans="1:1" x14ac:dyDescent="0.35">
      <c r="A12758" s="12"/>
    </row>
    <row r="12759" spans="1:1" x14ac:dyDescent="0.35">
      <c r="A12759" s="12"/>
    </row>
    <row r="12760" spans="1:1" x14ac:dyDescent="0.35">
      <c r="A12760" s="12"/>
    </row>
    <row r="12761" spans="1:1" x14ac:dyDescent="0.35">
      <c r="A12761" s="12"/>
    </row>
    <row r="12762" spans="1:1" x14ac:dyDescent="0.35">
      <c r="A12762" s="12"/>
    </row>
    <row r="12763" spans="1:1" x14ac:dyDescent="0.35">
      <c r="A12763" s="12"/>
    </row>
    <row r="12764" spans="1:1" x14ac:dyDescent="0.35">
      <c r="A12764" s="12"/>
    </row>
    <row r="12765" spans="1:1" x14ac:dyDescent="0.35">
      <c r="A12765" s="12"/>
    </row>
    <row r="12766" spans="1:1" x14ac:dyDescent="0.35">
      <c r="A12766" s="12"/>
    </row>
    <row r="12767" spans="1:1" x14ac:dyDescent="0.35">
      <c r="A12767" s="12"/>
    </row>
    <row r="12768" spans="1:1" x14ac:dyDescent="0.35">
      <c r="A12768" s="12"/>
    </row>
    <row r="12769" spans="1:1" x14ac:dyDescent="0.35">
      <c r="A12769" s="12"/>
    </row>
    <row r="12770" spans="1:1" x14ac:dyDescent="0.35">
      <c r="A12770" s="12"/>
    </row>
    <row r="12771" spans="1:1" x14ac:dyDescent="0.35">
      <c r="A12771" s="12"/>
    </row>
    <row r="12772" spans="1:1" x14ac:dyDescent="0.35">
      <c r="A12772" s="12"/>
    </row>
    <row r="12773" spans="1:1" x14ac:dyDescent="0.35">
      <c r="A12773" s="12"/>
    </row>
    <row r="12774" spans="1:1" x14ac:dyDescent="0.35">
      <c r="A12774" s="12"/>
    </row>
    <row r="12775" spans="1:1" x14ac:dyDescent="0.35">
      <c r="A12775" s="12"/>
    </row>
    <row r="12776" spans="1:1" x14ac:dyDescent="0.35">
      <c r="A12776" s="12"/>
    </row>
    <row r="12777" spans="1:1" x14ac:dyDescent="0.35">
      <c r="A12777" s="12"/>
    </row>
    <row r="12778" spans="1:1" x14ac:dyDescent="0.35">
      <c r="A12778" s="12"/>
    </row>
    <row r="12779" spans="1:1" x14ac:dyDescent="0.35">
      <c r="A12779" s="12"/>
    </row>
    <row r="12780" spans="1:1" x14ac:dyDescent="0.35">
      <c r="A12780" s="12"/>
    </row>
    <row r="12781" spans="1:1" x14ac:dyDescent="0.35">
      <c r="A12781" s="12"/>
    </row>
    <row r="12782" spans="1:1" x14ac:dyDescent="0.35">
      <c r="A12782" s="12"/>
    </row>
    <row r="12783" spans="1:1" x14ac:dyDescent="0.35">
      <c r="A12783" s="12"/>
    </row>
    <row r="12784" spans="1:1" x14ac:dyDescent="0.35">
      <c r="A12784" s="12"/>
    </row>
    <row r="12785" spans="1:1" x14ac:dyDescent="0.35">
      <c r="A12785" s="12"/>
    </row>
    <row r="12786" spans="1:1" x14ac:dyDescent="0.35">
      <c r="A12786" s="12"/>
    </row>
    <row r="12787" spans="1:1" x14ac:dyDescent="0.35">
      <c r="A12787" s="12"/>
    </row>
    <row r="12788" spans="1:1" x14ac:dyDescent="0.35">
      <c r="A12788" s="12"/>
    </row>
    <row r="12789" spans="1:1" x14ac:dyDescent="0.35">
      <c r="A12789" s="12"/>
    </row>
    <row r="12790" spans="1:1" x14ac:dyDescent="0.35">
      <c r="A12790" s="12"/>
    </row>
    <row r="12791" spans="1:1" x14ac:dyDescent="0.35">
      <c r="A12791" s="12"/>
    </row>
    <row r="12792" spans="1:1" x14ac:dyDescent="0.35">
      <c r="A12792" s="12"/>
    </row>
    <row r="12793" spans="1:1" x14ac:dyDescent="0.35">
      <c r="A12793" s="12"/>
    </row>
    <row r="12794" spans="1:1" x14ac:dyDescent="0.35">
      <c r="A12794" s="12"/>
    </row>
    <row r="12795" spans="1:1" x14ac:dyDescent="0.35">
      <c r="A12795" s="12"/>
    </row>
    <row r="12796" spans="1:1" x14ac:dyDescent="0.35">
      <c r="A12796" s="12"/>
    </row>
    <row r="12797" spans="1:1" x14ac:dyDescent="0.35">
      <c r="A12797" s="12"/>
    </row>
    <row r="12798" spans="1:1" x14ac:dyDescent="0.35">
      <c r="A12798" s="12"/>
    </row>
    <row r="12799" spans="1:1" x14ac:dyDescent="0.35">
      <c r="A12799" s="12"/>
    </row>
    <row r="12800" spans="1:1" x14ac:dyDescent="0.35">
      <c r="A12800" s="12"/>
    </row>
    <row r="12801" spans="1:1" x14ac:dyDescent="0.35">
      <c r="A12801" s="12"/>
    </row>
    <row r="12802" spans="1:1" x14ac:dyDescent="0.35">
      <c r="A12802" s="12"/>
    </row>
    <row r="12803" spans="1:1" x14ac:dyDescent="0.35">
      <c r="A12803" s="12"/>
    </row>
    <row r="12804" spans="1:1" x14ac:dyDescent="0.35">
      <c r="A12804" s="12"/>
    </row>
    <row r="12805" spans="1:1" x14ac:dyDescent="0.35">
      <c r="A12805" s="12"/>
    </row>
    <row r="12806" spans="1:1" x14ac:dyDescent="0.35">
      <c r="A12806" s="12"/>
    </row>
    <row r="12807" spans="1:1" x14ac:dyDescent="0.35">
      <c r="A12807" s="12"/>
    </row>
    <row r="12808" spans="1:1" x14ac:dyDescent="0.35">
      <c r="A12808" s="12"/>
    </row>
    <row r="12809" spans="1:1" x14ac:dyDescent="0.35">
      <c r="A12809" s="12"/>
    </row>
    <row r="12810" spans="1:1" x14ac:dyDescent="0.35">
      <c r="A12810" s="12"/>
    </row>
    <row r="12811" spans="1:1" x14ac:dyDescent="0.35">
      <c r="A12811" s="12"/>
    </row>
    <row r="12812" spans="1:1" x14ac:dyDescent="0.35">
      <c r="A12812" s="12"/>
    </row>
    <row r="12813" spans="1:1" x14ac:dyDescent="0.35">
      <c r="A12813" s="12"/>
    </row>
    <row r="12814" spans="1:1" x14ac:dyDescent="0.35">
      <c r="A12814" s="12"/>
    </row>
    <row r="12815" spans="1:1" x14ac:dyDescent="0.35">
      <c r="A12815" s="12"/>
    </row>
    <row r="12816" spans="1:1" x14ac:dyDescent="0.35">
      <c r="A12816" s="12"/>
    </row>
    <row r="12817" spans="1:1" x14ac:dyDescent="0.35">
      <c r="A12817" s="12"/>
    </row>
    <row r="12818" spans="1:1" x14ac:dyDescent="0.35">
      <c r="A12818" s="12"/>
    </row>
    <row r="12819" spans="1:1" x14ac:dyDescent="0.35">
      <c r="A12819" s="12"/>
    </row>
    <row r="12820" spans="1:1" x14ac:dyDescent="0.35">
      <c r="A12820" s="12"/>
    </row>
    <row r="12821" spans="1:1" x14ac:dyDescent="0.35">
      <c r="A12821" s="12"/>
    </row>
    <row r="12822" spans="1:1" x14ac:dyDescent="0.35">
      <c r="A12822" s="12"/>
    </row>
    <row r="12823" spans="1:1" x14ac:dyDescent="0.35">
      <c r="A12823" s="12"/>
    </row>
    <row r="12824" spans="1:1" x14ac:dyDescent="0.35">
      <c r="A12824" s="12"/>
    </row>
    <row r="12825" spans="1:1" x14ac:dyDescent="0.35">
      <c r="A12825" s="12"/>
    </row>
    <row r="12826" spans="1:1" x14ac:dyDescent="0.35">
      <c r="A12826" s="12"/>
    </row>
    <row r="12827" spans="1:1" x14ac:dyDescent="0.35">
      <c r="A12827" s="12"/>
    </row>
    <row r="12828" spans="1:1" x14ac:dyDescent="0.35">
      <c r="A12828" s="12"/>
    </row>
    <row r="12829" spans="1:1" x14ac:dyDescent="0.35">
      <c r="A12829" s="12"/>
    </row>
    <row r="12830" spans="1:1" x14ac:dyDescent="0.35">
      <c r="A12830" s="12"/>
    </row>
    <row r="12831" spans="1:1" x14ac:dyDescent="0.35">
      <c r="A12831" s="12"/>
    </row>
    <row r="12832" spans="1:1" x14ac:dyDescent="0.35">
      <c r="A12832" s="12"/>
    </row>
    <row r="12833" spans="1:1" x14ac:dyDescent="0.35">
      <c r="A12833" s="12"/>
    </row>
    <row r="12834" spans="1:1" x14ac:dyDescent="0.35">
      <c r="A12834" s="12"/>
    </row>
    <row r="12835" spans="1:1" x14ac:dyDescent="0.35">
      <c r="A12835" s="12"/>
    </row>
    <row r="12836" spans="1:1" x14ac:dyDescent="0.35">
      <c r="A12836" s="12"/>
    </row>
    <row r="12837" spans="1:1" x14ac:dyDescent="0.35">
      <c r="A12837" s="12"/>
    </row>
    <row r="12838" spans="1:1" x14ac:dyDescent="0.35">
      <c r="A12838" s="12"/>
    </row>
    <row r="12839" spans="1:1" x14ac:dyDescent="0.35">
      <c r="A12839" s="12"/>
    </row>
    <row r="12840" spans="1:1" x14ac:dyDescent="0.35">
      <c r="A12840" s="12"/>
    </row>
    <row r="12841" spans="1:1" x14ac:dyDescent="0.35">
      <c r="A12841" s="12"/>
    </row>
    <row r="12842" spans="1:1" x14ac:dyDescent="0.35">
      <c r="A12842" s="12"/>
    </row>
    <row r="12843" spans="1:1" x14ac:dyDescent="0.35">
      <c r="A12843" s="12"/>
    </row>
    <row r="12844" spans="1:1" x14ac:dyDescent="0.35">
      <c r="A12844" s="12"/>
    </row>
    <row r="12845" spans="1:1" x14ac:dyDescent="0.35">
      <c r="A12845" s="12"/>
    </row>
    <row r="12846" spans="1:1" x14ac:dyDescent="0.35">
      <c r="A12846" s="12"/>
    </row>
    <row r="12847" spans="1:1" x14ac:dyDescent="0.35">
      <c r="A12847" s="12"/>
    </row>
    <row r="12848" spans="1:1" x14ac:dyDescent="0.35">
      <c r="A12848" s="12"/>
    </row>
    <row r="12849" spans="1:1" x14ac:dyDescent="0.35">
      <c r="A12849" s="12"/>
    </row>
    <row r="12850" spans="1:1" x14ac:dyDescent="0.35">
      <c r="A12850" s="12"/>
    </row>
    <row r="12851" spans="1:1" x14ac:dyDescent="0.35">
      <c r="A12851" s="12"/>
    </row>
    <row r="12852" spans="1:1" x14ac:dyDescent="0.35">
      <c r="A12852" s="12"/>
    </row>
    <row r="12853" spans="1:1" x14ac:dyDescent="0.35">
      <c r="A12853" s="12"/>
    </row>
    <row r="12854" spans="1:1" x14ac:dyDescent="0.35">
      <c r="A12854" s="12"/>
    </row>
    <row r="12855" spans="1:1" x14ac:dyDescent="0.35">
      <c r="A12855" s="12"/>
    </row>
    <row r="12856" spans="1:1" x14ac:dyDescent="0.35">
      <c r="A12856" s="12"/>
    </row>
    <row r="12857" spans="1:1" x14ac:dyDescent="0.35">
      <c r="A12857" s="12"/>
    </row>
    <row r="12858" spans="1:1" x14ac:dyDescent="0.35">
      <c r="A12858" s="12"/>
    </row>
    <row r="12859" spans="1:1" x14ac:dyDescent="0.35">
      <c r="A12859" s="12"/>
    </row>
    <row r="12860" spans="1:1" x14ac:dyDescent="0.35">
      <c r="A12860" s="12"/>
    </row>
    <row r="12861" spans="1:1" x14ac:dyDescent="0.35">
      <c r="A12861" s="12"/>
    </row>
    <row r="12862" spans="1:1" x14ac:dyDescent="0.35">
      <c r="A12862" s="12"/>
    </row>
    <row r="12863" spans="1:1" x14ac:dyDescent="0.35">
      <c r="A12863" s="12"/>
    </row>
    <row r="12864" spans="1:1" x14ac:dyDescent="0.35">
      <c r="A12864" s="12"/>
    </row>
    <row r="12865" spans="1:1" x14ac:dyDescent="0.35">
      <c r="A12865" s="12"/>
    </row>
    <row r="12866" spans="1:1" x14ac:dyDescent="0.35">
      <c r="A12866" s="12"/>
    </row>
    <row r="12867" spans="1:1" x14ac:dyDescent="0.35">
      <c r="A12867" s="12"/>
    </row>
    <row r="12868" spans="1:1" x14ac:dyDescent="0.35">
      <c r="A12868" s="12"/>
    </row>
    <row r="12869" spans="1:1" x14ac:dyDescent="0.35">
      <c r="A12869" s="12"/>
    </row>
    <row r="12870" spans="1:1" x14ac:dyDescent="0.35">
      <c r="A12870" s="12"/>
    </row>
    <row r="12871" spans="1:1" x14ac:dyDescent="0.35">
      <c r="A12871" s="12"/>
    </row>
    <row r="12872" spans="1:1" x14ac:dyDescent="0.35">
      <c r="A12872" s="12"/>
    </row>
    <row r="12873" spans="1:1" x14ac:dyDescent="0.35">
      <c r="A12873" s="12"/>
    </row>
    <row r="12874" spans="1:1" x14ac:dyDescent="0.35">
      <c r="A12874" s="12"/>
    </row>
    <row r="12875" spans="1:1" x14ac:dyDescent="0.35">
      <c r="A12875" s="12"/>
    </row>
    <row r="12876" spans="1:1" x14ac:dyDescent="0.35">
      <c r="A12876" s="12"/>
    </row>
    <row r="12877" spans="1:1" x14ac:dyDescent="0.35">
      <c r="A12877" s="12"/>
    </row>
    <row r="12878" spans="1:1" x14ac:dyDescent="0.35">
      <c r="A12878" s="12"/>
    </row>
    <row r="12879" spans="1:1" x14ac:dyDescent="0.35">
      <c r="A12879" s="12"/>
    </row>
    <row r="12880" spans="1:1" x14ac:dyDescent="0.35">
      <c r="A12880" s="12"/>
    </row>
    <row r="12881" spans="1:1" x14ac:dyDescent="0.35">
      <c r="A12881" s="12"/>
    </row>
    <row r="12882" spans="1:1" x14ac:dyDescent="0.35">
      <c r="A12882" s="12"/>
    </row>
    <row r="12883" spans="1:1" x14ac:dyDescent="0.35">
      <c r="A12883" s="12"/>
    </row>
    <row r="12884" spans="1:1" x14ac:dyDescent="0.35">
      <c r="A12884" s="12"/>
    </row>
    <row r="12885" spans="1:1" x14ac:dyDescent="0.35">
      <c r="A12885" s="12"/>
    </row>
    <row r="12886" spans="1:1" x14ac:dyDescent="0.35">
      <c r="A12886" s="12"/>
    </row>
    <row r="12887" spans="1:1" x14ac:dyDescent="0.35">
      <c r="A12887" s="12"/>
    </row>
    <row r="12888" spans="1:1" x14ac:dyDescent="0.35">
      <c r="A12888" s="12"/>
    </row>
    <row r="12889" spans="1:1" x14ac:dyDescent="0.35">
      <c r="A12889" s="12"/>
    </row>
    <row r="12890" spans="1:1" x14ac:dyDescent="0.35">
      <c r="A12890" s="12"/>
    </row>
    <row r="12891" spans="1:1" x14ac:dyDescent="0.35">
      <c r="A12891" s="12"/>
    </row>
    <row r="12892" spans="1:1" x14ac:dyDescent="0.35">
      <c r="A12892" s="12"/>
    </row>
    <row r="12893" spans="1:1" x14ac:dyDescent="0.35">
      <c r="A12893" s="12"/>
    </row>
    <row r="12894" spans="1:1" x14ac:dyDescent="0.35">
      <c r="A12894" s="12"/>
    </row>
    <row r="12895" spans="1:1" x14ac:dyDescent="0.35">
      <c r="A12895" s="12"/>
    </row>
    <row r="12896" spans="1:1" x14ac:dyDescent="0.35">
      <c r="A12896" s="12"/>
    </row>
    <row r="12897" spans="1:1" x14ac:dyDescent="0.35">
      <c r="A12897" s="12"/>
    </row>
    <row r="12898" spans="1:1" x14ac:dyDescent="0.35">
      <c r="A12898" s="12"/>
    </row>
    <row r="12899" spans="1:1" x14ac:dyDescent="0.35">
      <c r="A12899" s="12"/>
    </row>
    <row r="12900" spans="1:1" x14ac:dyDescent="0.35">
      <c r="A12900" s="12"/>
    </row>
    <row r="12901" spans="1:1" x14ac:dyDescent="0.35">
      <c r="A12901" s="12"/>
    </row>
    <row r="12902" spans="1:1" x14ac:dyDescent="0.35">
      <c r="A12902" s="12"/>
    </row>
    <row r="12903" spans="1:1" x14ac:dyDescent="0.35">
      <c r="A12903" s="12"/>
    </row>
    <row r="12904" spans="1:1" x14ac:dyDescent="0.35">
      <c r="A12904" s="12"/>
    </row>
    <row r="12905" spans="1:1" x14ac:dyDescent="0.35">
      <c r="A12905" s="12"/>
    </row>
    <row r="12906" spans="1:1" x14ac:dyDescent="0.35">
      <c r="A12906" s="12"/>
    </row>
    <row r="12907" spans="1:1" x14ac:dyDescent="0.35">
      <c r="A12907" s="12"/>
    </row>
    <row r="12908" spans="1:1" x14ac:dyDescent="0.35">
      <c r="A12908" s="12"/>
    </row>
    <row r="12909" spans="1:1" x14ac:dyDescent="0.35">
      <c r="A12909" s="12"/>
    </row>
    <row r="12910" spans="1:1" x14ac:dyDescent="0.35">
      <c r="A12910" s="12"/>
    </row>
    <row r="12911" spans="1:1" x14ac:dyDescent="0.35">
      <c r="A12911" s="12"/>
    </row>
    <row r="12912" spans="1:1" x14ac:dyDescent="0.35">
      <c r="A12912" s="12"/>
    </row>
    <row r="12913" spans="1:1" x14ac:dyDescent="0.35">
      <c r="A12913" s="12"/>
    </row>
    <row r="12914" spans="1:1" x14ac:dyDescent="0.35">
      <c r="A12914" s="12"/>
    </row>
    <row r="12915" spans="1:1" x14ac:dyDescent="0.35">
      <c r="A12915" s="12"/>
    </row>
    <row r="12916" spans="1:1" x14ac:dyDescent="0.35">
      <c r="A12916" s="12"/>
    </row>
    <row r="12917" spans="1:1" x14ac:dyDescent="0.35">
      <c r="A12917" s="12"/>
    </row>
    <row r="12918" spans="1:1" x14ac:dyDescent="0.35">
      <c r="A12918" s="12"/>
    </row>
    <row r="12919" spans="1:1" x14ac:dyDescent="0.35">
      <c r="A12919" s="12"/>
    </row>
    <row r="12920" spans="1:1" x14ac:dyDescent="0.35">
      <c r="A12920" s="12"/>
    </row>
    <row r="12921" spans="1:1" x14ac:dyDescent="0.35">
      <c r="A12921" s="12"/>
    </row>
    <row r="12922" spans="1:1" x14ac:dyDescent="0.35">
      <c r="A12922" s="12"/>
    </row>
    <row r="12923" spans="1:1" x14ac:dyDescent="0.35">
      <c r="A12923" s="12"/>
    </row>
    <row r="12924" spans="1:1" x14ac:dyDescent="0.35">
      <c r="A12924" s="12"/>
    </row>
    <row r="12925" spans="1:1" x14ac:dyDescent="0.35">
      <c r="A12925" s="12"/>
    </row>
    <row r="12926" spans="1:1" x14ac:dyDescent="0.35">
      <c r="A12926" s="12"/>
    </row>
    <row r="12927" spans="1:1" x14ac:dyDescent="0.35">
      <c r="A12927" s="12"/>
    </row>
    <row r="12928" spans="1:1" x14ac:dyDescent="0.35">
      <c r="A12928" s="12"/>
    </row>
    <row r="12929" spans="1:1" x14ac:dyDescent="0.35">
      <c r="A12929" s="12"/>
    </row>
    <row r="12930" spans="1:1" x14ac:dyDescent="0.35">
      <c r="A12930" s="12"/>
    </row>
    <row r="12931" spans="1:1" x14ac:dyDescent="0.35">
      <c r="A12931" s="12"/>
    </row>
    <row r="12932" spans="1:1" x14ac:dyDescent="0.35">
      <c r="A12932" s="12"/>
    </row>
    <row r="12933" spans="1:1" x14ac:dyDescent="0.35">
      <c r="A12933" s="12"/>
    </row>
    <row r="12934" spans="1:1" x14ac:dyDescent="0.35">
      <c r="A12934" s="12"/>
    </row>
    <row r="12935" spans="1:1" x14ac:dyDescent="0.35">
      <c r="A12935" s="12"/>
    </row>
    <row r="12936" spans="1:1" x14ac:dyDescent="0.35">
      <c r="A12936" s="12"/>
    </row>
    <row r="12937" spans="1:1" x14ac:dyDescent="0.35">
      <c r="A12937" s="12"/>
    </row>
    <row r="12938" spans="1:1" x14ac:dyDescent="0.35">
      <c r="A12938" s="12"/>
    </row>
    <row r="12939" spans="1:1" x14ac:dyDescent="0.35">
      <c r="A12939" s="12"/>
    </row>
    <row r="12940" spans="1:1" x14ac:dyDescent="0.35">
      <c r="A12940" s="12"/>
    </row>
    <row r="12941" spans="1:1" x14ac:dyDescent="0.35">
      <c r="A12941" s="12"/>
    </row>
    <row r="12942" spans="1:1" x14ac:dyDescent="0.35">
      <c r="A12942" s="12"/>
    </row>
    <row r="12943" spans="1:1" x14ac:dyDescent="0.35">
      <c r="A12943" s="12"/>
    </row>
    <row r="12944" spans="1:1" x14ac:dyDescent="0.35">
      <c r="A12944" s="12"/>
    </row>
    <row r="12945" spans="1:1" x14ac:dyDescent="0.35">
      <c r="A12945" s="12"/>
    </row>
    <row r="12946" spans="1:1" x14ac:dyDescent="0.35">
      <c r="A12946" s="12"/>
    </row>
    <row r="12947" spans="1:1" x14ac:dyDescent="0.35">
      <c r="A12947" s="12"/>
    </row>
    <row r="12948" spans="1:1" x14ac:dyDescent="0.35">
      <c r="A12948" s="12"/>
    </row>
    <row r="12949" spans="1:1" x14ac:dyDescent="0.35">
      <c r="A12949" s="12"/>
    </row>
    <row r="12950" spans="1:1" x14ac:dyDescent="0.35">
      <c r="A12950" s="12"/>
    </row>
    <row r="12951" spans="1:1" x14ac:dyDescent="0.35">
      <c r="A12951" s="12"/>
    </row>
    <row r="12952" spans="1:1" x14ac:dyDescent="0.35">
      <c r="A12952" s="12"/>
    </row>
    <row r="12953" spans="1:1" x14ac:dyDescent="0.35">
      <c r="A12953" s="12"/>
    </row>
    <row r="12954" spans="1:1" x14ac:dyDescent="0.35">
      <c r="A12954" s="12"/>
    </row>
    <row r="12955" spans="1:1" x14ac:dyDescent="0.35">
      <c r="A12955" s="12"/>
    </row>
    <row r="12956" spans="1:1" x14ac:dyDescent="0.35">
      <c r="A12956" s="12"/>
    </row>
    <row r="12957" spans="1:1" x14ac:dyDescent="0.35">
      <c r="A12957" s="12"/>
    </row>
    <row r="12958" spans="1:1" x14ac:dyDescent="0.35">
      <c r="A12958" s="12"/>
    </row>
    <row r="12959" spans="1:1" x14ac:dyDescent="0.35">
      <c r="A12959" s="12"/>
    </row>
    <row r="12960" spans="1:1" x14ac:dyDescent="0.35">
      <c r="A12960" s="12"/>
    </row>
    <row r="12961" spans="1:1" x14ac:dyDescent="0.35">
      <c r="A12961" s="12"/>
    </row>
    <row r="12962" spans="1:1" x14ac:dyDescent="0.35">
      <c r="A12962" s="12"/>
    </row>
    <row r="12963" spans="1:1" x14ac:dyDescent="0.35">
      <c r="A12963" s="12"/>
    </row>
    <row r="12964" spans="1:1" x14ac:dyDescent="0.35">
      <c r="A12964" s="12"/>
    </row>
    <row r="12965" spans="1:1" x14ac:dyDescent="0.35">
      <c r="A12965" s="12"/>
    </row>
    <row r="12966" spans="1:1" x14ac:dyDescent="0.35">
      <c r="A12966" s="12"/>
    </row>
    <row r="12967" spans="1:1" x14ac:dyDescent="0.35">
      <c r="A12967" s="12"/>
    </row>
    <row r="12968" spans="1:1" x14ac:dyDescent="0.35">
      <c r="A12968" s="12"/>
    </row>
    <row r="12969" spans="1:1" x14ac:dyDescent="0.35">
      <c r="A12969" s="12"/>
    </row>
    <row r="12970" spans="1:1" x14ac:dyDescent="0.35">
      <c r="A12970" s="12"/>
    </row>
    <row r="12971" spans="1:1" x14ac:dyDescent="0.35">
      <c r="A12971" s="12"/>
    </row>
    <row r="12972" spans="1:1" x14ac:dyDescent="0.35">
      <c r="A12972" s="12"/>
    </row>
    <row r="12973" spans="1:1" x14ac:dyDescent="0.35">
      <c r="A12973" s="12"/>
    </row>
    <row r="12974" spans="1:1" x14ac:dyDescent="0.35">
      <c r="A12974" s="12"/>
    </row>
    <row r="12975" spans="1:1" x14ac:dyDescent="0.35">
      <c r="A12975" s="12"/>
    </row>
    <row r="12976" spans="1:1" x14ac:dyDescent="0.35">
      <c r="A12976" s="12"/>
    </row>
    <row r="12977" spans="1:1" x14ac:dyDescent="0.35">
      <c r="A12977" s="12"/>
    </row>
    <row r="12978" spans="1:1" x14ac:dyDescent="0.35">
      <c r="A12978" s="12"/>
    </row>
    <row r="12979" spans="1:1" x14ac:dyDescent="0.35">
      <c r="A12979" s="12"/>
    </row>
    <row r="12980" spans="1:1" x14ac:dyDescent="0.35">
      <c r="A12980" s="12"/>
    </row>
    <row r="12981" spans="1:1" x14ac:dyDescent="0.35">
      <c r="A12981" s="12"/>
    </row>
    <row r="12982" spans="1:1" x14ac:dyDescent="0.35">
      <c r="A12982" s="12"/>
    </row>
    <row r="12983" spans="1:1" x14ac:dyDescent="0.35">
      <c r="A12983" s="12"/>
    </row>
    <row r="12984" spans="1:1" x14ac:dyDescent="0.35">
      <c r="A12984" s="12"/>
    </row>
    <row r="12985" spans="1:1" x14ac:dyDescent="0.35">
      <c r="A12985" s="12"/>
    </row>
    <row r="12986" spans="1:1" x14ac:dyDescent="0.35">
      <c r="A12986" s="12"/>
    </row>
    <row r="12987" spans="1:1" x14ac:dyDescent="0.35">
      <c r="A12987" s="12"/>
    </row>
    <row r="12988" spans="1:1" x14ac:dyDescent="0.35">
      <c r="A12988" s="12"/>
    </row>
    <row r="12989" spans="1:1" x14ac:dyDescent="0.35">
      <c r="A12989" s="12"/>
    </row>
    <row r="12990" spans="1:1" x14ac:dyDescent="0.35">
      <c r="A12990" s="12"/>
    </row>
    <row r="12991" spans="1:1" x14ac:dyDescent="0.35">
      <c r="A12991" s="12"/>
    </row>
    <row r="12992" spans="1:1" x14ac:dyDescent="0.35">
      <c r="A12992" s="12"/>
    </row>
    <row r="12993" spans="1:1" x14ac:dyDescent="0.35">
      <c r="A12993" s="12"/>
    </row>
    <row r="12994" spans="1:1" x14ac:dyDescent="0.35">
      <c r="A12994" s="12"/>
    </row>
    <row r="12995" spans="1:1" x14ac:dyDescent="0.35">
      <c r="A12995" s="12"/>
    </row>
    <row r="12996" spans="1:1" x14ac:dyDescent="0.35">
      <c r="A12996" s="12"/>
    </row>
    <row r="12997" spans="1:1" x14ac:dyDescent="0.35">
      <c r="A12997" s="12"/>
    </row>
    <row r="12998" spans="1:1" x14ac:dyDescent="0.35">
      <c r="A12998" s="12"/>
    </row>
    <row r="12999" spans="1:1" x14ac:dyDescent="0.35">
      <c r="A12999" s="12"/>
    </row>
    <row r="13000" spans="1:1" x14ac:dyDescent="0.35">
      <c r="A13000" s="12"/>
    </row>
    <row r="13001" spans="1:1" x14ac:dyDescent="0.35">
      <c r="A13001" s="12"/>
    </row>
    <row r="13002" spans="1:1" x14ac:dyDescent="0.35">
      <c r="A13002" s="12"/>
    </row>
    <row r="13003" spans="1:1" x14ac:dyDescent="0.35">
      <c r="A13003" s="12"/>
    </row>
    <row r="13004" spans="1:1" x14ac:dyDescent="0.35">
      <c r="A13004" s="12"/>
    </row>
    <row r="13005" spans="1:1" x14ac:dyDescent="0.35">
      <c r="A13005" s="12"/>
    </row>
    <row r="13006" spans="1:1" x14ac:dyDescent="0.35">
      <c r="A13006" s="12"/>
    </row>
    <row r="13007" spans="1:1" x14ac:dyDescent="0.35">
      <c r="A13007" s="12"/>
    </row>
    <row r="13008" spans="1:1" x14ac:dyDescent="0.35">
      <c r="A13008" s="12"/>
    </row>
    <row r="13009" spans="1:1" x14ac:dyDescent="0.35">
      <c r="A13009" s="12"/>
    </row>
    <row r="13010" spans="1:1" x14ac:dyDescent="0.35">
      <c r="A13010" s="12"/>
    </row>
    <row r="13011" spans="1:1" x14ac:dyDescent="0.35">
      <c r="A13011" s="12"/>
    </row>
    <row r="13012" spans="1:1" x14ac:dyDescent="0.35">
      <c r="A13012" s="12"/>
    </row>
    <row r="13013" spans="1:1" x14ac:dyDescent="0.35">
      <c r="A13013" s="12"/>
    </row>
    <row r="13014" spans="1:1" x14ac:dyDescent="0.35">
      <c r="A13014" s="12"/>
    </row>
    <row r="13015" spans="1:1" x14ac:dyDescent="0.35">
      <c r="A13015" s="12"/>
    </row>
    <row r="13016" spans="1:1" x14ac:dyDescent="0.35">
      <c r="A13016" s="12"/>
    </row>
    <row r="13017" spans="1:1" x14ac:dyDescent="0.35">
      <c r="A13017" s="12"/>
    </row>
    <row r="13018" spans="1:1" x14ac:dyDescent="0.35">
      <c r="A13018" s="12"/>
    </row>
    <row r="13019" spans="1:1" x14ac:dyDescent="0.35">
      <c r="A13019" s="12"/>
    </row>
    <row r="13020" spans="1:1" x14ac:dyDescent="0.35">
      <c r="A13020" s="12"/>
    </row>
    <row r="13021" spans="1:1" x14ac:dyDescent="0.35">
      <c r="A13021" s="12"/>
    </row>
    <row r="13022" spans="1:1" x14ac:dyDescent="0.35">
      <c r="A13022" s="12"/>
    </row>
    <row r="13023" spans="1:1" x14ac:dyDescent="0.35">
      <c r="A13023" s="12"/>
    </row>
    <row r="13024" spans="1:1" x14ac:dyDescent="0.35">
      <c r="A13024" s="12"/>
    </row>
    <row r="13025" spans="1:1" x14ac:dyDescent="0.35">
      <c r="A13025" s="12"/>
    </row>
    <row r="13026" spans="1:1" x14ac:dyDescent="0.35">
      <c r="A13026" s="12"/>
    </row>
    <row r="13027" spans="1:1" x14ac:dyDescent="0.35">
      <c r="A13027" s="12"/>
    </row>
    <row r="13028" spans="1:1" x14ac:dyDescent="0.35">
      <c r="A13028" s="12"/>
    </row>
    <row r="13029" spans="1:1" x14ac:dyDescent="0.35">
      <c r="A13029" s="12"/>
    </row>
    <row r="13030" spans="1:1" x14ac:dyDescent="0.35">
      <c r="A13030" s="12"/>
    </row>
    <row r="13031" spans="1:1" x14ac:dyDescent="0.35">
      <c r="A13031" s="12"/>
    </row>
    <row r="13032" spans="1:1" x14ac:dyDescent="0.35">
      <c r="A13032" s="12"/>
    </row>
    <row r="13033" spans="1:1" x14ac:dyDescent="0.35">
      <c r="A13033" s="12"/>
    </row>
    <row r="13034" spans="1:1" x14ac:dyDescent="0.35">
      <c r="A13034" s="12"/>
    </row>
    <row r="13035" spans="1:1" x14ac:dyDescent="0.35">
      <c r="A13035" s="12"/>
    </row>
    <row r="13036" spans="1:1" x14ac:dyDescent="0.35">
      <c r="A13036" s="12"/>
    </row>
    <row r="13037" spans="1:1" x14ac:dyDescent="0.35">
      <c r="A13037" s="12"/>
    </row>
    <row r="13038" spans="1:1" x14ac:dyDescent="0.35">
      <c r="A13038" s="12"/>
    </row>
    <row r="13039" spans="1:1" x14ac:dyDescent="0.35">
      <c r="A13039" s="12"/>
    </row>
    <row r="13040" spans="1:1" x14ac:dyDescent="0.35">
      <c r="A13040" s="12"/>
    </row>
    <row r="13041" spans="1:1" x14ac:dyDescent="0.35">
      <c r="A13041" s="12"/>
    </row>
    <row r="13042" spans="1:1" x14ac:dyDescent="0.35">
      <c r="A13042" s="12"/>
    </row>
    <row r="13043" spans="1:1" x14ac:dyDescent="0.35">
      <c r="A13043" s="12"/>
    </row>
    <row r="13044" spans="1:1" x14ac:dyDescent="0.35">
      <c r="A13044" s="12"/>
    </row>
    <row r="13045" spans="1:1" x14ac:dyDescent="0.35">
      <c r="A13045" s="12"/>
    </row>
    <row r="13046" spans="1:1" x14ac:dyDescent="0.35">
      <c r="A13046" s="12"/>
    </row>
    <row r="13047" spans="1:1" x14ac:dyDescent="0.35">
      <c r="A13047" s="12"/>
    </row>
    <row r="13048" spans="1:1" x14ac:dyDescent="0.35">
      <c r="A13048" s="12"/>
    </row>
    <row r="13049" spans="1:1" x14ac:dyDescent="0.35">
      <c r="A13049" s="12"/>
    </row>
    <row r="13050" spans="1:1" x14ac:dyDescent="0.35">
      <c r="A13050" s="12"/>
    </row>
    <row r="13051" spans="1:1" x14ac:dyDescent="0.35">
      <c r="A13051" s="12"/>
    </row>
    <row r="13052" spans="1:1" x14ac:dyDescent="0.35">
      <c r="A13052" s="12"/>
    </row>
    <row r="13053" spans="1:1" x14ac:dyDescent="0.35">
      <c r="A13053" s="12"/>
    </row>
    <row r="13054" spans="1:1" x14ac:dyDescent="0.35">
      <c r="A13054" s="12"/>
    </row>
    <row r="13055" spans="1:1" x14ac:dyDescent="0.35">
      <c r="A13055" s="12"/>
    </row>
    <row r="13056" spans="1:1" x14ac:dyDescent="0.35">
      <c r="A13056" s="12"/>
    </row>
    <row r="13057" spans="1:1" x14ac:dyDescent="0.35">
      <c r="A13057" s="12"/>
    </row>
    <row r="13058" spans="1:1" x14ac:dyDescent="0.35">
      <c r="A13058" s="12"/>
    </row>
    <row r="13059" spans="1:1" x14ac:dyDescent="0.35">
      <c r="A13059" s="12"/>
    </row>
    <row r="13060" spans="1:1" x14ac:dyDescent="0.35">
      <c r="A13060" s="12"/>
    </row>
    <row r="13061" spans="1:1" x14ac:dyDescent="0.35">
      <c r="A13061" s="12"/>
    </row>
    <row r="13062" spans="1:1" x14ac:dyDescent="0.35">
      <c r="A13062" s="12"/>
    </row>
    <row r="13063" spans="1:1" x14ac:dyDescent="0.35">
      <c r="A13063" s="12"/>
    </row>
    <row r="13064" spans="1:1" x14ac:dyDescent="0.35">
      <c r="A13064" s="12"/>
    </row>
    <row r="13065" spans="1:1" x14ac:dyDescent="0.35">
      <c r="A13065" s="12"/>
    </row>
    <row r="13066" spans="1:1" x14ac:dyDescent="0.35">
      <c r="A13066" s="12"/>
    </row>
    <row r="13067" spans="1:1" x14ac:dyDescent="0.35">
      <c r="A13067" s="12"/>
    </row>
    <row r="13068" spans="1:1" x14ac:dyDescent="0.35">
      <c r="A13068" s="12"/>
    </row>
    <row r="13069" spans="1:1" x14ac:dyDescent="0.35">
      <c r="A13069" s="12"/>
    </row>
    <row r="13070" spans="1:1" x14ac:dyDescent="0.35">
      <c r="A13070" s="12"/>
    </row>
    <row r="13071" spans="1:1" x14ac:dyDescent="0.35">
      <c r="A13071" s="12"/>
    </row>
    <row r="13072" spans="1:1" x14ac:dyDescent="0.35">
      <c r="A13072" s="12"/>
    </row>
    <row r="13073" spans="1:1" x14ac:dyDescent="0.35">
      <c r="A13073" s="12"/>
    </row>
    <row r="13074" spans="1:1" x14ac:dyDescent="0.35">
      <c r="A13074" s="12"/>
    </row>
    <row r="13075" spans="1:1" x14ac:dyDescent="0.35">
      <c r="A13075" s="12"/>
    </row>
    <row r="13076" spans="1:1" x14ac:dyDescent="0.35">
      <c r="A13076" s="12"/>
    </row>
    <row r="13077" spans="1:1" x14ac:dyDescent="0.35">
      <c r="A13077" s="12"/>
    </row>
    <row r="13078" spans="1:1" x14ac:dyDescent="0.35">
      <c r="A13078" s="12"/>
    </row>
    <row r="13079" spans="1:1" x14ac:dyDescent="0.35">
      <c r="A13079" s="12"/>
    </row>
    <row r="13080" spans="1:1" x14ac:dyDescent="0.35">
      <c r="A13080" s="12"/>
    </row>
    <row r="13081" spans="1:1" x14ac:dyDescent="0.35">
      <c r="A13081" s="12"/>
    </row>
    <row r="13082" spans="1:1" x14ac:dyDescent="0.35">
      <c r="A13082" s="12"/>
    </row>
    <row r="13083" spans="1:1" x14ac:dyDescent="0.35">
      <c r="A13083" s="12"/>
    </row>
    <row r="13084" spans="1:1" x14ac:dyDescent="0.35">
      <c r="A13084" s="12"/>
    </row>
    <row r="13085" spans="1:1" x14ac:dyDescent="0.35">
      <c r="A13085" s="12"/>
    </row>
    <row r="13086" spans="1:1" x14ac:dyDescent="0.35">
      <c r="A13086" s="12"/>
    </row>
    <row r="13087" spans="1:1" x14ac:dyDescent="0.35">
      <c r="A13087" s="12"/>
    </row>
    <row r="13088" spans="1:1" x14ac:dyDescent="0.35">
      <c r="A13088" s="12"/>
    </row>
    <row r="13089" spans="1:1" x14ac:dyDescent="0.35">
      <c r="A13089" s="12"/>
    </row>
    <row r="13090" spans="1:1" x14ac:dyDescent="0.35">
      <c r="A13090" s="12"/>
    </row>
    <row r="13091" spans="1:1" x14ac:dyDescent="0.35">
      <c r="A13091" s="12"/>
    </row>
    <row r="13092" spans="1:1" x14ac:dyDescent="0.35">
      <c r="A13092" s="12"/>
    </row>
    <row r="13093" spans="1:1" x14ac:dyDescent="0.35">
      <c r="A13093" s="12"/>
    </row>
    <row r="13094" spans="1:1" x14ac:dyDescent="0.35">
      <c r="A13094" s="12"/>
    </row>
    <row r="13095" spans="1:1" x14ac:dyDescent="0.35">
      <c r="A13095" s="12"/>
    </row>
    <row r="13096" spans="1:1" x14ac:dyDescent="0.35">
      <c r="A13096" s="12"/>
    </row>
    <row r="13097" spans="1:1" x14ac:dyDescent="0.35">
      <c r="A13097" s="12"/>
    </row>
    <row r="13098" spans="1:1" x14ac:dyDescent="0.35">
      <c r="A13098" s="12"/>
    </row>
    <row r="13099" spans="1:1" x14ac:dyDescent="0.35">
      <c r="A13099" s="12"/>
    </row>
    <row r="13100" spans="1:1" x14ac:dyDescent="0.35">
      <c r="A13100" s="12"/>
    </row>
    <row r="13101" spans="1:1" x14ac:dyDescent="0.35">
      <c r="A13101" s="12"/>
    </row>
    <row r="13102" spans="1:1" x14ac:dyDescent="0.35">
      <c r="A13102" s="12"/>
    </row>
    <row r="13103" spans="1:1" x14ac:dyDescent="0.35">
      <c r="A13103" s="12"/>
    </row>
    <row r="13104" spans="1:1" x14ac:dyDescent="0.35">
      <c r="A13104" s="12"/>
    </row>
    <row r="13105" spans="1:1" x14ac:dyDescent="0.35">
      <c r="A13105" s="12"/>
    </row>
    <row r="13106" spans="1:1" x14ac:dyDescent="0.35">
      <c r="A13106" s="12"/>
    </row>
    <row r="13107" spans="1:1" x14ac:dyDescent="0.35">
      <c r="A13107" s="12"/>
    </row>
    <row r="13108" spans="1:1" x14ac:dyDescent="0.35">
      <c r="A13108" s="12"/>
    </row>
    <row r="13109" spans="1:1" x14ac:dyDescent="0.35">
      <c r="A13109" s="12"/>
    </row>
    <row r="13110" spans="1:1" x14ac:dyDescent="0.35">
      <c r="A13110" s="12"/>
    </row>
    <row r="13111" spans="1:1" x14ac:dyDescent="0.35">
      <c r="A13111" s="12"/>
    </row>
    <row r="13112" spans="1:1" x14ac:dyDescent="0.35">
      <c r="A13112" s="12"/>
    </row>
    <row r="13113" spans="1:1" x14ac:dyDescent="0.35">
      <c r="A13113" s="12"/>
    </row>
    <row r="13114" spans="1:1" x14ac:dyDescent="0.35">
      <c r="A13114" s="12"/>
    </row>
    <row r="13115" spans="1:1" x14ac:dyDescent="0.35">
      <c r="A13115" s="12"/>
    </row>
    <row r="13116" spans="1:1" x14ac:dyDescent="0.35">
      <c r="A13116" s="12"/>
    </row>
    <row r="13117" spans="1:1" x14ac:dyDescent="0.35">
      <c r="A13117" s="12"/>
    </row>
    <row r="13118" spans="1:1" x14ac:dyDescent="0.35">
      <c r="A13118" s="12"/>
    </row>
    <row r="13119" spans="1:1" x14ac:dyDescent="0.35">
      <c r="A13119" s="12"/>
    </row>
    <row r="13120" spans="1:1" x14ac:dyDescent="0.35">
      <c r="A13120" s="12"/>
    </row>
    <row r="13121" spans="1:1" x14ac:dyDescent="0.35">
      <c r="A13121" s="12"/>
    </row>
    <row r="13122" spans="1:1" x14ac:dyDescent="0.35">
      <c r="A13122" s="12"/>
    </row>
    <row r="13123" spans="1:1" x14ac:dyDescent="0.35">
      <c r="A13123" s="12"/>
    </row>
    <row r="13124" spans="1:1" x14ac:dyDescent="0.35">
      <c r="A13124" s="12"/>
    </row>
    <row r="13125" spans="1:1" x14ac:dyDescent="0.35">
      <c r="A13125" s="12"/>
    </row>
    <row r="13126" spans="1:1" x14ac:dyDescent="0.35">
      <c r="A13126" s="12"/>
    </row>
    <row r="13127" spans="1:1" x14ac:dyDescent="0.35">
      <c r="A13127" s="12"/>
    </row>
    <row r="13128" spans="1:1" x14ac:dyDescent="0.35">
      <c r="A13128" s="12"/>
    </row>
    <row r="13129" spans="1:1" x14ac:dyDescent="0.35">
      <c r="A13129" s="12"/>
    </row>
    <row r="13130" spans="1:1" x14ac:dyDescent="0.35">
      <c r="A13130" s="12"/>
    </row>
    <row r="13131" spans="1:1" x14ac:dyDescent="0.35">
      <c r="A13131" s="12"/>
    </row>
    <row r="13132" spans="1:1" x14ac:dyDescent="0.35">
      <c r="A13132" s="12"/>
    </row>
    <row r="13133" spans="1:1" x14ac:dyDescent="0.35">
      <c r="A13133" s="12"/>
    </row>
    <row r="13134" spans="1:1" x14ac:dyDescent="0.35">
      <c r="A13134" s="12"/>
    </row>
    <row r="13135" spans="1:1" x14ac:dyDescent="0.35">
      <c r="A13135" s="12"/>
    </row>
    <row r="13136" spans="1:1" x14ac:dyDescent="0.35">
      <c r="A13136" s="12"/>
    </row>
    <row r="13137" spans="1:1" x14ac:dyDescent="0.35">
      <c r="A13137" s="12"/>
    </row>
    <row r="13138" spans="1:1" x14ac:dyDescent="0.35">
      <c r="A13138" s="12"/>
    </row>
    <row r="13139" spans="1:1" x14ac:dyDescent="0.35">
      <c r="A13139" s="12"/>
    </row>
    <row r="13140" spans="1:1" x14ac:dyDescent="0.35">
      <c r="A13140" s="12"/>
    </row>
    <row r="13141" spans="1:1" x14ac:dyDescent="0.35">
      <c r="A13141" s="12"/>
    </row>
    <row r="13142" spans="1:1" x14ac:dyDescent="0.35">
      <c r="A13142" s="12"/>
    </row>
    <row r="13143" spans="1:1" x14ac:dyDescent="0.35">
      <c r="A13143" s="12"/>
    </row>
    <row r="13144" spans="1:1" x14ac:dyDescent="0.35">
      <c r="A13144" s="12"/>
    </row>
    <row r="13145" spans="1:1" x14ac:dyDescent="0.35">
      <c r="A13145" s="12"/>
    </row>
    <row r="13146" spans="1:1" x14ac:dyDescent="0.35">
      <c r="A13146" s="12"/>
    </row>
    <row r="13147" spans="1:1" x14ac:dyDescent="0.35">
      <c r="A13147" s="12"/>
    </row>
    <row r="13148" spans="1:1" x14ac:dyDescent="0.35">
      <c r="A13148" s="12"/>
    </row>
    <row r="13149" spans="1:1" x14ac:dyDescent="0.35">
      <c r="A13149" s="12"/>
    </row>
    <row r="13150" spans="1:1" x14ac:dyDescent="0.35">
      <c r="A13150" s="12"/>
    </row>
    <row r="13151" spans="1:1" x14ac:dyDescent="0.35">
      <c r="A13151" s="12"/>
    </row>
    <row r="13152" spans="1:1" x14ac:dyDescent="0.35">
      <c r="A13152" s="12"/>
    </row>
    <row r="13153" spans="1:1" x14ac:dyDescent="0.35">
      <c r="A13153" s="12"/>
    </row>
    <row r="13154" spans="1:1" x14ac:dyDescent="0.35">
      <c r="A13154" s="12"/>
    </row>
    <row r="13155" spans="1:1" x14ac:dyDescent="0.35">
      <c r="A13155" s="12"/>
    </row>
    <row r="13156" spans="1:1" x14ac:dyDescent="0.35">
      <c r="A13156" s="12"/>
    </row>
    <row r="13157" spans="1:1" x14ac:dyDescent="0.35">
      <c r="A13157" s="12"/>
    </row>
    <row r="13158" spans="1:1" x14ac:dyDescent="0.35">
      <c r="A13158" s="12"/>
    </row>
    <row r="13159" spans="1:1" x14ac:dyDescent="0.35">
      <c r="A13159" s="12"/>
    </row>
    <row r="13160" spans="1:1" x14ac:dyDescent="0.35">
      <c r="A13160" s="12"/>
    </row>
    <row r="13161" spans="1:1" x14ac:dyDescent="0.35">
      <c r="A13161" s="12"/>
    </row>
    <row r="13162" spans="1:1" x14ac:dyDescent="0.35">
      <c r="A13162" s="12"/>
    </row>
    <row r="13163" spans="1:1" x14ac:dyDescent="0.35">
      <c r="A13163" s="12"/>
    </row>
    <row r="13164" spans="1:1" x14ac:dyDescent="0.35">
      <c r="A13164" s="12"/>
    </row>
    <row r="13165" spans="1:1" x14ac:dyDescent="0.35">
      <c r="A13165" s="12"/>
    </row>
    <row r="13166" spans="1:1" x14ac:dyDescent="0.35">
      <c r="A13166" s="12"/>
    </row>
    <row r="13167" spans="1:1" x14ac:dyDescent="0.35">
      <c r="A13167" s="12"/>
    </row>
    <row r="13168" spans="1:1" x14ac:dyDescent="0.35">
      <c r="A13168" s="12"/>
    </row>
    <row r="13169" spans="1:1" x14ac:dyDescent="0.35">
      <c r="A13169" s="12"/>
    </row>
    <row r="13170" spans="1:1" x14ac:dyDescent="0.35">
      <c r="A13170" s="12"/>
    </row>
    <row r="13171" spans="1:1" x14ac:dyDescent="0.35">
      <c r="A13171" s="12"/>
    </row>
    <row r="13172" spans="1:1" x14ac:dyDescent="0.35">
      <c r="A13172" s="12"/>
    </row>
    <row r="13173" spans="1:1" x14ac:dyDescent="0.35">
      <c r="A13173" s="12"/>
    </row>
    <row r="13174" spans="1:1" x14ac:dyDescent="0.35">
      <c r="A13174" s="12"/>
    </row>
    <row r="13175" spans="1:1" x14ac:dyDescent="0.35">
      <c r="A13175" s="12"/>
    </row>
    <row r="13176" spans="1:1" x14ac:dyDescent="0.35">
      <c r="A13176" s="12"/>
    </row>
    <row r="13177" spans="1:1" x14ac:dyDescent="0.35">
      <c r="A13177" s="12"/>
    </row>
    <row r="13178" spans="1:1" x14ac:dyDescent="0.35">
      <c r="A13178" s="12"/>
    </row>
    <row r="13179" spans="1:1" x14ac:dyDescent="0.35">
      <c r="A13179" s="12"/>
    </row>
    <row r="13180" spans="1:1" x14ac:dyDescent="0.35">
      <c r="A13180" s="12"/>
    </row>
    <row r="13181" spans="1:1" x14ac:dyDescent="0.35">
      <c r="A13181" s="12"/>
    </row>
    <row r="13182" spans="1:1" x14ac:dyDescent="0.35">
      <c r="A13182" s="12"/>
    </row>
    <row r="13183" spans="1:1" x14ac:dyDescent="0.35">
      <c r="A13183" s="12"/>
    </row>
    <row r="13184" spans="1:1" x14ac:dyDescent="0.35">
      <c r="A13184" s="12"/>
    </row>
    <row r="13185" spans="1:1" x14ac:dyDescent="0.35">
      <c r="A13185" s="12"/>
    </row>
    <row r="13186" spans="1:1" x14ac:dyDescent="0.35">
      <c r="A13186" s="12"/>
    </row>
    <row r="13187" spans="1:1" x14ac:dyDescent="0.35">
      <c r="A13187" s="12"/>
    </row>
    <row r="13188" spans="1:1" x14ac:dyDescent="0.35">
      <c r="A13188" s="12"/>
    </row>
    <row r="13189" spans="1:1" x14ac:dyDescent="0.35">
      <c r="A13189" s="12"/>
    </row>
    <row r="13190" spans="1:1" x14ac:dyDescent="0.35">
      <c r="A13190" s="12"/>
    </row>
    <row r="13191" spans="1:1" x14ac:dyDescent="0.35">
      <c r="A13191" s="12"/>
    </row>
    <row r="13192" spans="1:1" x14ac:dyDescent="0.35">
      <c r="A13192" s="12"/>
    </row>
    <row r="13193" spans="1:1" x14ac:dyDescent="0.35">
      <c r="A13193" s="12"/>
    </row>
    <row r="13194" spans="1:1" x14ac:dyDescent="0.35">
      <c r="A13194" s="12"/>
    </row>
    <row r="13195" spans="1:1" x14ac:dyDescent="0.35">
      <c r="A13195" s="12"/>
    </row>
    <row r="13196" spans="1:1" x14ac:dyDescent="0.35">
      <c r="A13196" s="12"/>
    </row>
    <row r="13197" spans="1:1" x14ac:dyDescent="0.35">
      <c r="A13197" s="12"/>
    </row>
    <row r="13198" spans="1:1" x14ac:dyDescent="0.35">
      <c r="A13198" s="12"/>
    </row>
    <row r="13199" spans="1:1" x14ac:dyDescent="0.35">
      <c r="A13199" s="12"/>
    </row>
    <row r="13200" spans="1:1" x14ac:dyDescent="0.35">
      <c r="A13200" s="12"/>
    </row>
    <row r="13201" spans="1:1" x14ac:dyDescent="0.35">
      <c r="A13201" s="12"/>
    </row>
    <row r="13202" spans="1:1" x14ac:dyDescent="0.35">
      <c r="A13202" s="12"/>
    </row>
    <row r="13203" spans="1:1" x14ac:dyDescent="0.35">
      <c r="A13203" s="12"/>
    </row>
    <row r="13204" spans="1:1" x14ac:dyDescent="0.35">
      <c r="A13204" s="12"/>
    </row>
    <row r="13205" spans="1:1" x14ac:dyDescent="0.35">
      <c r="A13205" s="12"/>
    </row>
    <row r="13206" spans="1:1" x14ac:dyDescent="0.35">
      <c r="A13206" s="12"/>
    </row>
    <row r="13207" spans="1:1" x14ac:dyDescent="0.35">
      <c r="A13207" s="12"/>
    </row>
    <row r="13208" spans="1:1" x14ac:dyDescent="0.35">
      <c r="A13208" s="12"/>
    </row>
    <row r="13209" spans="1:1" x14ac:dyDescent="0.35">
      <c r="A13209" s="12"/>
    </row>
    <row r="13210" spans="1:1" x14ac:dyDescent="0.35">
      <c r="A13210" s="12"/>
    </row>
    <row r="13211" spans="1:1" x14ac:dyDescent="0.35">
      <c r="A13211" s="12"/>
    </row>
    <row r="13212" spans="1:1" x14ac:dyDescent="0.35">
      <c r="A13212" s="12"/>
    </row>
    <row r="13213" spans="1:1" x14ac:dyDescent="0.35">
      <c r="A13213" s="12"/>
    </row>
    <row r="13214" spans="1:1" x14ac:dyDescent="0.35">
      <c r="A13214" s="12"/>
    </row>
    <row r="13215" spans="1:1" x14ac:dyDescent="0.35">
      <c r="A13215" s="12"/>
    </row>
    <row r="13216" spans="1:1" x14ac:dyDescent="0.35">
      <c r="A13216" s="12"/>
    </row>
    <row r="13217" spans="1:1" x14ac:dyDescent="0.35">
      <c r="A13217" s="12"/>
    </row>
    <row r="13218" spans="1:1" x14ac:dyDescent="0.35">
      <c r="A13218" s="12"/>
    </row>
    <row r="13219" spans="1:1" x14ac:dyDescent="0.35">
      <c r="A13219" s="12"/>
    </row>
    <row r="13220" spans="1:1" x14ac:dyDescent="0.35">
      <c r="A13220" s="12"/>
    </row>
    <row r="13221" spans="1:1" x14ac:dyDescent="0.35">
      <c r="A13221" s="12"/>
    </row>
    <row r="13222" spans="1:1" x14ac:dyDescent="0.35">
      <c r="A13222" s="12"/>
    </row>
    <row r="13223" spans="1:1" x14ac:dyDescent="0.35">
      <c r="A13223" s="12"/>
    </row>
    <row r="13224" spans="1:1" x14ac:dyDescent="0.35">
      <c r="A13224" s="12"/>
    </row>
    <row r="13225" spans="1:1" x14ac:dyDescent="0.35">
      <c r="A13225" s="12"/>
    </row>
    <row r="13226" spans="1:1" x14ac:dyDescent="0.35">
      <c r="A13226" s="12"/>
    </row>
    <row r="13227" spans="1:1" x14ac:dyDescent="0.35">
      <c r="A13227" s="12"/>
    </row>
    <row r="13228" spans="1:1" x14ac:dyDescent="0.35">
      <c r="A13228" s="12"/>
    </row>
    <row r="13229" spans="1:1" x14ac:dyDescent="0.35">
      <c r="A13229" s="12"/>
    </row>
    <row r="13230" spans="1:1" x14ac:dyDescent="0.35">
      <c r="A13230" s="12"/>
    </row>
    <row r="13231" spans="1:1" x14ac:dyDescent="0.35">
      <c r="A13231" s="12"/>
    </row>
    <row r="13232" spans="1:1" x14ac:dyDescent="0.35">
      <c r="A13232" s="12"/>
    </row>
    <row r="13233" spans="1:1" x14ac:dyDescent="0.35">
      <c r="A13233" s="12"/>
    </row>
    <row r="13234" spans="1:1" x14ac:dyDescent="0.35">
      <c r="A13234" s="12"/>
    </row>
    <row r="13235" spans="1:1" x14ac:dyDescent="0.35">
      <c r="A13235" s="12"/>
    </row>
    <row r="13236" spans="1:1" x14ac:dyDescent="0.35">
      <c r="A13236" s="12"/>
    </row>
    <row r="13237" spans="1:1" x14ac:dyDescent="0.35">
      <c r="A13237" s="12"/>
    </row>
    <row r="13238" spans="1:1" x14ac:dyDescent="0.35">
      <c r="A13238" s="12"/>
    </row>
    <row r="13239" spans="1:1" x14ac:dyDescent="0.35">
      <c r="A13239" s="12"/>
    </row>
    <row r="13240" spans="1:1" x14ac:dyDescent="0.35">
      <c r="A13240" s="12"/>
    </row>
    <row r="13241" spans="1:1" x14ac:dyDescent="0.35">
      <c r="A13241" s="12"/>
    </row>
    <row r="13242" spans="1:1" x14ac:dyDescent="0.35">
      <c r="A13242" s="12"/>
    </row>
    <row r="13243" spans="1:1" x14ac:dyDescent="0.35">
      <c r="A13243" s="12"/>
    </row>
    <row r="13244" spans="1:1" x14ac:dyDescent="0.35">
      <c r="A13244" s="12"/>
    </row>
    <row r="13245" spans="1:1" x14ac:dyDescent="0.35">
      <c r="A13245" s="12"/>
    </row>
    <row r="13246" spans="1:1" x14ac:dyDescent="0.35">
      <c r="A13246" s="12"/>
    </row>
    <row r="13247" spans="1:1" x14ac:dyDescent="0.35">
      <c r="A13247" s="12"/>
    </row>
    <row r="13248" spans="1:1" x14ac:dyDescent="0.35">
      <c r="A13248" s="12"/>
    </row>
    <row r="13249" spans="1:1" x14ac:dyDescent="0.35">
      <c r="A13249" s="12"/>
    </row>
    <row r="13250" spans="1:1" x14ac:dyDescent="0.35">
      <c r="A13250" s="12"/>
    </row>
    <row r="13251" spans="1:1" x14ac:dyDescent="0.35">
      <c r="A13251" s="12"/>
    </row>
    <row r="13252" spans="1:1" x14ac:dyDescent="0.35">
      <c r="A13252" s="12"/>
    </row>
    <row r="13253" spans="1:1" x14ac:dyDescent="0.35">
      <c r="A13253" s="12"/>
    </row>
    <row r="13254" spans="1:1" x14ac:dyDescent="0.35">
      <c r="A13254" s="12"/>
    </row>
    <row r="13255" spans="1:1" x14ac:dyDescent="0.35">
      <c r="A13255" s="12"/>
    </row>
    <row r="13256" spans="1:1" x14ac:dyDescent="0.35">
      <c r="A13256" s="12"/>
    </row>
    <row r="13257" spans="1:1" x14ac:dyDescent="0.35">
      <c r="A13257" s="12"/>
    </row>
    <row r="13258" spans="1:1" x14ac:dyDescent="0.35">
      <c r="A13258" s="12"/>
    </row>
    <row r="13259" spans="1:1" x14ac:dyDescent="0.35">
      <c r="A13259" s="12"/>
    </row>
    <row r="13260" spans="1:1" x14ac:dyDescent="0.35">
      <c r="A13260" s="12"/>
    </row>
    <row r="13261" spans="1:1" x14ac:dyDescent="0.35">
      <c r="A13261" s="12"/>
    </row>
    <row r="13262" spans="1:1" x14ac:dyDescent="0.35">
      <c r="A13262" s="12"/>
    </row>
    <row r="13263" spans="1:1" x14ac:dyDescent="0.35">
      <c r="A13263" s="12"/>
    </row>
    <row r="13264" spans="1:1" x14ac:dyDescent="0.35">
      <c r="A13264" s="12"/>
    </row>
    <row r="13265" spans="1:1" x14ac:dyDescent="0.35">
      <c r="A13265" s="12"/>
    </row>
    <row r="13266" spans="1:1" x14ac:dyDescent="0.35">
      <c r="A13266" s="12"/>
    </row>
    <row r="13267" spans="1:1" x14ac:dyDescent="0.35">
      <c r="A13267" s="12"/>
    </row>
    <row r="13268" spans="1:1" x14ac:dyDescent="0.35">
      <c r="A13268" s="12"/>
    </row>
    <row r="13269" spans="1:1" x14ac:dyDescent="0.35">
      <c r="A13269" s="12"/>
    </row>
    <row r="13270" spans="1:1" x14ac:dyDescent="0.35">
      <c r="A13270" s="12"/>
    </row>
    <row r="13271" spans="1:1" x14ac:dyDescent="0.35">
      <c r="A13271" s="12"/>
    </row>
    <row r="13272" spans="1:1" x14ac:dyDescent="0.35">
      <c r="A13272" s="12"/>
    </row>
    <row r="13273" spans="1:1" x14ac:dyDescent="0.35">
      <c r="A13273" s="12"/>
    </row>
    <row r="13274" spans="1:1" x14ac:dyDescent="0.35">
      <c r="A13274" s="12"/>
    </row>
    <row r="13275" spans="1:1" x14ac:dyDescent="0.35">
      <c r="A13275" s="12"/>
    </row>
    <row r="13276" spans="1:1" x14ac:dyDescent="0.35">
      <c r="A13276" s="12"/>
    </row>
    <row r="13277" spans="1:1" x14ac:dyDescent="0.35">
      <c r="A13277" s="12"/>
    </row>
    <row r="13278" spans="1:1" x14ac:dyDescent="0.35">
      <c r="A13278" s="12"/>
    </row>
    <row r="13279" spans="1:1" x14ac:dyDescent="0.35">
      <c r="A13279" s="12"/>
    </row>
    <row r="13280" spans="1:1" x14ac:dyDescent="0.35">
      <c r="A13280" s="12"/>
    </row>
    <row r="13281" spans="1:1" x14ac:dyDescent="0.35">
      <c r="A13281" s="12"/>
    </row>
    <row r="13282" spans="1:1" x14ac:dyDescent="0.35">
      <c r="A13282" s="12"/>
    </row>
    <row r="13283" spans="1:1" x14ac:dyDescent="0.35">
      <c r="A13283" s="12"/>
    </row>
    <row r="13284" spans="1:1" x14ac:dyDescent="0.35">
      <c r="A13284" s="12"/>
    </row>
    <row r="13285" spans="1:1" x14ac:dyDescent="0.35">
      <c r="A13285" s="12"/>
    </row>
    <row r="13286" spans="1:1" x14ac:dyDescent="0.35">
      <c r="A13286" s="12"/>
    </row>
    <row r="13287" spans="1:1" x14ac:dyDescent="0.35">
      <c r="A13287" s="12"/>
    </row>
    <row r="13288" spans="1:1" x14ac:dyDescent="0.35">
      <c r="A13288" s="12"/>
    </row>
    <row r="13289" spans="1:1" x14ac:dyDescent="0.35">
      <c r="A13289" s="12"/>
    </row>
    <row r="13290" spans="1:1" x14ac:dyDescent="0.35">
      <c r="A13290" s="12"/>
    </row>
    <row r="13291" spans="1:1" x14ac:dyDescent="0.35">
      <c r="A13291" s="12"/>
    </row>
    <row r="13292" spans="1:1" x14ac:dyDescent="0.35">
      <c r="A13292" s="12"/>
    </row>
    <row r="13293" spans="1:1" x14ac:dyDescent="0.35">
      <c r="A13293" s="12"/>
    </row>
    <row r="13294" spans="1:1" x14ac:dyDescent="0.35">
      <c r="A13294" s="12"/>
    </row>
    <row r="13295" spans="1:1" x14ac:dyDescent="0.35">
      <c r="A13295" s="12"/>
    </row>
    <row r="13296" spans="1:1" x14ac:dyDescent="0.35">
      <c r="A13296" s="12"/>
    </row>
    <row r="13297" spans="1:1" x14ac:dyDescent="0.35">
      <c r="A13297" s="12"/>
    </row>
    <row r="13298" spans="1:1" x14ac:dyDescent="0.35">
      <c r="A13298" s="12"/>
    </row>
    <row r="13299" spans="1:1" x14ac:dyDescent="0.35">
      <c r="A13299" s="12"/>
    </row>
    <row r="13300" spans="1:1" x14ac:dyDescent="0.35">
      <c r="A13300" s="12"/>
    </row>
    <row r="13301" spans="1:1" x14ac:dyDescent="0.35">
      <c r="A13301" s="12"/>
    </row>
    <row r="13302" spans="1:1" x14ac:dyDescent="0.35">
      <c r="A13302" s="12"/>
    </row>
    <row r="13303" spans="1:1" x14ac:dyDescent="0.35">
      <c r="A13303" s="12"/>
    </row>
    <row r="13304" spans="1:1" x14ac:dyDescent="0.35">
      <c r="A13304" s="12"/>
    </row>
    <row r="13305" spans="1:1" x14ac:dyDescent="0.35">
      <c r="A13305" s="12"/>
    </row>
    <row r="13306" spans="1:1" x14ac:dyDescent="0.35">
      <c r="A13306" s="12"/>
    </row>
    <row r="13307" spans="1:1" x14ac:dyDescent="0.35">
      <c r="A13307" s="12"/>
    </row>
    <row r="13308" spans="1:1" x14ac:dyDescent="0.35">
      <c r="A13308" s="12"/>
    </row>
    <row r="13309" spans="1:1" x14ac:dyDescent="0.35">
      <c r="A13309" s="12"/>
    </row>
    <row r="13310" spans="1:1" x14ac:dyDescent="0.35">
      <c r="A13310" s="12"/>
    </row>
    <row r="13311" spans="1:1" x14ac:dyDescent="0.35">
      <c r="A13311" s="12"/>
    </row>
    <row r="13312" spans="1:1" x14ac:dyDescent="0.35">
      <c r="A13312" s="12"/>
    </row>
    <row r="13313" spans="1:1" x14ac:dyDescent="0.35">
      <c r="A13313" s="12"/>
    </row>
    <row r="13314" spans="1:1" x14ac:dyDescent="0.35">
      <c r="A13314" s="12"/>
    </row>
    <row r="13315" spans="1:1" x14ac:dyDescent="0.35">
      <c r="A13315" s="12"/>
    </row>
    <row r="13316" spans="1:1" x14ac:dyDescent="0.35">
      <c r="A13316" s="12"/>
    </row>
    <row r="13317" spans="1:1" x14ac:dyDescent="0.35">
      <c r="A13317" s="12"/>
    </row>
    <row r="13318" spans="1:1" x14ac:dyDescent="0.35">
      <c r="A13318" s="12"/>
    </row>
    <row r="13319" spans="1:1" x14ac:dyDescent="0.35">
      <c r="A13319" s="12"/>
    </row>
    <row r="13320" spans="1:1" x14ac:dyDescent="0.35">
      <c r="A13320" s="12"/>
    </row>
    <row r="13321" spans="1:1" x14ac:dyDescent="0.35">
      <c r="A13321" s="12"/>
    </row>
    <row r="13322" spans="1:1" x14ac:dyDescent="0.35">
      <c r="A13322" s="12"/>
    </row>
    <row r="13323" spans="1:1" x14ac:dyDescent="0.35">
      <c r="A13323" s="12"/>
    </row>
    <row r="13324" spans="1:1" x14ac:dyDescent="0.35">
      <c r="A13324" s="12"/>
    </row>
    <row r="13325" spans="1:1" x14ac:dyDescent="0.35">
      <c r="A13325" s="12"/>
    </row>
    <row r="13326" spans="1:1" x14ac:dyDescent="0.35">
      <c r="A13326" s="12"/>
    </row>
    <row r="13327" spans="1:1" x14ac:dyDescent="0.35">
      <c r="A13327" s="12"/>
    </row>
    <row r="13328" spans="1:1" x14ac:dyDescent="0.35">
      <c r="A13328" s="12"/>
    </row>
    <row r="13329" spans="1:1" x14ac:dyDescent="0.35">
      <c r="A13329" s="12"/>
    </row>
    <row r="13330" spans="1:1" x14ac:dyDescent="0.35">
      <c r="A13330" s="12"/>
    </row>
    <row r="13331" spans="1:1" x14ac:dyDescent="0.35">
      <c r="A13331" s="12"/>
    </row>
    <row r="13332" spans="1:1" x14ac:dyDescent="0.35">
      <c r="A13332" s="12"/>
    </row>
    <row r="13333" spans="1:1" x14ac:dyDescent="0.35">
      <c r="A13333" s="12"/>
    </row>
    <row r="13334" spans="1:1" x14ac:dyDescent="0.35">
      <c r="A13334" s="12"/>
    </row>
    <row r="13335" spans="1:1" x14ac:dyDescent="0.35">
      <c r="A13335" s="12"/>
    </row>
    <row r="13336" spans="1:1" x14ac:dyDescent="0.35">
      <c r="A13336" s="12"/>
    </row>
    <row r="13337" spans="1:1" x14ac:dyDescent="0.35">
      <c r="A13337" s="12"/>
    </row>
    <row r="13338" spans="1:1" x14ac:dyDescent="0.35">
      <c r="A13338" s="12"/>
    </row>
    <row r="13339" spans="1:1" x14ac:dyDescent="0.35">
      <c r="A13339" s="12"/>
    </row>
    <row r="13340" spans="1:1" x14ac:dyDescent="0.35">
      <c r="A13340" s="12"/>
    </row>
    <row r="13341" spans="1:1" x14ac:dyDescent="0.35">
      <c r="A13341" s="12"/>
    </row>
    <row r="13342" spans="1:1" x14ac:dyDescent="0.35">
      <c r="A13342" s="12"/>
    </row>
    <row r="13343" spans="1:1" x14ac:dyDescent="0.35">
      <c r="A13343" s="12"/>
    </row>
    <row r="13344" spans="1:1" x14ac:dyDescent="0.35">
      <c r="A13344" s="12"/>
    </row>
    <row r="13345" spans="1:1" x14ac:dyDescent="0.35">
      <c r="A13345" s="12"/>
    </row>
    <row r="13346" spans="1:1" x14ac:dyDescent="0.35">
      <c r="A13346" s="12"/>
    </row>
    <row r="13347" spans="1:1" x14ac:dyDescent="0.35">
      <c r="A13347" s="12"/>
    </row>
    <row r="13348" spans="1:1" x14ac:dyDescent="0.35">
      <c r="A13348" s="12"/>
    </row>
    <row r="13349" spans="1:1" x14ac:dyDescent="0.35">
      <c r="A13349" s="12"/>
    </row>
    <row r="13350" spans="1:1" x14ac:dyDescent="0.35">
      <c r="A13350" s="12"/>
    </row>
    <row r="13351" spans="1:1" x14ac:dyDescent="0.35">
      <c r="A13351" s="12"/>
    </row>
    <row r="13352" spans="1:1" x14ac:dyDescent="0.35">
      <c r="A13352" s="12"/>
    </row>
    <row r="13353" spans="1:1" x14ac:dyDescent="0.35">
      <c r="A13353" s="12"/>
    </row>
    <row r="13354" spans="1:1" x14ac:dyDescent="0.35">
      <c r="A13354" s="12"/>
    </row>
    <row r="13355" spans="1:1" x14ac:dyDescent="0.35">
      <c r="A13355" s="12"/>
    </row>
    <row r="13356" spans="1:1" x14ac:dyDescent="0.35">
      <c r="A13356" s="12"/>
    </row>
    <row r="13357" spans="1:1" x14ac:dyDescent="0.35">
      <c r="A13357" s="12"/>
    </row>
    <row r="13358" spans="1:1" x14ac:dyDescent="0.35">
      <c r="A13358" s="12"/>
    </row>
    <row r="13359" spans="1:1" x14ac:dyDescent="0.35">
      <c r="A13359" s="12"/>
    </row>
    <row r="13360" spans="1:1" x14ac:dyDescent="0.35">
      <c r="A13360" s="12"/>
    </row>
    <row r="13361" spans="1:1" x14ac:dyDescent="0.35">
      <c r="A13361" s="12"/>
    </row>
    <row r="13362" spans="1:1" x14ac:dyDescent="0.35">
      <c r="A13362" s="12"/>
    </row>
    <row r="13363" spans="1:1" x14ac:dyDescent="0.35">
      <c r="A13363" s="12"/>
    </row>
    <row r="13364" spans="1:1" x14ac:dyDescent="0.35">
      <c r="A13364" s="12"/>
    </row>
    <row r="13365" spans="1:1" x14ac:dyDescent="0.35">
      <c r="A13365" s="12"/>
    </row>
    <row r="13366" spans="1:1" x14ac:dyDescent="0.35">
      <c r="A13366" s="12"/>
    </row>
    <row r="13367" spans="1:1" x14ac:dyDescent="0.35">
      <c r="A13367" s="12"/>
    </row>
    <row r="13368" spans="1:1" x14ac:dyDescent="0.35">
      <c r="A13368" s="12"/>
    </row>
    <row r="13369" spans="1:1" x14ac:dyDescent="0.35">
      <c r="A13369" s="12"/>
    </row>
    <row r="13370" spans="1:1" x14ac:dyDescent="0.35">
      <c r="A13370" s="12"/>
    </row>
    <row r="13371" spans="1:1" x14ac:dyDescent="0.35">
      <c r="A13371" s="12"/>
    </row>
    <row r="13372" spans="1:1" x14ac:dyDescent="0.35">
      <c r="A13372" s="12"/>
    </row>
    <row r="13373" spans="1:1" x14ac:dyDescent="0.35">
      <c r="A13373" s="12"/>
    </row>
    <row r="13374" spans="1:1" x14ac:dyDescent="0.35">
      <c r="A13374" s="12"/>
    </row>
    <row r="13375" spans="1:1" x14ac:dyDescent="0.35">
      <c r="A13375" s="12"/>
    </row>
    <row r="13376" spans="1:1" x14ac:dyDescent="0.35">
      <c r="A13376" s="12"/>
    </row>
    <row r="13377" spans="1:1" x14ac:dyDescent="0.35">
      <c r="A13377" s="12"/>
    </row>
    <row r="13378" spans="1:1" x14ac:dyDescent="0.35">
      <c r="A13378" s="12"/>
    </row>
    <row r="13379" spans="1:1" x14ac:dyDescent="0.35">
      <c r="A13379" s="12"/>
    </row>
    <row r="13380" spans="1:1" x14ac:dyDescent="0.35">
      <c r="A13380" s="12"/>
    </row>
    <row r="13381" spans="1:1" x14ac:dyDescent="0.35">
      <c r="A13381" s="12"/>
    </row>
    <row r="13382" spans="1:1" x14ac:dyDescent="0.35">
      <c r="A13382" s="12"/>
    </row>
    <row r="13383" spans="1:1" x14ac:dyDescent="0.35">
      <c r="A13383" s="12"/>
    </row>
    <row r="13384" spans="1:1" x14ac:dyDescent="0.35">
      <c r="A13384" s="12"/>
    </row>
    <row r="13385" spans="1:1" x14ac:dyDescent="0.35">
      <c r="A13385" s="12"/>
    </row>
    <row r="13386" spans="1:1" x14ac:dyDescent="0.35">
      <c r="A13386" s="12"/>
    </row>
    <row r="13387" spans="1:1" x14ac:dyDescent="0.35">
      <c r="A13387" s="12"/>
    </row>
    <row r="13388" spans="1:1" x14ac:dyDescent="0.35">
      <c r="A13388" s="12"/>
    </row>
    <row r="13389" spans="1:1" x14ac:dyDescent="0.35">
      <c r="A13389" s="12"/>
    </row>
    <row r="13390" spans="1:1" x14ac:dyDescent="0.35">
      <c r="A13390" s="12"/>
    </row>
    <row r="13391" spans="1:1" x14ac:dyDescent="0.35">
      <c r="A13391" s="12"/>
    </row>
    <row r="13392" spans="1:1" x14ac:dyDescent="0.35">
      <c r="A13392" s="12"/>
    </row>
    <row r="13393" spans="1:1" x14ac:dyDescent="0.35">
      <c r="A13393" s="12"/>
    </row>
    <row r="13394" spans="1:1" x14ac:dyDescent="0.35">
      <c r="A13394" s="12"/>
    </row>
    <row r="13395" spans="1:1" x14ac:dyDescent="0.35">
      <c r="A13395" s="12"/>
    </row>
    <row r="13396" spans="1:1" x14ac:dyDescent="0.35">
      <c r="A13396" s="12"/>
    </row>
    <row r="13397" spans="1:1" x14ac:dyDescent="0.35">
      <c r="A13397" s="12"/>
    </row>
    <row r="13398" spans="1:1" x14ac:dyDescent="0.35">
      <c r="A13398" s="12"/>
    </row>
    <row r="13399" spans="1:1" x14ac:dyDescent="0.35">
      <c r="A13399" s="12"/>
    </row>
    <row r="13400" spans="1:1" x14ac:dyDescent="0.35">
      <c r="A13400" s="12"/>
    </row>
    <row r="13401" spans="1:1" x14ac:dyDescent="0.35">
      <c r="A13401" s="12"/>
    </row>
    <row r="13402" spans="1:1" x14ac:dyDescent="0.35">
      <c r="A13402" s="12"/>
    </row>
    <row r="13403" spans="1:1" x14ac:dyDescent="0.35">
      <c r="A13403" s="12"/>
    </row>
    <row r="13404" spans="1:1" x14ac:dyDescent="0.35">
      <c r="A13404" s="12"/>
    </row>
    <row r="13405" spans="1:1" x14ac:dyDescent="0.35">
      <c r="A13405" s="12"/>
    </row>
    <row r="13406" spans="1:1" x14ac:dyDescent="0.35">
      <c r="A13406" s="12"/>
    </row>
    <row r="13407" spans="1:1" x14ac:dyDescent="0.35">
      <c r="A13407" s="12"/>
    </row>
    <row r="13408" spans="1:1" x14ac:dyDescent="0.35">
      <c r="A13408" s="12"/>
    </row>
    <row r="13409" spans="1:1" x14ac:dyDescent="0.35">
      <c r="A13409" s="12"/>
    </row>
    <row r="13410" spans="1:1" x14ac:dyDescent="0.35">
      <c r="A13410" s="12"/>
    </row>
    <row r="13411" spans="1:1" x14ac:dyDescent="0.35">
      <c r="A13411" s="12"/>
    </row>
    <row r="13412" spans="1:1" x14ac:dyDescent="0.35">
      <c r="A13412" s="12"/>
    </row>
    <row r="13413" spans="1:1" x14ac:dyDescent="0.35">
      <c r="A13413" s="12"/>
    </row>
    <row r="13414" spans="1:1" x14ac:dyDescent="0.35">
      <c r="A13414" s="12"/>
    </row>
    <row r="13415" spans="1:1" x14ac:dyDescent="0.35">
      <c r="A13415" s="12"/>
    </row>
    <row r="13416" spans="1:1" x14ac:dyDescent="0.35">
      <c r="A13416" s="12"/>
    </row>
    <row r="13417" spans="1:1" x14ac:dyDescent="0.35">
      <c r="A13417" s="12"/>
    </row>
    <row r="13418" spans="1:1" x14ac:dyDescent="0.35">
      <c r="A13418" s="12"/>
    </row>
    <row r="13419" spans="1:1" x14ac:dyDescent="0.35">
      <c r="A13419" s="12"/>
    </row>
    <row r="13420" spans="1:1" x14ac:dyDescent="0.35">
      <c r="A13420" s="12"/>
    </row>
    <row r="13421" spans="1:1" x14ac:dyDescent="0.35">
      <c r="A13421" s="12"/>
    </row>
    <row r="13422" spans="1:1" x14ac:dyDescent="0.35">
      <c r="A13422" s="12"/>
    </row>
    <row r="13423" spans="1:1" x14ac:dyDescent="0.35">
      <c r="A13423" s="12"/>
    </row>
    <row r="13424" spans="1:1" x14ac:dyDescent="0.35">
      <c r="A13424" s="12"/>
    </row>
    <row r="13425" spans="1:1" x14ac:dyDescent="0.35">
      <c r="A13425" s="12"/>
    </row>
    <row r="13426" spans="1:1" x14ac:dyDescent="0.35">
      <c r="A13426" s="12"/>
    </row>
    <row r="13427" spans="1:1" x14ac:dyDescent="0.35">
      <c r="A13427" s="12"/>
    </row>
    <row r="13428" spans="1:1" x14ac:dyDescent="0.35">
      <c r="A13428" s="12"/>
    </row>
    <row r="13429" spans="1:1" x14ac:dyDescent="0.35">
      <c r="A13429" s="12"/>
    </row>
    <row r="13430" spans="1:1" x14ac:dyDescent="0.35">
      <c r="A13430" s="12"/>
    </row>
    <row r="13431" spans="1:1" x14ac:dyDescent="0.35">
      <c r="A13431" s="12"/>
    </row>
    <row r="13432" spans="1:1" x14ac:dyDescent="0.35">
      <c r="A13432" s="12"/>
    </row>
    <row r="13433" spans="1:1" x14ac:dyDescent="0.35">
      <c r="A13433" s="12"/>
    </row>
    <row r="13434" spans="1:1" x14ac:dyDescent="0.35">
      <c r="A13434" s="12"/>
    </row>
    <row r="13435" spans="1:1" x14ac:dyDescent="0.35">
      <c r="A13435" s="12"/>
    </row>
    <row r="13436" spans="1:1" x14ac:dyDescent="0.35">
      <c r="A13436" s="12"/>
    </row>
    <row r="13437" spans="1:1" x14ac:dyDescent="0.35">
      <c r="A13437" s="12"/>
    </row>
    <row r="13438" spans="1:1" x14ac:dyDescent="0.35">
      <c r="A13438" s="12"/>
    </row>
    <row r="13439" spans="1:1" x14ac:dyDescent="0.35">
      <c r="A13439" s="12"/>
    </row>
    <row r="13440" spans="1:1" x14ac:dyDescent="0.35">
      <c r="A13440" s="12"/>
    </row>
    <row r="13441" spans="1:1" x14ac:dyDescent="0.35">
      <c r="A13441" s="12"/>
    </row>
    <row r="13442" spans="1:1" x14ac:dyDescent="0.35">
      <c r="A13442" s="12"/>
    </row>
    <row r="13443" spans="1:1" x14ac:dyDescent="0.35">
      <c r="A13443" s="12"/>
    </row>
    <row r="13444" spans="1:1" x14ac:dyDescent="0.35">
      <c r="A13444" s="12"/>
    </row>
    <row r="13445" spans="1:1" x14ac:dyDescent="0.35">
      <c r="A13445" s="12"/>
    </row>
    <row r="13446" spans="1:1" x14ac:dyDescent="0.35">
      <c r="A13446" s="12"/>
    </row>
    <row r="13447" spans="1:1" x14ac:dyDescent="0.35">
      <c r="A13447" s="12"/>
    </row>
    <row r="13448" spans="1:1" x14ac:dyDescent="0.35">
      <c r="A13448" s="12"/>
    </row>
    <row r="13449" spans="1:1" x14ac:dyDescent="0.35">
      <c r="A13449" s="12"/>
    </row>
    <row r="13450" spans="1:1" x14ac:dyDescent="0.35">
      <c r="A13450" s="12"/>
    </row>
    <row r="13451" spans="1:1" x14ac:dyDescent="0.35">
      <c r="A13451" s="12"/>
    </row>
    <row r="13452" spans="1:1" x14ac:dyDescent="0.35">
      <c r="A13452" s="12"/>
    </row>
    <row r="13453" spans="1:1" x14ac:dyDescent="0.35">
      <c r="A13453" s="12"/>
    </row>
    <row r="13454" spans="1:1" x14ac:dyDescent="0.35">
      <c r="A13454" s="12"/>
    </row>
    <row r="13455" spans="1:1" x14ac:dyDescent="0.35">
      <c r="A13455" s="12"/>
    </row>
    <row r="13456" spans="1:1" x14ac:dyDescent="0.35">
      <c r="A13456" s="12"/>
    </row>
    <row r="13457" spans="1:1" x14ac:dyDescent="0.35">
      <c r="A13457" s="12"/>
    </row>
    <row r="13458" spans="1:1" x14ac:dyDescent="0.35">
      <c r="A13458" s="12"/>
    </row>
    <row r="13459" spans="1:1" x14ac:dyDescent="0.35">
      <c r="A13459" s="12"/>
    </row>
    <row r="13460" spans="1:1" x14ac:dyDescent="0.35">
      <c r="A13460" s="12"/>
    </row>
    <row r="13461" spans="1:1" x14ac:dyDescent="0.35">
      <c r="A13461" s="12"/>
    </row>
    <row r="13462" spans="1:1" x14ac:dyDescent="0.35">
      <c r="A13462" s="12"/>
    </row>
    <row r="13463" spans="1:1" x14ac:dyDescent="0.35">
      <c r="A13463" s="12"/>
    </row>
    <row r="13464" spans="1:1" x14ac:dyDescent="0.35">
      <c r="A13464" s="12"/>
    </row>
    <row r="13465" spans="1:1" x14ac:dyDescent="0.35">
      <c r="A13465" s="12"/>
    </row>
    <row r="13466" spans="1:1" x14ac:dyDescent="0.35">
      <c r="A13466" s="12"/>
    </row>
    <row r="13467" spans="1:1" x14ac:dyDescent="0.35">
      <c r="A13467" s="12"/>
    </row>
    <row r="13468" spans="1:1" x14ac:dyDescent="0.35">
      <c r="A13468" s="12"/>
    </row>
    <row r="13469" spans="1:1" x14ac:dyDescent="0.35">
      <c r="A13469" s="12"/>
    </row>
    <row r="13470" spans="1:1" x14ac:dyDescent="0.35">
      <c r="A13470" s="12"/>
    </row>
    <row r="13471" spans="1:1" x14ac:dyDescent="0.35">
      <c r="A13471" s="12"/>
    </row>
    <row r="13472" spans="1:1" x14ac:dyDescent="0.35">
      <c r="A13472" s="12"/>
    </row>
    <row r="13473" spans="1:1" x14ac:dyDescent="0.35">
      <c r="A13473" s="12"/>
    </row>
    <row r="13474" spans="1:1" x14ac:dyDescent="0.35">
      <c r="A13474" s="12"/>
    </row>
    <row r="13475" spans="1:1" x14ac:dyDescent="0.35">
      <c r="A13475" s="12"/>
    </row>
    <row r="13476" spans="1:1" x14ac:dyDescent="0.35">
      <c r="A13476" s="12"/>
    </row>
    <row r="13477" spans="1:1" x14ac:dyDescent="0.35">
      <c r="A13477" s="12"/>
    </row>
    <row r="13478" spans="1:1" x14ac:dyDescent="0.35">
      <c r="A13478" s="12"/>
    </row>
    <row r="13479" spans="1:1" x14ac:dyDescent="0.35">
      <c r="A13479" s="12"/>
    </row>
    <row r="13480" spans="1:1" x14ac:dyDescent="0.35">
      <c r="A13480" s="12"/>
    </row>
    <row r="13481" spans="1:1" x14ac:dyDescent="0.35">
      <c r="A13481" s="12"/>
    </row>
    <row r="13482" spans="1:1" x14ac:dyDescent="0.35">
      <c r="A13482" s="12"/>
    </row>
    <row r="13483" spans="1:1" x14ac:dyDescent="0.35">
      <c r="A13483" s="12"/>
    </row>
    <row r="13484" spans="1:1" x14ac:dyDescent="0.35">
      <c r="A13484" s="12"/>
    </row>
    <row r="13485" spans="1:1" x14ac:dyDescent="0.35">
      <c r="A13485" s="12"/>
    </row>
    <row r="13486" spans="1:1" x14ac:dyDescent="0.35">
      <c r="A13486" s="12"/>
    </row>
    <row r="13487" spans="1:1" x14ac:dyDescent="0.35">
      <c r="A13487" s="12"/>
    </row>
    <row r="13488" spans="1:1" x14ac:dyDescent="0.35">
      <c r="A13488" s="12"/>
    </row>
    <row r="13489" spans="1:1" x14ac:dyDescent="0.35">
      <c r="A13489" s="12"/>
    </row>
    <row r="13490" spans="1:1" x14ac:dyDescent="0.35">
      <c r="A13490" s="12"/>
    </row>
    <row r="13491" spans="1:1" x14ac:dyDescent="0.35">
      <c r="A13491" s="12"/>
    </row>
    <row r="13492" spans="1:1" x14ac:dyDescent="0.35">
      <c r="A13492" s="12"/>
    </row>
    <row r="13493" spans="1:1" x14ac:dyDescent="0.35">
      <c r="A13493" s="12"/>
    </row>
    <row r="13494" spans="1:1" x14ac:dyDescent="0.35">
      <c r="A13494" s="12"/>
    </row>
    <row r="13495" spans="1:1" x14ac:dyDescent="0.35">
      <c r="A13495" s="12"/>
    </row>
    <row r="13496" spans="1:1" x14ac:dyDescent="0.35">
      <c r="A13496" s="12"/>
    </row>
    <row r="13497" spans="1:1" x14ac:dyDescent="0.35">
      <c r="A13497" s="12"/>
    </row>
    <row r="13498" spans="1:1" x14ac:dyDescent="0.35">
      <c r="A13498" s="12"/>
    </row>
    <row r="13499" spans="1:1" x14ac:dyDescent="0.35">
      <c r="A13499" s="12"/>
    </row>
    <row r="13500" spans="1:1" x14ac:dyDescent="0.35">
      <c r="A13500" s="12"/>
    </row>
    <row r="13501" spans="1:1" x14ac:dyDescent="0.35">
      <c r="A13501" s="12"/>
    </row>
    <row r="13502" spans="1:1" x14ac:dyDescent="0.35">
      <c r="A13502" s="12"/>
    </row>
    <row r="13503" spans="1:1" x14ac:dyDescent="0.35">
      <c r="A13503" s="12"/>
    </row>
    <row r="13504" spans="1:1" x14ac:dyDescent="0.35">
      <c r="A13504" s="12"/>
    </row>
    <row r="13505" spans="1:1" x14ac:dyDescent="0.35">
      <c r="A13505" s="12"/>
    </row>
    <row r="13506" spans="1:1" x14ac:dyDescent="0.35">
      <c r="A13506" s="12"/>
    </row>
    <row r="13507" spans="1:1" x14ac:dyDescent="0.35">
      <c r="A13507" s="12"/>
    </row>
    <row r="13508" spans="1:1" x14ac:dyDescent="0.35">
      <c r="A13508" s="12"/>
    </row>
    <row r="13509" spans="1:1" x14ac:dyDescent="0.35">
      <c r="A13509" s="12"/>
    </row>
    <row r="13510" spans="1:1" x14ac:dyDescent="0.35">
      <c r="A13510" s="12"/>
    </row>
    <row r="13511" spans="1:1" x14ac:dyDescent="0.35">
      <c r="A13511" s="12"/>
    </row>
    <row r="13512" spans="1:1" x14ac:dyDescent="0.35">
      <c r="A13512" s="12"/>
    </row>
    <row r="13513" spans="1:1" x14ac:dyDescent="0.35">
      <c r="A13513" s="12"/>
    </row>
    <row r="13514" spans="1:1" x14ac:dyDescent="0.35">
      <c r="A13514" s="12"/>
    </row>
    <row r="13515" spans="1:1" x14ac:dyDescent="0.35">
      <c r="A13515" s="12"/>
    </row>
    <row r="13516" spans="1:1" x14ac:dyDescent="0.35">
      <c r="A13516" s="12"/>
    </row>
    <row r="13517" spans="1:1" x14ac:dyDescent="0.35">
      <c r="A13517" s="12"/>
    </row>
    <row r="13518" spans="1:1" x14ac:dyDescent="0.35">
      <c r="A13518" s="12"/>
    </row>
    <row r="13519" spans="1:1" x14ac:dyDescent="0.35">
      <c r="A13519" s="12"/>
    </row>
    <row r="13520" spans="1:1" x14ac:dyDescent="0.35">
      <c r="A13520" s="12"/>
    </row>
    <row r="13521" spans="1:1" x14ac:dyDescent="0.35">
      <c r="A13521" s="12"/>
    </row>
    <row r="13522" spans="1:1" x14ac:dyDescent="0.35">
      <c r="A13522" s="12"/>
    </row>
    <row r="13523" spans="1:1" x14ac:dyDescent="0.35">
      <c r="A13523" s="12"/>
    </row>
    <row r="13524" spans="1:1" x14ac:dyDescent="0.35">
      <c r="A13524" s="12"/>
    </row>
    <row r="13525" spans="1:1" x14ac:dyDescent="0.35">
      <c r="A13525" s="12"/>
    </row>
    <row r="13526" spans="1:1" x14ac:dyDescent="0.35">
      <c r="A13526" s="12"/>
    </row>
    <row r="13527" spans="1:1" x14ac:dyDescent="0.35">
      <c r="A13527" s="12"/>
    </row>
    <row r="13528" spans="1:1" x14ac:dyDescent="0.35">
      <c r="A13528" s="12"/>
    </row>
    <row r="13529" spans="1:1" x14ac:dyDescent="0.35">
      <c r="A13529" s="12"/>
    </row>
    <row r="13530" spans="1:1" x14ac:dyDescent="0.35">
      <c r="A13530" s="12"/>
    </row>
    <row r="13531" spans="1:1" x14ac:dyDescent="0.35">
      <c r="A13531" s="12"/>
    </row>
    <row r="13532" spans="1:1" x14ac:dyDescent="0.35">
      <c r="A13532" s="12"/>
    </row>
    <row r="13533" spans="1:1" x14ac:dyDescent="0.35">
      <c r="A13533" s="12"/>
    </row>
    <row r="13534" spans="1:1" x14ac:dyDescent="0.35">
      <c r="A13534" s="12"/>
    </row>
    <row r="13535" spans="1:1" x14ac:dyDescent="0.35">
      <c r="A13535" s="12"/>
    </row>
    <row r="13536" spans="1:1" x14ac:dyDescent="0.35">
      <c r="A13536" s="12"/>
    </row>
    <row r="13537" spans="1:1" x14ac:dyDescent="0.35">
      <c r="A13537" s="12"/>
    </row>
    <row r="13538" spans="1:1" x14ac:dyDescent="0.35">
      <c r="A13538" s="12"/>
    </row>
    <row r="13539" spans="1:1" x14ac:dyDescent="0.35">
      <c r="A13539" s="12"/>
    </row>
    <row r="13540" spans="1:1" x14ac:dyDescent="0.35">
      <c r="A13540" s="12"/>
    </row>
    <row r="13541" spans="1:1" x14ac:dyDescent="0.35">
      <c r="A13541" s="12"/>
    </row>
    <row r="13542" spans="1:1" x14ac:dyDescent="0.35">
      <c r="A13542" s="12"/>
    </row>
    <row r="13543" spans="1:1" x14ac:dyDescent="0.35">
      <c r="A13543" s="12"/>
    </row>
    <row r="13544" spans="1:1" x14ac:dyDescent="0.35">
      <c r="A13544" s="12"/>
    </row>
    <row r="13545" spans="1:1" x14ac:dyDescent="0.35">
      <c r="A13545" s="12"/>
    </row>
    <row r="13546" spans="1:1" x14ac:dyDescent="0.35">
      <c r="A13546" s="12"/>
    </row>
    <row r="13547" spans="1:1" x14ac:dyDescent="0.35">
      <c r="A13547" s="12"/>
    </row>
    <row r="13548" spans="1:1" x14ac:dyDescent="0.35">
      <c r="A13548" s="12"/>
    </row>
    <row r="13549" spans="1:1" x14ac:dyDescent="0.35">
      <c r="A13549" s="12"/>
    </row>
    <row r="13550" spans="1:1" x14ac:dyDescent="0.35">
      <c r="A13550" s="12"/>
    </row>
    <row r="13551" spans="1:1" x14ac:dyDescent="0.35">
      <c r="A13551" s="12"/>
    </row>
    <row r="13552" spans="1:1" x14ac:dyDescent="0.35">
      <c r="A13552" s="12"/>
    </row>
    <row r="13553" spans="1:1" x14ac:dyDescent="0.35">
      <c r="A13553" s="12"/>
    </row>
    <row r="13554" spans="1:1" x14ac:dyDescent="0.35">
      <c r="A13554" s="12"/>
    </row>
    <row r="13555" spans="1:1" x14ac:dyDescent="0.35">
      <c r="A13555" s="12"/>
    </row>
    <row r="13556" spans="1:1" x14ac:dyDescent="0.35">
      <c r="A13556" s="12"/>
    </row>
    <row r="13557" spans="1:1" x14ac:dyDescent="0.35">
      <c r="A13557" s="12"/>
    </row>
    <row r="13558" spans="1:1" x14ac:dyDescent="0.35">
      <c r="A13558" s="12"/>
    </row>
    <row r="13559" spans="1:1" x14ac:dyDescent="0.35">
      <c r="A13559" s="12"/>
    </row>
    <row r="13560" spans="1:1" x14ac:dyDescent="0.35">
      <c r="A13560" s="12"/>
    </row>
    <row r="13561" spans="1:1" x14ac:dyDescent="0.35">
      <c r="A13561" s="12"/>
    </row>
    <row r="13562" spans="1:1" x14ac:dyDescent="0.35">
      <c r="A13562" s="12"/>
    </row>
    <row r="13563" spans="1:1" x14ac:dyDescent="0.35">
      <c r="A13563" s="12"/>
    </row>
    <row r="13564" spans="1:1" x14ac:dyDescent="0.35">
      <c r="A13564" s="12"/>
    </row>
    <row r="13565" spans="1:1" x14ac:dyDescent="0.35">
      <c r="A13565" s="12"/>
    </row>
    <row r="13566" spans="1:1" x14ac:dyDescent="0.35">
      <c r="A13566" s="12"/>
    </row>
    <row r="13567" spans="1:1" x14ac:dyDescent="0.35">
      <c r="A13567" s="12"/>
    </row>
    <row r="13568" spans="1:1" x14ac:dyDescent="0.35">
      <c r="A13568" s="12"/>
    </row>
    <row r="13569" spans="1:1" x14ac:dyDescent="0.35">
      <c r="A13569" s="12"/>
    </row>
    <row r="13570" spans="1:1" x14ac:dyDescent="0.35">
      <c r="A13570" s="12"/>
    </row>
    <row r="13571" spans="1:1" x14ac:dyDescent="0.35">
      <c r="A13571" s="12"/>
    </row>
    <row r="13572" spans="1:1" x14ac:dyDescent="0.35">
      <c r="A13572" s="12"/>
    </row>
    <row r="13573" spans="1:1" x14ac:dyDescent="0.35">
      <c r="A13573" s="12"/>
    </row>
    <row r="13574" spans="1:1" x14ac:dyDescent="0.35">
      <c r="A13574" s="12"/>
    </row>
    <row r="13575" spans="1:1" x14ac:dyDescent="0.35">
      <c r="A13575" s="12"/>
    </row>
    <row r="13576" spans="1:1" x14ac:dyDescent="0.35">
      <c r="A13576" s="12"/>
    </row>
    <row r="13577" spans="1:1" x14ac:dyDescent="0.35">
      <c r="A13577" s="12"/>
    </row>
    <row r="13578" spans="1:1" x14ac:dyDescent="0.35">
      <c r="A13578" s="12"/>
    </row>
    <row r="13579" spans="1:1" x14ac:dyDescent="0.35">
      <c r="A13579" s="12"/>
    </row>
    <row r="13580" spans="1:1" x14ac:dyDescent="0.35">
      <c r="A13580" s="12"/>
    </row>
    <row r="13581" spans="1:1" x14ac:dyDescent="0.35">
      <c r="A13581" s="12"/>
    </row>
    <row r="13582" spans="1:1" x14ac:dyDescent="0.35">
      <c r="A13582" s="12"/>
    </row>
    <row r="13583" spans="1:1" x14ac:dyDescent="0.35">
      <c r="A13583" s="12"/>
    </row>
    <row r="13584" spans="1:1" x14ac:dyDescent="0.35">
      <c r="A13584" s="12"/>
    </row>
    <row r="13585" spans="1:1" x14ac:dyDescent="0.35">
      <c r="A13585" s="12"/>
    </row>
    <row r="13586" spans="1:1" x14ac:dyDescent="0.35">
      <c r="A13586" s="12"/>
    </row>
    <row r="13587" spans="1:1" x14ac:dyDescent="0.35">
      <c r="A13587" s="12"/>
    </row>
    <row r="13588" spans="1:1" x14ac:dyDescent="0.35">
      <c r="A13588" s="12"/>
    </row>
    <row r="13589" spans="1:1" x14ac:dyDescent="0.35">
      <c r="A13589" s="12"/>
    </row>
    <row r="13590" spans="1:1" x14ac:dyDescent="0.35">
      <c r="A13590" s="12"/>
    </row>
    <row r="13591" spans="1:1" x14ac:dyDescent="0.35">
      <c r="A13591" s="12"/>
    </row>
    <row r="13592" spans="1:1" x14ac:dyDescent="0.35">
      <c r="A13592" s="12"/>
    </row>
    <row r="13593" spans="1:1" x14ac:dyDescent="0.35">
      <c r="A13593" s="12"/>
    </row>
    <row r="13594" spans="1:1" x14ac:dyDescent="0.35">
      <c r="A13594" s="12"/>
    </row>
    <row r="13595" spans="1:1" x14ac:dyDescent="0.35">
      <c r="A13595" s="12"/>
    </row>
    <row r="13596" spans="1:1" x14ac:dyDescent="0.35">
      <c r="A13596" s="12"/>
    </row>
    <row r="13597" spans="1:1" x14ac:dyDescent="0.35">
      <c r="A13597" s="12"/>
    </row>
    <row r="13598" spans="1:1" x14ac:dyDescent="0.35">
      <c r="A13598" s="12"/>
    </row>
    <row r="13599" spans="1:1" x14ac:dyDescent="0.35">
      <c r="A13599" s="12"/>
    </row>
    <row r="13600" spans="1:1" x14ac:dyDescent="0.35">
      <c r="A13600" s="12"/>
    </row>
    <row r="13601" spans="1:1" x14ac:dyDescent="0.35">
      <c r="A13601" s="12"/>
    </row>
    <row r="13602" spans="1:1" x14ac:dyDescent="0.35">
      <c r="A13602" s="12"/>
    </row>
    <row r="13603" spans="1:1" x14ac:dyDescent="0.35">
      <c r="A13603" s="12"/>
    </row>
    <row r="13604" spans="1:1" x14ac:dyDescent="0.35">
      <c r="A13604" s="12"/>
    </row>
    <row r="13605" spans="1:1" x14ac:dyDescent="0.35">
      <c r="A13605" s="12"/>
    </row>
    <row r="13606" spans="1:1" x14ac:dyDescent="0.35">
      <c r="A13606" s="12"/>
    </row>
    <row r="13607" spans="1:1" x14ac:dyDescent="0.35">
      <c r="A13607" s="12"/>
    </row>
    <row r="13608" spans="1:1" x14ac:dyDescent="0.35">
      <c r="A13608" s="12"/>
    </row>
    <row r="13609" spans="1:1" x14ac:dyDescent="0.35">
      <c r="A13609" s="12"/>
    </row>
    <row r="13610" spans="1:1" x14ac:dyDescent="0.35">
      <c r="A13610" s="12"/>
    </row>
    <row r="13611" spans="1:1" x14ac:dyDescent="0.35">
      <c r="A13611" s="12"/>
    </row>
    <row r="13612" spans="1:1" x14ac:dyDescent="0.35">
      <c r="A13612" s="12"/>
    </row>
    <row r="13613" spans="1:1" x14ac:dyDescent="0.35">
      <c r="A13613" s="12"/>
    </row>
    <row r="13614" spans="1:1" x14ac:dyDescent="0.35">
      <c r="A13614" s="12"/>
    </row>
    <row r="13615" spans="1:1" x14ac:dyDescent="0.35">
      <c r="A13615" s="12"/>
    </row>
    <row r="13616" spans="1:1" x14ac:dyDescent="0.35">
      <c r="A13616" s="12"/>
    </row>
    <row r="13617" spans="1:1" x14ac:dyDescent="0.35">
      <c r="A13617" s="12"/>
    </row>
    <row r="13618" spans="1:1" x14ac:dyDescent="0.35">
      <c r="A13618" s="12"/>
    </row>
    <row r="13619" spans="1:1" x14ac:dyDescent="0.35">
      <c r="A13619" s="12"/>
    </row>
    <row r="13620" spans="1:1" x14ac:dyDescent="0.35">
      <c r="A13620" s="12"/>
    </row>
    <row r="13621" spans="1:1" x14ac:dyDescent="0.35">
      <c r="A13621" s="12"/>
    </row>
    <row r="13622" spans="1:1" x14ac:dyDescent="0.35">
      <c r="A13622" s="12"/>
    </row>
    <row r="13623" spans="1:1" x14ac:dyDescent="0.35">
      <c r="A13623" s="12"/>
    </row>
    <row r="13624" spans="1:1" x14ac:dyDescent="0.35">
      <c r="A13624" s="12"/>
    </row>
    <row r="13625" spans="1:1" x14ac:dyDescent="0.35">
      <c r="A13625" s="12"/>
    </row>
    <row r="13626" spans="1:1" x14ac:dyDescent="0.35">
      <c r="A13626" s="12"/>
    </row>
    <row r="13627" spans="1:1" x14ac:dyDescent="0.35">
      <c r="A13627" s="12"/>
    </row>
    <row r="13628" spans="1:1" x14ac:dyDescent="0.35">
      <c r="A13628" s="12"/>
    </row>
    <row r="13629" spans="1:1" x14ac:dyDescent="0.35">
      <c r="A13629" s="12"/>
    </row>
    <row r="13630" spans="1:1" x14ac:dyDescent="0.35">
      <c r="A13630" s="12"/>
    </row>
    <row r="13631" spans="1:1" x14ac:dyDescent="0.35">
      <c r="A13631" s="12"/>
    </row>
    <row r="13632" spans="1:1" x14ac:dyDescent="0.35">
      <c r="A13632" s="12"/>
    </row>
    <row r="13633" spans="1:1" x14ac:dyDescent="0.35">
      <c r="A13633" s="12"/>
    </row>
    <row r="13634" spans="1:1" x14ac:dyDescent="0.35">
      <c r="A13634" s="12"/>
    </row>
    <row r="13635" spans="1:1" x14ac:dyDescent="0.35">
      <c r="A13635" s="12"/>
    </row>
    <row r="13636" spans="1:1" x14ac:dyDescent="0.35">
      <c r="A13636" s="12"/>
    </row>
    <row r="13637" spans="1:1" x14ac:dyDescent="0.35">
      <c r="A13637" s="12"/>
    </row>
    <row r="13638" spans="1:1" x14ac:dyDescent="0.35">
      <c r="A13638" s="12"/>
    </row>
    <row r="13639" spans="1:1" x14ac:dyDescent="0.35">
      <c r="A13639" s="12"/>
    </row>
    <row r="13640" spans="1:1" x14ac:dyDescent="0.35">
      <c r="A13640" s="12"/>
    </row>
    <row r="13641" spans="1:1" x14ac:dyDescent="0.35">
      <c r="A13641" s="12"/>
    </row>
    <row r="13642" spans="1:1" x14ac:dyDescent="0.35">
      <c r="A13642" s="12"/>
    </row>
    <row r="13643" spans="1:1" x14ac:dyDescent="0.35">
      <c r="A13643" s="12"/>
    </row>
    <row r="13644" spans="1:1" x14ac:dyDescent="0.35">
      <c r="A13644" s="12"/>
    </row>
    <row r="13645" spans="1:1" x14ac:dyDescent="0.35">
      <c r="A13645" s="12"/>
    </row>
    <row r="13646" spans="1:1" x14ac:dyDescent="0.35">
      <c r="A13646" s="12"/>
    </row>
    <row r="13647" spans="1:1" x14ac:dyDescent="0.35">
      <c r="A13647" s="12"/>
    </row>
    <row r="13648" spans="1:1" x14ac:dyDescent="0.35">
      <c r="A13648" s="12"/>
    </row>
    <row r="13649" spans="1:1" x14ac:dyDescent="0.35">
      <c r="A13649" s="12"/>
    </row>
    <row r="13650" spans="1:1" x14ac:dyDescent="0.35">
      <c r="A13650" s="12"/>
    </row>
    <row r="13651" spans="1:1" x14ac:dyDescent="0.35">
      <c r="A13651" s="12"/>
    </row>
    <row r="13652" spans="1:1" x14ac:dyDescent="0.35">
      <c r="A13652" s="12"/>
    </row>
    <row r="13653" spans="1:1" x14ac:dyDescent="0.35">
      <c r="A13653" s="12"/>
    </row>
    <row r="13654" spans="1:1" x14ac:dyDescent="0.35">
      <c r="A13654" s="12"/>
    </row>
    <row r="13655" spans="1:1" x14ac:dyDescent="0.35">
      <c r="A13655" s="12"/>
    </row>
    <row r="13656" spans="1:1" x14ac:dyDescent="0.35">
      <c r="A13656" s="12"/>
    </row>
    <row r="13657" spans="1:1" x14ac:dyDescent="0.35">
      <c r="A13657" s="12"/>
    </row>
    <row r="13658" spans="1:1" x14ac:dyDescent="0.35">
      <c r="A13658" s="12"/>
    </row>
    <row r="13659" spans="1:1" x14ac:dyDescent="0.35">
      <c r="A13659" s="12"/>
    </row>
    <row r="13660" spans="1:1" x14ac:dyDescent="0.35">
      <c r="A13660" s="12"/>
    </row>
    <row r="13661" spans="1:1" x14ac:dyDescent="0.35">
      <c r="A13661" s="12"/>
    </row>
    <row r="13662" spans="1:1" x14ac:dyDescent="0.35">
      <c r="A13662" s="12"/>
    </row>
    <row r="13663" spans="1:1" x14ac:dyDescent="0.35">
      <c r="A13663" s="12"/>
    </row>
    <row r="13664" spans="1:1" x14ac:dyDescent="0.35">
      <c r="A13664" s="12"/>
    </row>
    <row r="13665" spans="1:1" x14ac:dyDescent="0.35">
      <c r="A13665" s="12"/>
    </row>
    <row r="13666" spans="1:1" x14ac:dyDescent="0.35">
      <c r="A13666" s="12"/>
    </row>
    <row r="13667" spans="1:1" x14ac:dyDescent="0.35">
      <c r="A13667" s="12"/>
    </row>
    <row r="13668" spans="1:1" x14ac:dyDescent="0.35">
      <c r="A13668" s="12"/>
    </row>
    <row r="13669" spans="1:1" x14ac:dyDescent="0.35">
      <c r="A13669" s="12"/>
    </row>
    <row r="13670" spans="1:1" x14ac:dyDescent="0.35">
      <c r="A13670" s="12"/>
    </row>
    <row r="13671" spans="1:1" x14ac:dyDescent="0.35">
      <c r="A13671" s="12"/>
    </row>
    <row r="13672" spans="1:1" x14ac:dyDescent="0.35">
      <c r="A13672" s="12"/>
    </row>
    <row r="13673" spans="1:1" x14ac:dyDescent="0.35">
      <c r="A13673" s="12"/>
    </row>
    <row r="13674" spans="1:1" x14ac:dyDescent="0.35">
      <c r="A13674" s="12"/>
    </row>
    <row r="13675" spans="1:1" x14ac:dyDescent="0.35">
      <c r="A13675" s="12"/>
    </row>
    <row r="13676" spans="1:1" x14ac:dyDescent="0.35">
      <c r="A13676" s="12"/>
    </row>
    <row r="13677" spans="1:1" x14ac:dyDescent="0.35">
      <c r="A13677" s="12"/>
    </row>
    <row r="13678" spans="1:1" x14ac:dyDescent="0.35">
      <c r="A13678" s="12"/>
    </row>
    <row r="13679" spans="1:1" x14ac:dyDescent="0.35">
      <c r="A13679" s="12"/>
    </row>
    <row r="13680" spans="1:1" x14ac:dyDescent="0.35">
      <c r="A13680" s="12"/>
    </row>
    <row r="13681" spans="1:1" x14ac:dyDescent="0.35">
      <c r="A13681" s="12"/>
    </row>
    <row r="13682" spans="1:1" x14ac:dyDescent="0.35">
      <c r="A13682" s="12"/>
    </row>
    <row r="13683" spans="1:1" x14ac:dyDescent="0.35">
      <c r="A13683" s="12"/>
    </row>
    <row r="13684" spans="1:1" x14ac:dyDescent="0.35">
      <c r="A13684" s="12"/>
    </row>
    <row r="13685" spans="1:1" x14ac:dyDescent="0.35">
      <c r="A13685" s="12"/>
    </row>
    <row r="13686" spans="1:1" x14ac:dyDescent="0.35">
      <c r="A13686" s="12"/>
    </row>
    <row r="13687" spans="1:1" x14ac:dyDescent="0.35">
      <c r="A13687" s="12"/>
    </row>
    <row r="13688" spans="1:1" x14ac:dyDescent="0.35">
      <c r="A13688" s="12"/>
    </row>
    <row r="13689" spans="1:1" x14ac:dyDescent="0.35">
      <c r="A13689" s="12"/>
    </row>
    <row r="13690" spans="1:1" x14ac:dyDescent="0.35">
      <c r="A13690" s="12"/>
    </row>
    <row r="13691" spans="1:1" x14ac:dyDescent="0.35">
      <c r="A13691" s="12"/>
    </row>
    <row r="13692" spans="1:1" x14ac:dyDescent="0.35">
      <c r="A13692" s="12"/>
    </row>
    <row r="13693" spans="1:1" x14ac:dyDescent="0.35">
      <c r="A13693" s="12"/>
    </row>
    <row r="13694" spans="1:1" x14ac:dyDescent="0.35">
      <c r="A13694" s="12"/>
    </row>
    <row r="13695" spans="1:1" x14ac:dyDescent="0.35">
      <c r="A13695" s="12"/>
    </row>
    <row r="13696" spans="1:1" x14ac:dyDescent="0.35">
      <c r="A13696" s="12"/>
    </row>
    <row r="13697" spans="1:1" x14ac:dyDescent="0.35">
      <c r="A13697" s="12"/>
    </row>
    <row r="13698" spans="1:1" x14ac:dyDescent="0.35">
      <c r="A13698" s="12"/>
    </row>
    <row r="13699" spans="1:1" x14ac:dyDescent="0.35">
      <c r="A13699" s="12"/>
    </row>
    <row r="13700" spans="1:1" x14ac:dyDescent="0.35">
      <c r="A13700" s="12"/>
    </row>
    <row r="13701" spans="1:1" x14ac:dyDescent="0.35">
      <c r="A13701" s="12"/>
    </row>
    <row r="13702" spans="1:1" x14ac:dyDescent="0.35">
      <c r="A13702" s="12"/>
    </row>
    <row r="13703" spans="1:1" x14ac:dyDescent="0.35">
      <c r="A13703" s="12"/>
    </row>
    <row r="13704" spans="1:1" x14ac:dyDescent="0.35">
      <c r="A13704" s="12"/>
    </row>
    <row r="13705" spans="1:1" x14ac:dyDescent="0.35">
      <c r="A13705" s="12"/>
    </row>
    <row r="13706" spans="1:1" x14ac:dyDescent="0.35">
      <c r="A13706" s="12"/>
    </row>
    <row r="13707" spans="1:1" x14ac:dyDescent="0.35">
      <c r="A13707" s="12"/>
    </row>
    <row r="13708" spans="1:1" x14ac:dyDescent="0.35">
      <c r="A13708" s="12"/>
    </row>
    <row r="13709" spans="1:1" x14ac:dyDescent="0.35">
      <c r="A13709" s="12"/>
    </row>
    <row r="13710" spans="1:1" x14ac:dyDescent="0.35">
      <c r="A13710" s="12"/>
    </row>
    <row r="13711" spans="1:1" x14ac:dyDescent="0.35">
      <c r="A13711" s="12"/>
    </row>
    <row r="13712" spans="1:1" x14ac:dyDescent="0.35">
      <c r="A13712" s="12"/>
    </row>
    <row r="13713" spans="1:1" x14ac:dyDescent="0.35">
      <c r="A13713" s="12"/>
    </row>
    <row r="13714" spans="1:1" x14ac:dyDescent="0.35">
      <c r="A13714" s="12"/>
    </row>
    <row r="13715" spans="1:1" x14ac:dyDescent="0.35">
      <c r="A13715" s="12"/>
    </row>
    <row r="13716" spans="1:1" x14ac:dyDescent="0.35">
      <c r="A13716" s="12"/>
    </row>
    <row r="13717" spans="1:1" x14ac:dyDescent="0.35">
      <c r="A13717" s="12"/>
    </row>
    <row r="13718" spans="1:1" x14ac:dyDescent="0.35">
      <c r="A13718" s="12"/>
    </row>
    <row r="13719" spans="1:1" x14ac:dyDescent="0.35">
      <c r="A13719" s="12"/>
    </row>
    <row r="13720" spans="1:1" x14ac:dyDescent="0.35">
      <c r="A13720" s="12"/>
    </row>
    <row r="13721" spans="1:1" x14ac:dyDescent="0.35">
      <c r="A13721" s="12"/>
    </row>
    <row r="13722" spans="1:1" x14ac:dyDescent="0.35">
      <c r="A13722" s="12"/>
    </row>
    <row r="13723" spans="1:1" x14ac:dyDescent="0.35">
      <c r="A13723" s="12"/>
    </row>
    <row r="13724" spans="1:1" x14ac:dyDescent="0.35">
      <c r="A13724" s="12"/>
    </row>
    <row r="13725" spans="1:1" x14ac:dyDescent="0.35">
      <c r="A13725" s="12"/>
    </row>
    <row r="13726" spans="1:1" x14ac:dyDescent="0.35">
      <c r="A13726" s="12"/>
    </row>
    <row r="13727" spans="1:1" x14ac:dyDescent="0.35">
      <c r="A13727" s="12"/>
    </row>
    <row r="13728" spans="1:1" x14ac:dyDescent="0.35">
      <c r="A13728" s="12"/>
    </row>
    <row r="13729" spans="1:1" x14ac:dyDescent="0.35">
      <c r="A13729" s="12"/>
    </row>
    <row r="13730" spans="1:1" x14ac:dyDescent="0.35">
      <c r="A13730" s="12"/>
    </row>
    <row r="13731" spans="1:1" x14ac:dyDescent="0.35">
      <c r="A13731" s="12"/>
    </row>
    <row r="13732" spans="1:1" x14ac:dyDescent="0.35">
      <c r="A13732" s="12"/>
    </row>
    <row r="13733" spans="1:1" x14ac:dyDescent="0.35">
      <c r="A13733" s="12"/>
    </row>
    <row r="13734" spans="1:1" x14ac:dyDescent="0.35">
      <c r="A13734" s="12"/>
    </row>
    <row r="13735" spans="1:1" x14ac:dyDescent="0.35">
      <c r="A13735" s="12"/>
    </row>
    <row r="13736" spans="1:1" x14ac:dyDescent="0.35">
      <c r="A13736" s="12"/>
    </row>
    <row r="13737" spans="1:1" x14ac:dyDescent="0.35">
      <c r="A13737" s="12"/>
    </row>
    <row r="13738" spans="1:1" x14ac:dyDescent="0.35">
      <c r="A13738" s="12"/>
    </row>
    <row r="13739" spans="1:1" x14ac:dyDescent="0.35">
      <c r="A13739" s="12"/>
    </row>
    <row r="13740" spans="1:1" x14ac:dyDescent="0.35">
      <c r="A13740" s="12"/>
    </row>
    <row r="13741" spans="1:1" x14ac:dyDescent="0.35">
      <c r="A13741" s="12"/>
    </row>
    <row r="13742" spans="1:1" x14ac:dyDescent="0.35">
      <c r="A13742" s="12"/>
    </row>
    <row r="13743" spans="1:1" x14ac:dyDescent="0.35">
      <c r="A13743" s="12"/>
    </row>
    <row r="13744" spans="1:1" x14ac:dyDescent="0.35">
      <c r="A13744" s="12"/>
    </row>
    <row r="13745" spans="1:1" x14ac:dyDescent="0.35">
      <c r="A13745" s="12"/>
    </row>
    <row r="13746" spans="1:1" x14ac:dyDescent="0.35">
      <c r="A13746" s="12"/>
    </row>
    <row r="13747" spans="1:1" x14ac:dyDescent="0.35">
      <c r="A13747" s="12"/>
    </row>
    <row r="13748" spans="1:1" x14ac:dyDescent="0.35">
      <c r="A13748" s="12"/>
    </row>
    <row r="13749" spans="1:1" x14ac:dyDescent="0.35">
      <c r="A13749" s="12"/>
    </row>
    <row r="13750" spans="1:1" x14ac:dyDescent="0.35">
      <c r="A13750" s="12"/>
    </row>
    <row r="13751" spans="1:1" x14ac:dyDescent="0.35">
      <c r="A13751" s="12"/>
    </row>
    <row r="13752" spans="1:1" x14ac:dyDescent="0.35">
      <c r="A13752" s="12"/>
    </row>
    <row r="13753" spans="1:1" x14ac:dyDescent="0.35">
      <c r="A13753" s="12"/>
    </row>
    <row r="13754" spans="1:1" x14ac:dyDescent="0.35">
      <c r="A13754" s="12"/>
    </row>
    <row r="13755" spans="1:1" x14ac:dyDescent="0.35">
      <c r="A13755" s="12"/>
    </row>
    <row r="13756" spans="1:1" x14ac:dyDescent="0.35">
      <c r="A13756" s="12"/>
    </row>
    <row r="13757" spans="1:1" x14ac:dyDescent="0.35">
      <c r="A13757" s="12"/>
    </row>
    <row r="13758" spans="1:1" x14ac:dyDescent="0.35">
      <c r="A13758" s="12"/>
    </row>
    <row r="13759" spans="1:1" x14ac:dyDescent="0.35">
      <c r="A13759" s="12"/>
    </row>
    <row r="13760" spans="1:1" x14ac:dyDescent="0.35">
      <c r="A13760" s="12"/>
    </row>
    <row r="13761" spans="1:1" x14ac:dyDescent="0.35">
      <c r="A13761" s="12"/>
    </row>
    <row r="13762" spans="1:1" x14ac:dyDescent="0.35">
      <c r="A13762" s="12"/>
    </row>
    <row r="13763" spans="1:1" x14ac:dyDescent="0.35">
      <c r="A13763" s="12"/>
    </row>
    <row r="13764" spans="1:1" x14ac:dyDescent="0.35">
      <c r="A13764" s="12"/>
    </row>
    <row r="13765" spans="1:1" x14ac:dyDescent="0.35">
      <c r="A13765" s="12"/>
    </row>
    <row r="13766" spans="1:1" x14ac:dyDescent="0.35">
      <c r="A13766" s="12"/>
    </row>
    <row r="13767" spans="1:1" x14ac:dyDescent="0.35">
      <c r="A13767" s="12"/>
    </row>
    <row r="13768" spans="1:1" x14ac:dyDescent="0.35">
      <c r="A13768" s="12"/>
    </row>
    <row r="13769" spans="1:1" x14ac:dyDescent="0.35">
      <c r="A13769" s="12"/>
    </row>
    <row r="13770" spans="1:1" x14ac:dyDescent="0.35">
      <c r="A13770" s="12"/>
    </row>
    <row r="13771" spans="1:1" x14ac:dyDescent="0.35">
      <c r="A13771" s="12"/>
    </row>
    <row r="13772" spans="1:1" x14ac:dyDescent="0.35">
      <c r="A13772" s="12"/>
    </row>
    <row r="13773" spans="1:1" x14ac:dyDescent="0.35">
      <c r="A13773" s="12"/>
    </row>
    <row r="13774" spans="1:1" x14ac:dyDescent="0.35">
      <c r="A13774" s="12"/>
    </row>
    <row r="13775" spans="1:1" x14ac:dyDescent="0.35">
      <c r="A13775" s="12"/>
    </row>
    <row r="13776" spans="1:1" x14ac:dyDescent="0.35">
      <c r="A13776" s="12"/>
    </row>
    <row r="13777" spans="1:1" x14ac:dyDescent="0.35">
      <c r="A13777" s="12"/>
    </row>
    <row r="13778" spans="1:1" x14ac:dyDescent="0.35">
      <c r="A13778" s="12"/>
    </row>
    <row r="13779" spans="1:1" x14ac:dyDescent="0.35">
      <c r="A13779" s="12"/>
    </row>
    <row r="13780" spans="1:1" x14ac:dyDescent="0.35">
      <c r="A13780" s="12"/>
    </row>
    <row r="13781" spans="1:1" x14ac:dyDescent="0.35">
      <c r="A13781" s="12"/>
    </row>
    <row r="13782" spans="1:1" x14ac:dyDescent="0.35">
      <c r="A13782" s="12"/>
    </row>
    <row r="13783" spans="1:1" x14ac:dyDescent="0.35">
      <c r="A13783" s="12"/>
    </row>
    <row r="13784" spans="1:1" x14ac:dyDescent="0.35">
      <c r="A13784" s="12"/>
    </row>
    <row r="13785" spans="1:1" x14ac:dyDescent="0.35">
      <c r="A13785" s="12"/>
    </row>
    <row r="13786" spans="1:1" x14ac:dyDescent="0.35">
      <c r="A13786" s="12"/>
    </row>
    <row r="13787" spans="1:1" x14ac:dyDescent="0.35">
      <c r="A13787" s="12"/>
    </row>
    <row r="13788" spans="1:1" x14ac:dyDescent="0.35">
      <c r="A13788" s="12"/>
    </row>
    <row r="13789" spans="1:1" x14ac:dyDescent="0.35">
      <c r="A13789" s="12"/>
    </row>
    <row r="13790" spans="1:1" x14ac:dyDescent="0.35">
      <c r="A13790" s="12"/>
    </row>
    <row r="13791" spans="1:1" x14ac:dyDescent="0.35">
      <c r="A13791" s="12"/>
    </row>
    <row r="13792" spans="1:1" x14ac:dyDescent="0.35">
      <c r="A13792" s="12"/>
    </row>
    <row r="13793" spans="1:1" x14ac:dyDescent="0.35">
      <c r="A13793" s="12"/>
    </row>
    <row r="13794" spans="1:1" x14ac:dyDescent="0.35">
      <c r="A13794" s="12"/>
    </row>
    <row r="13795" spans="1:1" x14ac:dyDescent="0.35">
      <c r="A13795" s="12"/>
    </row>
    <row r="13796" spans="1:1" x14ac:dyDescent="0.35">
      <c r="A13796" s="12"/>
    </row>
    <row r="13797" spans="1:1" x14ac:dyDescent="0.35">
      <c r="A13797" s="12"/>
    </row>
    <row r="13798" spans="1:1" x14ac:dyDescent="0.35">
      <c r="A13798" s="12"/>
    </row>
    <row r="13799" spans="1:1" x14ac:dyDescent="0.35">
      <c r="A13799" s="12"/>
    </row>
    <row r="13800" spans="1:1" x14ac:dyDescent="0.35">
      <c r="A13800" s="12"/>
    </row>
    <row r="13801" spans="1:1" x14ac:dyDescent="0.35">
      <c r="A13801" s="12"/>
    </row>
    <row r="13802" spans="1:1" x14ac:dyDescent="0.35">
      <c r="A13802" s="12"/>
    </row>
    <row r="13803" spans="1:1" x14ac:dyDescent="0.35">
      <c r="A13803" s="12"/>
    </row>
    <row r="13804" spans="1:1" x14ac:dyDescent="0.35">
      <c r="A13804" s="12"/>
    </row>
    <row r="13805" spans="1:1" x14ac:dyDescent="0.35">
      <c r="A13805" s="12"/>
    </row>
    <row r="13806" spans="1:1" x14ac:dyDescent="0.35">
      <c r="A13806" s="12"/>
    </row>
    <row r="13807" spans="1:1" x14ac:dyDescent="0.35">
      <c r="A13807" s="12"/>
    </row>
    <row r="13808" spans="1:1" x14ac:dyDescent="0.35">
      <c r="A13808" s="12"/>
    </row>
    <row r="13809" spans="1:1" x14ac:dyDescent="0.35">
      <c r="A13809" s="12"/>
    </row>
    <row r="13810" spans="1:1" x14ac:dyDescent="0.35">
      <c r="A13810" s="12"/>
    </row>
    <row r="13811" spans="1:1" x14ac:dyDescent="0.35">
      <c r="A13811" s="12"/>
    </row>
    <row r="13812" spans="1:1" x14ac:dyDescent="0.35">
      <c r="A13812" s="12"/>
    </row>
    <row r="13813" spans="1:1" x14ac:dyDescent="0.35">
      <c r="A13813" s="12"/>
    </row>
    <row r="13814" spans="1:1" x14ac:dyDescent="0.35">
      <c r="A13814" s="12"/>
    </row>
    <row r="13815" spans="1:1" x14ac:dyDescent="0.35">
      <c r="A13815" s="12"/>
    </row>
    <row r="13816" spans="1:1" x14ac:dyDescent="0.35">
      <c r="A13816" s="12"/>
    </row>
    <row r="13817" spans="1:1" x14ac:dyDescent="0.35">
      <c r="A13817" s="12"/>
    </row>
    <row r="13818" spans="1:1" x14ac:dyDescent="0.35">
      <c r="A13818" s="12"/>
    </row>
    <row r="13819" spans="1:1" x14ac:dyDescent="0.35">
      <c r="A13819" s="12"/>
    </row>
    <row r="13820" spans="1:1" x14ac:dyDescent="0.35">
      <c r="A13820" s="12"/>
    </row>
    <row r="13821" spans="1:1" x14ac:dyDescent="0.35">
      <c r="A13821" s="12"/>
    </row>
    <row r="13822" spans="1:1" x14ac:dyDescent="0.35">
      <c r="A13822" s="12"/>
    </row>
    <row r="13823" spans="1:1" x14ac:dyDescent="0.35">
      <c r="A13823" s="12"/>
    </row>
    <row r="13824" spans="1:1" x14ac:dyDescent="0.35">
      <c r="A13824" s="12"/>
    </row>
    <row r="13825" spans="1:1" x14ac:dyDescent="0.35">
      <c r="A13825" s="12"/>
    </row>
    <row r="13826" spans="1:1" x14ac:dyDescent="0.35">
      <c r="A13826" s="12"/>
    </row>
    <row r="13827" spans="1:1" x14ac:dyDescent="0.35">
      <c r="A13827" s="12"/>
    </row>
    <row r="13828" spans="1:1" x14ac:dyDescent="0.35">
      <c r="A13828" s="12"/>
    </row>
    <row r="13829" spans="1:1" x14ac:dyDescent="0.35">
      <c r="A13829" s="12"/>
    </row>
    <row r="13830" spans="1:1" x14ac:dyDescent="0.35">
      <c r="A13830" s="12"/>
    </row>
    <row r="13831" spans="1:1" x14ac:dyDescent="0.35">
      <c r="A13831" s="12"/>
    </row>
    <row r="13832" spans="1:1" x14ac:dyDescent="0.35">
      <c r="A13832" s="12"/>
    </row>
    <row r="13833" spans="1:1" x14ac:dyDescent="0.35">
      <c r="A13833" s="12"/>
    </row>
    <row r="13834" spans="1:1" x14ac:dyDescent="0.35">
      <c r="A13834" s="12"/>
    </row>
    <row r="13835" spans="1:1" x14ac:dyDescent="0.35">
      <c r="A13835" s="12"/>
    </row>
    <row r="13836" spans="1:1" x14ac:dyDescent="0.35">
      <c r="A13836" s="12"/>
    </row>
    <row r="13837" spans="1:1" x14ac:dyDescent="0.35">
      <c r="A13837" s="12"/>
    </row>
    <row r="13838" spans="1:1" x14ac:dyDescent="0.35">
      <c r="A13838" s="12"/>
    </row>
    <row r="13839" spans="1:1" x14ac:dyDescent="0.35">
      <c r="A13839" s="12"/>
    </row>
    <row r="13840" spans="1:1" x14ac:dyDescent="0.35">
      <c r="A13840" s="12"/>
    </row>
    <row r="13841" spans="1:1" x14ac:dyDescent="0.35">
      <c r="A13841" s="12"/>
    </row>
    <row r="13842" spans="1:1" x14ac:dyDescent="0.35">
      <c r="A13842" s="12"/>
    </row>
    <row r="13843" spans="1:1" x14ac:dyDescent="0.35">
      <c r="A13843" s="12"/>
    </row>
    <row r="13844" spans="1:1" x14ac:dyDescent="0.35">
      <c r="A13844" s="12"/>
    </row>
    <row r="13845" spans="1:1" x14ac:dyDescent="0.35">
      <c r="A13845" s="12"/>
    </row>
    <row r="13846" spans="1:1" x14ac:dyDescent="0.35">
      <c r="A13846" s="12"/>
    </row>
    <row r="13847" spans="1:1" x14ac:dyDescent="0.35">
      <c r="A13847" s="12"/>
    </row>
    <row r="13848" spans="1:1" x14ac:dyDescent="0.35">
      <c r="A13848" s="12"/>
    </row>
    <row r="13849" spans="1:1" x14ac:dyDescent="0.35">
      <c r="A13849" s="12"/>
    </row>
    <row r="13850" spans="1:1" x14ac:dyDescent="0.35">
      <c r="A13850" s="12"/>
    </row>
    <row r="13851" spans="1:1" x14ac:dyDescent="0.35">
      <c r="A13851" s="12"/>
    </row>
    <row r="13852" spans="1:1" x14ac:dyDescent="0.35">
      <c r="A13852" s="12"/>
    </row>
    <row r="13853" spans="1:1" x14ac:dyDescent="0.35">
      <c r="A13853" s="12"/>
    </row>
    <row r="13854" spans="1:1" x14ac:dyDescent="0.35">
      <c r="A13854" s="12"/>
    </row>
    <row r="13855" spans="1:1" x14ac:dyDescent="0.35">
      <c r="A13855" s="12"/>
    </row>
    <row r="13856" spans="1:1" x14ac:dyDescent="0.35">
      <c r="A13856" s="12"/>
    </row>
    <row r="13857" spans="1:1" x14ac:dyDescent="0.35">
      <c r="A13857" s="12"/>
    </row>
    <row r="13858" spans="1:1" x14ac:dyDescent="0.35">
      <c r="A13858" s="12"/>
    </row>
    <row r="13859" spans="1:1" x14ac:dyDescent="0.35">
      <c r="A13859" s="12"/>
    </row>
    <row r="13860" spans="1:1" x14ac:dyDescent="0.35">
      <c r="A13860" s="12"/>
    </row>
    <row r="13861" spans="1:1" x14ac:dyDescent="0.35">
      <c r="A13861" s="12"/>
    </row>
    <row r="13862" spans="1:1" x14ac:dyDescent="0.35">
      <c r="A13862" s="12"/>
    </row>
    <row r="13863" spans="1:1" x14ac:dyDescent="0.35">
      <c r="A13863" s="12"/>
    </row>
    <row r="13864" spans="1:1" x14ac:dyDescent="0.35">
      <c r="A13864" s="12"/>
    </row>
    <row r="13865" spans="1:1" x14ac:dyDescent="0.35">
      <c r="A13865" s="12"/>
    </row>
    <row r="13866" spans="1:1" x14ac:dyDescent="0.35">
      <c r="A13866" s="12"/>
    </row>
    <row r="13867" spans="1:1" x14ac:dyDescent="0.35">
      <c r="A13867" s="12"/>
    </row>
    <row r="13868" spans="1:1" x14ac:dyDescent="0.35">
      <c r="A13868" s="12"/>
    </row>
    <row r="13869" spans="1:1" x14ac:dyDescent="0.35">
      <c r="A13869" s="12"/>
    </row>
    <row r="13870" spans="1:1" x14ac:dyDescent="0.35">
      <c r="A13870" s="12"/>
    </row>
    <row r="13871" spans="1:1" x14ac:dyDescent="0.35">
      <c r="A13871" s="12"/>
    </row>
    <row r="13872" spans="1:1" x14ac:dyDescent="0.35">
      <c r="A13872" s="12"/>
    </row>
    <row r="13873" spans="1:1" x14ac:dyDescent="0.35">
      <c r="A13873" s="12"/>
    </row>
    <row r="13874" spans="1:1" x14ac:dyDescent="0.35">
      <c r="A13874" s="12"/>
    </row>
    <row r="13875" spans="1:1" x14ac:dyDescent="0.35">
      <c r="A13875" s="12"/>
    </row>
    <row r="13876" spans="1:1" x14ac:dyDescent="0.35">
      <c r="A13876" s="12"/>
    </row>
    <row r="13877" spans="1:1" x14ac:dyDescent="0.35">
      <c r="A13877" s="12"/>
    </row>
    <row r="13878" spans="1:1" x14ac:dyDescent="0.35">
      <c r="A13878" s="12"/>
    </row>
    <row r="13879" spans="1:1" x14ac:dyDescent="0.35">
      <c r="A13879" s="12"/>
    </row>
    <row r="13880" spans="1:1" x14ac:dyDescent="0.35">
      <c r="A13880" s="12"/>
    </row>
    <row r="13881" spans="1:1" x14ac:dyDescent="0.35">
      <c r="A13881" s="12"/>
    </row>
    <row r="13882" spans="1:1" x14ac:dyDescent="0.35">
      <c r="A13882" s="12"/>
    </row>
    <row r="13883" spans="1:1" x14ac:dyDescent="0.35">
      <c r="A13883" s="12"/>
    </row>
    <row r="13884" spans="1:1" x14ac:dyDescent="0.35">
      <c r="A13884" s="12"/>
    </row>
    <row r="13885" spans="1:1" x14ac:dyDescent="0.35">
      <c r="A13885" s="12"/>
    </row>
    <row r="13886" spans="1:1" x14ac:dyDescent="0.35">
      <c r="A13886" s="12"/>
    </row>
    <row r="13887" spans="1:1" x14ac:dyDescent="0.35">
      <c r="A13887" s="12"/>
    </row>
    <row r="13888" spans="1:1" x14ac:dyDescent="0.35">
      <c r="A13888" s="12"/>
    </row>
    <row r="13889" spans="1:1" x14ac:dyDescent="0.35">
      <c r="A13889" s="12"/>
    </row>
    <row r="13890" spans="1:1" x14ac:dyDescent="0.35">
      <c r="A13890" s="12"/>
    </row>
    <row r="13891" spans="1:1" x14ac:dyDescent="0.35">
      <c r="A13891" s="12"/>
    </row>
    <row r="13892" spans="1:1" x14ac:dyDescent="0.35">
      <c r="A13892" s="12"/>
    </row>
    <row r="13893" spans="1:1" x14ac:dyDescent="0.35">
      <c r="A13893" s="12"/>
    </row>
    <row r="13894" spans="1:1" x14ac:dyDescent="0.35">
      <c r="A13894" s="12"/>
    </row>
    <row r="13895" spans="1:1" x14ac:dyDescent="0.35">
      <c r="A13895" s="12"/>
    </row>
    <row r="13896" spans="1:1" x14ac:dyDescent="0.35">
      <c r="A13896" s="12"/>
    </row>
    <row r="13897" spans="1:1" x14ac:dyDescent="0.35">
      <c r="A13897" s="12"/>
    </row>
    <row r="13898" spans="1:1" x14ac:dyDescent="0.35">
      <c r="A13898" s="12"/>
    </row>
    <row r="13899" spans="1:1" x14ac:dyDescent="0.35">
      <c r="A13899" s="12"/>
    </row>
    <row r="13900" spans="1:1" x14ac:dyDescent="0.35">
      <c r="A13900" s="12"/>
    </row>
    <row r="13901" spans="1:1" x14ac:dyDescent="0.35">
      <c r="A13901" s="12"/>
    </row>
    <row r="13902" spans="1:1" x14ac:dyDescent="0.35">
      <c r="A13902" s="12"/>
    </row>
    <row r="13903" spans="1:1" x14ac:dyDescent="0.35">
      <c r="A13903" s="12"/>
    </row>
    <row r="13904" spans="1:1" x14ac:dyDescent="0.35">
      <c r="A13904" s="12"/>
    </row>
    <row r="13905" spans="1:1" x14ac:dyDescent="0.35">
      <c r="A13905" s="12"/>
    </row>
    <row r="13906" spans="1:1" x14ac:dyDescent="0.35">
      <c r="A13906" s="12"/>
    </row>
    <row r="13907" spans="1:1" x14ac:dyDescent="0.35">
      <c r="A13907" s="12"/>
    </row>
    <row r="13908" spans="1:1" x14ac:dyDescent="0.35">
      <c r="A13908" s="12"/>
    </row>
    <row r="13909" spans="1:1" x14ac:dyDescent="0.35">
      <c r="A13909" s="12"/>
    </row>
    <row r="13910" spans="1:1" x14ac:dyDescent="0.35">
      <c r="A13910" s="12"/>
    </row>
    <row r="13911" spans="1:1" x14ac:dyDescent="0.35">
      <c r="A13911" s="12"/>
    </row>
    <row r="13912" spans="1:1" x14ac:dyDescent="0.35">
      <c r="A13912" s="12"/>
    </row>
    <row r="13913" spans="1:1" x14ac:dyDescent="0.35">
      <c r="A13913" s="12"/>
    </row>
    <row r="13914" spans="1:1" x14ac:dyDescent="0.35">
      <c r="A13914" s="12"/>
    </row>
    <row r="13915" spans="1:1" x14ac:dyDescent="0.35">
      <c r="A13915" s="12"/>
    </row>
    <row r="13916" spans="1:1" x14ac:dyDescent="0.35">
      <c r="A13916" s="12"/>
    </row>
    <row r="13917" spans="1:1" x14ac:dyDescent="0.35">
      <c r="A13917" s="12"/>
    </row>
    <row r="13918" spans="1:1" x14ac:dyDescent="0.35">
      <c r="A13918" s="12"/>
    </row>
    <row r="13919" spans="1:1" x14ac:dyDescent="0.35">
      <c r="A13919" s="12"/>
    </row>
    <row r="13920" spans="1:1" x14ac:dyDescent="0.35">
      <c r="A13920" s="12"/>
    </row>
    <row r="13921" spans="1:1" x14ac:dyDescent="0.35">
      <c r="A13921" s="12"/>
    </row>
    <row r="13922" spans="1:1" x14ac:dyDescent="0.35">
      <c r="A13922" s="12"/>
    </row>
    <row r="13923" spans="1:1" x14ac:dyDescent="0.35">
      <c r="A13923" s="12"/>
    </row>
    <row r="13924" spans="1:1" x14ac:dyDescent="0.35">
      <c r="A13924" s="12"/>
    </row>
    <row r="13925" spans="1:1" x14ac:dyDescent="0.35">
      <c r="A13925" s="12"/>
    </row>
    <row r="13926" spans="1:1" x14ac:dyDescent="0.35">
      <c r="A13926" s="12"/>
    </row>
    <row r="13927" spans="1:1" x14ac:dyDescent="0.35">
      <c r="A13927" s="12"/>
    </row>
    <row r="13928" spans="1:1" x14ac:dyDescent="0.35">
      <c r="A13928" s="12"/>
    </row>
    <row r="13929" spans="1:1" x14ac:dyDescent="0.35">
      <c r="A13929" s="12"/>
    </row>
    <row r="13930" spans="1:1" x14ac:dyDescent="0.35">
      <c r="A13930" s="12"/>
    </row>
    <row r="13931" spans="1:1" x14ac:dyDescent="0.35">
      <c r="A13931" s="12"/>
    </row>
    <row r="13932" spans="1:1" x14ac:dyDescent="0.35">
      <c r="A13932" s="12"/>
    </row>
    <row r="13933" spans="1:1" x14ac:dyDescent="0.35">
      <c r="A13933" s="12"/>
    </row>
    <row r="13934" spans="1:1" x14ac:dyDescent="0.35">
      <c r="A13934" s="12"/>
    </row>
    <row r="13935" spans="1:1" x14ac:dyDescent="0.35">
      <c r="A13935" s="12"/>
    </row>
    <row r="13936" spans="1:1" x14ac:dyDescent="0.35">
      <c r="A13936" s="12"/>
    </row>
    <row r="13937" spans="1:1" x14ac:dyDescent="0.35">
      <c r="A13937" s="12"/>
    </row>
    <row r="13938" spans="1:1" x14ac:dyDescent="0.35">
      <c r="A13938" s="12"/>
    </row>
    <row r="13939" spans="1:1" x14ac:dyDescent="0.35">
      <c r="A13939" s="12"/>
    </row>
    <row r="13940" spans="1:1" x14ac:dyDescent="0.35">
      <c r="A13940" s="12"/>
    </row>
    <row r="13941" spans="1:1" x14ac:dyDescent="0.35">
      <c r="A13941" s="12"/>
    </row>
    <row r="13942" spans="1:1" x14ac:dyDescent="0.35">
      <c r="A13942" s="12"/>
    </row>
    <row r="13943" spans="1:1" x14ac:dyDescent="0.35">
      <c r="A13943" s="12"/>
    </row>
    <row r="13944" spans="1:1" x14ac:dyDescent="0.35">
      <c r="A13944" s="12"/>
    </row>
    <row r="13945" spans="1:1" x14ac:dyDescent="0.35">
      <c r="A13945" s="12"/>
    </row>
    <row r="13946" spans="1:1" x14ac:dyDescent="0.35">
      <c r="A13946" s="12"/>
    </row>
    <row r="13947" spans="1:1" x14ac:dyDescent="0.35">
      <c r="A13947" s="12"/>
    </row>
    <row r="13948" spans="1:1" x14ac:dyDescent="0.35">
      <c r="A13948" s="12"/>
    </row>
    <row r="13949" spans="1:1" x14ac:dyDescent="0.35">
      <c r="A13949" s="12"/>
    </row>
    <row r="13950" spans="1:1" x14ac:dyDescent="0.35">
      <c r="A13950" s="12"/>
    </row>
    <row r="13951" spans="1:1" x14ac:dyDescent="0.35">
      <c r="A13951" s="12"/>
    </row>
    <row r="13952" spans="1:1" x14ac:dyDescent="0.35">
      <c r="A13952" s="12"/>
    </row>
    <row r="13953" spans="1:1" x14ac:dyDescent="0.35">
      <c r="A13953" s="12"/>
    </row>
    <row r="13954" spans="1:1" x14ac:dyDescent="0.35">
      <c r="A13954" s="12"/>
    </row>
    <row r="13955" spans="1:1" x14ac:dyDescent="0.35">
      <c r="A13955" s="12"/>
    </row>
    <row r="13956" spans="1:1" x14ac:dyDescent="0.35">
      <c r="A13956" s="12"/>
    </row>
    <row r="13957" spans="1:1" x14ac:dyDescent="0.35">
      <c r="A13957" s="12"/>
    </row>
    <row r="13958" spans="1:1" x14ac:dyDescent="0.35">
      <c r="A13958" s="12"/>
    </row>
    <row r="13959" spans="1:1" x14ac:dyDescent="0.35">
      <c r="A13959" s="12"/>
    </row>
    <row r="13960" spans="1:1" x14ac:dyDescent="0.35">
      <c r="A13960" s="12"/>
    </row>
    <row r="13961" spans="1:1" x14ac:dyDescent="0.35">
      <c r="A13961" s="12"/>
    </row>
    <row r="13962" spans="1:1" x14ac:dyDescent="0.35">
      <c r="A13962" s="12"/>
    </row>
    <row r="13963" spans="1:1" x14ac:dyDescent="0.35">
      <c r="A13963" s="12"/>
    </row>
    <row r="13964" spans="1:1" x14ac:dyDescent="0.35">
      <c r="A13964" s="12"/>
    </row>
    <row r="13965" spans="1:1" x14ac:dyDescent="0.35">
      <c r="A13965" s="12"/>
    </row>
    <row r="13966" spans="1:1" x14ac:dyDescent="0.35">
      <c r="A13966" s="12"/>
    </row>
    <row r="13967" spans="1:1" x14ac:dyDescent="0.35">
      <c r="A13967" s="12"/>
    </row>
    <row r="13968" spans="1:1" x14ac:dyDescent="0.35">
      <c r="A13968" s="12"/>
    </row>
    <row r="13969" spans="1:1" x14ac:dyDescent="0.35">
      <c r="A13969" s="12"/>
    </row>
    <row r="13970" spans="1:1" x14ac:dyDescent="0.35">
      <c r="A13970" s="12"/>
    </row>
    <row r="13971" spans="1:1" x14ac:dyDescent="0.35">
      <c r="A13971" s="12"/>
    </row>
    <row r="13972" spans="1:1" x14ac:dyDescent="0.35">
      <c r="A13972" s="12"/>
    </row>
    <row r="13973" spans="1:1" x14ac:dyDescent="0.35">
      <c r="A13973" s="12"/>
    </row>
    <row r="13974" spans="1:1" x14ac:dyDescent="0.35">
      <c r="A13974" s="12"/>
    </row>
    <row r="13975" spans="1:1" x14ac:dyDescent="0.35">
      <c r="A13975" s="12"/>
    </row>
    <row r="13976" spans="1:1" x14ac:dyDescent="0.35">
      <c r="A13976" s="12"/>
    </row>
    <row r="13977" spans="1:1" x14ac:dyDescent="0.35">
      <c r="A13977" s="12"/>
    </row>
    <row r="13978" spans="1:1" x14ac:dyDescent="0.35">
      <c r="A13978" s="12"/>
    </row>
    <row r="13979" spans="1:1" x14ac:dyDescent="0.35">
      <c r="A13979" s="12"/>
    </row>
    <row r="13980" spans="1:1" x14ac:dyDescent="0.35">
      <c r="A13980" s="12"/>
    </row>
    <row r="13981" spans="1:1" x14ac:dyDescent="0.35">
      <c r="A13981" s="12"/>
    </row>
    <row r="13982" spans="1:1" x14ac:dyDescent="0.35">
      <c r="A13982" s="12"/>
    </row>
    <row r="13983" spans="1:1" x14ac:dyDescent="0.35">
      <c r="A13983" s="12"/>
    </row>
    <row r="13984" spans="1:1" x14ac:dyDescent="0.35">
      <c r="A13984" s="12"/>
    </row>
    <row r="13985" spans="1:1" x14ac:dyDescent="0.35">
      <c r="A13985" s="12"/>
    </row>
    <row r="13986" spans="1:1" x14ac:dyDescent="0.35">
      <c r="A13986" s="12"/>
    </row>
    <row r="13987" spans="1:1" x14ac:dyDescent="0.35">
      <c r="A13987" s="12"/>
    </row>
    <row r="13988" spans="1:1" x14ac:dyDescent="0.35">
      <c r="A13988" s="12"/>
    </row>
    <row r="13989" spans="1:1" x14ac:dyDescent="0.35">
      <c r="A13989" s="12"/>
    </row>
    <row r="13990" spans="1:1" x14ac:dyDescent="0.35">
      <c r="A13990" s="12"/>
    </row>
    <row r="13991" spans="1:1" x14ac:dyDescent="0.35">
      <c r="A13991" s="12"/>
    </row>
    <row r="13992" spans="1:1" x14ac:dyDescent="0.35">
      <c r="A13992" s="12"/>
    </row>
    <row r="13993" spans="1:1" x14ac:dyDescent="0.35">
      <c r="A13993" s="12"/>
    </row>
    <row r="13994" spans="1:1" x14ac:dyDescent="0.35">
      <c r="A13994" s="12"/>
    </row>
    <row r="13995" spans="1:1" x14ac:dyDescent="0.35">
      <c r="A13995" s="12"/>
    </row>
    <row r="13996" spans="1:1" x14ac:dyDescent="0.35">
      <c r="A13996" s="12"/>
    </row>
    <row r="13997" spans="1:1" x14ac:dyDescent="0.35">
      <c r="A13997" s="12"/>
    </row>
    <row r="13998" spans="1:1" x14ac:dyDescent="0.35">
      <c r="A13998" s="12"/>
    </row>
    <row r="13999" spans="1:1" x14ac:dyDescent="0.35">
      <c r="A13999" s="12"/>
    </row>
    <row r="14000" spans="1:1" x14ac:dyDescent="0.35">
      <c r="A14000" s="12"/>
    </row>
    <row r="14001" spans="1:1" x14ac:dyDescent="0.35">
      <c r="A14001" s="12"/>
    </row>
    <row r="14002" spans="1:1" x14ac:dyDescent="0.35">
      <c r="A14002" s="12"/>
    </row>
    <row r="14003" spans="1:1" x14ac:dyDescent="0.35">
      <c r="A14003" s="12"/>
    </row>
    <row r="14004" spans="1:1" x14ac:dyDescent="0.35">
      <c r="A14004" s="12"/>
    </row>
    <row r="14005" spans="1:1" x14ac:dyDescent="0.35">
      <c r="A14005" s="12"/>
    </row>
    <row r="14006" spans="1:1" x14ac:dyDescent="0.35">
      <c r="A14006" s="12"/>
    </row>
    <row r="14007" spans="1:1" x14ac:dyDescent="0.35">
      <c r="A14007" s="12"/>
    </row>
    <row r="14008" spans="1:1" x14ac:dyDescent="0.35">
      <c r="A14008" s="12"/>
    </row>
    <row r="14009" spans="1:1" x14ac:dyDescent="0.35">
      <c r="A14009" s="12"/>
    </row>
    <row r="14010" spans="1:1" x14ac:dyDescent="0.35">
      <c r="A14010" s="12"/>
    </row>
    <row r="14011" spans="1:1" x14ac:dyDescent="0.35">
      <c r="A14011" s="12"/>
    </row>
    <row r="14012" spans="1:1" x14ac:dyDescent="0.35">
      <c r="A14012" s="12"/>
    </row>
    <row r="14013" spans="1:1" x14ac:dyDescent="0.35">
      <c r="A14013" s="12"/>
    </row>
    <row r="14014" spans="1:1" x14ac:dyDescent="0.35">
      <c r="A14014" s="12"/>
    </row>
    <row r="14015" spans="1:1" x14ac:dyDescent="0.35">
      <c r="A14015" s="12"/>
    </row>
    <row r="14016" spans="1:1" x14ac:dyDescent="0.35">
      <c r="A14016" s="12"/>
    </row>
    <row r="14017" spans="1:1" x14ac:dyDescent="0.35">
      <c r="A14017" s="12"/>
    </row>
    <row r="14018" spans="1:1" x14ac:dyDescent="0.35">
      <c r="A14018" s="12"/>
    </row>
    <row r="14019" spans="1:1" x14ac:dyDescent="0.35">
      <c r="A14019" s="12"/>
    </row>
    <row r="14020" spans="1:1" x14ac:dyDescent="0.35">
      <c r="A14020" s="12"/>
    </row>
    <row r="14021" spans="1:1" x14ac:dyDescent="0.35">
      <c r="A14021" s="12"/>
    </row>
    <row r="14022" spans="1:1" x14ac:dyDescent="0.35">
      <c r="A14022" s="12"/>
    </row>
    <row r="14023" spans="1:1" x14ac:dyDescent="0.35">
      <c r="A14023" s="12"/>
    </row>
    <row r="14024" spans="1:1" x14ac:dyDescent="0.35">
      <c r="A14024" s="12"/>
    </row>
    <row r="14025" spans="1:1" x14ac:dyDescent="0.35">
      <c r="A14025" s="12"/>
    </row>
    <row r="14026" spans="1:1" x14ac:dyDescent="0.35">
      <c r="A14026" s="12"/>
    </row>
    <row r="14027" spans="1:1" x14ac:dyDescent="0.35">
      <c r="A14027" s="12"/>
    </row>
    <row r="14028" spans="1:1" x14ac:dyDescent="0.35">
      <c r="A14028" s="12"/>
    </row>
    <row r="14029" spans="1:1" x14ac:dyDescent="0.35">
      <c r="A14029" s="12"/>
    </row>
    <row r="14030" spans="1:1" x14ac:dyDescent="0.35">
      <c r="A14030" s="12"/>
    </row>
    <row r="14031" spans="1:1" x14ac:dyDescent="0.35">
      <c r="A14031" s="12"/>
    </row>
    <row r="14032" spans="1:1" x14ac:dyDescent="0.35">
      <c r="A14032" s="12"/>
    </row>
    <row r="14033" spans="1:1" x14ac:dyDescent="0.35">
      <c r="A14033" s="12"/>
    </row>
    <row r="14034" spans="1:1" x14ac:dyDescent="0.35">
      <c r="A14034" s="12"/>
    </row>
    <row r="14035" spans="1:1" x14ac:dyDescent="0.35">
      <c r="A14035" s="12"/>
    </row>
    <row r="14036" spans="1:1" x14ac:dyDescent="0.35">
      <c r="A14036" s="12"/>
    </row>
    <row r="14037" spans="1:1" x14ac:dyDescent="0.35">
      <c r="A14037" s="12"/>
    </row>
    <row r="14038" spans="1:1" x14ac:dyDescent="0.35">
      <c r="A14038" s="12"/>
    </row>
    <row r="14039" spans="1:1" x14ac:dyDescent="0.35">
      <c r="A14039" s="12"/>
    </row>
    <row r="14040" spans="1:1" x14ac:dyDescent="0.35">
      <c r="A14040" s="12"/>
    </row>
    <row r="14041" spans="1:1" x14ac:dyDescent="0.35">
      <c r="A14041" s="12"/>
    </row>
    <row r="14042" spans="1:1" x14ac:dyDescent="0.35">
      <c r="A14042" s="12"/>
    </row>
    <row r="14043" spans="1:1" x14ac:dyDescent="0.35">
      <c r="A14043" s="12"/>
    </row>
    <row r="14044" spans="1:1" x14ac:dyDescent="0.35">
      <c r="A14044" s="12"/>
    </row>
    <row r="14045" spans="1:1" x14ac:dyDescent="0.35">
      <c r="A14045" s="12"/>
    </row>
    <row r="14046" spans="1:1" x14ac:dyDescent="0.35">
      <c r="A14046" s="12"/>
    </row>
    <row r="14047" spans="1:1" x14ac:dyDescent="0.35">
      <c r="A14047" s="12"/>
    </row>
    <row r="14048" spans="1:1" x14ac:dyDescent="0.35">
      <c r="A14048" s="12"/>
    </row>
    <row r="14049" spans="1:1" x14ac:dyDescent="0.35">
      <c r="A14049" s="12"/>
    </row>
    <row r="14050" spans="1:1" x14ac:dyDescent="0.35">
      <c r="A14050" s="12"/>
    </row>
    <row r="14051" spans="1:1" x14ac:dyDescent="0.35">
      <c r="A14051" s="12"/>
    </row>
    <row r="14052" spans="1:1" x14ac:dyDescent="0.35">
      <c r="A14052" s="12"/>
    </row>
    <row r="14053" spans="1:1" x14ac:dyDescent="0.35">
      <c r="A14053" s="12"/>
    </row>
    <row r="14054" spans="1:1" x14ac:dyDescent="0.35">
      <c r="A14054" s="12"/>
    </row>
    <row r="14055" spans="1:1" x14ac:dyDescent="0.35">
      <c r="A14055" s="12"/>
    </row>
    <row r="14056" spans="1:1" x14ac:dyDescent="0.35">
      <c r="A14056" s="12"/>
    </row>
    <row r="14057" spans="1:1" x14ac:dyDescent="0.35">
      <c r="A14057" s="12"/>
    </row>
    <row r="14058" spans="1:1" x14ac:dyDescent="0.35">
      <c r="A14058" s="12"/>
    </row>
    <row r="14059" spans="1:1" x14ac:dyDescent="0.35">
      <c r="A14059" s="12"/>
    </row>
    <row r="14060" spans="1:1" x14ac:dyDescent="0.35">
      <c r="A14060" s="12"/>
    </row>
    <row r="14061" spans="1:1" x14ac:dyDescent="0.35">
      <c r="A14061" s="12"/>
    </row>
    <row r="14062" spans="1:1" x14ac:dyDescent="0.35">
      <c r="A14062" s="12"/>
    </row>
    <row r="14063" spans="1:1" x14ac:dyDescent="0.35">
      <c r="A14063" s="12"/>
    </row>
    <row r="14064" spans="1:1" x14ac:dyDescent="0.35">
      <c r="A14064" s="12"/>
    </row>
    <row r="14065" spans="1:1" x14ac:dyDescent="0.35">
      <c r="A14065" s="12"/>
    </row>
    <row r="14066" spans="1:1" x14ac:dyDescent="0.35">
      <c r="A14066" s="12"/>
    </row>
    <row r="14067" spans="1:1" x14ac:dyDescent="0.35">
      <c r="A14067" s="12"/>
    </row>
    <row r="14068" spans="1:1" x14ac:dyDescent="0.35">
      <c r="A14068" s="12"/>
    </row>
    <row r="14069" spans="1:1" x14ac:dyDescent="0.35">
      <c r="A14069" s="12"/>
    </row>
    <row r="14070" spans="1:1" x14ac:dyDescent="0.35">
      <c r="A14070" s="12"/>
    </row>
    <row r="14071" spans="1:1" x14ac:dyDescent="0.35">
      <c r="A14071" s="12"/>
    </row>
    <row r="14072" spans="1:1" x14ac:dyDescent="0.35">
      <c r="A14072" s="12"/>
    </row>
    <row r="14073" spans="1:1" x14ac:dyDescent="0.35">
      <c r="A14073" s="12"/>
    </row>
    <row r="14074" spans="1:1" x14ac:dyDescent="0.35">
      <c r="A14074" s="12"/>
    </row>
    <row r="14075" spans="1:1" x14ac:dyDescent="0.35">
      <c r="A14075" s="12"/>
    </row>
    <row r="14076" spans="1:1" x14ac:dyDescent="0.35">
      <c r="A14076" s="12"/>
    </row>
    <row r="14077" spans="1:1" x14ac:dyDescent="0.35">
      <c r="A14077" s="12"/>
    </row>
    <row r="14078" spans="1:1" x14ac:dyDescent="0.35">
      <c r="A14078" s="12"/>
    </row>
    <row r="14079" spans="1:1" x14ac:dyDescent="0.35">
      <c r="A14079" s="12"/>
    </row>
    <row r="14080" spans="1:1" x14ac:dyDescent="0.35">
      <c r="A14080" s="12"/>
    </row>
    <row r="14081" spans="1:1" x14ac:dyDescent="0.35">
      <c r="A14081" s="12"/>
    </row>
    <row r="14082" spans="1:1" x14ac:dyDescent="0.35">
      <c r="A14082" s="12"/>
    </row>
    <row r="14083" spans="1:1" x14ac:dyDescent="0.35">
      <c r="A14083" s="12"/>
    </row>
    <row r="14084" spans="1:1" x14ac:dyDescent="0.35">
      <c r="A14084" s="12"/>
    </row>
    <row r="14085" spans="1:1" x14ac:dyDescent="0.35">
      <c r="A14085" s="12"/>
    </row>
    <row r="14086" spans="1:1" x14ac:dyDescent="0.35">
      <c r="A14086" s="12"/>
    </row>
    <row r="14087" spans="1:1" x14ac:dyDescent="0.35">
      <c r="A14087" s="12"/>
    </row>
    <row r="14088" spans="1:1" x14ac:dyDescent="0.35">
      <c r="A14088" s="12"/>
    </row>
    <row r="14089" spans="1:1" x14ac:dyDescent="0.35">
      <c r="A14089" s="12"/>
    </row>
    <row r="14090" spans="1:1" x14ac:dyDescent="0.35">
      <c r="A14090" s="12"/>
    </row>
    <row r="14091" spans="1:1" x14ac:dyDescent="0.35">
      <c r="A14091" s="12"/>
    </row>
    <row r="14092" spans="1:1" x14ac:dyDescent="0.35">
      <c r="A14092" s="12"/>
    </row>
    <row r="14093" spans="1:1" x14ac:dyDescent="0.35">
      <c r="A14093" s="12"/>
    </row>
    <row r="14094" spans="1:1" x14ac:dyDescent="0.35">
      <c r="A14094" s="12"/>
    </row>
    <row r="14095" spans="1:1" x14ac:dyDescent="0.35">
      <c r="A14095" s="12"/>
    </row>
    <row r="14096" spans="1:1" x14ac:dyDescent="0.35">
      <c r="A14096" s="12"/>
    </row>
    <row r="14097" spans="1:1" x14ac:dyDescent="0.35">
      <c r="A14097" s="12"/>
    </row>
    <row r="14098" spans="1:1" x14ac:dyDescent="0.35">
      <c r="A14098" s="12"/>
    </row>
    <row r="14099" spans="1:1" x14ac:dyDescent="0.35">
      <c r="A14099" s="12"/>
    </row>
    <row r="14100" spans="1:1" x14ac:dyDescent="0.35">
      <c r="A14100" s="12"/>
    </row>
    <row r="14101" spans="1:1" x14ac:dyDescent="0.35">
      <c r="A14101" s="12"/>
    </row>
    <row r="14102" spans="1:1" x14ac:dyDescent="0.35">
      <c r="A14102" s="12"/>
    </row>
    <row r="14103" spans="1:1" x14ac:dyDescent="0.35">
      <c r="A14103" s="12"/>
    </row>
    <row r="14104" spans="1:1" x14ac:dyDescent="0.35">
      <c r="A14104" s="12"/>
    </row>
    <row r="14105" spans="1:1" x14ac:dyDescent="0.35">
      <c r="A14105" s="12"/>
    </row>
    <row r="14106" spans="1:1" x14ac:dyDescent="0.35">
      <c r="A14106" s="12"/>
    </row>
    <row r="14107" spans="1:1" x14ac:dyDescent="0.35">
      <c r="A14107" s="12"/>
    </row>
    <row r="14108" spans="1:1" x14ac:dyDescent="0.35">
      <c r="A14108" s="12"/>
    </row>
    <row r="14109" spans="1:1" x14ac:dyDescent="0.35">
      <c r="A14109" s="12"/>
    </row>
    <row r="14110" spans="1:1" x14ac:dyDescent="0.35">
      <c r="A14110" s="12"/>
    </row>
    <row r="14111" spans="1:1" x14ac:dyDescent="0.35">
      <c r="A14111" s="12"/>
    </row>
    <row r="14112" spans="1:1" x14ac:dyDescent="0.35">
      <c r="A14112" s="12"/>
    </row>
    <row r="14113" spans="1:1" x14ac:dyDescent="0.35">
      <c r="A14113" s="12"/>
    </row>
    <row r="14114" spans="1:1" x14ac:dyDescent="0.35">
      <c r="A14114" s="12"/>
    </row>
    <row r="14115" spans="1:1" x14ac:dyDescent="0.35">
      <c r="A14115" s="12"/>
    </row>
    <row r="14116" spans="1:1" x14ac:dyDescent="0.35">
      <c r="A14116" s="12"/>
    </row>
    <row r="14117" spans="1:1" x14ac:dyDescent="0.35">
      <c r="A14117" s="12"/>
    </row>
    <row r="14118" spans="1:1" x14ac:dyDescent="0.35">
      <c r="A14118" s="12"/>
    </row>
    <row r="14119" spans="1:1" x14ac:dyDescent="0.35">
      <c r="A14119" s="12"/>
    </row>
    <row r="14120" spans="1:1" x14ac:dyDescent="0.35">
      <c r="A14120" s="12"/>
    </row>
    <row r="14121" spans="1:1" x14ac:dyDescent="0.35">
      <c r="A14121" s="12"/>
    </row>
    <row r="14122" spans="1:1" x14ac:dyDescent="0.35">
      <c r="A14122" s="12"/>
    </row>
    <row r="14123" spans="1:1" x14ac:dyDescent="0.35">
      <c r="A14123" s="12"/>
    </row>
    <row r="14124" spans="1:1" x14ac:dyDescent="0.35">
      <c r="A14124" s="12"/>
    </row>
    <row r="14125" spans="1:1" x14ac:dyDescent="0.35">
      <c r="A14125" s="12"/>
    </row>
    <row r="14126" spans="1:1" x14ac:dyDescent="0.35">
      <c r="A14126" s="12"/>
    </row>
    <row r="14127" spans="1:1" x14ac:dyDescent="0.35">
      <c r="A14127" s="12"/>
    </row>
    <row r="14128" spans="1:1" x14ac:dyDescent="0.35">
      <c r="A14128" s="12"/>
    </row>
    <row r="14129" spans="1:1" x14ac:dyDescent="0.35">
      <c r="A14129" s="12"/>
    </row>
    <row r="14130" spans="1:1" x14ac:dyDescent="0.35">
      <c r="A14130" s="12"/>
    </row>
    <row r="14131" spans="1:1" x14ac:dyDescent="0.35">
      <c r="A14131" s="12"/>
    </row>
    <row r="14132" spans="1:1" x14ac:dyDescent="0.35">
      <c r="A14132" s="12"/>
    </row>
    <row r="14133" spans="1:1" x14ac:dyDescent="0.35">
      <c r="A14133" s="12"/>
    </row>
    <row r="14134" spans="1:1" x14ac:dyDescent="0.35">
      <c r="A14134" s="12"/>
    </row>
    <row r="14135" spans="1:1" x14ac:dyDescent="0.35">
      <c r="A14135" s="12"/>
    </row>
    <row r="14136" spans="1:1" x14ac:dyDescent="0.35">
      <c r="A14136" s="12"/>
    </row>
    <row r="14137" spans="1:1" x14ac:dyDescent="0.35">
      <c r="A14137" s="12"/>
    </row>
    <row r="14138" spans="1:1" x14ac:dyDescent="0.35">
      <c r="A14138" s="12"/>
    </row>
    <row r="14139" spans="1:1" x14ac:dyDescent="0.35">
      <c r="A14139" s="12"/>
    </row>
    <row r="14140" spans="1:1" x14ac:dyDescent="0.35">
      <c r="A14140" s="12"/>
    </row>
    <row r="14141" spans="1:1" x14ac:dyDescent="0.35">
      <c r="A14141" s="12"/>
    </row>
    <row r="14142" spans="1:1" x14ac:dyDescent="0.35">
      <c r="A14142" s="12"/>
    </row>
    <row r="14143" spans="1:1" x14ac:dyDescent="0.35">
      <c r="A14143" s="12"/>
    </row>
    <row r="14144" spans="1:1" x14ac:dyDescent="0.35">
      <c r="A14144" s="12"/>
    </row>
    <row r="14145" spans="1:1" x14ac:dyDescent="0.35">
      <c r="A14145" s="12"/>
    </row>
    <row r="14146" spans="1:1" x14ac:dyDescent="0.35">
      <c r="A14146" s="12"/>
    </row>
    <row r="14147" spans="1:1" x14ac:dyDescent="0.35">
      <c r="A14147" s="12"/>
    </row>
    <row r="14148" spans="1:1" x14ac:dyDescent="0.35">
      <c r="A14148" s="12"/>
    </row>
    <row r="14149" spans="1:1" x14ac:dyDescent="0.35">
      <c r="A14149" s="12"/>
    </row>
    <row r="14150" spans="1:1" x14ac:dyDescent="0.35">
      <c r="A14150" s="12"/>
    </row>
    <row r="14151" spans="1:1" x14ac:dyDescent="0.35">
      <c r="A14151" s="12"/>
    </row>
    <row r="14152" spans="1:1" x14ac:dyDescent="0.35">
      <c r="A14152" s="12"/>
    </row>
    <row r="14153" spans="1:1" x14ac:dyDescent="0.35">
      <c r="A14153" s="12"/>
    </row>
    <row r="14154" spans="1:1" x14ac:dyDescent="0.35">
      <c r="A14154" s="12"/>
    </row>
    <row r="14155" spans="1:1" x14ac:dyDescent="0.35">
      <c r="A14155" s="12"/>
    </row>
    <row r="14156" spans="1:1" x14ac:dyDescent="0.35">
      <c r="A14156" s="12"/>
    </row>
    <row r="14157" spans="1:1" x14ac:dyDescent="0.35">
      <c r="A14157" s="12"/>
    </row>
    <row r="14158" spans="1:1" x14ac:dyDescent="0.35">
      <c r="A14158" s="12"/>
    </row>
    <row r="14159" spans="1:1" x14ac:dyDescent="0.35">
      <c r="A14159" s="12"/>
    </row>
    <row r="14160" spans="1:1" x14ac:dyDescent="0.35">
      <c r="A14160" s="12"/>
    </row>
    <row r="14161" spans="1:1" x14ac:dyDescent="0.35">
      <c r="A14161" s="12"/>
    </row>
    <row r="14162" spans="1:1" x14ac:dyDescent="0.35">
      <c r="A14162" s="12"/>
    </row>
    <row r="14163" spans="1:1" x14ac:dyDescent="0.35">
      <c r="A14163" s="12"/>
    </row>
    <row r="14164" spans="1:1" x14ac:dyDescent="0.35">
      <c r="A14164" s="12"/>
    </row>
    <row r="14165" spans="1:1" x14ac:dyDescent="0.35">
      <c r="A14165" s="12"/>
    </row>
    <row r="14166" spans="1:1" x14ac:dyDescent="0.35">
      <c r="A14166" s="12"/>
    </row>
    <row r="14167" spans="1:1" x14ac:dyDescent="0.35">
      <c r="A14167" s="12"/>
    </row>
    <row r="14168" spans="1:1" x14ac:dyDescent="0.35">
      <c r="A14168" s="12"/>
    </row>
    <row r="14169" spans="1:1" x14ac:dyDescent="0.35">
      <c r="A14169" s="12"/>
    </row>
    <row r="14170" spans="1:1" x14ac:dyDescent="0.35">
      <c r="A14170" s="12"/>
    </row>
    <row r="14171" spans="1:1" x14ac:dyDescent="0.35">
      <c r="A14171" s="12"/>
    </row>
    <row r="14172" spans="1:1" x14ac:dyDescent="0.35">
      <c r="A14172" s="12"/>
    </row>
    <row r="14173" spans="1:1" x14ac:dyDescent="0.35">
      <c r="A14173" s="12"/>
    </row>
    <row r="14174" spans="1:1" x14ac:dyDescent="0.35">
      <c r="A14174" s="12"/>
    </row>
    <row r="14175" spans="1:1" x14ac:dyDescent="0.35">
      <c r="A14175" s="12"/>
    </row>
    <row r="14176" spans="1:1" x14ac:dyDescent="0.35">
      <c r="A14176" s="12"/>
    </row>
    <row r="14177" spans="1:1" x14ac:dyDescent="0.35">
      <c r="A14177" s="12"/>
    </row>
    <row r="14178" spans="1:1" x14ac:dyDescent="0.35">
      <c r="A14178" s="12"/>
    </row>
    <row r="14179" spans="1:1" x14ac:dyDescent="0.35">
      <c r="A14179" s="12"/>
    </row>
    <row r="14180" spans="1:1" x14ac:dyDescent="0.35">
      <c r="A14180" s="12"/>
    </row>
    <row r="14181" spans="1:1" x14ac:dyDescent="0.35">
      <c r="A14181" s="12"/>
    </row>
    <row r="14182" spans="1:1" x14ac:dyDescent="0.35">
      <c r="A14182" s="12"/>
    </row>
    <row r="14183" spans="1:1" x14ac:dyDescent="0.35">
      <c r="A14183" s="12"/>
    </row>
    <row r="14184" spans="1:1" x14ac:dyDescent="0.35">
      <c r="A14184" s="12"/>
    </row>
    <row r="14185" spans="1:1" x14ac:dyDescent="0.35">
      <c r="A14185" s="12"/>
    </row>
    <row r="14186" spans="1:1" x14ac:dyDescent="0.35">
      <c r="A14186" s="12"/>
    </row>
    <row r="14187" spans="1:1" x14ac:dyDescent="0.35">
      <c r="A14187" s="12"/>
    </row>
    <row r="14188" spans="1:1" x14ac:dyDescent="0.35">
      <c r="A14188" s="12"/>
    </row>
    <row r="14189" spans="1:1" x14ac:dyDescent="0.35">
      <c r="A14189" s="12"/>
    </row>
    <row r="14190" spans="1:1" x14ac:dyDescent="0.35">
      <c r="A14190" s="12"/>
    </row>
    <row r="14191" spans="1:1" x14ac:dyDescent="0.35">
      <c r="A14191" s="12"/>
    </row>
    <row r="14192" spans="1:1" x14ac:dyDescent="0.35">
      <c r="A14192" s="12"/>
    </row>
    <row r="14193" spans="1:1" x14ac:dyDescent="0.35">
      <c r="A14193" s="12"/>
    </row>
    <row r="14194" spans="1:1" x14ac:dyDescent="0.35">
      <c r="A14194" s="12"/>
    </row>
    <row r="14195" spans="1:1" x14ac:dyDescent="0.35">
      <c r="A14195" s="12"/>
    </row>
    <row r="14196" spans="1:1" x14ac:dyDescent="0.35">
      <c r="A14196" s="12"/>
    </row>
    <row r="14197" spans="1:1" x14ac:dyDescent="0.35">
      <c r="A14197" s="12"/>
    </row>
    <row r="14198" spans="1:1" x14ac:dyDescent="0.35">
      <c r="A14198" s="12"/>
    </row>
    <row r="14199" spans="1:1" x14ac:dyDescent="0.35">
      <c r="A14199" s="12"/>
    </row>
    <row r="14200" spans="1:1" x14ac:dyDescent="0.35">
      <c r="A14200" s="12"/>
    </row>
    <row r="14201" spans="1:1" x14ac:dyDescent="0.35">
      <c r="A14201" s="12"/>
    </row>
    <row r="14202" spans="1:1" x14ac:dyDescent="0.35">
      <c r="A14202" s="12"/>
    </row>
    <row r="14203" spans="1:1" x14ac:dyDescent="0.35">
      <c r="A14203" s="12"/>
    </row>
    <row r="14204" spans="1:1" x14ac:dyDescent="0.35">
      <c r="A14204" s="12"/>
    </row>
    <row r="14205" spans="1:1" x14ac:dyDescent="0.35">
      <c r="A14205" s="12"/>
    </row>
    <row r="14206" spans="1:1" x14ac:dyDescent="0.35">
      <c r="A14206" s="12"/>
    </row>
    <row r="14207" spans="1:1" x14ac:dyDescent="0.35">
      <c r="A14207" s="12"/>
    </row>
    <row r="14208" spans="1:1" x14ac:dyDescent="0.35">
      <c r="A14208" s="12"/>
    </row>
    <row r="14209" spans="1:1" x14ac:dyDescent="0.35">
      <c r="A14209" s="12"/>
    </row>
    <row r="14210" spans="1:1" x14ac:dyDescent="0.35">
      <c r="A14210" s="12"/>
    </row>
    <row r="14211" spans="1:1" x14ac:dyDescent="0.35">
      <c r="A14211" s="12"/>
    </row>
    <row r="14212" spans="1:1" x14ac:dyDescent="0.35">
      <c r="A14212" s="12"/>
    </row>
    <row r="14213" spans="1:1" x14ac:dyDescent="0.35">
      <c r="A14213" s="12"/>
    </row>
    <row r="14214" spans="1:1" x14ac:dyDescent="0.35">
      <c r="A14214" s="12"/>
    </row>
    <row r="14215" spans="1:1" x14ac:dyDescent="0.35">
      <c r="A14215" s="12"/>
    </row>
    <row r="14216" spans="1:1" x14ac:dyDescent="0.35">
      <c r="A14216" s="12"/>
    </row>
    <row r="14217" spans="1:1" x14ac:dyDescent="0.35">
      <c r="A14217" s="12"/>
    </row>
    <row r="14218" spans="1:1" x14ac:dyDescent="0.35">
      <c r="A14218" s="12"/>
    </row>
    <row r="14219" spans="1:1" x14ac:dyDescent="0.35">
      <c r="A14219" s="12"/>
    </row>
    <row r="14220" spans="1:1" x14ac:dyDescent="0.35">
      <c r="A14220" s="12"/>
    </row>
    <row r="14221" spans="1:1" x14ac:dyDescent="0.35">
      <c r="A14221" s="12"/>
    </row>
    <row r="14222" spans="1:1" x14ac:dyDescent="0.35">
      <c r="A14222" s="12"/>
    </row>
    <row r="14223" spans="1:1" x14ac:dyDescent="0.35">
      <c r="A14223" s="12"/>
    </row>
    <row r="14224" spans="1:1" x14ac:dyDescent="0.35">
      <c r="A14224" s="12"/>
    </row>
    <row r="14225" spans="1:1" x14ac:dyDescent="0.35">
      <c r="A14225" s="12"/>
    </row>
    <row r="14226" spans="1:1" x14ac:dyDescent="0.35">
      <c r="A14226" s="12"/>
    </row>
    <row r="14227" spans="1:1" x14ac:dyDescent="0.35">
      <c r="A14227" s="12"/>
    </row>
    <row r="14228" spans="1:1" x14ac:dyDescent="0.35">
      <c r="A14228" s="12"/>
    </row>
    <row r="14229" spans="1:1" x14ac:dyDescent="0.35">
      <c r="A14229" s="12"/>
    </row>
    <row r="14230" spans="1:1" x14ac:dyDescent="0.35">
      <c r="A14230" s="12"/>
    </row>
    <row r="14231" spans="1:1" x14ac:dyDescent="0.35">
      <c r="A14231" s="12"/>
    </row>
    <row r="14232" spans="1:1" x14ac:dyDescent="0.35">
      <c r="A14232" s="12"/>
    </row>
    <row r="14233" spans="1:1" x14ac:dyDescent="0.35">
      <c r="A14233" s="12"/>
    </row>
    <row r="14234" spans="1:1" x14ac:dyDescent="0.35">
      <c r="A14234" s="12"/>
    </row>
    <row r="14235" spans="1:1" x14ac:dyDescent="0.35">
      <c r="A14235" s="12"/>
    </row>
    <row r="14236" spans="1:1" x14ac:dyDescent="0.35">
      <c r="A14236" s="12"/>
    </row>
    <row r="14237" spans="1:1" x14ac:dyDescent="0.35">
      <c r="A14237" s="12"/>
    </row>
    <row r="14238" spans="1:1" x14ac:dyDescent="0.35">
      <c r="A14238" s="12"/>
    </row>
    <row r="14239" spans="1:1" x14ac:dyDescent="0.35">
      <c r="A14239" s="12"/>
    </row>
    <row r="14240" spans="1:1" x14ac:dyDescent="0.35">
      <c r="A14240" s="12"/>
    </row>
    <row r="14241" spans="1:1" x14ac:dyDescent="0.35">
      <c r="A14241" s="12"/>
    </row>
    <row r="14242" spans="1:1" x14ac:dyDescent="0.35">
      <c r="A14242" s="12"/>
    </row>
    <row r="14243" spans="1:1" x14ac:dyDescent="0.35">
      <c r="A14243" s="12"/>
    </row>
    <row r="14244" spans="1:1" x14ac:dyDescent="0.35">
      <c r="A14244" s="12"/>
    </row>
    <row r="14245" spans="1:1" x14ac:dyDescent="0.35">
      <c r="A14245" s="12"/>
    </row>
    <row r="14246" spans="1:1" x14ac:dyDescent="0.35">
      <c r="A14246" s="12"/>
    </row>
    <row r="14247" spans="1:1" x14ac:dyDescent="0.35">
      <c r="A14247" s="12"/>
    </row>
    <row r="14248" spans="1:1" x14ac:dyDescent="0.35">
      <c r="A14248" s="12"/>
    </row>
    <row r="14249" spans="1:1" x14ac:dyDescent="0.35">
      <c r="A14249" s="12"/>
    </row>
    <row r="14250" spans="1:1" x14ac:dyDescent="0.35">
      <c r="A14250" s="12"/>
    </row>
    <row r="14251" spans="1:1" x14ac:dyDescent="0.35">
      <c r="A14251" s="12"/>
    </row>
    <row r="14252" spans="1:1" x14ac:dyDescent="0.35">
      <c r="A14252" s="12"/>
    </row>
    <row r="14253" spans="1:1" x14ac:dyDescent="0.35">
      <c r="A14253" s="12"/>
    </row>
    <row r="14254" spans="1:1" x14ac:dyDescent="0.35">
      <c r="A14254" s="12"/>
    </row>
    <row r="14255" spans="1:1" x14ac:dyDescent="0.35">
      <c r="A14255" s="12"/>
    </row>
    <row r="14256" spans="1:1" x14ac:dyDescent="0.35">
      <c r="A14256" s="12"/>
    </row>
    <row r="14257" spans="1:1" x14ac:dyDescent="0.35">
      <c r="A14257" s="12"/>
    </row>
    <row r="14258" spans="1:1" x14ac:dyDescent="0.35">
      <c r="A14258" s="12"/>
    </row>
    <row r="14259" spans="1:1" x14ac:dyDescent="0.35">
      <c r="A14259" s="12"/>
    </row>
    <row r="14260" spans="1:1" x14ac:dyDescent="0.35">
      <c r="A14260" s="12"/>
    </row>
    <row r="14261" spans="1:1" x14ac:dyDescent="0.35">
      <c r="A14261" s="12"/>
    </row>
    <row r="14262" spans="1:1" x14ac:dyDescent="0.35">
      <c r="A14262" s="12"/>
    </row>
    <row r="14263" spans="1:1" x14ac:dyDescent="0.35">
      <c r="A14263" s="12"/>
    </row>
    <row r="14264" spans="1:1" x14ac:dyDescent="0.35">
      <c r="A14264" s="12"/>
    </row>
    <row r="14265" spans="1:1" x14ac:dyDescent="0.35">
      <c r="A14265" s="12"/>
    </row>
    <row r="14266" spans="1:1" x14ac:dyDescent="0.35">
      <c r="A14266" s="12"/>
    </row>
    <row r="14267" spans="1:1" x14ac:dyDescent="0.35">
      <c r="A14267" s="12"/>
    </row>
    <row r="14268" spans="1:1" x14ac:dyDescent="0.35">
      <c r="A14268" s="12"/>
    </row>
    <row r="14269" spans="1:1" x14ac:dyDescent="0.35">
      <c r="A14269" s="12"/>
    </row>
    <row r="14270" spans="1:1" x14ac:dyDescent="0.35">
      <c r="A14270" s="12"/>
    </row>
    <row r="14271" spans="1:1" x14ac:dyDescent="0.35">
      <c r="A14271" s="12"/>
    </row>
    <row r="14272" spans="1:1" x14ac:dyDescent="0.35">
      <c r="A14272" s="12"/>
    </row>
    <row r="14273" spans="1:1" x14ac:dyDescent="0.35">
      <c r="A14273" s="12"/>
    </row>
    <row r="14274" spans="1:1" x14ac:dyDescent="0.35">
      <c r="A14274" s="12"/>
    </row>
    <row r="14275" spans="1:1" x14ac:dyDescent="0.35">
      <c r="A14275" s="12"/>
    </row>
    <row r="14276" spans="1:1" x14ac:dyDescent="0.35">
      <c r="A14276" s="12"/>
    </row>
    <row r="14277" spans="1:1" x14ac:dyDescent="0.35">
      <c r="A14277" s="12"/>
    </row>
    <row r="14278" spans="1:1" x14ac:dyDescent="0.35">
      <c r="A14278" s="12"/>
    </row>
    <row r="14279" spans="1:1" x14ac:dyDescent="0.35">
      <c r="A14279" s="12"/>
    </row>
    <row r="14280" spans="1:1" x14ac:dyDescent="0.35">
      <c r="A14280" s="12"/>
    </row>
    <row r="14281" spans="1:1" x14ac:dyDescent="0.35">
      <c r="A14281" s="12"/>
    </row>
    <row r="14282" spans="1:1" x14ac:dyDescent="0.35">
      <c r="A14282" s="12"/>
    </row>
    <row r="14283" spans="1:1" x14ac:dyDescent="0.35">
      <c r="A14283" s="12"/>
    </row>
    <row r="14284" spans="1:1" x14ac:dyDescent="0.35">
      <c r="A14284" s="12"/>
    </row>
    <row r="14285" spans="1:1" x14ac:dyDescent="0.35">
      <c r="A14285" s="12"/>
    </row>
    <row r="14286" spans="1:1" x14ac:dyDescent="0.35">
      <c r="A14286" s="12"/>
    </row>
    <row r="14287" spans="1:1" x14ac:dyDescent="0.35">
      <c r="A14287" s="12"/>
    </row>
    <row r="14288" spans="1:1" x14ac:dyDescent="0.35">
      <c r="A14288" s="12"/>
    </row>
    <row r="14289" spans="1:1" x14ac:dyDescent="0.35">
      <c r="A14289" s="12"/>
    </row>
    <row r="14290" spans="1:1" x14ac:dyDescent="0.35">
      <c r="A14290" s="12"/>
    </row>
    <row r="14291" spans="1:1" x14ac:dyDescent="0.35">
      <c r="A14291" s="12"/>
    </row>
    <row r="14292" spans="1:1" x14ac:dyDescent="0.35">
      <c r="A14292" s="12"/>
    </row>
    <row r="14293" spans="1:1" x14ac:dyDescent="0.35">
      <c r="A14293" s="12"/>
    </row>
    <row r="14294" spans="1:1" x14ac:dyDescent="0.35">
      <c r="A14294" s="12"/>
    </row>
    <row r="14295" spans="1:1" x14ac:dyDescent="0.35">
      <c r="A14295" s="12"/>
    </row>
    <row r="14296" spans="1:1" x14ac:dyDescent="0.35">
      <c r="A14296" s="12"/>
    </row>
    <row r="14297" spans="1:1" x14ac:dyDescent="0.35">
      <c r="A14297" s="12"/>
    </row>
    <row r="14298" spans="1:1" x14ac:dyDescent="0.35">
      <c r="A14298" s="12"/>
    </row>
    <row r="14299" spans="1:1" x14ac:dyDescent="0.35">
      <c r="A14299" s="12"/>
    </row>
    <row r="14300" spans="1:1" x14ac:dyDescent="0.35">
      <c r="A14300" s="12"/>
    </row>
    <row r="14301" spans="1:1" x14ac:dyDescent="0.35">
      <c r="A14301" s="12"/>
    </row>
    <row r="14302" spans="1:1" x14ac:dyDescent="0.35">
      <c r="A14302" s="12"/>
    </row>
    <row r="14303" spans="1:1" x14ac:dyDescent="0.35">
      <c r="A14303" s="12"/>
    </row>
    <row r="14304" spans="1:1" x14ac:dyDescent="0.35">
      <c r="A14304" s="12"/>
    </row>
    <row r="14305" spans="1:1" x14ac:dyDescent="0.35">
      <c r="A14305" s="12"/>
    </row>
    <row r="14306" spans="1:1" x14ac:dyDescent="0.35">
      <c r="A14306" s="12"/>
    </row>
    <row r="14307" spans="1:1" x14ac:dyDescent="0.35">
      <c r="A14307" s="12"/>
    </row>
    <row r="14308" spans="1:1" x14ac:dyDescent="0.35">
      <c r="A14308" s="12"/>
    </row>
    <row r="14309" spans="1:1" x14ac:dyDescent="0.35">
      <c r="A14309" s="12"/>
    </row>
    <row r="14310" spans="1:1" x14ac:dyDescent="0.35">
      <c r="A14310" s="12"/>
    </row>
    <row r="14311" spans="1:1" x14ac:dyDescent="0.35">
      <c r="A14311" s="12"/>
    </row>
    <row r="14312" spans="1:1" x14ac:dyDescent="0.35">
      <c r="A14312" s="12"/>
    </row>
    <row r="14313" spans="1:1" x14ac:dyDescent="0.35">
      <c r="A14313" s="12"/>
    </row>
    <row r="14314" spans="1:1" x14ac:dyDescent="0.35">
      <c r="A14314" s="12"/>
    </row>
    <row r="14315" spans="1:1" x14ac:dyDescent="0.35">
      <c r="A14315" s="12"/>
    </row>
    <row r="14316" spans="1:1" x14ac:dyDescent="0.35">
      <c r="A14316" s="12"/>
    </row>
    <row r="14317" spans="1:1" x14ac:dyDescent="0.35">
      <c r="A14317" s="12"/>
    </row>
    <row r="14318" spans="1:1" x14ac:dyDescent="0.35">
      <c r="A14318" s="12"/>
    </row>
    <row r="14319" spans="1:1" x14ac:dyDescent="0.35">
      <c r="A14319" s="12"/>
    </row>
    <row r="14320" spans="1:1" x14ac:dyDescent="0.35">
      <c r="A14320" s="12"/>
    </row>
    <row r="14321" spans="1:1" x14ac:dyDescent="0.35">
      <c r="A14321" s="12"/>
    </row>
    <row r="14322" spans="1:1" x14ac:dyDescent="0.35">
      <c r="A14322" s="12"/>
    </row>
    <row r="14323" spans="1:1" x14ac:dyDescent="0.35">
      <c r="A14323" s="12"/>
    </row>
    <row r="14324" spans="1:1" x14ac:dyDescent="0.35">
      <c r="A14324" s="12"/>
    </row>
    <row r="14325" spans="1:1" x14ac:dyDescent="0.35">
      <c r="A14325" s="12"/>
    </row>
    <row r="14326" spans="1:1" x14ac:dyDescent="0.35">
      <c r="A14326" s="12"/>
    </row>
    <row r="14327" spans="1:1" x14ac:dyDescent="0.35">
      <c r="A14327" s="12"/>
    </row>
    <row r="14328" spans="1:1" x14ac:dyDescent="0.35">
      <c r="A14328" s="12"/>
    </row>
    <row r="14329" spans="1:1" x14ac:dyDescent="0.35">
      <c r="A14329" s="12"/>
    </row>
    <row r="14330" spans="1:1" x14ac:dyDescent="0.35">
      <c r="A14330" s="12"/>
    </row>
    <row r="14331" spans="1:1" x14ac:dyDescent="0.35">
      <c r="A14331" s="12"/>
    </row>
    <row r="14332" spans="1:1" x14ac:dyDescent="0.35">
      <c r="A14332" s="12"/>
    </row>
    <row r="14333" spans="1:1" x14ac:dyDescent="0.35">
      <c r="A14333" s="12"/>
    </row>
    <row r="14334" spans="1:1" x14ac:dyDescent="0.35">
      <c r="A14334" s="12"/>
    </row>
    <row r="14335" spans="1:1" x14ac:dyDescent="0.35">
      <c r="A14335" s="12"/>
    </row>
    <row r="14336" spans="1:1" x14ac:dyDescent="0.35">
      <c r="A14336" s="12"/>
    </row>
    <row r="14337" spans="1:1" x14ac:dyDescent="0.35">
      <c r="A14337" s="12"/>
    </row>
    <row r="14338" spans="1:1" x14ac:dyDescent="0.35">
      <c r="A14338" s="12"/>
    </row>
    <row r="14339" spans="1:1" x14ac:dyDescent="0.35">
      <c r="A14339" s="12"/>
    </row>
    <row r="14340" spans="1:1" x14ac:dyDescent="0.35">
      <c r="A14340" s="12"/>
    </row>
    <row r="14341" spans="1:1" x14ac:dyDescent="0.35">
      <c r="A14341" s="12"/>
    </row>
    <row r="14342" spans="1:1" x14ac:dyDescent="0.35">
      <c r="A14342" s="12"/>
    </row>
    <row r="14343" spans="1:1" x14ac:dyDescent="0.35">
      <c r="A14343" s="12"/>
    </row>
    <row r="14344" spans="1:1" x14ac:dyDescent="0.35">
      <c r="A14344" s="12"/>
    </row>
    <row r="14345" spans="1:1" x14ac:dyDescent="0.35">
      <c r="A14345" s="12"/>
    </row>
    <row r="14346" spans="1:1" x14ac:dyDescent="0.35">
      <c r="A14346" s="12"/>
    </row>
    <row r="14347" spans="1:1" x14ac:dyDescent="0.35">
      <c r="A14347" s="12"/>
    </row>
    <row r="14348" spans="1:1" x14ac:dyDescent="0.35">
      <c r="A14348" s="12"/>
    </row>
    <row r="14349" spans="1:1" x14ac:dyDescent="0.35">
      <c r="A14349" s="12"/>
    </row>
    <row r="14350" spans="1:1" x14ac:dyDescent="0.35">
      <c r="A14350" s="12"/>
    </row>
    <row r="14351" spans="1:1" x14ac:dyDescent="0.35">
      <c r="A14351" s="12"/>
    </row>
    <row r="14352" spans="1:1" x14ac:dyDescent="0.35">
      <c r="A14352" s="12"/>
    </row>
    <row r="14353" spans="1:1" x14ac:dyDescent="0.35">
      <c r="A14353" s="12"/>
    </row>
    <row r="14354" spans="1:1" x14ac:dyDescent="0.35">
      <c r="A14354" s="12"/>
    </row>
    <row r="14355" spans="1:1" x14ac:dyDescent="0.35">
      <c r="A14355" s="12"/>
    </row>
    <row r="14356" spans="1:1" x14ac:dyDescent="0.35">
      <c r="A14356" s="12"/>
    </row>
    <row r="14357" spans="1:1" x14ac:dyDescent="0.35">
      <c r="A14357" s="12"/>
    </row>
    <row r="14358" spans="1:1" x14ac:dyDescent="0.35">
      <c r="A14358" s="12"/>
    </row>
    <row r="14359" spans="1:1" x14ac:dyDescent="0.35">
      <c r="A14359" s="12"/>
    </row>
    <row r="14360" spans="1:1" x14ac:dyDescent="0.35">
      <c r="A14360" s="12"/>
    </row>
    <row r="14361" spans="1:1" x14ac:dyDescent="0.35">
      <c r="A14361" s="12"/>
    </row>
    <row r="14362" spans="1:1" x14ac:dyDescent="0.35">
      <c r="A14362" s="12"/>
    </row>
    <row r="14363" spans="1:1" x14ac:dyDescent="0.35">
      <c r="A14363" s="12"/>
    </row>
    <row r="14364" spans="1:1" x14ac:dyDescent="0.35">
      <c r="A14364" s="12"/>
    </row>
    <row r="14365" spans="1:1" x14ac:dyDescent="0.35">
      <c r="A14365" s="12"/>
    </row>
    <row r="14366" spans="1:1" x14ac:dyDescent="0.35">
      <c r="A14366" s="12"/>
    </row>
    <row r="14367" spans="1:1" x14ac:dyDescent="0.35">
      <c r="A14367" s="12"/>
    </row>
    <row r="14368" spans="1:1" x14ac:dyDescent="0.35">
      <c r="A14368" s="12"/>
    </row>
    <row r="14369" spans="1:1" x14ac:dyDescent="0.35">
      <c r="A14369" s="12"/>
    </row>
    <row r="14370" spans="1:1" x14ac:dyDescent="0.35">
      <c r="A14370" s="12"/>
    </row>
    <row r="14371" spans="1:1" x14ac:dyDescent="0.35">
      <c r="A14371" s="12"/>
    </row>
    <row r="14372" spans="1:1" x14ac:dyDescent="0.35">
      <c r="A14372" s="12"/>
    </row>
    <row r="14373" spans="1:1" x14ac:dyDescent="0.35">
      <c r="A14373" s="12"/>
    </row>
    <row r="14374" spans="1:1" x14ac:dyDescent="0.35">
      <c r="A14374" s="12"/>
    </row>
    <row r="14375" spans="1:1" x14ac:dyDescent="0.35">
      <c r="A14375" s="12"/>
    </row>
    <row r="14376" spans="1:1" x14ac:dyDescent="0.35">
      <c r="A14376" s="12"/>
    </row>
    <row r="14377" spans="1:1" x14ac:dyDescent="0.35">
      <c r="A14377" s="12"/>
    </row>
    <row r="14378" spans="1:1" x14ac:dyDescent="0.35">
      <c r="A14378" s="12"/>
    </row>
    <row r="14379" spans="1:1" x14ac:dyDescent="0.35">
      <c r="A14379" s="12"/>
    </row>
    <row r="14380" spans="1:1" x14ac:dyDescent="0.35">
      <c r="A14380" s="12"/>
    </row>
    <row r="14381" spans="1:1" x14ac:dyDescent="0.35">
      <c r="A14381" s="12"/>
    </row>
    <row r="14382" spans="1:1" x14ac:dyDescent="0.35">
      <c r="A14382" s="12"/>
    </row>
    <row r="14383" spans="1:1" x14ac:dyDescent="0.35">
      <c r="A14383" s="12"/>
    </row>
    <row r="14384" spans="1:1" x14ac:dyDescent="0.35">
      <c r="A14384" s="12"/>
    </row>
    <row r="14385" spans="1:1" x14ac:dyDescent="0.35">
      <c r="A14385" s="12"/>
    </row>
    <row r="14386" spans="1:1" x14ac:dyDescent="0.35">
      <c r="A14386" s="12"/>
    </row>
    <row r="14387" spans="1:1" x14ac:dyDescent="0.35">
      <c r="A14387" s="12"/>
    </row>
    <row r="14388" spans="1:1" x14ac:dyDescent="0.35">
      <c r="A14388" s="12"/>
    </row>
    <row r="14389" spans="1:1" x14ac:dyDescent="0.35">
      <c r="A14389" s="12"/>
    </row>
    <row r="14390" spans="1:1" x14ac:dyDescent="0.35">
      <c r="A14390" s="12"/>
    </row>
    <row r="14391" spans="1:1" x14ac:dyDescent="0.35">
      <c r="A14391" s="12"/>
    </row>
    <row r="14392" spans="1:1" x14ac:dyDescent="0.35">
      <c r="A14392" s="12"/>
    </row>
    <row r="14393" spans="1:1" x14ac:dyDescent="0.35">
      <c r="A14393" s="12"/>
    </row>
    <row r="14394" spans="1:1" x14ac:dyDescent="0.35">
      <c r="A14394" s="12"/>
    </row>
    <row r="14395" spans="1:1" x14ac:dyDescent="0.35">
      <c r="A14395" s="12"/>
    </row>
    <row r="14396" spans="1:1" x14ac:dyDescent="0.35">
      <c r="A14396" s="12"/>
    </row>
    <row r="14397" spans="1:1" x14ac:dyDescent="0.35">
      <c r="A14397" s="12"/>
    </row>
    <row r="14398" spans="1:1" x14ac:dyDescent="0.35">
      <c r="A14398" s="12"/>
    </row>
    <row r="14399" spans="1:1" x14ac:dyDescent="0.35">
      <c r="A14399" s="12"/>
    </row>
    <row r="14400" spans="1:1" x14ac:dyDescent="0.35">
      <c r="A14400" s="12"/>
    </row>
    <row r="14401" spans="1:1" x14ac:dyDescent="0.35">
      <c r="A14401" s="12"/>
    </row>
    <row r="14402" spans="1:1" x14ac:dyDescent="0.35">
      <c r="A14402" s="12"/>
    </row>
    <row r="14403" spans="1:1" x14ac:dyDescent="0.35">
      <c r="A14403" s="12"/>
    </row>
    <row r="14404" spans="1:1" x14ac:dyDescent="0.35">
      <c r="A14404" s="12"/>
    </row>
    <row r="14405" spans="1:1" x14ac:dyDescent="0.35">
      <c r="A14405" s="12"/>
    </row>
    <row r="14406" spans="1:1" x14ac:dyDescent="0.35">
      <c r="A14406" s="12"/>
    </row>
    <row r="14407" spans="1:1" x14ac:dyDescent="0.35">
      <c r="A14407" s="12"/>
    </row>
    <row r="14408" spans="1:1" x14ac:dyDescent="0.35">
      <c r="A14408" s="12"/>
    </row>
    <row r="14409" spans="1:1" x14ac:dyDescent="0.35">
      <c r="A14409" s="12"/>
    </row>
    <row r="14410" spans="1:1" x14ac:dyDescent="0.35">
      <c r="A14410" s="12"/>
    </row>
    <row r="14411" spans="1:1" x14ac:dyDescent="0.35">
      <c r="A14411" s="12"/>
    </row>
    <row r="14412" spans="1:1" x14ac:dyDescent="0.35">
      <c r="A14412" s="12"/>
    </row>
    <row r="14413" spans="1:1" x14ac:dyDescent="0.35">
      <c r="A14413" s="12"/>
    </row>
    <row r="14414" spans="1:1" x14ac:dyDescent="0.35">
      <c r="A14414" s="12"/>
    </row>
    <row r="14415" spans="1:1" x14ac:dyDescent="0.35">
      <c r="A14415" s="12"/>
    </row>
    <row r="14416" spans="1:1" x14ac:dyDescent="0.35">
      <c r="A14416" s="12"/>
    </row>
    <row r="14417" spans="1:1" x14ac:dyDescent="0.35">
      <c r="A14417" s="12"/>
    </row>
    <row r="14418" spans="1:1" x14ac:dyDescent="0.35">
      <c r="A14418" s="12"/>
    </row>
    <row r="14419" spans="1:1" x14ac:dyDescent="0.35">
      <c r="A14419" s="12"/>
    </row>
    <row r="14420" spans="1:1" x14ac:dyDescent="0.35">
      <c r="A14420" s="12"/>
    </row>
    <row r="14421" spans="1:1" x14ac:dyDescent="0.35">
      <c r="A14421" s="12"/>
    </row>
    <row r="14422" spans="1:1" x14ac:dyDescent="0.35">
      <c r="A14422" s="12"/>
    </row>
    <row r="14423" spans="1:1" x14ac:dyDescent="0.35">
      <c r="A14423" s="12"/>
    </row>
    <row r="14424" spans="1:1" x14ac:dyDescent="0.35">
      <c r="A14424" s="12"/>
    </row>
    <row r="14425" spans="1:1" x14ac:dyDescent="0.35">
      <c r="A14425" s="12"/>
    </row>
    <row r="14426" spans="1:1" x14ac:dyDescent="0.35">
      <c r="A14426" s="12"/>
    </row>
    <row r="14427" spans="1:1" x14ac:dyDescent="0.35">
      <c r="A14427" s="12"/>
    </row>
    <row r="14428" spans="1:1" x14ac:dyDescent="0.35">
      <c r="A14428" s="12"/>
    </row>
    <row r="14429" spans="1:1" x14ac:dyDescent="0.35">
      <c r="A14429" s="12"/>
    </row>
    <row r="14430" spans="1:1" x14ac:dyDescent="0.35">
      <c r="A14430" s="12"/>
    </row>
    <row r="14431" spans="1:1" x14ac:dyDescent="0.35">
      <c r="A14431" s="12"/>
    </row>
    <row r="14432" spans="1:1" x14ac:dyDescent="0.35">
      <c r="A14432" s="12"/>
    </row>
    <row r="14433" spans="1:1" x14ac:dyDescent="0.35">
      <c r="A14433" s="12"/>
    </row>
    <row r="14434" spans="1:1" x14ac:dyDescent="0.35">
      <c r="A14434" s="12"/>
    </row>
    <row r="14435" spans="1:1" x14ac:dyDescent="0.35">
      <c r="A14435" s="12"/>
    </row>
    <row r="14436" spans="1:1" x14ac:dyDescent="0.35">
      <c r="A14436" s="12"/>
    </row>
    <row r="14437" spans="1:1" x14ac:dyDescent="0.35">
      <c r="A14437" s="12"/>
    </row>
    <row r="14438" spans="1:1" x14ac:dyDescent="0.35">
      <c r="A14438" s="12"/>
    </row>
    <row r="14439" spans="1:1" x14ac:dyDescent="0.35">
      <c r="A14439" s="12"/>
    </row>
    <row r="14440" spans="1:1" x14ac:dyDescent="0.35">
      <c r="A14440" s="12"/>
    </row>
    <row r="14441" spans="1:1" x14ac:dyDescent="0.35">
      <c r="A14441" s="12"/>
    </row>
    <row r="14442" spans="1:1" x14ac:dyDescent="0.35">
      <c r="A14442" s="12"/>
    </row>
    <row r="14443" spans="1:1" x14ac:dyDescent="0.35">
      <c r="A14443" s="12"/>
    </row>
    <row r="14444" spans="1:1" x14ac:dyDescent="0.35">
      <c r="A14444" s="12"/>
    </row>
    <row r="14445" spans="1:1" x14ac:dyDescent="0.35">
      <c r="A14445" s="12"/>
    </row>
    <row r="14446" spans="1:1" x14ac:dyDescent="0.35">
      <c r="A14446" s="12"/>
    </row>
    <row r="14447" spans="1:1" x14ac:dyDescent="0.35">
      <c r="A14447" s="12"/>
    </row>
    <row r="14448" spans="1:1" x14ac:dyDescent="0.35">
      <c r="A14448" s="12"/>
    </row>
    <row r="14449" spans="1:1" x14ac:dyDescent="0.35">
      <c r="A14449" s="12"/>
    </row>
    <row r="14450" spans="1:1" x14ac:dyDescent="0.35">
      <c r="A14450" s="12"/>
    </row>
    <row r="14451" spans="1:1" x14ac:dyDescent="0.35">
      <c r="A14451" s="12"/>
    </row>
    <row r="14452" spans="1:1" x14ac:dyDescent="0.35">
      <c r="A14452" s="12"/>
    </row>
    <row r="14453" spans="1:1" x14ac:dyDescent="0.35">
      <c r="A14453" s="12"/>
    </row>
    <row r="14454" spans="1:1" x14ac:dyDescent="0.35">
      <c r="A14454" s="12"/>
    </row>
    <row r="14455" spans="1:1" x14ac:dyDescent="0.35">
      <c r="A14455" s="12"/>
    </row>
    <row r="14456" spans="1:1" x14ac:dyDescent="0.35">
      <c r="A14456" s="12"/>
    </row>
    <row r="14457" spans="1:1" x14ac:dyDescent="0.35">
      <c r="A14457" s="12"/>
    </row>
    <row r="14458" spans="1:1" x14ac:dyDescent="0.35">
      <c r="A14458" s="12"/>
    </row>
    <row r="14459" spans="1:1" x14ac:dyDescent="0.35">
      <c r="A14459" s="12"/>
    </row>
    <row r="14460" spans="1:1" x14ac:dyDescent="0.35">
      <c r="A14460" s="12"/>
    </row>
    <row r="14461" spans="1:1" x14ac:dyDescent="0.35">
      <c r="A14461" s="12"/>
    </row>
    <row r="14462" spans="1:1" x14ac:dyDescent="0.35">
      <c r="A14462" s="12"/>
    </row>
    <row r="14463" spans="1:1" x14ac:dyDescent="0.35">
      <c r="A14463" s="12"/>
    </row>
    <row r="14464" spans="1:1" x14ac:dyDescent="0.35">
      <c r="A14464" s="12"/>
    </row>
    <row r="14465" spans="1:1" x14ac:dyDescent="0.35">
      <c r="A14465" s="12"/>
    </row>
    <row r="14466" spans="1:1" x14ac:dyDescent="0.35">
      <c r="A14466" s="12"/>
    </row>
    <row r="14467" spans="1:1" x14ac:dyDescent="0.35">
      <c r="A14467" s="12"/>
    </row>
    <row r="14468" spans="1:1" x14ac:dyDescent="0.35">
      <c r="A14468" s="12"/>
    </row>
    <row r="14469" spans="1:1" x14ac:dyDescent="0.35">
      <c r="A14469" s="12"/>
    </row>
    <row r="14470" spans="1:1" x14ac:dyDescent="0.35">
      <c r="A14470" s="12"/>
    </row>
    <row r="14471" spans="1:1" x14ac:dyDescent="0.35">
      <c r="A14471" s="12"/>
    </row>
    <row r="14472" spans="1:1" x14ac:dyDescent="0.35">
      <c r="A14472" s="12"/>
    </row>
    <row r="14473" spans="1:1" x14ac:dyDescent="0.35">
      <c r="A14473" s="12"/>
    </row>
    <row r="14474" spans="1:1" x14ac:dyDescent="0.35">
      <c r="A14474" s="12"/>
    </row>
    <row r="14475" spans="1:1" x14ac:dyDescent="0.35">
      <c r="A14475" s="12"/>
    </row>
    <row r="14476" spans="1:1" x14ac:dyDescent="0.35">
      <c r="A14476" s="12"/>
    </row>
    <row r="14477" spans="1:1" x14ac:dyDescent="0.35">
      <c r="A14477" s="12"/>
    </row>
    <row r="14478" spans="1:1" x14ac:dyDescent="0.35">
      <c r="A14478" s="12"/>
    </row>
    <row r="14479" spans="1:1" x14ac:dyDescent="0.35">
      <c r="A14479" s="12"/>
    </row>
    <row r="14480" spans="1:1" x14ac:dyDescent="0.35">
      <c r="A14480" s="12"/>
    </row>
    <row r="14481" spans="1:1" x14ac:dyDescent="0.35">
      <c r="A14481" s="12"/>
    </row>
    <row r="14482" spans="1:1" x14ac:dyDescent="0.35">
      <c r="A14482" s="12"/>
    </row>
    <row r="14483" spans="1:1" x14ac:dyDescent="0.35">
      <c r="A14483" s="12"/>
    </row>
    <row r="14484" spans="1:1" x14ac:dyDescent="0.35">
      <c r="A14484" s="12"/>
    </row>
    <row r="14485" spans="1:1" x14ac:dyDescent="0.35">
      <c r="A14485" s="12"/>
    </row>
    <row r="14486" spans="1:1" x14ac:dyDescent="0.35">
      <c r="A14486" s="12"/>
    </row>
    <row r="14487" spans="1:1" x14ac:dyDescent="0.35">
      <c r="A14487" s="12"/>
    </row>
    <row r="14488" spans="1:1" x14ac:dyDescent="0.35">
      <c r="A14488" s="12"/>
    </row>
    <row r="14489" spans="1:1" x14ac:dyDescent="0.35">
      <c r="A14489" s="12"/>
    </row>
    <row r="14490" spans="1:1" x14ac:dyDescent="0.35">
      <c r="A14490" s="12"/>
    </row>
    <row r="14491" spans="1:1" x14ac:dyDescent="0.35">
      <c r="A14491" s="12"/>
    </row>
    <row r="14492" spans="1:1" x14ac:dyDescent="0.35">
      <c r="A14492" s="12"/>
    </row>
    <row r="14493" spans="1:1" x14ac:dyDescent="0.35">
      <c r="A14493" s="12"/>
    </row>
    <row r="14494" spans="1:1" x14ac:dyDescent="0.35">
      <c r="A14494" s="12"/>
    </row>
    <row r="14495" spans="1:1" x14ac:dyDescent="0.35">
      <c r="A14495" s="12"/>
    </row>
    <row r="14496" spans="1:1" x14ac:dyDescent="0.35">
      <c r="A14496" s="12"/>
    </row>
    <row r="14497" spans="1:1" x14ac:dyDescent="0.35">
      <c r="A14497" s="12"/>
    </row>
    <row r="14498" spans="1:1" x14ac:dyDescent="0.35">
      <c r="A14498" s="12"/>
    </row>
    <row r="14499" spans="1:1" x14ac:dyDescent="0.35">
      <c r="A14499" s="12"/>
    </row>
    <row r="14500" spans="1:1" x14ac:dyDescent="0.35">
      <c r="A14500" s="12"/>
    </row>
    <row r="14501" spans="1:1" x14ac:dyDescent="0.35">
      <c r="A14501" s="12"/>
    </row>
    <row r="14502" spans="1:1" x14ac:dyDescent="0.35">
      <c r="A14502" s="12"/>
    </row>
    <row r="14503" spans="1:1" x14ac:dyDescent="0.35">
      <c r="A14503" s="12"/>
    </row>
    <row r="14504" spans="1:1" x14ac:dyDescent="0.35">
      <c r="A14504" s="12"/>
    </row>
    <row r="14505" spans="1:1" x14ac:dyDescent="0.35">
      <c r="A14505" s="12"/>
    </row>
    <row r="14506" spans="1:1" x14ac:dyDescent="0.35">
      <c r="A14506" s="12"/>
    </row>
    <row r="14507" spans="1:1" x14ac:dyDescent="0.35">
      <c r="A14507" s="12"/>
    </row>
    <row r="14508" spans="1:1" x14ac:dyDescent="0.35">
      <c r="A14508" s="12"/>
    </row>
    <row r="14509" spans="1:1" x14ac:dyDescent="0.35">
      <c r="A14509" s="12"/>
    </row>
    <row r="14510" spans="1:1" x14ac:dyDescent="0.35">
      <c r="A14510" s="12"/>
    </row>
    <row r="14511" spans="1:1" x14ac:dyDescent="0.35">
      <c r="A14511" s="12"/>
    </row>
    <row r="14512" spans="1:1" x14ac:dyDescent="0.35">
      <c r="A14512" s="12"/>
    </row>
    <row r="14513" spans="1:1" x14ac:dyDescent="0.35">
      <c r="A14513" s="12"/>
    </row>
    <row r="14514" spans="1:1" x14ac:dyDescent="0.35">
      <c r="A14514" s="12"/>
    </row>
    <row r="14515" spans="1:1" x14ac:dyDescent="0.35">
      <c r="A14515" s="12"/>
    </row>
    <row r="14516" spans="1:1" x14ac:dyDescent="0.35">
      <c r="A14516" s="12"/>
    </row>
    <row r="14517" spans="1:1" x14ac:dyDescent="0.35">
      <c r="A14517" s="12"/>
    </row>
    <row r="14518" spans="1:1" x14ac:dyDescent="0.35">
      <c r="A14518" s="12"/>
    </row>
    <row r="14519" spans="1:1" x14ac:dyDescent="0.35">
      <c r="A14519" s="12"/>
    </row>
    <row r="14520" spans="1:1" x14ac:dyDescent="0.35">
      <c r="A14520" s="12"/>
    </row>
    <row r="14521" spans="1:1" x14ac:dyDescent="0.35">
      <c r="A14521" s="12"/>
    </row>
    <row r="14522" spans="1:1" x14ac:dyDescent="0.35">
      <c r="A14522" s="12"/>
    </row>
    <row r="14523" spans="1:1" x14ac:dyDescent="0.35">
      <c r="A14523" s="12"/>
    </row>
    <row r="14524" spans="1:1" x14ac:dyDescent="0.35">
      <c r="A14524" s="12"/>
    </row>
    <row r="14525" spans="1:1" x14ac:dyDescent="0.35">
      <c r="A14525" s="12"/>
    </row>
    <row r="14526" spans="1:1" x14ac:dyDescent="0.35">
      <c r="A14526" s="12"/>
    </row>
    <row r="14527" spans="1:1" x14ac:dyDescent="0.35">
      <c r="A14527" s="12"/>
    </row>
    <row r="14528" spans="1:1" x14ac:dyDescent="0.35">
      <c r="A14528" s="12"/>
    </row>
    <row r="14529" spans="1:1" x14ac:dyDescent="0.35">
      <c r="A14529" s="12"/>
    </row>
    <row r="14530" spans="1:1" x14ac:dyDescent="0.35">
      <c r="A14530" s="12"/>
    </row>
    <row r="14531" spans="1:1" x14ac:dyDescent="0.35">
      <c r="A14531" s="12"/>
    </row>
    <row r="14532" spans="1:1" x14ac:dyDescent="0.35">
      <c r="A14532" s="12"/>
    </row>
    <row r="14533" spans="1:1" x14ac:dyDescent="0.35">
      <c r="A14533" s="12"/>
    </row>
    <row r="14534" spans="1:1" x14ac:dyDescent="0.35">
      <c r="A14534" s="12"/>
    </row>
    <row r="14535" spans="1:1" x14ac:dyDescent="0.35">
      <c r="A14535" s="12"/>
    </row>
    <row r="14536" spans="1:1" x14ac:dyDescent="0.35">
      <c r="A14536" s="12"/>
    </row>
    <row r="14537" spans="1:1" x14ac:dyDescent="0.35">
      <c r="A14537" s="12"/>
    </row>
    <row r="14538" spans="1:1" x14ac:dyDescent="0.35">
      <c r="A14538" s="12"/>
    </row>
    <row r="14539" spans="1:1" x14ac:dyDescent="0.35">
      <c r="A14539" s="12"/>
    </row>
    <row r="14540" spans="1:1" x14ac:dyDescent="0.35">
      <c r="A14540" s="12"/>
    </row>
    <row r="14541" spans="1:1" x14ac:dyDescent="0.35">
      <c r="A14541" s="12"/>
    </row>
    <row r="14542" spans="1:1" x14ac:dyDescent="0.35">
      <c r="A14542" s="12"/>
    </row>
    <row r="14543" spans="1:1" x14ac:dyDescent="0.35">
      <c r="A14543" s="12"/>
    </row>
    <row r="14544" spans="1:1" x14ac:dyDescent="0.35">
      <c r="A14544" s="12"/>
    </row>
    <row r="14545" spans="1:1" x14ac:dyDescent="0.35">
      <c r="A14545" s="12"/>
    </row>
    <row r="14546" spans="1:1" x14ac:dyDescent="0.35">
      <c r="A14546" s="12"/>
    </row>
    <row r="14547" spans="1:1" x14ac:dyDescent="0.35">
      <c r="A14547" s="12"/>
    </row>
    <row r="14548" spans="1:1" x14ac:dyDescent="0.35">
      <c r="A14548" s="12"/>
    </row>
    <row r="14549" spans="1:1" x14ac:dyDescent="0.35">
      <c r="A14549" s="12"/>
    </row>
    <row r="14550" spans="1:1" x14ac:dyDescent="0.35">
      <c r="A14550" s="12"/>
    </row>
    <row r="14551" spans="1:1" x14ac:dyDescent="0.35">
      <c r="A14551" s="12"/>
    </row>
    <row r="14552" spans="1:1" x14ac:dyDescent="0.35">
      <c r="A14552" s="12"/>
    </row>
    <row r="14553" spans="1:1" x14ac:dyDescent="0.35">
      <c r="A14553" s="12"/>
    </row>
    <row r="14554" spans="1:1" x14ac:dyDescent="0.35">
      <c r="A14554" s="12"/>
    </row>
    <row r="14555" spans="1:1" x14ac:dyDescent="0.35">
      <c r="A14555" s="12"/>
    </row>
    <row r="14556" spans="1:1" x14ac:dyDescent="0.35">
      <c r="A14556" s="12"/>
    </row>
    <row r="14557" spans="1:1" x14ac:dyDescent="0.35">
      <c r="A14557" s="12"/>
    </row>
    <row r="14558" spans="1:1" x14ac:dyDescent="0.35">
      <c r="A14558" s="12"/>
    </row>
    <row r="14559" spans="1:1" x14ac:dyDescent="0.35">
      <c r="A14559" s="12"/>
    </row>
    <row r="14560" spans="1:1" x14ac:dyDescent="0.35">
      <c r="A14560" s="12"/>
    </row>
    <row r="14561" spans="1:1" x14ac:dyDescent="0.35">
      <c r="A14561" s="12"/>
    </row>
    <row r="14562" spans="1:1" x14ac:dyDescent="0.35">
      <c r="A14562" s="12"/>
    </row>
    <row r="14563" spans="1:1" x14ac:dyDescent="0.35">
      <c r="A14563" s="12"/>
    </row>
    <row r="14564" spans="1:1" x14ac:dyDescent="0.35">
      <c r="A14564" s="12"/>
    </row>
    <row r="14565" spans="1:1" x14ac:dyDescent="0.35">
      <c r="A14565" s="12"/>
    </row>
    <row r="14566" spans="1:1" x14ac:dyDescent="0.35">
      <c r="A14566" s="12"/>
    </row>
    <row r="14567" spans="1:1" x14ac:dyDescent="0.35">
      <c r="A14567" s="12"/>
    </row>
    <row r="14568" spans="1:1" x14ac:dyDescent="0.35">
      <c r="A14568" s="12"/>
    </row>
    <row r="14569" spans="1:1" x14ac:dyDescent="0.35">
      <c r="A14569" s="12"/>
    </row>
    <row r="14570" spans="1:1" x14ac:dyDescent="0.35">
      <c r="A14570" s="12"/>
    </row>
    <row r="14571" spans="1:1" x14ac:dyDescent="0.35">
      <c r="A14571" s="12"/>
    </row>
    <row r="14572" spans="1:1" x14ac:dyDescent="0.35">
      <c r="A14572" s="12"/>
    </row>
    <row r="14573" spans="1:1" x14ac:dyDescent="0.35">
      <c r="A14573" s="12"/>
    </row>
    <row r="14574" spans="1:1" x14ac:dyDescent="0.35">
      <c r="A14574" s="12"/>
    </row>
    <row r="14575" spans="1:1" x14ac:dyDescent="0.35">
      <c r="A14575" s="12"/>
    </row>
    <row r="14576" spans="1:1" x14ac:dyDescent="0.35">
      <c r="A14576" s="12"/>
    </row>
    <row r="14577" spans="1:1" x14ac:dyDescent="0.35">
      <c r="A14577" s="12"/>
    </row>
    <row r="14578" spans="1:1" x14ac:dyDescent="0.35">
      <c r="A14578" s="12"/>
    </row>
    <row r="14579" spans="1:1" x14ac:dyDescent="0.35">
      <c r="A14579" s="12"/>
    </row>
    <row r="14580" spans="1:1" x14ac:dyDescent="0.35">
      <c r="A14580" s="12"/>
    </row>
    <row r="14581" spans="1:1" x14ac:dyDescent="0.35">
      <c r="A14581" s="12"/>
    </row>
    <row r="14582" spans="1:1" x14ac:dyDescent="0.35">
      <c r="A14582" s="12"/>
    </row>
    <row r="14583" spans="1:1" x14ac:dyDescent="0.35">
      <c r="A14583" s="12"/>
    </row>
    <row r="14584" spans="1:1" x14ac:dyDescent="0.35">
      <c r="A14584" s="12"/>
    </row>
    <row r="14585" spans="1:1" x14ac:dyDescent="0.35">
      <c r="A14585" s="12"/>
    </row>
    <row r="14586" spans="1:1" x14ac:dyDescent="0.35">
      <c r="A14586" s="12"/>
    </row>
    <row r="14587" spans="1:1" x14ac:dyDescent="0.35">
      <c r="A14587" s="12"/>
    </row>
    <row r="14588" spans="1:1" x14ac:dyDescent="0.35">
      <c r="A14588" s="12"/>
    </row>
    <row r="14589" spans="1:1" x14ac:dyDescent="0.35">
      <c r="A14589" s="12"/>
    </row>
    <row r="14590" spans="1:1" x14ac:dyDescent="0.35">
      <c r="A14590" s="12"/>
    </row>
    <row r="14591" spans="1:1" x14ac:dyDescent="0.35">
      <c r="A14591" s="12"/>
    </row>
    <row r="14592" spans="1:1" x14ac:dyDescent="0.35">
      <c r="A14592" s="12"/>
    </row>
    <row r="14593" spans="1:1" x14ac:dyDescent="0.35">
      <c r="A14593" s="12"/>
    </row>
    <row r="14594" spans="1:1" x14ac:dyDescent="0.35">
      <c r="A14594" s="12"/>
    </row>
    <row r="14595" spans="1:1" x14ac:dyDescent="0.35">
      <c r="A14595" s="12"/>
    </row>
    <row r="14596" spans="1:1" x14ac:dyDescent="0.35">
      <c r="A14596" s="12"/>
    </row>
    <row r="14597" spans="1:1" x14ac:dyDescent="0.35">
      <c r="A14597" s="12"/>
    </row>
    <row r="14598" spans="1:1" x14ac:dyDescent="0.35">
      <c r="A14598" s="12"/>
    </row>
    <row r="14599" spans="1:1" x14ac:dyDescent="0.35">
      <c r="A14599" s="12"/>
    </row>
    <row r="14600" spans="1:1" x14ac:dyDescent="0.35">
      <c r="A14600" s="12"/>
    </row>
    <row r="14601" spans="1:1" x14ac:dyDescent="0.35">
      <c r="A14601" s="12"/>
    </row>
    <row r="14602" spans="1:1" x14ac:dyDescent="0.35">
      <c r="A14602" s="12"/>
    </row>
    <row r="14603" spans="1:1" x14ac:dyDescent="0.35">
      <c r="A14603" s="12"/>
    </row>
    <row r="14604" spans="1:1" x14ac:dyDescent="0.35">
      <c r="A14604" s="12"/>
    </row>
    <row r="14605" spans="1:1" x14ac:dyDescent="0.35">
      <c r="A14605" s="12"/>
    </row>
    <row r="14606" spans="1:1" x14ac:dyDescent="0.35">
      <c r="A14606" s="12"/>
    </row>
    <row r="14607" spans="1:1" x14ac:dyDescent="0.35">
      <c r="A14607" s="12"/>
    </row>
    <row r="14608" spans="1:1" x14ac:dyDescent="0.35">
      <c r="A14608" s="12"/>
    </row>
    <row r="14609" spans="1:1" x14ac:dyDescent="0.35">
      <c r="A14609" s="12"/>
    </row>
    <row r="14610" spans="1:1" x14ac:dyDescent="0.35">
      <c r="A14610" s="12"/>
    </row>
    <row r="14611" spans="1:1" x14ac:dyDescent="0.35">
      <c r="A14611" s="12"/>
    </row>
    <row r="14612" spans="1:1" x14ac:dyDescent="0.35">
      <c r="A14612" s="12"/>
    </row>
    <row r="14613" spans="1:1" x14ac:dyDescent="0.35">
      <c r="A14613" s="12"/>
    </row>
    <row r="14614" spans="1:1" x14ac:dyDescent="0.35">
      <c r="A14614" s="12"/>
    </row>
    <row r="14615" spans="1:1" x14ac:dyDescent="0.35">
      <c r="A14615" s="12"/>
    </row>
    <row r="14616" spans="1:1" x14ac:dyDescent="0.35">
      <c r="A14616" s="12"/>
    </row>
    <row r="14617" spans="1:1" x14ac:dyDescent="0.35">
      <c r="A14617" s="12"/>
    </row>
    <row r="14618" spans="1:1" x14ac:dyDescent="0.35">
      <c r="A14618" s="12"/>
    </row>
    <row r="14619" spans="1:1" x14ac:dyDescent="0.35">
      <c r="A14619" s="12"/>
    </row>
    <row r="14620" spans="1:1" x14ac:dyDescent="0.35">
      <c r="A14620" s="12"/>
    </row>
    <row r="14621" spans="1:1" x14ac:dyDescent="0.35">
      <c r="A14621" s="12"/>
    </row>
    <row r="14622" spans="1:1" x14ac:dyDescent="0.35">
      <c r="A14622" s="12"/>
    </row>
    <row r="14623" spans="1:1" x14ac:dyDescent="0.35">
      <c r="A14623" s="12"/>
    </row>
    <row r="14624" spans="1:1" x14ac:dyDescent="0.35">
      <c r="A14624" s="12"/>
    </row>
    <row r="14625" spans="1:1" x14ac:dyDescent="0.35">
      <c r="A14625" s="12"/>
    </row>
    <row r="14626" spans="1:1" x14ac:dyDescent="0.35">
      <c r="A14626" s="12"/>
    </row>
    <row r="14627" spans="1:1" x14ac:dyDescent="0.35">
      <c r="A14627" s="12"/>
    </row>
    <row r="14628" spans="1:1" x14ac:dyDescent="0.35">
      <c r="A14628" s="12"/>
    </row>
    <row r="14629" spans="1:1" x14ac:dyDescent="0.35">
      <c r="A14629" s="12"/>
    </row>
    <row r="14630" spans="1:1" x14ac:dyDescent="0.35">
      <c r="A14630" s="12"/>
    </row>
    <row r="14631" spans="1:1" x14ac:dyDescent="0.35">
      <c r="A14631" s="12"/>
    </row>
    <row r="14632" spans="1:1" x14ac:dyDescent="0.35">
      <c r="A14632" s="12"/>
    </row>
    <row r="14633" spans="1:1" x14ac:dyDescent="0.35">
      <c r="A14633" s="12"/>
    </row>
    <row r="14634" spans="1:1" x14ac:dyDescent="0.35">
      <c r="A14634" s="12"/>
    </row>
    <row r="14635" spans="1:1" x14ac:dyDescent="0.35">
      <c r="A14635" s="12"/>
    </row>
    <row r="14636" spans="1:1" x14ac:dyDescent="0.35">
      <c r="A14636" s="12"/>
    </row>
    <row r="14637" spans="1:1" x14ac:dyDescent="0.35">
      <c r="A14637" s="12"/>
    </row>
    <row r="14638" spans="1:1" x14ac:dyDescent="0.35">
      <c r="A14638" s="12"/>
    </row>
    <row r="14639" spans="1:1" x14ac:dyDescent="0.35">
      <c r="A14639" s="12"/>
    </row>
    <row r="14640" spans="1:1" x14ac:dyDescent="0.35">
      <c r="A14640" s="12"/>
    </row>
    <row r="14641" spans="1:1" x14ac:dyDescent="0.35">
      <c r="A14641" s="12"/>
    </row>
    <row r="14642" spans="1:1" x14ac:dyDescent="0.35">
      <c r="A14642" s="12"/>
    </row>
    <row r="14643" spans="1:1" x14ac:dyDescent="0.35">
      <c r="A14643" s="12"/>
    </row>
    <row r="14644" spans="1:1" x14ac:dyDescent="0.35">
      <c r="A14644" s="12"/>
    </row>
    <row r="14645" spans="1:1" x14ac:dyDescent="0.35">
      <c r="A14645" s="12"/>
    </row>
    <row r="14646" spans="1:1" x14ac:dyDescent="0.35">
      <c r="A14646" s="12"/>
    </row>
    <row r="14647" spans="1:1" x14ac:dyDescent="0.35">
      <c r="A14647" s="12"/>
    </row>
    <row r="14648" spans="1:1" x14ac:dyDescent="0.35">
      <c r="A14648" s="12"/>
    </row>
    <row r="14649" spans="1:1" x14ac:dyDescent="0.35">
      <c r="A14649" s="12"/>
    </row>
    <row r="14650" spans="1:1" x14ac:dyDescent="0.35">
      <c r="A14650" s="12"/>
    </row>
    <row r="14651" spans="1:1" x14ac:dyDescent="0.35">
      <c r="A14651" s="12"/>
    </row>
    <row r="14652" spans="1:1" x14ac:dyDescent="0.35">
      <c r="A14652" s="12"/>
    </row>
    <row r="14653" spans="1:1" x14ac:dyDescent="0.35">
      <c r="A14653" s="12"/>
    </row>
    <row r="14654" spans="1:1" x14ac:dyDescent="0.35">
      <c r="A14654" s="12"/>
    </row>
    <row r="14655" spans="1:1" x14ac:dyDescent="0.35">
      <c r="A14655" s="12"/>
    </row>
    <row r="14656" spans="1:1" x14ac:dyDescent="0.35">
      <c r="A14656" s="12"/>
    </row>
    <row r="14657" spans="1:1" x14ac:dyDescent="0.35">
      <c r="A14657" s="12"/>
    </row>
    <row r="14658" spans="1:1" x14ac:dyDescent="0.35">
      <c r="A14658" s="12"/>
    </row>
    <row r="14659" spans="1:1" x14ac:dyDescent="0.35">
      <c r="A14659" s="12"/>
    </row>
    <row r="14660" spans="1:1" x14ac:dyDescent="0.35">
      <c r="A14660" s="12"/>
    </row>
    <row r="14661" spans="1:1" x14ac:dyDescent="0.35">
      <c r="A14661" s="12"/>
    </row>
    <row r="14662" spans="1:1" x14ac:dyDescent="0.35">
      <c r="A14662" s="12"/>
    </row>
    <row r="14663" spans="1:1" x14ac:dyDescent="0.35">
      <c r="A14663" s="12"/>
    </row>
    <row r="14664" spans="1:1" x14ac:dyDescent="0.35">
      <c r="A14664" s="12"/>
    </row>
    <row r="14665" spans="1:1" x14ac:dyDescent="0.35">
      <c r="A14665" s="12"/>
    </row>
    <row r="14666" spans="1:1" x14ac:dyDescent="0.35">
      <c r="A14666" s="12"/>
    </row>
    <row r="14667" spans="1:1" x14ac:dyDescent="0.35">
      <c r="A14667" s="12"/>
    </row>
    <row r="14668" spans="1:1" x14ac:dyDescent="0.35">
      <c r="A14668" s="12"/>
    </row>
    <row r="14669" spans="1:1" x14ac:dyDescent="0.35">
      <c r="A14669" s="12"/>
    </row>
    <row r="14670" spans="1:1" x14ac:dyDescent="0.35">
      <c r="A14670" s="12"/>
    </row>
    <row r="14671" spans="1:1" x14ac:dyDescent="0.35">
      <c r="A14671" s="12"/>
    </row>
    <row r="14672" spans="1:1" x14ac:dyDescent="0.35">
      <c r="A14672" s="12"/>
    </row>
    <row r="14673" spans="1:1" x14ac:dyDescent="0.35">
      <c r="A14673" s="12"/>
    </row>
    <row r="14674" spans="1:1" x14ac:dyDescent="0.35">
      <c r="A14674" s="12"/>
    </row>
    <row r="14675" spans="1:1" x14ac:dyDescent="0.35">
      <c r="A14675" s="12"/>
    </row>
    <row r="14676" spans="1:1" x14ac:dyDescent="0.35">
      <c r="A14676" s="12"/>
    </row>
    <row r="14677" spans="1:1" x14ac:dyDescent="0.35">
      <c r="A14677" s="12"/>
    </row>
    <row r="14678" spans="1:1" x14ac:dyDescent="0.35">
      <c r="A14678" s="12"/>
    </row>
    <row r="14679" spans="1:1" x14ac:dyDescent="0.35">
      <c r="A14679" s="12"/>
    </row>
    <row r="14680" spans="1:1" x14ac:dyDescent="0.35">
      <c r="A14680" s="12"/>
    </row>
    <row r="14681" spans="1:1" x14ac:dyDescent="0.35">
      <c r="A14681" s="12"/>
    </row>
    <row r="14682" spans="1:1" x14ac:dyDescent="0.35">
      <c r="A14682" s="12"/>
    </row>
    <row r="14683" spans="1:1" x14ac:dyDescent="0.35">
      <c r="A14683" s="12"/>
    </row>
    <row r="14684" spans="1:1" x14ac:dyDescent="0.35">
      <c r="A14684" s="12"/>
    </row>
    <row r="14685" spans="1:1" x14ac:dyDescent="0.35">
      <c r="A14685" s="12"/>
    </row>
    <row r="14686" spans="1:1" x14ac:dyDescent="0.35">
      <c r="A14686" s="12"/>
    </row>
    <row r="14687" spans="1:1" x14ac:dyDescent="0.35">
      <c r="A14687" s="12"/>
    </row>
    <row r="14688" spans="1:1" x14ac:dyDescent="0.35">
      <c r="A14688" s="12"/>
    </row>
    <row r="14689" spans="1:1" x14ac:dyDescent="0.35">
      <c r="A14689" s="12"/>
    </row>
    <row r="14690" spans="1:1" x14ac:dyDescent="0.35">
      <c r="A14690" s="12"/>
    </row>
    <row r="14691" spans="1:1" x14ac:dyDescent="0.35">
      <c r="A14691" s="12"/>
    </row>
    <row r="14692" spans="1:1" x14ac:dyDescent="0.35">
      <c r="A14692" s="12"/>
    </row>
    <row r="14693" spans="1:1" x14ac:dyDescent="0.35">
      <c r="A14693" s="12"/>
    </row>
    <row r="14694" spans="1:1" x14ac:dyDescent="0.35">
      <c r="A14694" s="12"/>
    </row>
    <row r="14695" spans="1:1" x14ac:dyDescent="0.35">
      <c r="A14695" s="12"/>
    </row>
    <row r="14696" spans="1:1" x14ac:dyDescent="0.35">
      <c r="A14696" s="12"/>
    </row>
    <row r="14697" spans="1:1" x14ac:dyDescent="0.35">
      <c r="A14697" s="12"/>
    </row>
    <row r="14698" spans="1:1" x14ac:dyDescent="0.35">
      <c r="A14698" s="12"/>
    </row>
    <row r="14699" spans="1:1" x14ac:dyDescent="0.35">
      <c r="A14699" s="12"/>
    </row>
    <row r="14700" spans="1:1" x14ac:dyDescent="0.35">
      <c r="A14700" s="12"/>
    </row>
    <row r="14701" spans="1:1" x14ac:dyDescent="0.35">
      <c r="A14701" s="12"/>
    </row>
    <row r="14702" spans="1:1" x14ac:dyDescent="0.35">
      <c r="A14702" s="12"/>
    </row>
    <row r="14703" spans="1:1" x14ac:dyDescent="0.35">
      <c r="A14703" s="12"/>
    </row>
    <row r="14704" spans="1:1" x14ac:dyDescent="0.35">
      <c r="A14704" s="12"/>
    </row>
    <row r="14705" spans="1:1" x14ac:dyDescent="0.35">
      <c r="A14705" s="12"/>
    </row>
    <row r="14706" spans="1:1" x14ac:dyDescent="0.35">
      <c r="A14706" s="12"/>
    </row>
    <row r="14707" spans="1:1" x14ac:dyDescent="0.35">
      <c r="A14707" s="12"/>
    </row>
    <row r="14708" spans="1:1" x14ac:dyDescent="0.35">
      <c r="A14708" s="12"/>
    </row>
    <row r="14709" spans="1:1" x14ac:dyDescent="0.35">
      <c r="A14709" s="12"/>
    </row>
    <row r="14710" spans="1:1" x14ac:dyDescent="0.35">
      <c r="A14710" s="12"/>
    </row>
    <row r="14711" spans="1:1" x14ac:dyDescent="0.35">
      <c r="A14711" s="12"/>
    </row>
    <row r="14712" spans="1:1" x14ac:dyDescent="0.35">
      <c r="A14712" s="12"/>
    </row>
    <row r="14713" spans="1:1" x14ac:dyDescent="0.35">
      <c r="A14713" s="12"/>
    </row>
    <row r="14714" spans="1:1" x14ac:dyDescent="0.35">
      <c r="A14714" s="12"/>
    </row>
    <row r="14715" spans="1:1" x14ac:dyDescent="0.35">
      <c r="A14715" s="12"/>
    </row>
    <row r="14716" spans="1:1" x14ac:dyDescent="0.35">
      <c r="A14716" s="12"/>
    </row>
    <row r="14717" spans="1:1" x14ac:dyDescent="0.35">
      <c r="A14717" s="12"/>
    </row>
    <row r="14718" spans="1:1" x14ac:dyDescent="0.35">
      <c r="A14718" s="12"/>
    </row>
    <row r="14719" spans="1:1" x14ac:dyDescent="0.35">
      <c r="A14719" s="12"/>
    </row>
    <row r="14720" spans="1:1" x14ac:dyDescent="0.35">
      <c r="A14720" s="12"/>
    </row>
    <row r="14721" spans="1:1" x14ac:dyDescent="0.35">
      <c r="A14721" s="12"/>
    </row>
    <row r="14722" spans="1:1" x14ac:dyDescent="0.35">
      <c r="A14722" s="12"/>
    </row>
    <row r="14723" spans="1:1" x14ac:dyDescent="0.35">
      <c r="A14723" s="12"/>
    </row>
    <row r="14724" spans="1:1" x14ac:dyDescent="0.35">
      <c r="A14724" s="12"/>
    </row>
    <row r="14725" spans="1:1" x14ac:dyDescent="0.35">
      <c r="A14725" s="12"/>
    </row>
    <row r="14726" spans="1:1" x14ac:dyDescent="0.35">
      <c r="A14726" s="12"/>
    </row>
    <row r="14727" spans="1:1" x14ac:dyDescent="0.35">
      <c r="A14727" s="12"/>
    </row>
    <row r="14728" spans="1:1" x14ac:dyDescent="0.35">
      <c r="A14728" s="12"/>
    </row>
    <row r="14729" spans="1:1" x14ac:dyDescent="0.35">
      <c r="A14729" s="12"/>
    </row>
    <row r="14730" spans="1:1" x14ac:dyDescent="0.35">
      <c r="A14730" s="12"/>
    </row>
    <row r="14731" spans="1:1" x14ac:dyDescent="0.35">
      <c r="A14731" s="12"/>
    </row>
    <row r="14732" spans="1:1" x14ac:dyDescent="0.35">
      <c r="A14732" s="12"/>
    </row>
    <row r="14733" spans="1:1" x14ac:dyDescent="0.35">
      <c r="A14733" s="12"/>
    </row>
    <row r="14734" spans="1:1" x14ac:dyDescent="0.35">
      <c r="A14734" s="12"/>
    </row>
    <row r="14735" spans="1:1" x14ac:dyDescent="0.35">
      <c r="A14735" s="12"/>
    </row>
    <row r="14736" spans="1:1" x14ac:dyDescent="0.35">
      <c r="A14736" s="12"/>
    </row>
    <row r="14737" spans="1:1" x14ac:dyDescent="0.35">
      <c r="A14737" s="12"/>
    </row>
    <row r="14738" spans="1:1" x14ac:dyDescent="0.35">
      <c r="A14738" s="12"/>
    </row>
    <row r="14739" spans="1:1" x14ac:dyDescent="0.35">
      <c r="A14739" s="12"/>
    </row>
    <row r="14740" spans="1:1" x14ac:dyDescent="0.35">
      <c r="A14740" s="12"/>
    </row>
    <row r="14741" spans="1:1" x14ac:dyDescent="0.35">
      <c r="A14741" s="12"/>
    </row>
    <row r="14742" spans="1:1" x14ac:dyDescent="0.35">
      <c r="A14742" s="12"/>
    </row>
    <row r="14743" spans="1:1" x14ac:dyDescent="0.35">
      <c r="A14743" s="12"/>
    </row>
    <row r="14744" spans="1:1" x14ac:dyDescent="0.35">
      <c r="A14744" s="12"/>
    </row>
    <row r="14745" spans="1:1" x14ac:dyDescent="0.35">
      <c r="A14745" s="12"/>
    </row>
    <row r="14746" spans="1:1" x14ac:dyDescent="0.35">
      <c r="A14746" s="12"/>
    </row>
    <row r="14747" spans="1:1" x14ac:dyDescent="0.35">
      <c r="A14747" s="12"/>
    </row>
    <row r="14748" spans="1:1" x14ac:dyDescent="0.35">
      <c r="A14748" s="12"/>
    </row>
    <row r="14749" spans="1:1" x14ac:dyDescent="0.35">
      <c r="A14749" s="12"/>
    </row>
    <row r="14750" spans="1:1" x14ac:dyDescent="0.35">
      <c r="A14750" s="12"/>
    </row>
    <row r="14751" spans="1:1" x14ac:dyDescent="0.35">
      <c r="A14751" s="12"/>
    </row>
    <row r="14752" spans="1:1" x14ac:dyDescent="0.35">
      <c r="A14752" s="12"/>
    </row>
    <row r="14753" spans="1:1" x14ac:dyDescent="0.35">
      <c r="A14753" s="12"/>
    </row>
    <row r="14754" spans="1:1" x14ac:dyDescent="0.35">
      <c r="A14754" s="12"/>
    </row>
    <row r="14755" spans="1:1" x14ac:dyDescent="0.35">
      <c r="A14755" s="12"/>
    </row>
    <row r="14756" spans="1:1" x14ac:dyDescent="0.35">
      <c r="A14756" s="12"/>
    </row>
    <row r="14757" spans="1:1" x14ac:dyDescent="0.35">
      <c r="A14757" s="12"/>
    </row>
    <row r="14758" spans="1:1" x14ac:dyDescent="0.35">
      <c r="A14758" s="12"/>
    </row>
    <row r="14759" spans="1:1" x14ac:dyDescent="0.35">
      <c r="A14759" s="12"/>
    </row>
    <row r="14760" spans="1:1" x14ac:dyDescent="0.35">
      <c r="A14760" s="12"/>
    </row>
    <row r="14761" spans="1:1" x14ac:dyDescent="0.35">
      <c r="A14761" s="12"/>
    </row>
    <row r="14762" spans="1:1" x14ac:dyDescent="0.35">
      <c r="A14762" s="12"/>
    </row>
    <row r="14763" spans="1:1" x14ac:dyDescent="0.35">
      <c r="A14763" s="12"/>
    </row>
    <row r="14764" spans="1:1" x14ac:dyDescent="0.35">
      <c r="A14764" s="12"/>
    </row>
    <row r="14765" spans="1:1" x14ac:dyDescent="0.35">
      <c r="A14765" s="12"/>
    </row>
    <row r="14766" spans="1:1" x14ac:dyDescent="0.35">
      <c r="A14766" s="12"/>
    </row>
    <row r="14767" spans="1:1" x14ac:dyDescent="0.35">
      <c r="A14767" s="12"/>
    </row>
    <row r="14768" spans="1:1" x14ac:dyDescent="0.35">
      <c r="A14768" s="12"/>
    </row>
    <row r="14769" spans="1:1" x14ac:dyDescent="0.35">
      <c r="A14769" s="12"/>
    </row>
    <row r="14770" spans="1:1" x14ac:dyDescent="0.35">
      <c r="A14770" s="12"/>
    </row>
    <row r="14771" spans="1:1" x14ac:dyDescent="0.35">
      <c r="A14771" s="12"/>
    </row>
    <row r="14772" spans="1:1" x14ac:dyDescent="0.35">
      <c r="A14772" s="12"/>
    </row>
    <row r="14773" spans="1:1" x14ac:dyDescent="0.35">
      <c r="A14773" s="12"/>
    </row>
    <row r="14774" spans="1:1" x14ac:dyDescent="0.35">
      <c r="A14774" s="12"/>
    </row>
    <row r="14775" spans="1:1" x14ac:dyDescent="0.35">
      <c r="A14775" s="12"/>
    </row>
    <row r="14776" spans="1:1" x14ac:dyDescent="0.35">
      <c r="A14776" s="12"/>
    </row>
    <row r="14777" spans="1:1" x14ac:dyDescent="0.35">
      <c r="A14777" s="12"/>
    </row>
    <row r="14778" spans="1:1" x14ac:dyDescent="0.35">
      <c r="A14778" s="12"/>
    </row>
    <row r="14779" spans="1:1" x14ac:dyDescent="0.35">
      <c r="A14779" s="12"/>
    </row>
    <row r="14780" spans="1:1" x14ac:dyDescent="0.35">
      <c r="A14780" s="12"/>
    </row>
    <row r="14781" spans="1:1" x14ac:dyDescent="0.35">
      <c r="A14781" s="12"/>
    </row>
    <row r="14782" spans="1:1" x14ac:dyDescent="0.35">
      <c r="A14782" s="12"/>
    </row>
    <row r="14783" spans="1:1" x14ac:dyDescent="0.35">
      <c r="A14783" s="12"/>
    </row>
    <row r="14784" spans="1:1" x14ac:dyDescent="0.35">
      <c r="A14784" s="12"/>
    </row>
    <row r="14785" spans="1:1" x14ac:dyDescent="0.35">
      <c r="A14785" s="12"/>
    </row>
    <row r="14786" spans="1:1" x14ac:dyDescent="0.35">
      <c r="A14786" s="12"/>
    </row>
    <row r="14787" spans="1:1" x14ac:dyDescent="0.35">
      <c r="A14787" s="12"/>
    </row>
    <row r="14788" spans="1:1" x14ac:dyDescent="0.35">
      <c r="A14788" s="12"/>
    </row>
    <row r="14789" spans="1:1" x14ac:dyDescent="0.35">
      <c r="A14789" s="12"/>
    </row>
    <row r="14790" spans="1:1" x14ac:dyDescent="0.35">
      <c r="A14790" s="12"/>
    </row>
    <row r="14791" spans="1:1" x14ac:dyDescent="0.35">
      <c r="A14791" s="12"/>
    </row>
    <row r="14792" spans="1:1" x14ac:dyDescent="0.35">
      <c r="A14792" s="12"/>
    </row>
    <row r="14793" spans="1:1" x14ac:dyDescent="0.35">
      <c r="A14793" s="12"/>
    </row>
    <row r="14794" spans="1:1" x14ac:dyDescent="0.35">
      <c r="A14794" s="12"/>
    </row>
    <row r="14795" spans="1:1" x14ac:dyDescent="0.35">
      <c r="A14795" s="12"/>
    </row>
    <row r="14796" spans="1:1" x14ac:dyDescent="0.35">
      <c r="A14796" s="12"/>
    </row>
    <row r="14797" spans="1:1" x14ac:dyDescent="0.35">
      <c r="A14797" s="12"/>
    </row>
    <row r="14798" spans="1:1" x14ac:dyDescent="0.35">
      <c r="A14798" s="12"/>
    </row>
    <row r="14799" spans="1:1" x14ac:dyDescent="0.35">
      <c r="A14799" s="12"/>
    </row>
    <row r="14800" spans="1:1" x14ac:dyDescent="0.35">
      <c r="A14800" s="12"/>
    </row>
    <row r="14801" spans="1:1" x14ac:dyDescent="0.35">
      <c r="A14801" s="12"/>
    </row>
    <row r="14802" spans="1:1" x14ac:dyDescent="0.35">
      <c r="A14802" s="12"/>
    </row>
    <row r="14803" spans="1:1" x14ac:dyDescent="0.35">
      <c r="A14803" s="12"/>
    </row>
    <row r="14804" spans="1:1" x14ac:dyDescent="0.35">
      <c r="A14804" s="12"/>
    </row>
    <row r="14805" spans="1:1" x14ac:dyDescent="0.35">
      <c r="A14805" s="12"/>
    </row>
    <row r="14806" spans="1:1" x14ac:dyDescent="0.35">
      <c r="A14806" s="12"/>
    </row>
    <row r="14807" spans="1:1" x14ac:dyDescent="0.35">
      <c r="A14807" s="12"/>
    </row>
    <row r="14808" spans="1:1" x14ac:dyDescent="0.35">
      <c r="A14808" s="12"/>
    </row>
    <row r="14809" spans="1:1" x14ac:dyDescent="0.35">
      <c r="A14809" s="12"/>
    </row>
    <row r="14810" spans="1:1" x14ac:dyDescent="0.35">
      <c r="A14810" s="12"/>
    </row>
    <row r="14811" spans="1:1" x14ac:dyDescent="0.35">
      <c r="A14811" s="12"/>
    </row>
    <row r="14812" spans="1:1" x14ac:dyDescent="0.35">
      <c r="A14812" s="12"/>
    </row>
    <row r="14813" spans="1:1" x14ac:dyDescent="0.35">
      <c r="A14813" s="12"/>
    </row>
    <row r="14814" spans="1:1" x14ac:dyDescent="0.35">
      <c r="A14814" s="12"/>
    </row>
    <row r="14815" spans="1:1" x14ac:dyDescent="0.35">
      <c r="A14815" s="12"/>
    </row>
    <row r="14816" spans="1:1" x14ac:dyDescent="0.35">
      <c r="A14816" s="12"/>
    </row>
    <row r="14817" spans="1:1" x14ac:dyDescent="0.35">
      <c r="A14817" s="12"/>
    </row>
    <row r="14818" spans="1:1" x14ac:dyDescent="0.35">
      <c r="A14818" s="12"/>
    </row>
    <row r="14819" spans="1:1" x14ac:dyDescent="0.35">
      <c r="A14819" s="12"/>
    </row>
    <row r="14820" spans="1:1" x14ac:dyDescent="0.35">
      <c r="A14820" s="12"/>
    </row>
    <row r="14821" spans="1:1" x14ac:dyDescent="0.35">
      <c r="A14821" s="12"/>
    </row>
    <row r="14822" spans="1:1" x14ac:dyDescent="0.35">
      <c r="A14822" s="12"/>
    </row>
    <row r="14823" spans="1:1" x14ac:dyDescent="0.35">
      <c r="A14823" s="12"/>
    </row>
    <row r="14824" spans="1:1" x14ac:dyDescent="0.35">
      <c r="A14824" s="12"/>
    </row>
    <row r="14825" spans="1:1" x14ac:dyDescent="0.35">
      <c r="A14825" s="12"/>
    </row>
    <row r="14826" spans="1:1" x14ac:dyDescent="0.35">
      <c r="A14826" s="12"/>
    </row>
    <row r="14827" spans="1:1" x14ac:dyDescent="0.35">
      <c r="A14827" s="12"/>
    </row>
    <row r="14828" spans="1:1" x14ac:dyDescent="0.35">
      <c r="A14828" s="12"/>
    </row>
    <row r="14829" spans="1:1" x14ac:dyDescent="0.35">
      <c r="A14829" s="12"/>
    </row>
    <row r="14830" spans="1:1" x14ac:dyDescent="0.35">
      <c r="A14830" s="12"/>
    </row>
    <row r="14831" spans="1:1" x14ac:dyDescent="0.35">
      <c r="A14831" s="12"/>
    </row>
    <row r="14832" spans="1:1" x14ac:dyDescent="0.35">
      <c r="A14832" s="12"/>
    </row>
    <row r="14833" spans="1:1" x14ac:dyDescent="0.35">
      <c r="A14833" s="12"/>
    </row>
    <row r="14834" spans="1:1" x14ac:dyDescent="0.35">
      <c r="A14834" s="12"/>
    </row>
    <row r="14835" spans="1:1" x14ac:dyDescent="0.35">
      <c r="A14835" s="12"/>
    </row>
    <row r="14836" spans="1:1" x14ac:dyDescent="0.35">
      <c r="A14836" s="12"/>
    </row>
    <row r="14837" spans="1:1" x14ac:dyDescent="0.35">
      <c r="A14837" s="12"/>
    </row>
    <row r="14838" spans="1:1" x14ac:dyDescent="0.35">
      <c r="A14838" s="12"/>
    </row>
    <row r="14839" spans="1:1" x14ac:dyDescent="0.35">
      <c r="A14839" s="12"/>
    </row>
    <row r="14840" spans="1:1" x14ac:dyDescent="0.35">
      <c r="A14840" s="12"/>
    </row>
    <row r="14841" spans="1:1" x14ac:dyDescent="0.35">
      <c r="A14841" s="12"/>
    </row>
    <row r="14842" spans="1:1" x14ac:dyDescent="0.35">
      <c r="A14842" s="12"/>
    </row>
    <row r="14843" spans="1:1" x14ac:dyDescent="0.35">
      <c r="A14843" s="12"/>
    </row>
    <row r="14844" spans="1:1" x14ac:dyDescent="0.35">
      <c r="A14844" s="12"/>
    </row>
    <row r="14845" spans="1:1" x14ac:dyDescent="0.35">
      <c r="A14845" s="12"/>
    </row>
    <row r="14846" spans="1:1" x14ac:dyDescent="0.35">
      <c r="A14846" s="12"/>
    </row>
    <row r="14847" spans="1:1" x14ac:dyDescent="0.35">
      <c r="A14847" s="12"/>
    </row>
    <row r="14848" spans="1:1" x14ac:dyDescent="0.35">
      <c r="A14848" s="12"/>
    </row>
    <row r="14849" spans="1:1" x14ac:dyDescent="0.35">
      <c r="A14849" s="12"/>
    </row>
    <row r="14850" spans="1:1" x14ac:dyDescent="0.35">
      <c r="A14850" s="12"/>
    </row>
    <row r="14851" spans="1:1" x14ac:dyDescent="0.35">
      <c r="A14851" s="12"/>
    </row>
    <row r="14852" spans="1:1" x14ac:dyDescent="0.35">
      <c r="A14852" s="12"/>
    </row>
    <row r="14853" spans="1:1" x14ac:dyDescent="0.35">
      <c r="A14853" s="12"/>
    </row>
    <row r="14854" spans="1:1" x14ac:dyDescent="0.35">
      <c r="A14854" s="12"/>
    </row>
    <row r="14855" spans="1:1" x14ac:dyDescent="0.35">
      <c r="A14855" s="12"/>
    </row>
    <row r="14856" spans="1:1" x14ac:dyDescent="0.35">
      <c r="A14856" s="12"/>
    </row>
    <row r="14857" spans="1:1" x14ac:dyDescent="0.35">
      <c r="A14857" s="12"/>
    </row>
    <row r="14858" spans="1:1" x14ac:dyDescent="0.35">
      <c r="A14858" s="12"/>
    </row>
    <row r="14859" spans="1:1" x14ac:dyDescent="0.35">
      <c r="A14859" s="12"/>
    </row>
    <row r="14860" spans="1:1" x14ac:dyDescent="0.35">
      <c r="A14860" s="12"/>
    </row>
    <row r="14861" spans="1:1" x14ac:dyDescent="0.35">
      <c r="A14861" s="12"/>
    </row>
    <row r="14862" spans="1:1" x14ac:dyDescent="0.35">
      <c r="A14862" s="12"/>
    </row>
    <row r="14863" spans="1:1" x14ac:dyDescent="0.35">
      <c r="A14863" s="12"/>
    </row>
    <row r="14864" spans="1:1" x14ac:dyDescent="0.35">
      <c r="A14864" s="12"/>
    </row>
    <row r="14865" spans="1:1" x14ac:dyDescent="0.35">
      <c r="A14865" s="12"/>
    </row>
    <row r="14866" spans="1:1" x14ac:dyDescent="0.35">
      <c r="A14866" s="12"/>
    </row>
    <row r="14867" spans="1:1" x14ac:dyDescent="0.35">
      <c r="A14867" s="12"/>
    </row>
    <row r="14868" spans="1:1" x14ac:dyDescent="0.35">
      <c r="A14868" s="12"/>
    </row>
    <row r="14869" spans="1:1" x14ac:dyDescent="0.35">
      <c r="A14869" s="12"/>
    </row>
    <row r="14870" spans="1:1" x14ac:dyDescent="0.35">
      <c r="A14870" s="12"/>
    </row>
    <row r="14871" spans="1:1" x14ac:dyDescent="0.35">
      <c r="A14871" s="12"/>
    </row>
    <row r="14872" spans="1:1" x14ac:dyDescent="0.35">
      <c r="A14872" s="12"/>
    </row>
    <row r="14873" spans="1:1" x14ac:dyDescent="0.35">
      <c r="A14873" s="12"/>
    </row>
    <row r="14874" spans="1:1" x14ac:dyDescent="0.35">
      <c r="A14874" s="12"/>
    </row>
    <row r="14875" spans="1:1" x14ac:dyDescent="0.35">
      <c r="A14875" s="12"/>
    </row>
    <row r="14876" spans="1:1" x14ac:dyDescent="0.35">
      <c r="A14876" s="12"/>
    </row>
    <row r="14877" spans="1:1" x14ac:dyDescent="0.35">
      <c r="A14877" s="12"/>
    </row>
    <row r="14878" spans="1:1" x14ac:dyDescent="0.35">
      <c r="A14878" s="12"/>
    </row>
    <row r="14879" spans="1:1" x14ac:dyDescent="0.35">
      <c r="A14879" s="12"/>
    </row>
    <row r="14880" spans="1:1" x14ac:dyDescent="0.35">
      <c r="A14880" s="12"/>
    </row>
    <row r="14881" spans="1:1" x14ac:dyDescent="0.35">
      <c r="A14881" s="12"/>
    </row>
    <row r="14882" spans="1:1" x14ac:dyDescent="0.35">
      <c r="A14882" s="12"/>
    </row>
    <row r="14883" spans="1:1" x14ac:dyDescent="0.35">
      <c r="A14883" s="12"/>
    </row>
    <row r="14884" spans="1:1" x14ac:dyDescent="0.35">
      <c r="A14884" s="12"/>
    </row>
    <row r="14885" spans="1:1" x14ac:dyDescent="0.35">
      <c r="A14885" s="12"/>
    </row>
    <row r="14886" spans="1:1" x14ac:dyDescent="0.35">
      <c r="A14886" s="12"/>
    </row>
    <row r="14887" spans="1:1" x14ac:dyDescent="0.35">
      <c r="A14887" s="12"/>
    </row>
    <row r="14888" spans="1:1" x14ac:dyDescent="0.35">
      <c r="A14888" s="12"/>
    </row>
    <row r="14889" spans="1:1" x14ac:dyDescent="0.35">
      <c r="A14889" s="12"/>
    </row>
    <row r="14890" spans="1:1" x14ac:dyDescent="0.35">
      <c r="A14890" s="12"/>
    </row>
    <row r="14891" spans="1:1" x14ac:dyDescent="0.35">
      <c r="A14891" s="12"/>
    </row>
    <row r="14892" spans="1:1" x14ac:dyDescent="0.35">
      <c r="A14892" s="12"/>
    </row>
    <row r="14893" spans="1:1" x14ac:dyDescent="0.35">
      <c r="A14893" s="12"/>
    </row>
    <row r="14894" spans="1:1" x14ac:dyDescent="0.35">
      <c r="A14894" s="12"/>
    </row>
    <row r="14895" spans="1:1" x14ac:dyDescent="0.35">
      <c r="A14895" s="12"/>
    </row>
    <row r="14896" spans="1:1" x14ac:dyDescent="0.35">
      <c r="A14896" s="12"/>
    </row>
    <row r="14897" spans="1:1" x14ac:dyDescent="0.35">
      <c r="A14897" s="12"/>
    </row>
    <row r="14898" spans="1:1" x14ac:dyDescent="0.35">
      <c r="A14898" s="12"/>
    </row>
    <row r="14899" spans="1:1" x14ac:dyDescent="0.35">
      <c r="A14899" s="12"/>
    </row>
    <row r="14900" spans="1:1" x14ac:dyDescent="0.35">
      <c r="A14900" s="12"/>
    </row>
    <row r="14901" spans="1:1" x14ac:dyDescent="0.35">
      <c r="A14901" s="12"/>
    </row>
    <row r="14902" spans="1:1" x14ac:dyDescent="0.35">
      <c r="A14902" s="12"/>
    </row>
    <row r="14903" spans="1:1" x14ac:dyDescent="0.35">
      <c r="A14903" s="12"/>
    </row>
    <row r="14904" spans="1:1" x14ac:dyDescent="0.35">
      <c r="A14904" s="12"/>
    </row>
    <row r="14905" spans="1:1" x14ac:dyDescent="0.35">
      <c r="A14905" s="12"/>
    </row>
    <row r="14906" spans="1:1" x14ac:dyDescent="0.35">
      <c r="A14906" s="12"/>
    </row>
    <row r="14907" spans="1:1" x14ac:dyDescent="0.35">
      <c r="A14907" s="12"/>
    </row>
    <row r="14908" spans="1:1" x14ac:dyDescent="0.35">
      <c r="A14908" s="12"/>
    </row>
    <row r="14909" spans="1:1" x14ac:dyDescent="0.35">
      <c r="A14909" s="12"/>
    </row>
    <row r="14910" spans="1:1" x14ac:dyDescent="0.35">
      <c r="A14910" s="12"/>
    </row>
    <row r="14911" spans="1:1" x14ac:dyDescent="0.35">
      <c r="A14911" s="12"/>
    </row>
    <row r="14912" spans="1:1" x14ac:dyDescent="0.35">
      <c r="A14912" s="12"/>
    </row>
    <row r="14913" spans="1:1" x14ac:dyDescent="0.35">
      <c r="A14913" s="12"/>
    </row>
    <row r="14914" spans="1:1" x14ac:dyDescent="0.35">
      <c r="A14914" s="12"/>
    </row>
    <row r="14915" spans="1:1" x14ac:dyDescent="0.35">
      <c r="A14915" s="12"/>
    </row>
    <row r="14916" spans="1:1" x14ac:dyDescent="0.35">
      <c r="A14916" s="12"/>
    </row>
    <row r="14917" spans="1:1" x14ac:dyDescent="0.35">
      <c r="A14917" s="12"/>
    </row>
    <row r="14918" spans="1:1" x14ac:dyDescent="0.35">
      <c r="A14918" s="12"/>
    </row>
    <row r="14919" spans="1:1" x14ac:dyDescent="0.35">
      <c r="A14919" s="12"/>
    </row>
    <row r="14920" spans="1:1" x14ac:dyDescent="0.35">
      <c r="A14920" s="12"/>
    </row>
    <row r="14921" spans="1:1" x14ac:dyDescent="0.35">
      <c r="A14921" s="12"/>
    </row>
    <row r="14922" spans="1:1" x14ac:dyDescent="0.35">
      <c r="A14922" s="12"/>
    </row>
    <row r="14923" spans="1:1" x14ac:dyDescent="0.35">
      <c r="A14923" s="12"/>
    </row>
    <row r="14924" spans="1:1" x14ac:dyDescent="0.35">
      <c r="A14924" s="12"/>
    </row>
    <row r="14925" spans="1:1" x14ac:dyDescent="0.35">
      <c r="A14925" s="12"/>
    </row>
    <row r="14926" spans="1:1" x14ac:dyDescent="0.35">
      <c r="A14926" s="12"/>
    </row>
    <row r="14927" spans="1:1" x14ac:dyDescent="0.35">
      <c r="A14927" s="12"/>
    </row>
    <row r="14928" spans="1:1" x14ac:dyDescent="0.35">
      <c r="A14928" s="12"/>
    </row>
    <row r="14929" spans="1:1" x14ac:dyDescent="0.35">
      <c r="A14929" s="12"/>
    </row>
    <row r="14930" spans="1:1" x14ac:dyDescent="0.35">
      <c r="A14930" s="12"/>
    </row>
    <row r="14931" spans="1:1" x14ac:dyDescent="0.35">
      <c r="A14931" s="12"/>
    </row>
    <row r="14932" spans="1:1" x14ac:dyDescent="0.35">
      <c r="A14932" s="12"/>
    </row>
    <row r="14933" spans="1:1" x14ac:dyDescent="0.35">
      <c r="A14933" s="12"/>
    </row>
    <row r="14934" spans="1:1" x14ac:dyDescent="0.35">
      <c r="A14934" s="12"/>
    </row>
    <row r="14935" spans="1:1" x14ac:dyDescent="0.35">
      <c r="A14935" s="12"/>
    </row>
    <row r="14936" spans="1:1" x14ac:dyDescent="0.35">
      <c r="A14936" s="12"/>
    </row>
    <row r="14937" spans="1:1" x14ac:dyDescent="0.35">
      <c r="A14937" s="12"/>
    </row>
    <row r="14938" spans="1:1" x14ac:dyDescent="0.35">
      <c r="A14938" s="12"/>
    </row>
    <row r="14939" spans="1:1" x14ac:dyDescent="0.35">
      <c r="A14939" s="12"/>
    </row>
    <row r="14940" spans="1:1" x14ac:dyDescent="0.35">
      <c r="A14940" s="12"/>
    </row>
    <row r="14941" spans="1:1" x14ac:dyDescent="0.35">
      <c r="A14941" s="12"/>
    </row>
    <row r="14942" spans="1:1" x14ac:dyDescent="0.35">
      <c r="A14942" s="12"/>
    </row>
    <row r="14943" spans="1:1" x14ac:dyDescent="0.35">
      <c r="A14943" s="12"/>
    </row>
    <row r="14944" spans="1:1" x14ac:dyDescent="0.35">
      <c r="A14944" s="12"/>
    </row>
    <row r="14945" spans="1:1" x14ac:dyDescent="0.35">
      <c r="A14945" s="12"/>
    </row>
    <row r="14946" spans="1:1" x14ac:dyDescent="0.35">
      <c r="A14946" s="12"/>
    </row>
    <row r="14947" spans="1:1" x14ac:dyDescent="0.35">
      <c r="A14947" s="12"/>
    </row>
    <row r="14948" spans="1:1" x14ac:dyDescent="0.35">
      <c r="A14948" s="12"/>
    </row>
    <row r="14949" spans="1:1" x14ac:dyDescent="0.35">
      <c r="A14949" s="12"/>
    </row>
    <row r="14950" spans="1:1" x14ac:dyDescent="0.35">
      <c r="A14950" s="12"/>
    </row>
    <row r="14951" spans="1:1" x14ac:dyDescent="0.35">
      <c r="A14951" s="12"/>
    </row>
    <row r="14952" spans="1:1" x14ac:dyDescent="0.35">
      <c r="A14952" s="12"/>
    </row>
    <row r="14953" spans="1:1" x14ac:dyDescent="0.35">
      <c r="A14953" s="12"/>
    </row>
    <row r="14954" spans="1:1" x14ac:dyDescent="0.35">
      <c r="A14954" s="12"/>
    </row>
    <row r="14955" spans="1:1" x14ac:dyDescent="0.35">
      <c r="A14955" s="12"/>
    </row>
    <row r="14956" spans="1:1" x14ac:dyDescent="0.35">
      <c r="A14956" s="12"/>
    </row>
    <row r="14957" spans="1:1" x14ac:dyDescent="0.35">
      <c r="A14957" s="12"/>
    </row>
    <row r="14958" spans="1:1" x14ac:dyDescent="0.35">
      <c r="A14958" s="12"/>
    </row>
    <row r="14959" spans="1:1" x14ac:dyDescent="0.35">
      <c r="A14959" s="12"/>
    </row>
    <row r="14960" spans="1:1" x14ac:dyDescent="0.35">
      <c r="A14960" s="12"/>
    </row>
    <row r="14961" spans="1:1" x14ac:dyDescent="0.35">
      <c r="A14961" s="12"/>
    </row>
    <row r="14962" spans="1:1" x14ac:dyDescent="0.35">
      <c r="A14962" s="12"/>
    </row>
    <row r="14963" spans="1:1" x14ac:dyDescent="0.35">
      <c r="A14963" s="12"/>
    </row>
    <row r="14964" spans="1:1" x14ac:dyDescent="0.35">
      <c r="A14964" s="12"/>
    </row>
    <row r="14965" spans="1:1" x14ac:dyDescent="0.35">
      <c r="A14965" s="12"/>
    </row>
    <row r="14966" spans="1:1" x14ac:dyDescent="0.35">
      <c r="A14966" s="12"/>
    </row>
    <row r="14967" spans="1:1" x14ac:dyDescent="0.35">
      <c r="A14967" s="12"/>
    </row>
    <row r="14968" spans="1:1" x14ac:dyDescent="0.35">
      <c r="A14968" s="12"/>
    </row>
    <row r="14969" spans="1:1" x14ac:dyDescent="0.35">
      <c r="A14969" s="12"/>
    </row>
    <row r="14970" spans="1:1" x14ac:dyDescent="0.35">
      <c r="A14970" s="12"/>
    </row>
    <row r="14971" spans="1:1" x14ac:dyDescent="0.35">
      <c r="A14971" s="12"/>
    </row>
    <row r="14972" spans="1:1" x14ac:dyDescent="0.35">
      <c r="A14972" s="12"/>
    </row>
    <row r="14973" spans="1:1" x14ac:dyDescent="0.35">
      <c r="A14973" s="12"/>
    </row>
    <row r="14974" spans="1:1" x14ac:dyDescent="0.35">
      <c r="A14974" s="12"/>
    </row>
    <row r="14975" spans="1:1" x14ac:dyDescent="0.35">
      <c r="A14975" s="12"/>
    </row>
    <row r="14976" spans="1:1" x14ac:dyDescent="0.35">
      <c r="A14976" s="12"/>
    </row>
    <row r="14977" spans="1:1" x14ac:dyDescent="0.35">
      <c r="A14977" s="12"/>
    </row>
    <row r="14978" spans="1:1" x14ac:dyDescent="0.35">
      <c r="A14978" s="12"/>
    </row>
    <row r="14979" spans="1:1" x14ac:dyDescent="0.35">
      <c r="A14979" s="12"/>
    </row>
    <row r="14980" spans="1:1" x14ac:dyDescent="0.35">
      <c r="A14980" s="12"/>
    </row>
    <row r="14981" spans="1:1" x14ac:dyDescent="0.35">
      <c r="A14981" s="12"/>
    </row>
    <row r="14982" spans="1:1" x14ac:dyDescent="0.35">
      <c r="A14982" s="12"/>
    </row>
    <row r="14983" spans="1:1" x14ac:dyDescent="0.35">
      <c r="A14983" s="12"/>
    </row>
    <row r="14984" spans="1:1" x14ac:dyDescent="0.35">
      <c r="A14984" s="12"/>
    </row>
    <row r="14985" spans="1:1" x14ac:dyDescent="0.35">
      <c r="A14985" s="12"/>
    </row>
    <row r="14986" spans="1:1" x14ac:dyDescent="0.35">
      <c r="A14986" s="12"/>
    </row>
    <row r="14987" spans="1:1" x14ac:dyDescent="0.35">
      <c r="A14987" s="12"/>
    </row>
    <row r="14988" spans="1:1" x14ac:dyDescent="0.35">
      <c r="A14988" s="12"/>
    </row>
    <row r="14989" spans="1:1" x14ac:dyDescent="0.35">
      <c r="A14989" s="12"/>
    </row>
    <row r="14990" spans="1:1" x14ac:dyDescent="0.35">
      <c r="A14990" s="12"/>
    </row>
    <row r="14991" spans="1:1" x14ac:dyDescent="0.35">
      <c r="A14991" s="12"/>
    </row>
    <row r="14992" spans="1:1" x14ac:dyDescent="0.35">
      <c r="A14992" s="12"/>
    </row>
    <row r="14993" spans="1:1" x14ac:dyDescent="0.35">
      <c r="A14993" s="12"/>
    </row>
    <row r="14994" spans="1:1" x14ac:dyDescent="0.35">
      <c r="A14994" s="12"/>
    </row>
    <row r="14995" spans="1:1" x14ac:dyDescent="0.35">
      <c r="A14995" s="12"/>
    </row>
    <row r="14996" spans="1:1" x14ac:dyDescent="0.35">
      <c r="A14996" s="12"/>
    </row>
    <row r="14997" spans="1:1" x14ac:dyDescent="0.35">
      <c r="A14997" s="12"/>
    </row>
    <row r="14998" spans="1:1" x14ac:dyDescent="0.35">
      <c r="A14998" s="12"/>
    </row>
    <row r="14999" spans="1:1" x14ac:dyDescent="0.35">
      <c r="A14999" s="12"/>
    </row>
    <row r="15000" spans="1:1" x14ac:dyDescent="0.35">
      <c r="A15000" s="12"/>
    </row>
    <row r="15001" spans="1:1" x14ac:dyDescent="0.35">
      <c r="A15001" s="12"/>
    </row>
    <row r="15002" spans="1:1" x14ac:dyDescent="0.35">
      <c r="A15002" s="12"/>
    </row>
    <row r="15003" spans="1:1" x14ac:dyDescent="0.35">
      <c r="A15003" s="12"/>
    </row>
    <row r="15004" spans="1:1" x14ac:dyDescent="0.35">
      <c r="A15004" s="12"/>
    </row>
    <row r="15005" spans="1:1" x14ac:dyDescent="0.35">
      <c r="A15005" s="12"/>
    </row>
    <row r="15006" spans="1:1" x14ac:dyDescent="0.35">
      <c r="A15006" s="12"/>
    </row>
    <row r="15007" spans="1:1" x14ac:dyDescent="0.35">
      <c r="A15007" s="12"/>
    </row>
    <row r="15008" spans="1:1" x14ac:dyDescent="0.35">
      <c r="A15008" s="12"/>
    </row>
    <row r="15009" spans="1:1" x14ac:dyDescent="0.35">
      <c r="A15009" s="12"/>
    </row>
    <row r="15010" spans="1:1" x14ac:dyDescent="0.35">
      <c r="A15010" s="12"/>
    </row>
    <row r="15011" spans="1:1" x14ac:dyDescent="0.35">
      <c r="A15011" s="12"/>
    </row>
    <row r="15012" spans="1:1" x14ac:dyDescent="0.35">
      <c r="A15012" s="12"/>
    </row>
    <row r="15013" spans="1:1" x14ac:dyDescent="0.35">
      <c r="A15013" s="12"/>
    </row>
    <row r="15014" spans="1:1" x14ac:dyDescent="0.35">
      <c r="A15014" s="12"/>
    </row>
    <row r="15015" spans="1:1" x14ac:dyDescent="0.35">
      <c r="A15015" s="12"/>
    </row>
    <row r="15016" spans="1:1" x14ac:dyDescent="0.35">
      <c r="A15016" s="12"/>
    </row>
    <row r="15017" spans="1:1" x14ac:dyDescent="0.35">
      <c r="A15017" s="12"/>
    </row>
    <row r="15018" spans="1:1" x14ac:dyDescent="0.35">
      <c r="A15018" s="12"/>
    </row>
    <row r="15019" spans="1:1" x14ac:dyDescent="0.35">
      <c r="A15019" s="12"/>
    </row>
    <row r="15020" spans="1:1" x14ac:dyDescent="0.35">
      <c r="A15020" s="12"/>
    </row>
    <row r="15021" spans="1:1" x14ac:dyDescent="0.35">
      <c r="A15021" s="12"/>
    </row>
    <row r="15022" spans="1:1" x14ac:dyDescent="0.35">
      <c r="A15022" s="12"/>
    </row>
    <row r="15023" spans="1:1" x14ac:dyDescent="0.35">
      <c r="A15023" s="12"/>
    </row>
    <row r="15024" spans="1:1" x14ac:dyDescent="0.35">
      <c r="A15024" s="12"/>
    </row>
    <row r="15025" spans="1:1" x14ac:dyDescent="0.35">
      <c r="A15025" s="12"/>
    </row>
    <row r="15026" spans="1:1" x14ac:dyDescent="0.35">
      <c r="A15026" s="12"/>
    </row>
    <row r="15027" spans="1:1" x14ac:dyDescent="0.35">
      <c r="A15027" s="12"/>
    </row>
    <row r="15028" spans="1:1" x14ac:dyDescent="0.35">
      <c r="A15028" s="12"/>
    </row>
    <row r="15029" spans="1:1" x14ac:dyDescent="0.35">
      <c r="A15029" s="12"/>
    </row>
    <row r="15030" spans="1:1" x14ac:dyDescent="0.35">
      <c r="A15030" s="12"/>
    </row>
    <row r="15031" spans="1:1" x14ac:dyDescent="0.35">
      <c r="A15031" s="12"/>
    </row>
    <row r="15032" spans="1:1" x14ac:dyDescent="0.35">
      <c r="A15032" s="12"/>
    </row>
    <row r="15033" spans="1:1" x14ac:dyDescent="0.35">
      <c r="A15033" s="12"/>
    </row>
    <row r="15034" spans="1:1" x14ac:dyDescent="0.35">
      <c r="A15034" s="12"/>
    </row>
    <row r="15035" spans="1:1" x14ac:dyDescent="0.35">
      <c r="A15035" s="12"/>
    </row>
    <row r="15036" spans="1:1" x14ac:dyDescent="0.35">
      <c r="A15036" s="12"/>
    </row>
    <row r="15037" spans="1:1" x14ac:dyDescent="0.35">
      <c r="A15037" s="12"/>
    </row>
    <row r="15038" spans="1:1" x14ac:dyDescent="0.35">
      <c r="A15038" s="12"/>
    </row>
    <row r="15039" spans="1:1" x14ac:dyDescent="0.35">
      <c r="A15039" s="12"/>
    </row>
    <row r="15040" spans="1:1" x14ac:dyDescent="0.35">
      <c r="A15040" s="12"/>
    </row>
    <row r="15041" spans="1:1" x14ac:dyDescent="0.35">
      <c r="A15041" s="12"/>
    </row>
    <row r="15042" spans="1:1" x14ac:dyDescent="0.35">
      <c r="A15042" s="12"/>
    </row>
    <row r="15043" spans="1:1" x14ac:dyDescent="0.35">
      <c r="A15043" s="12"/>
    </row>
    <row r="15044" spans="1:1" x14ac:dyDescent="0.35">
      <c r="A15044" s="12"/>
    </row>
    <row r="15045" spans="1:1" x14ac:dyDescent="0.35">
      <c r="A15045" s="12"/>
    </row>
    <row r="15046" spans="1:1" x14ac:dyDescent="0.35">
      <c r="A15046" s="12"/>
    </row>
    <row r="15047" spans="1:1" x14ac:dyDescent="0.35">
      <c r="A15047" s="12"/>
    </row>
    <row r="15048" spans="1:1" x14ac:dyDescent="0.35">
      <c r="A15048" s="12"/>
    </row>
    <row r="15049" spans="1:1" x14ac:dyDescent="0.35">
      <c r="A15049" s="12"/>
    </row>
    <row r="15050" spans="1:1" x14ac:dyDescent="0.35">
      <c r="A15050" s="12"/>
    </row>
    <row r="15051" spans="1:1" x14ac:dyDescent="0.35">
      <c r="A15051" s="12"/>
    </row>
    <row r="15052" spans="1:1" x14ac:dyDescent="0.35">
      <c r="A15052" s="12"/>
    </row>
    <row r="15053" spans="1:1" x14ac:dyDescent="0.35">
      <c r="A15053" s="12"/>
    </row>
    <row r="15054" spans="1:1" x14ac:dyDescent="0.35">
      <c r="A15054" s="12"/>
    </row>
    <row r="15055" spans="1:1" x14ac:dyDescent="0.35">
      <c r="A15055" s="12"/>
    </row>
    <row r="15056" spans="1:1" x14ac:dyDescent="0.35">
      <c r="A15056" s="12"/>
    </row>
    <row r="15057" spans="1:1" x14ac:dyDescent="0.35">
      <c r="A15057" s="12"/>
    </row>
    <row r="15058" spans="1:1" x14ac:dyDescent="0.35">
      <c r="A15058" s="12"/>
    </row>
    <row r="15059" spans="1:1" x14ac:dyDescent="0.35">
      <c r="A15059" s="12"/>
    </row>
    <row r="15060" spans="1:1" x14ac:dyDescent="0.35">
      <c r="A15060" s="12"/>
    </row>
    <row r="15061" spans="1:1" x14ac:dyDescent="0.35">
      <c r="A15061" s="12"/>
    </row>
    <row r="15062" spans="1:1" x14ac:dyDescent="0.35">
      <c r="A15062" s="12"/>
    </row>
    <row r="15063" spans="1:1" x14ac:dyDescent="0.35">
      <c r="A15063" s="12"/>
    </row>
    <row r="15064" spans="1:1" x14ac:dyDescent="0.35">
      <c r="A15064" s="12"/>
    </row>
    <row r="15065" spans="1:1" x14ac:dyDescent="0.35">
      <c r="A15065" s="12"/>
    </row>
    <row r="15066" spans="1:1" x14ac:dyDescent="0.35">
      <c r="A15066" s="12"/>
    </row>
    <row r="15067" spans="1:1" x14ac:dyDescent="0.35">
      <c r="A15067" s="12"/>
    </row>
    <row r="15068" spans="1:1" x14ac:dyDescent="0.35">
      <c r="A15068" s="12"/>
    </row>
    <row r="15069" spans="1:1" x14ac:dyDescent="0.35">
      <c r="A15069" s="12"/>
    </row>
    <row r="15070" spans="1:1" x14ac:dyDescent="0.35">
      <c r="A15070" s="12"/>
    </row>
    <row r="15071" spans="1:1" x14ac:dyDescent="0.35">
      <c r="A15071" s="12"/>
    </row>
    <row r="15072" spans="1:1" x14ac:dyDescent="0.35">
      <c r="A15072" s="12"/>
    </row>
    <row r="15073" spans="1:1" x14ac:dyDescent="0.35">
      <c r="A15073" s="12"/>
    </row>
    <row r="15074" spans="1:1" x14ac:dyDescent="0.35">
      <c r="A15074" s="12"/>
    </row>
    <row r="15075" spans="1:1" x14ac:dyDescent="0.35">
      <c r="A15075" s="12"/>
    </row>
    <row r="15076" spans="1:1" x14ac:dyDescent="0.35">
      <c r="A15076" s="12"/>
    </row>
    <row r="15077" spans="1:1" x14ac:dyDescent="0.35">
      <c r="A15077" s="12"/>
    </row>
    <row r="15078" spans="1:1" x14ac:dyDescent="0.35">
      <c r="A15078" s="12"/>
    </row>
    <row r="15079" spans="1:1" x14ac:dyDescent="0.35">
      <c r="A15079" s="12"/>
    </row>
    <row r="15080" spans="1:1" x14ac:dyDescent="0.35">
      <c r="A15080" s="12"/>
    </row>
    <row r="15081" spans="1:1" x14ac:dyDescent="0.35">
      <c r="A15081" s="12"/>
    </row>
    <row r="15082" spans="1:1" x14ac:dyDescent="0.35">
      <c r="A15082" s="12"/>
    </row>
    <row r="15083" spans="1:1" x14ac:dyDescent="0.35">
      <c r="A15083" s="12"/>
    </row>
    <row r="15084" spans="1:1" x14ac:dyDescent="0.35">
      <c r="A15084" s="12"/>
    </row>
    <row r="15085" spans="1:1" x14ac:dyDescent="0.35">
      <c r="A15085" s="12"/>
    </row>
    <row r="15086" spans="1:1" x14ac:dyDescent="0.35">
      <c r="A15086" s="12"/>
    </row>
    <row r="15087" spans="1:1" x14ac:dyDescent="0.35">
      <c r="A15087" s="12"/>
    </row>
    <row r="15088" spans="1:1" x14ac:dyDescent="0.35">
      <c r="A15088" s="12"/>
    </row>
    <row r="15089" spans="1:1" x14ac:dyDescent="0.35">
      <c r="A15089" s="12"/>
    </row>
    <row r="15090" spans="1:1" x14ac:dyDescent="0.35">
      <c r="A15090" s="12"/>
    </row>
    <row r="15091" spans="1:1" x14ac:dyDescent="0.35">
      <c r="A15091" s="12"/>
    </row>
    <row r="15092" spans="1:1" x14ac:dyDescent="0.35">
      <c r="A15092" s="12"/>
    </row>
    <row r="15093" spans="1:1" x14ac:dyDescent="0.35">
      <c r="A15093" s="12"/>
    </row>
    <row r="15094" spans="1:1" x14ac:dyDescent="0.35">
      <c r="A15094" s="12"/>
    </row>
    <row r="15095" spans="1:1" x14ac:dyDescent="0.35">
      <c r="A15095" s="12"/>
    </row>
    <row r="15096" spans="1:1" x14ac:dyDescent="0.35">
      <c r="A15096" s="12"/>
    </row>
    <row r="15097" spans="1:1" x14ac:dyDescent="0.35">
      <c r="A15097" s="12"/>
    </row>
    <row r="15098" spans="1:1" x14ac:dyDescent="0.35">
      <c r="A15098" s="12"/>
    </row>
    <row r="15099" spans="1:1" x14ac:dyDescent="0.35">
      <c r="A15099" s="12"/>
    </row>
    <row r="15100" spans="1:1" x14ac:dyDescent="0.35">
      <c r="A15100" s="12"/>
    </row>
    <row r="15101" spans="1:1" x14ac:dyDescent="0.35">
      <c r="A15101" s="12"/>
    </row>
    <row r="15102" spans="1:1" x14ac:dyDescent="0.35">
      <c r="A15102" s="12"/>
    </row>
    <row r="15103" spans="1:1" x14ac:dyDescent="0.35">
      <c r="A15103" s="12"/>
    </row>
    <row r="15104" spans="1:1" x14ac:dyDescent="0.35">
      <c r="A15104" s="12"/>
    </row>
    <row r="15105" spans="1:1" x14ac:dyDescent="0.35">
      <c r="A15105" s="12"/>
    </row>
    <row r="15106" spans="1:1" x14ac:dyDescent="0.35">
      <c r="A15106" s="12"/>
    </row>
    <row r="15107" spans="1:1" x14ac:dyDescent="0.35">
      <c r="A15107" s="12"/>
    </row>
    <row r="15108" spans="1:1" x14ac:dyDescent="0.35">
      <c r="A15108" s="12"/>
    </row>
    <row r="15109" spans="1:1" x14ac:dyDescent="0.35">
      <c r="A15109" s="12"/>
    </row>
    <row r="15110" spans="1:1" x14ac:dyDescent="0.35">
      <c r="A15110" s="12"/>
    </row>
    <row r="15111" spans="1:1" x14ac:dyDescent="0.35">
      <c r="A15111" s="12"/>
    </row>
    <row r="15112" spans="1:1" x14ac:dyDescent="0.35">
      <c r="A15112" s="12"/>
    </row>
    <row r="15113" spans="1:1" x14ac:dyDescent="0.35">
      <c r="A15113" s="12"/>
    </row>
    <row r="15114" spans="1:1" x14ac:dyDescent="0.35">
      <c r="A15114" s="12"/>
    </row>
    <row r="15115" spans="1:1" x14ac:dyDescent="0.35">
      <c r="A15115" s="12"/>
    </row>
    <row r="15116" spans="1:1" x14ac:dyDescent="0.35">
      <c r="A15116" s="12"/>
    </row>
    <row r="15117" spans="1:1" x14ac:dyDescent="0.35">
      <c r="A15117" s="12"/>
    </row>
    <row r="15118" spans="1:1" x14ac:dyDescent="0.35">
      <c r="A15118" s="12"/>
    </row>
    <row r="15119" spans="1:1" x14ac:dyDescent="0.35">
      <c r="A15119" s="12"/>
    </row>
    <row r="15120" spans="1:1" x14ac:dyDescent="0.35">
      <c r="A15120" s="12"/>
    </row>
    <row r="15121" spans="1:1" x14ac:dyDescent="0.35">
      <c r="A15121" s="12"/>
    </row>
    <row r="15122" spans="1:1" x14ac:dyDescent="0.35">
      <c r="A15122" s="12"/>
    </row>
    <row r="15123" spans="1:1" x14ac:dyDescent="0.35">
      <c r="A15123" s="12"/>
    </row>
    <row r="15124" spans="1:1" x14ac:dyDescent="0.35">
      <c r="A15124" s="12"/>
    </row>
    <row r="15125" spans="1:1" x14ac:dyDescent="0.35">
      <c r="A15125" s="12"/>
    </row>
    <row r="15126" spans="1:1" x14ac:dyDescent="0.35">
      <c r="A15126" s="12"/>
    </row>
    <row r="15127" spans="1:1" x14ac:dyDescent="0.35">
      <c r="A15127" s="12"/>
    </row>
    <row r="15128" spans="1:1" x14ac:dyDescent="0.35">
      <c r="A15128" s="12"/>
    </row>
    <row r="15129" spans="1:1" x14ac:dyDescent="0.35">
      <c r="A15129" s="12"/>
    </row>
    <row r="15130" spans="1:1" x14ac:dyDescent="0.35">
      <c r="A15130" s="12"/>
    </row>
    <row r="15131" spans="1:1" x14ac:dyDescent="0.35">
      <c r="A15131" s="12"/>
    </row>
    <row r="15132" spans="1:1" x14ac:dyDescent="0.35">
      <c r="A15132" s="12"/>
    </row>
    <row r="15133" spans="1:1" x14ac:dyDescent="0.35">
      <c r="A15133" s="12"/>
    </row>
    <row r="15134" spans="1:1" x14ac:dyDescent="0.35">
      <c r="A15134" s="12"/>
    </row>
    <row r="15135" spans="1:1" x14ac:dyDescent="0.35">
      <c r="A15135" s="12"/>
    </row>
    <row r="15136" spans="1:1" x14ac:dyDescent="0.35">
      <c r="A15136" s="12"/>
    </row>
    <row r="15137" spans="1:1" x14ac:dyDescent="0.35">
      <c r="A15137" s="12"/>
    </row>
    <row r="15138" spans="1:1" x14ac:dyDescent="0.35">
      <c r="A15138" s="12"/>
    </row>
    <row r="15139" spans="1:1" x14ac:dyDescent="0.35">
      <c r="A15139" s="12"/>
    </row>
    <row r="15140" spans="1:1" x14ac:dyDescent="0.35">
      <c r="A15140" s="12"/>
    </row>
    <row r="15141" spans="1:1" x14ac:dyDescent="0.35">
      <c r="A15141" s="12"/>
    </row>
    <row r="15142" spans="1:1" x14ac:dyDescent="0.35">
      <c r="A15142" s="12"/>
    </row>
    <row r="15143" spans="1:1" x14ac:dyDescent="0.35">
      <c r="A15143" s="12"/>
    </row>
    <row r="15144" spans="1:1" x14ac:dyDescent="0.35">
      <c r="A15144" s="12"/>
    </row>
    <row r="15145" spans="1:1" x14ac:dyDescent="0.35">
      <c r="A15145" s="12"/>
    </row>
    <row r="15146" spans="1:1" x14ac:dyDescent="0.35">
      <c r="A15146" s="12"/>
    </row>
    <row r="15147" spans="1:1" x14ac:dyDescent="0.35">
      <c r="A15147" s="12"/>
    </row>
    <row r="15148" spans="1:1" x14ac:dyDescent="0.35">
      <c r="A15148" s="12"/>
    </row>
    <row r="15149" spans="1:1" x14ac:dyDescent="0.35">
      <c r="A15149" s="12"/>
    </row>
    <row r="15150" spans="1:1" x14ac:dyDescent="0.35">
      <c r="A15150" s="12"/>
    </row>
    <row r="15151" spans="1:1" x14ac:dyDescent="0.35">
      <c r="A15151" s="12"/>
    </row>
    <row r="15152" spans="1:1" x14ac:dyDescent="0.35">
      <c r="A15152" s="12"/>
    </row>
    <row r="15153" spans="1:1" x14ac:dyDescent="0.35">
      <c r="A15153" s="12"/>
    </row>
    <row r="15154" spans="1:1" x14ac:dyDescent="0.35">
      <c r="A15154" s="12"/>
    </row>
    <row r="15155" spans="1:1" x14ac:dyDescent="0.35">
      <c r="A15155" s="12"/>
    </row>
    <row r="15156" spans="1:1" x14ac:dyDescent="0.35">
      <c r="A15156" s="12"/>
    </row>
    <row r="15157" spans="1:1" x14ac:dyDescent="0.35">
      <c r="A15157" s="12"/>
    </row>
    <row r="15158" spans="1:1" x14ac:dyDescent="0.35">
      <c r="A15158" s="12"/>
    </row>
    <row r="15159" spans="1:1" x14ac:dyDescent="0.35">
      <c r="A15159" s="12"/>
    </row>
    <row r="15160" spans="1:1" x14ac:dyDescent="0.35">
      <c r="A15160" s="12"/>
    </row>
    <row r="15161" spans="1:1" x14ac:dyDescent="0.35">
      <c r="A15161" s="12"/>
    </row>
    <row r="15162" spans="1:1" x14ac:dyDescent="0.35">
      <c r="A15162" s="12"/>
    </row>
    <row r="15163" spans="1:1" x14ac:dyDescent="0.35">
      <c r="A15163" s="12"/>
    </row>
    <row r="15164" spans="1:1" x14ac:dyDescent="0.35">
      <c r="A15164" s="12"/>
    </row>
    <row r="15165" spans="1:1" x14ac:dyDescent="0.35">
      <c r="A15165" s="12"/>
    </row>
    <row r="15166" spans="1:1" x14ac:dyDescent="0.35">
      <c r="A15166" s="12"/>
    </row>
    <row r="15167" spans="1:1" x14ac:dyDescent="0.35">
      <c r="A15167" s="12"/>
    </row>
    <row r="15168" spans="1:1" x14ac:dyDescent="0.35">
      <c r="A15168" s="12"/>
    </row>
    <row r="15169" spans="1:1" x14ac:dyDescent="0.35">
      <c r="A15169" s="12"/>
    </row>
    <row r="15170" spans="1:1" x14ac:dyDescent="0.35">
      <c r="A15170" s="12"/>
    </row>
    <row r="15171" spans="1:1" x14ac:dyDescent="0.35">
      <c r="A15171" s="12"/>
    </row>
    <row r="15172" spans="1:1" x14ac:dyDescent="0.35">
      <c r="A15172" s="12"/>
    </row>
    <row r="15173" spans="1:1" x14ac:dyDescent="0.35">
      <c r="A15173" s="12"/>
    </row>
    <row r="15174" spans="1:1" x14ac:dyDescent="0.35">
      <c r="A15174" s="12"/>
    </row>
    <row r="15175" spans="1:1" x14ac:dyDescent="0.35">
      <c r="A15175" s="12"/>
    </row>
    <row r="15176" spans="1:1" x14ac:dyDescent="0.35">
      <c r="A15176" s="12"/>
    </row>
    <row r="15177" spans="1:1" x14ac:dyDescent="0.35">
      <c r="A15177" s="12"/>
    </row>
    <row r="15178" spans="1:1" x14ac:dyDescent="0.35">
      <c r="A15178" s="12"/>
    </row>
    <row r="15179" spans="1:1" x14ac:dyDescent="0.35">
      <c r="A15179" s="12"/>
    </row>
    <row r="15180" spans="1:1" x14ac:dyDescent="0.35">
      <c r="A15180" s="12"/>
    </row>
    <row r="15181" spans="1:1" x14ac:dyDescent="0.35">
      <c r="A15181" s="12"/>
    </row>
    <row r="15182" spans="1:1" x14ac:dyDescent="0.35">
      <c r="A15182" s="12"/>
    </row>
    <row r="15183" spans="1:1" x14ac:dyDescent="0.35">
      <c r="A15183" s="12"/>
    </row>
    <row r="15184" spans="1:1" x14ac:dyDescent="0.35">
      <c r="A15184" s="12"/>
    </row>
    <row r="15185" spans="1:1" x14ac:dyDescent="0.35">
      <c r="A15185" s="12"/>
    </row>
    <row r="15186" spans="1:1" x14ac:dyDescent="0.35">
      <c r="A15186" s="12"/>
    </row>
    <row r="15187" spans="1:1" x14ac:dyDescent="0.35">
      <c r="A15187" s="12"/>
    </row>
    <row r="15188" spans="1:1" x14ac:dyDescent="0.35">
      <c r="A15188" s="12"/>
    </row>
    <row r="15189" spans="1:1" x14ac:dyDescent="0.35">
      <c r="A15189" s="12"/>
    </row>
    <row r="15190" spans="1:1" x14ac:dyDescent="0.35">
      <c r="A15190" s="12"/>
    </row>
    <row r="15191" spans="1:1" x14ac:dyDescent="0.35">
      <c r="A15191" s="12"/>
    </row>
    <row r="15192" spans="1:1" x14ac:dyDescent="0.35">
      <c r="A15192" s="12"/>
    </row>
    <row r="15193" spans="1:1" x14ac:dyDescent="0.35">
      <c r="A15193" s="12"/>
    </row>
    <row r="15194" spans="1:1" x14ac:dyDescent="0.35">
      <c r="A15194" s="12"/>
    </row>
    <row r="15195" spans="1:1" x14ac:dyDescent="0.35">
      <c r="A15195" s="12"/>
    </row>
    <row r="15196" spans="1:1" x14ac:dyDescent="0.35">
      <c r="A15196" s="12"/>
    </row>
    <row r="15197" spans="1:1" x14ac:dyDescent="0.35">
      <c r="A15197" s="12"/>
    </row>
    <row r="15198" spans="1:1" x14ac:dyDescent="0.35">
      <c r="A15198" s="12"/>
    </row>
    <row r="15199" spans="1:1" x14ac:dyDescent="0.35">
      <c r="A15199" s="12"/>
    </row>
    <row r="15200" spans="1:1" x14ac:dyDescent="0.35">
      <c r="A15200" s="12"/>
    </row>
    <row r="15201" spans="1:1" x14ac:dyDescent="0.35">
      <c r="A15201" s="12"/>
    </row>
    <row r="15202" spans="1:1" x14ac:dyDescent="0.35">
      <c r="A15202" s="12"/>
    </row>
    <row r="15203" spans="1:1" x14ac:dyDescent="0.35">
      <c r="A15203" s="12"/>
    </row>
    <row r="15204" spans="1:1" x14ac:dyDescent="0.35">
      <c r="A15204" s="12"/>
    </row>
    <row r="15205" spans="1:1" x14ac:dyDescent="0.35">
      <c r="A15205" s="12"/>
    </row>
    <row r="15206" spans="1:1" x14ac:dyDescent="0.35">
      <c r="A15206" s="12"/>
    </row>
    <row r="15207" spans="1:1" x14ac:dyDescent="0.35">
      <c r="A15207" s="12"/>
    </row>
    <row r="15208" spans="1:1" x14ac:dyDescent="0.35">
      <c r="A15208" s="12"/>
    </row>
    <row r="15209" spans="1:1" x14ac:dyDescent="0.35">
      <c r="A15209" s="12"/>
    </row>
    <row r="15210" spans="1:1" x14ac:dyDescent="0.35">
      <c r="A15210" s="12"/>
    </row>
    <row r="15211" spans="1:1" x14ac:dyDescent="0.35">
      <c r="A15211" s="12"/>
    </row>
    <row r="15212" spans="1:1" x14ac:dyDescent="0.35">
      <c r="A15212" s="12"/>
    </row>
    <row r="15213" spans="1:1" x14ac:dyDescent="0.35">
      <c r="A15213" s="12"/>
    </row>
    <row r="15214" spans="1:1" x14ac:dyDescent="0.35">
      <c r="A15214" s="12"/>
    </row>
    <row r="15215" spans="1:1" x14ac:dyDescent="0.35">
      <c r="A15215" s="12"/>
    </row>
    <row r="15216" spans="1:1" x14ac:dyDescent="0.35">
      <c r="A15216" s="12"/>
    </row>
    <row r="15217" spans="1:1" x14ac:dyDescent="0.35">
      <c r="A15217" s="12"/>
    </row>
    <row r="15218" spans="1:1" x14ac:dyDescent="0.35">
      <c r="A15218" s="12"/>
    </row>
    <row r="15219" spans="1:1" x14ac:dyDescent="0.35">
      <c r="A15219" s="12"/>
    </row>
    <row r="15220" spans="1:1" x14ac:dyDescent="0.35">
      <c r="A15220" s="12"/>
    </row>
    <row r="15221" spans="1:1" x14ac:dyDescent="0.35">
      <c r="A15221" s="12"/>
    </row>
    <row r="15222" spans="1:1" x14ac:dyDescent="0.35">
      <c r="A15222" s="12"/>
    </row>
    <row r="15223" spans="1:1" x14ac:dyDescent="0.35">
      <c r="A15223" s="12"/>
    </row>
    <row r="15224" spans="1:1" x14ac:dyDescent="0.35">
      <c r="A15224" s="12"/>
    </row>
    <row r="15225" spans="1:1" x14ac:dyDescent="0.35">
      <c r="A15225" s="12"/>
    </row>
    <row r="15226" spans="1:1" x14ac:dyDescent="0.35">
      <c r="A15226" s="12"/>
    </row>
    <row r="15227" spans="1:1" x14ac:dyDescent="0.35">
      <c r="A15227" s="12"/>
    </row>
    <row r="15228" spans="1:1" x14ac:dyDescent="0.35">
      <c r="A15228" s="12"/>
    </row>
    <row r="15229" spans="1:1" x14ac:dyDescent="0.35">
      <c r="A15229" s="12"/>
    </row>
    <row r="15230" spans="1:1" x14ac:dyDescent="0.35">
      <c r="A15230" s="12"/>
    </row>
    <row r="15231" spans="1:1" x14ac:dyDescent="0.35">
      <c r="A15231" s="12"/>
    </row>
    <row r="15232" spans="1:1" x14ac:dyDescent="0.35">
      <c r="A15232" s="12"/>
    </row>
    <row r="15233" spans="1:1" x14ac:dyDescent="0.35">
      <c r="A15233" s="12"/>
    </row>
    <row r="15234" spans="1:1" x14ac:dyDescent="0.35">
      <c r="A15234" s="12"/>
    </row>
    <row r="15235" spans="1:1" x14ac:dyDescent="0.35">
      <c r="A15235" s="12"/>
    </row>
    <row r="15236" spans="1:1" x14ac:dyDescent="0.35">
      <c r="A15236" s="12"/>
    </row>
    <row r="15237" spans="1:1" x14ac:dyDescent="0.35">
      <c r="A15237" s="12"/>
    </row>
    <row r="15238" spans="1:1" x14ac:dyDescent="0.35">
      <c r="A15238" s="12"/>
    </row>
    <row r="15239" spans="1:1" x14ac:dyDescent="0.35">
      <c r="A15239" s="12"/>
    </row>
    <row r="15240" spans="1:1" x14ac:dyDescent="0.35">
      <c r="A15240" s="12"/>
    </row>
    <row r="15241" spans="1:1" x14ac:dyDescent="0.35">
      <c r="A15241" s="12"/>
    </row>
    <row r="15242" spans="1:1" x14ac:dyDescent="0.35">
      <c r="A15242" s="12"/>
    </row>
    <row r="15243" spans="1:1" x14ac:dyDescent="0.35">
      <c r="A15243" s="12"/>
    </row>
    <row r="15244" spans="1:1" x14ac:dyDescent="0.35">
      <c r="A15244" s="12"/>
    </row>
    <row r="15245" spans="1:1" x14ac:dyDescent="0.35">
      <c r="A15245" s="12"/>
    </row>
    <row r="15246" spans="1:1" x14ac:dyDescent="0.35">
      <c r="A15246" s="12"/>
    </row>
    <row r="15247" spans="1:1" x14ac:dyDescent="0.35">
      <c r="A15247" s="12"/>
    </row>
    <row r="15248" spans="1:1" x14ac:dyDescent="0.35">
      <c r="A15248" s="12"/>
    </row>
    <row r="15249" spans="1:1" x14ac:dyDescent="0.35">
      <c r="A15249" s="12"/>
    </row>
    <row r="15250" spans="1:1" x14ac:dyDescent="0.35">
      <c r="A15250" s="12"/>
    </row>
    <row r="15251" spans="1:1" x14ac:dyDescent="0.35">
      <c r="A15251" s="12"/>
    </row>
    <row r="15252" spans="1:1" x14ac:dyDescent="0.35">
      <c r="A15252" s="12"/>
    </row>
    <row r="15253" spans="1:1" x14ac:dyDescent="0.35">
      <c r="A15253" s="12"/>
    </row>
    <row r="15254" spans="1:1" x14ac:dyDescent="0.35">
      <c r="A15254" s="12"/>
    </row>
    <row r="15255" spans="1:1" x14ac:dyDescent="0.35">
      <c r="A15255" s="12"/>
    </row>
    <row r="15256" spans="1:1" x14ac:dyDescent="0.35">
      <c r="A15256" s="12"/>
    </row>
    <row r="15257" spans="1:1" x14ac:dyDescent="0.35">
      <c r="A15257" s="12"/>
    </row>
    <row r="15258" spans="1:1" x14ac:dyDescent="0.35">
      <c r="A15258" s="12"/>
    </row>
    <row r="15259" spans="1:1" x14ac:dyDescent="0.35">
      <c r="A15259" s="12"/>
    </row>
    <row r="15260" spans="1:1" x14ac:dyDescent="0.35">
      <c r="A15260" s="12"/>
    </row>
    <row r="15261" spans="1:1" x14ac:dyDescent="0.35">
      <c r="A15261" s="12"/>
    </row>
    <row r="15262" spans="1:1" x14ac:dyDescent="0.35">
      <c r="A15262" s="12"/>
    </row>
    <row r="15263" spans="1:1" x14ac:dyDescent="0.35">
      <c r="A15263" s="12"/>
    </row>
    <row r="15264" spans="1:1" x14ac:dyDescent="0.35">
      <c r="A15264" s="12"/>
    </row>
    <row r="15265" spans="1:1" x14ac:dyDescent="0.35">
      <c r="A15265" s="12"/>
    </row>
    <row r="15266" spans="1:1" x14ac:dyDescent="0.35">
      <c r="A15266" s="12"/>
    </row>
    <row r="15267" spans="1:1" x14ac:dyDescent="0.35">
      <c r="A15267" s="12"/>
    </row>
    <row r="15268" spans="1:1" x14ac:dyDescent="0.35">
      <c r="A15268" s="12"/>
    </row>
    <row r="15269" spans="1:1" x14ac:dyDescent="0.35">
      <c r="A15269" s="12"/>
    </row>
    <row r="15270" spans="1:1" x14ac:dyDescent="0.35">
      <c r="A15270" s="12"/>
    </row>
    <row r="15271" spans="1:1" x14ac:dyDescent="0.35">
      <c r="A15271" s="12"/>
    </row>
    <row r="15272" spans="1:1" x14ac:dyDescent="0.35">
      <c r="A15272" s="12"/>
    </row>
    <row r="15273" spans="1:1" x14ac:dyDescent="0.35">
      <c r="A15273" s="12"/>
    </row>
    <row r="15274" spans="1:1" x14ac:dyDescent="0.35">
      <c r="A15274" s="12"/>
    </row>
    <row r="15275" spans="1:1" x14ac:dyDescent="0.35">
      <c r="A15275" s="12"/>
    </row>
    <row r="15276" spans="1:1" x14ac:dyDescent="0.35">
      <c r="A15276" s="12"/>
    </row>
    <row r="15277" spans="1:1" x14ac:dyDescent="0.35">
      <c r="A15277" s="12"/>
    </row>
    <row r="15278" spans="1:1" x14ac:dyDescent="0.35">
      <c r="A15278" s="12"/>
    </row>
    <row r="15279" spans="1:1" x14ac:dyDescent="0.35">
      <c r="A15279" s="12"/>
    </row>
    <row r="15280" spans="1:1" x14ac:dyDescent="0.35">
      <c r="A15280" s="12"/>
    </row>
    <row r="15281" spans="1:1" x14ac:dyDescent="0.35">
      <c r="A15281" s="12"/>
    </row>
    <row r="15282" spans="1:1" x14ac:dyDescent="0.35">
      <c r="A15282" s="12"/>
    </row>
    <row r="15283" spans="1:1" x14ac:dyDescent="0.35">
      <c r="A15283" s="12"/>
    </row>
    <row r="15284" spans="1:1" x14ac:dyDescent="0.35">
      <c r="A15284" s="12"/>
    </row>
    <row r="15285" spans="1:1" x14ac:dyDescent="0.35">
      <c r="A15285" s="12"/>
    </row>
    <row r="15286" spans="1:1" x14ac:dyDescent="0.35">
      <c r="A15286" s="12"/>
    </row>
    <row r="15287" spans="1:1" x14ac:dyDescent="0.35">
      <c r="A15287" s="12"/>
    </row>
    <row r="15288" spans="1:1" x14ac:dyDescent="0.35">
      <c r="A15288" s="12"/>
    </row>
    <row r="15289" spans="1:1" x14ac:dyDescent="0.35">
      <c r="A15289" s="12"/>
    </row>
    <row r="15290" spans="1:1" x14ac:dyDescent="0.35">
      <c r="A15290" s="12"/>
    </row>
    <row r="15291" spans="1:1" x14ac:dyDescent="0.35">
      <c r="A15291" s="12"/>
    </row>
    <row r="15292" spans="1:1" x14ac:dyDescent="0.35">
      <c r="A15292" s="12"/>
    </row>
    <row r="15293" spans="1:1" x14ac:dyDescent="0.35">
      <c r="A15293" s="12"/>
    </row>
    <row r="15294" spans="1:1" x14ac:dyDescent="0.35">
      <c r="A15294" s="12"/>
    </row>
    <row r="15295" spans="1:1" x14ac:dyDescent="0.35">
      <c r="A15295" s="12"/>
    </row>
    <row r="15296" spans="1:1" x14ac:dyDescent="0.35">
      <c r="A15296" s="12"/>
    </row>
    <row r="15297" spans="1:1" x14ac:dyDescent="0.35">
      <c r="A15297" s="12"/>
    </row>
    <row r="15298" spans="1:1" x14ac:dyDescent="0.35">
      <c r="A15298" s="12"/>
    </row>
    <row r="15299" spans="1:1" x14ac:dyDescent="0.35">
      <c r="A15299" s="12"/>
    </row>
    <row r="15300" spans="1:1" x14ac:dyDescent="0.35">
      <c r="A15300" s="12"/>
    </row>
    <row r="15301" spans="1:1" x14ac:dyDescent="0.35">
      <c r="A15301" s="12"/>
    </row>
    <row r="15302" spans="1:1" x14ac:dyDescent="0.35">
      <c r="A15302" s="12"/>
    </row>
    <row r="15303" spans="1:1" x14ac:dyDescent="0.35">
      <c r="A15303" s="12"/>
    </row>
    <row r="15304" spans="1:1" x14ac:dyDescent="0.35">
      <c r="A15304" s="12"/>
    </row>
    <row r="15305" spans="1:1" x14ac:dyDescent="0.35">
      <c r="A15305" s="12"/>
    </row>
    <row r="15306" spans="1:1" x14ac:dyDescent="0.35">
      <c r="A15306" s="12"/>
    </row>
    <row r="15307" spans="1:1" x14ac:dyDescent="0.35">
      <c r="A15307" s="12"/>
    </row>
    <row r="15308" spans="1:1" x14ac:dyDescent="0.35">
      <c r="A15308" s="12"/>
    </row>
    <row r="15309" spans="1:1" x14ac:dyDescent="0.35">
      <c r="A15309" s="12"/>
    </row>
    <row r="15310" spans="1:1" x14ac:dyDescent="0.35">
      <c r="A15310" s="12"/>
    </row>
    <row r="15311" spans="1:1" x14ac:dyDescent="0.35">
      <c r="A15311" s="12"/>
    </row>
    <row r="15312" spans="1:1" x14ac:dyDescent="0.35">
      <c r="A15312" s="12"/>
    </row>
    <row r="15313" spans="1:1" x14ac:dyDescent="0.35">
      <c r="A15313" s="12"/>
    </row>
    <row r="15314" spans="1:1" x14ac:dyDescent="0.35">
      <c r="A15314" s="12"/>
    </row>
    <row r="15315" spans="1:1" x14ac:dyDescent="0.35">
      <c r="A15315" s="12"/>
    </row>
    <row r="15316" spans="1:1" x14ac:dyDescent="0.35">
      <c r="A15316" s="12"/>
    </row>
    <row r="15317" spans="1:1" x14ac:dyDescent="0.35">
      <c r="A15317" s="12"/>
    </row>
    <row r="15318" spans="1:1" x14ac:dyDescent="0.35">
      <c r="A15318" s="12"/>
    </row>
    <row r="15319" spans="1:1" x14ac:dyDescent="0.35">
      <c r="A15319" s="12"/>
    </row>
    <row r="15320" spans="1:1" x14ac:dyDescent="0.35">
      <c r="A15320" s="12"/>
    </row>
    <row r="15321" spans="1:1" x14ac:dyDescent="0.35">
      <c r="A15321" s="12"/>
    </row>
    <row r="15322" spans="1:1" x14ac:dyDescent="0.35">
      <c r="A15322" s="12"/>
    </row>
    <row r="15323" spans="1:1" x14ac:dyDescent="0.35">
      <c r="A15323" s="12"/>
    </row>
    <row r="15324" spans="1:1" x14ac:dyDescent="0.35">
      <c r="A15324" s="12"/>
    </row>
    <row r="15325" spans="1:1" x14ac:dyDescent="0.35">
      <c r="A15325" s="12"/>
    </row>
    <row r="15326" spans="1:1" x14ac:dyDescent="0.35">
      <c r="A15326" s="12"/>
    </row>
    <row r="15327" spans="1:1" x14ac:dyDescent="0.35">
      <c r="A15327" s="12"/>
    </row>
    <row r="15328" spans="1:1" x14ac:dyDescent="0.35">
      <c r="A15328" s="12"/>
    </row>
    <row r="15329" spans="1:1" x14ac:dyDescent="0.35">
      <c r="A15329" s="12"/>
    </row>
    <row r="15330" spans="1:1" x14ac:dyDescent="0.35">
      <c r="A15330" s="12"/>
    </row>
    <row r="15331" spans="1:1" x14ac:dyDescent="0.35">
      <c r="A15331" s="12"/>
    </row>
    <row r="15332" spans="1:1" x14ac:dyDescent="0.35">
      <c r="A15332" s="12"/>
    </row>
    <row r="15333" spans="1:1" x14ac:dyDescent="0.35">
      <c r="A15333" s="12"/>
    </row>
    <row r="15334" spans="1:1" x14ac:dyDescent="0.35">
      <c r="A15334" s="12"/>
    </row>
    <row r="15335" spans="1:1" x14ac:dyDescent="0.35">
      <c r="A15335" s="12"/>
    </row>
    <row r="15336" spans="1:1" x14ac:dyDescent="0.35">
      <c r="A15336" s="12"/>
    </row>
    <row r="15337" spans="1:1" x14ac:dyDescent="0.35">
      <c r="A15337" s="12"/>
    </row>
    <row r="15338" spans="1:1" x14ac:dyDescent="0.35">
      <c r="A15338" s="12"/>
    </row>
    <row r="15339" spans="1:1" x14ac:dyDescent="0.35">
      <c r="A15339" s="12"/>
    </row>
    <row r="15340" spans="1:1" x14ac:dyDescent="0.35">
      <c r="A15340" s="12"/>
    </row>
    <row r="15341" spans="1:1" x14ac:dyDescent="0.35">
      <c r="A15341" s="12"/>
    </row>
    <row r="15342" spans="1:1" x14ac:dyDescent="0.35">
      <c r="A15342" s="12"/>
    </row>
    <row r="15343" spans="1:1" x14ac:dyDescent="0.35">
      <c r="A15343" s="12"/>
    </row>
    <row r="15344" spans="1:1" x14ac:dyDescent="0.35">
      <c r="A15344" s="12"/>
    </row>
    <row r="15345" spans="1:1" x14ac:dyDescent="0.35">
      <c r="A15345" s="12"/>
    </row>
    <row r="15346" spans="1:1" x14ac:dyDescent="0.35">
      <c r="A15346" s="12"/>
    </row>
    <row r="15347" spans="1:1" x14ac:dyDescent="0.35">
      <c r="A15347" s="12"/>
    </row>
    <row r="15348" spans="1:1" x14ac:dyDescent="0.35">
      <c r="A15348" s="12"/>
    </row>
    <row r="15349" spans="1:1" x14ac:dyDescent="0.35">
      <c r="A15349" s="12"/>
    </row>
    <row r="15350" spans="1:1" x14ac:dyDescent="0.35">
      <c r="A15350" s="12"/>
    </row>
    <row r="15351" spans="1:1" x14ac:dyDescent="0.35">
      <c r="A15351" s="12"/>
    </row>
    <row r="15352" spans="1:1" x14ac:dyDescent="0.35">
      <c r="A15352" s="12"/>
    </row>
    <row r="15353" spans="1:1" x14ac:dyDescent="0.35">
      <c r="A15353" s="12"/>
    </row>
    <row r="15354" spans="1:1" x14ac:dyDescent="0.35">
      <c r="A15354" s="12"/>
    </row>
    <row r="15355" spans="1:1" x14ac:dyDescent="0.35">
      <c r="A15355" s="12"/>
    </row>
    <row r="15356" spans="1:1" x14ac:dyDescent="0.35">
      <c r="A15356" s="12"/>
    </row>
    <row r="15357" spans="1:1" x14ac:dyDescent="0.35">
      <c r="A15357" s="12"/>
    </row>
    <row r="15358" spans="1:1" x14ac:dyDescent="0.35">
      <c r="A15358" s="12"/>
    </row>
    <row r="15359" spans="1:1" x14ac:dyDescent="0.35">
      <c r="A15359" s="12"/>
    </row>
    <row r="15360" spans="1:1" x14ac:dyDescent="0.35">
      <c r="A15360" s="12"/>
    </row>
    <row r="15361" spans="1:1" x14ac:dyDescent="0.35">
      <c r="A15361" s="12"/>
    </row>
    <row r="15362" spans="1:1" x14ac:dyDescent="0.35">
      <c r="A15362" s="12"/>
    </row>
    <row r="15363" spans="1:1" x14ac:dyDescent="0.35">
      <c r="A15363" s="12"/>
    </row>
    <row r="15364" spans="1:1" x14ac:dyDescent="0.35">
      <c r="A15364" s="12"/>
    </row>
    <row r="15365" spans="1:1" x14ac:dyDescent="0.35">
      <c r="A15365" s="12"/>
    </row>
    <row r="15366" spans="1:1" x14ac:dyDescent="0.35">
      <c r="A15366" s="12"/>
    </row>
    <row r="15367" spans="1:1" x14ac:dyDescent="0.35">
      <c r="A15367" s="12"/>
    </row>
    <row r="15368" spans="1:1" x14ac:dyDescent="0.35">
      <c r="A15368" s="12"/>
    </row>
    <row r="15369" spans="1:1" x14ac:dyDescent="0.35">
      <c r="A15369" s="12"/>
    </row>
    <row r="15370" spans="1:1" x14ac:dyDescent="0.35">
      <c r="A15370" s="12"/>
    </row>
    <row r="15371" spans="1:1" x14ac:dyDescent="0.35">
      <c r="A15371" s="12"/>
    </row>
    <row r="15372" spans="1:1" x14ac:dyDescent="0.35">
      <c r="A15372" s="12"/>
    </row>
    <row r="15373" spans="1:1" x14ac:dyDescent="0.35">
      <c r="A15373" s="12"/>
    </row>
    <row r="15374" spans="1:1" x14ac:dyDescent="0.35">
      <c r="A15374" s="12"/>
    </row>
    <row r="15375" spans="1:1" x14ac:dyDescent="0.35">
      <c r="A15375" s="12"/>
    </row>
    <row r="15376" spans="1:1" x14ac:dyDescent="0.35">
      <c r="A15376" s="12"/>
    </row>
    <row r="15377" spans="1:1" x14ac:dyDescent="0.35">
      <c r="A15377" s="12"/>
    </row>
    <row r="15378" spans="1:1" x14ac:dyDescent="0.35">
      <c r="A15378" s="12"/>
    </row>
    <row r="15379" spans="1:1" x14ac:dyDescent="0.35">
      <c r="A15379" s="12"/>
    </row>
    <row r="15380" spans="1:1" x14ac:dyDescent="0.35">
      <c r="A15380" s="12"/>
    </row>
    <row r="15381" spans="1:1" x14ac:dyDescent="0.35">
      <c r="A15381" s="12"/>
    </row>
    <row r="15382" spans="1:1" x14ac:dyDescent="0.35">
      <c r="A15382" s="12"/>
    </row>
    <row r="15383" spans="1:1" x14ac:dyDescent="0.35">
      <c r="A15383" s="12"/>
    </row>
    <row r="15384" spans="1:1" x14ac:dyDescent="0.35">
      <c r="A15384" s="12"/>
    </row>
    <row r="15385" spans="1:1" x14ac:dyDescent="0.35">
      <c r="A15385" s="12"/>
    </row>
    <row r="15386" spans="1:1" x14ac:dyDescent="0.35">
      <c r="A15386" s="12"/>
    </row>
    <row r="15387" spans="1:1" x14ac:dyDescent="0.35">
      <c r="A15387" s="12"/>
    </row>
    <row r="15388" spans="1:1" x14ac:dyDescent="0.35">
      <c r="A15388" s="12"/>
    </row>
    <row r="15389" spans="1:1" x14ac:dyDescent="0.35">
      <c r="A15389" s="12"/>
    </row>
    <row r="15390" spans="1:1" x14ac:dyDescent="0.35">
      <c r="A15390" s="12"/>
    </row>
    <row r="15391" spans="1:1" x14ac:dyDescent="0.35">
      <c r="A15391" s="12"/>
    </row>
    <row r="15392" spans="1:1" x14ac:dyDescent="0.35">
      <c r="A15392" s="12"/>
    </row>
    <row r="15393" spans="1:1" x14ac:dyDescent="0.35">
      <c r="A15393" s="12"/>
    </row>
    <row r="15394" spans="1:1" x14ac:dyDescent="0.35">
      <c r="A15394" s="12"/>
    </row>
    <row r="15395" spans="1:1" x14ac:dyDescent="0.35">
      <c r="A15395" s="12"/>
    </row>
    <row r="15396" spans="1:1" x14ac:dyDescent="0.35">
      <c r="A15396" s="12"/>
    </row>
    <row r="15397" spans="1:1" x14ac:dyDescent="0.35">
      <c r="A15397" s="12"/>
    </row>
    <row r="15398" spans="1:1" x14ac:dyDescent="0.35">
      <c r="A15398" s="12"/>
    </row>
    <row r="15399" spans="1:1" x14ac:dyDescent="0.35">
      <c r="A15399" s="12"/>
    </row>
    <row r="15400" spans="1:1" x14ac:dyDescent="0.35">
      <c r="A15400" s="12"/>
    </row>
    <row r="15401" spans="1:1" x14ac:dyDescent="0.35">
      <c r="A15401" s="12"/>
    </row>
    <row r="15402" spans="1:1" x14ac:dyDescent="0.35">
      <c r="A15402" s="12"/>
    </row>
    <row r="15403" spans="1:1" x14ac:dyDescent="0.35">
      <c r="A15403" s="12"/>
    </row>
    <row r="15404" spans="1:1" x14ac:dyDescent="0.35">
      <c r="A15404" s="12"/>
    </row>
    <row r="15405" spans="1:1" x14ac:dyDescent="0.35">
      <c r="A15405" s="12"/>
    </row>
    <row r="15406" spans="1:1" x14ac:dyDescent="0.35">
      <c r="A15406" s="12"/>
    </row>
    <row r="15407" spans="1:1" x14ac:dyDescent="0.35">
      <c r="A15407" s="12"/>
    </row>
    <row r="15408" spans="1:1" x14ac:dyDescent="0.35">
      <c r="A15408" s="12"/>
    </row>
    <row r="15409" spans="1:1" x14ac:dyDescent="0.35">
      <c r="A15409" s="12"/>
    </row>
    <row r="15410" spans="1:1" x14ac:dyDescent="0.35">
      <c r="A15410" s="12"/>
    </row>
    <row r="15411" spans="1:1" x14ac:dyDescent="0.35">
      <c r="A15411" s="12"/>
    </row>
    <row r="15412" spans="1:1" x14ac:dyDescent="0.35">
      <c r="A15412" s="12"/>
    </row>
    <row r="15413" spans="1:1" x14ac:dyDescent="0.35">
      <c r="A15413" s="12"/>
    </row>
    <row r="15414" spans="1:1" x14ac:dyDescent="0.35">
      <c r="A15414" s="12"/>
    </row>
    <row r="15415" spans="1:1" x14ac:dyDescent="0.35">
      <c r="A15415" s="12"/>
    </row>
    <row r="15416" spans="1:1" x14ac:dyDescent="0.35">
      <c r="A15416" s="12"/>
    </row>
    <row r="15417" spans="1:1" x14ac:dyDescent="0.35">
      <c r="A15417" s="12"/>
    </row>
    <row r="15418" spans="1:1" x14ac:dyDescent="0.35">
      <c r="A15418" s="12"/>
    </row>
    <row r="15419" spans="1:1" x14ac:dyDescent="0.35">
      <c r="A15419" s="12"/>
    </row>
    <row r="15420" spans="1:1" x14ac:dyDescent="0.35">
      <c r="A15420" s="12"/>
    </row>
    <row r="15421" spans="1:1" x14ac:dyDescent="0.35">
      <c r="A15421" s="12"/>
    </row>
    <row r="15422" spans="1:1" x14ac:dyDescent="0.35">
      <c r="A15422" s="12"/>
    </row>
    <row r="15423" spans="1:1" x14ac:dyDescent="0.35">
      <c r="A15423" s="12"/>
    </row>
    <row r="15424" spans="1:1" x14ac:dyDescent="0.35">
      <c r="A15424" s="12"/>
    </row>
    <row r="15425" spans="1:1" x14ac:dyDescent="0.35">
      <c r="A15425" s="12"/>
    </row>
    <row r="15426" spans="1:1" x14ac:dyDescent="0.35">
      <c r="A15426" s="12"/>
    </row>
    <row r="15427" spans="1:1" x14ac:dyDescent="0.35">
      <c r="A15427" s="12"/>
    </row>
    <row r="15428" spans="1:1" x14ac:dyDescent="0.35">
      <c r="A15428" s="12"/>
    </row>
    <row r="15429" spans="1:1" x14ac:dyDescent="0.35">
      <c r="A15429" s="12"/>
    </row>
    <row r="15430" spans="1:1" x14ac:dyDescent="0.35">
      <c r="A15430" s="12"/>
    </row>
    <row r="15431" spans="1:1" x14ac:dyDescent="0.35">
      <c r="A15431" s="12"/>
    </row>
    <row r="15432" spans="1:1" x14ac:dyDescent="0.35">
      <c r="A15432" s="12"/>
    </row>
    <row r="15433" spans="1:1" x14ac:dyDescent="0.35">
      <c r="A15433" s="12"/>
    </row>
    <row r="15434" spans="1:1" x14ac:dyDescent="0.35">
      <c r="A15434" s="12"/>
    </row>
    <row r="15435" spans="1:1" x14ac:dyDescent="0.35">
      <c r="A15435" s="12"/>
    </row>
    <row r="15436" spans="1:1" x14ac:dyDescent="0.35">
      <c r="A15436" s="12"/>
    </row>
    <row r="15437" spans="1:1" x14ac:dyDescent="0.35">
      <c r="A15437" s="12"/>
    </row>
    <row r="15438" spans="1:1" x14ac:dyDescent="0.35">
      <c r="A15438" s="12"/>
    </row>
    <row r="15439" spans="1:1" x14ac:dyDescent="0.35">
      <c r="A15439" s="12"/>
    </row>
    <row r="15440" spans="1:1" x14ac:dyDescent="0.35">
      <c r="A15440" s="12"/>
    </row>
    <row r="15441" spans="1:1" x14ac:dyDescent="0.35">
      <c r="A15441" s="12"/>
    </row>
    <row r="15442" spans="1:1" x14ac:dyDescent="0.35">
      <c r="A15442" s="12"/>
    </row>
    <row r="15443" spans="1:1" x14ac:dyDescent="0.35">
      <c r="A15443" s="12"/>
    </row>
    <row r="15444" spans="1:1" x14ac:dyDescent="0.35">
      <c r="A15444" s="12"/>
    </row>
    <row r="15445" spans="1:1" x14ac:dyDescent="0.35">
      <c r="A15445" s="12"/>
    </row>
    <row r="15446" spans="1:1" x14ac:dyDescent="0.35">
      <c r="A15446" s="12"/>
    </row>
    <row r="15447" spans="1:1" x14ac:dyDescent="0.35">
      <c r="A15447" s="12"/>
    </row>
    <row r="15448" spans="1:1" x14ac:dyDescent="0.35">
      <c r="A15448" s="12"/>
    </row>
    <row r="15449" spans="1:1" x14ac:dyDescent="0.35">
      <c r="A15449" s="12"/>
    </row>
    <row r="15450" spans="1:1" x14ac:dyDescent="0.35">
      <c r="A15450" s="12"/>
    </row>
    <row r="15451" spans="1:1" x14ac:dyDescent="0.35">
      <c r="A15451" s="12"/>
    </row>
    <row r="15452" spans="1:1" x14ac:dyDescent="0.35">
      <c r="A15452" s="12"/>
    </row>
    <row r="15453" spans="1:1" x14ac:dyDescent="0.35">
      <c r="A15453" s="12"/>
    </row>
    <row r="15454" spans="1:1" x14ac:dyDescent="0.35">
      <c r="A15454" s="12"/>
    </row>
    <row r="15455" spans="1:1" x14ac:dyDescent="0.35">
      <c r="A15455" s="12"/>
    </row>
    <row r="15456" spans="1:1" x14ac:dyDescent="0.35">
      <c r="A15456" s="12"/>
    </row>
    <row r="15457" spans="1:1" x14ac:dyDescent="0.35">
      <c r="A15457" s="12"/>
    </row>
    <row r="15458" spans="1:1" x14ac:dyDescent="0.35">
      <c r="A15458" s="12"/>
    </row>
    <row r="15459" spans="1:1" x14ac:dyDescent="0.35">
      <c r="A15459" s="12"/>
    </row>
    <row r="15460" spans="1:1" x14ac:dyDescent="0.35">
      <c r="A15460" s="12"/>
    </row>
    <row r="15461" spans="1:1" x14ac:dyDescent="0.35">
      <c r="A15461" s="12"/>
    </row>
    <row r="15462" spans="1:1" x14ac:dyDescent="0.35">
      <c r="A15462" s="12"/>
    </row>
    <row r="15463" spans="1:1" x14ac:dyDescent="0.35">
      <c r="A15463" s="12"/>
    </row>
    <row r="15464" spans="1:1" x14ac:dyDescent="0.35">
      <c r="A15464" s="12"/>
    </row>
    <row r="15465" spans="1:1" x14ac:dyDescent="0.35">
      <c r="A15465" s="12"/>
    </row>
    <row r="15466" spans="1:1" x14ac:dyDescent="0.35">
      <c r="A15466" s="12"/>
    </row>
    <row r="15467" spans="1:1" x14ac:dyDescent="0.35">
      <c r="A15467" s="12"/>
    </row>
    <row r="15468" spans="1:1" x14ac:dyDescent="0.35">
      <c r="A15468" s="12"/>
    </row>
    <row r="15469" spans="1:1" x14ac:dyDescent="0.35">
      <c r="A15469" s="12"/>
    </row>
    <row r="15470" spans="1:1" x14ac:dyDescent="0.35">
      <c r="A15470" s="12"/>
    </row>
    <row r="15471" spans="1:1" x14ac:dyDescent="0.35">
      <c r="A15471" s="12"/>
    </row>
    <row r="15472" spans="1:1" x14ac:dyDescent="0.35">
      <c r="A15472" s="12"/>
    </row>
    <row r="15473" spans="1:1" x14ac:dyDescent="0.35">
      <c r="A15473" s="12"/>
    </row>
    <row r="15474" spans="1:1" x14ac:dyDescent="0.35">
      <c r="A15474" s="12"/>
    </row>
    <row r="15475" spans="1:1" x14ac:dyDescent="0.35">
      <c r="A15475" s="12"/>
    </row>
    <row r="15476" spans="1:1" x14ac:dyDescent="0.35">
      <c r="A15476" s="12"/>
    </row>
    <row r="15477" spans="1:1" x14ac:dyDescent="0.35">
      <c r="A15477" s="12"/>
    </row>
    <row r="15478" spans="1:1" x14ac:dyDescent="0.35">
      <c r="A15478" s="12"/>
    </row>
    <row r="15479" spans="1:1" x14ac:dyDescent="0.35">
      <c r="A15479" s="12"/>
    </row>
    <row r="15480" spans="1:1" x14ac:dyDescent="0.35">
      <c r="A15480" s="12"/>
    </row>
    <row r="15481" spans="1:1" x14ac:dyDescent="0.35">
      <c r="A15481" s="12"/>
    </row>
    <row r="15482" spans="1:1" x14ac:dyDescent="0.35">
      <c r="A15482" s="12"/>
    </row>
    <row r="15483" spans="1:1" x14ac:dyDescent="0.35">
      <c r="A15483" s="12"/>
    </row>
    <row r="15484" spans="1:1" x14ac:dyDescent="0.35">
      <c r="A15484" s="12"/>
    </row>
    <row r="15485" spans="1:1" x14ac:dyDescent="0.35">
      <c r="A15485" s="12"/>
    </row>
    <row r="15486" spans="1:1" x14ac:dyDescent="0.35">
      <c r="A15486" s="12"/>
    </row>
    <row r="15487" spans="1:1" x14ac:dyDescent="0.35">
      <c r="A15487" s="12"/>
    </row>
    <row r="15488" spans="1:1" x14ac:dyDescent="0.35">
      <c r="A15488" s="12"/>
    </row>
    <row r="15489" spans="1:1" x14ac:dyDescent="0.35">
      <c r="A15489" s="12"/>
    </row>
    <row r="15490" spans="1:1" x14ac:dyDescent="0.35">
      <c r="A15490" s="12"/>
    </row>
    <row r="15491" spans="1:1" x14ac:dyDescent="0.35">
      <c r="A15491" s="12"/>
    </row>
    <row r="15492" spans="1:1" x14ac:dyDescent="0.35">
      <c r="A15492" s="12"/>
    </row>
    <row r="15493" spans="1:1" x14ac:dyDescent="0.35">
      <c r="A15493" s="12"/>
    </row>
    <row r="15494" spans="1:1" x14ac:dyDescent="0.35">
      <c r="A15494" s="12"/>
    </row>
    <row r="15495" spans="1:1" x14ac:dyDescent="0.35">
      <c r="A15495" s="12"/>
    </row>
    <row r="15496" spans="1:1" x14ac:dyDescent="0.35">
      <c r="A15496" s="12"/>
    </row>
    <row r="15497" spans="1:1" x14ac:dyDescent="0.35">
      <c r="A15497" s="12"/>
    </row>
    <row r="15498" spans="1:1" x14ac:dyDescent="0.35">
      <c r="A15498" s="12"/>
    </row>
    <row r="15499" spans="1:1" x14ac:dyDescent="0.35">
      <c r="A15499" s="12"/>
    </row>
    <row r="15500" spans="1:1" x14ac:dyDescent="0.35">
      <c r="A15500" s="12"/>
    </row>
    <row r="15501" spans="1:1" x14ac:dyDescent="0.35">
      <c r="A15501" s="12"/>
    </row>
    <row r="15502" spans="1:1" x14ac:dyDescent="0.35">
      <c r="A15502" s="12"/>
    </row>
    <row r="15503" spans="1:1" x14ac:dyDescent="0.35">
      <c r="A15503" s="12"/>
    </row>
    <row r="15504" spans="1:1" x14ac:dyDescent="0.35">
      <c r="A15504" s="12"/>
    </row>
    <row r="15505" spans="1:1" x14ac:dyDescent="0.35">
      <c r="A15505" s="12"/>
    </row>
    <row r="15506" spans="1:1" x14ac:dyDescent="0.35">
      <c r="A15506" s="12"/>
    </row>
    <row r="15507" spans="1:1" x14ac:dyDescent="0.35">
      <c r="A15507" s="12"/>
    </row>
    <row r="15508" spans="1:1" x14ac:dyDescent="0.35">
      <c r="A15508" s="12"/>
    </row>
    <row r="15509" spans="1:1" x14ac:dyDescent="0.35">
      <c r="A15509" s="12"/>
    </row>
    <row r="15510" spans="1:1" x14ac:dyDescent="0.35">
      <c r="A15510" s="12"/>
    </row>
    <row r="15511" spans="1:1" x14ac:dyDescent="0.35">
      <c r="A15511" s="12"/>
    </row>
    <row r="15512" spans="1:1" x14ac:dyDescent="0.35">
      <c r="A15512" s="12"/>
    </row>
    <row r="15513" spans="1:1" x14ac:dyDescent="0.35">
      <c r="A15513" s="12"/>
    </row>
    <row r="15514" spans="1:1" x14ac:dyDescent="0.35">
      <c r="A15514" s="12"/>
    </row>
    <row r="15515" spans="1:1" x14ac:dyDescent="0.35">
      <c r="A15515" s="12"/>
    </row>
    <row r="15516" spans="1:1" x14ac:dyDescent="0.35">
      <c r="A15516" s="12"/>
    </row>
    <row r="15517" spans="1:1" x14ac:dyDescent="0.35">
      <c r="A15517" s="12"/>
    </row>
    <row r="15518" spans="1:1" x14ac:dyDescent="0.35">
      <c r="A15518" s="12"/>
    </row>
    <row r="15519" spans="1:1" x14ac:dyDescent="0.35">
      <c r="A15519" s="12"/>
    </row>
    <row r="15520" spans="1:1" x14ac:dyDescent="0.35">
      <c r="A15520" s="12"/>
    </row>
    <row r="15521" spans="1:1" x14ac:dyDescent="0.35">
      <c r="A15521" s="12"/>
    </row>
    <row r="15522" spans="1:1" x14ac:dyDescent="0.35">
      <c r="A15522" s="12"/>
    </row>
    <row r="15523" spans="1:1" x14ac:dyDescent="0.35">
      <c r="A15523" s="12"/>
    </row>
    <row r="15524" spans="1:1" x14ac:dyDescent="0.35">
      <c r="A15524" s="12"/>
    </row>
    <row r="15525" spans="1:1" x14ac:dyDescent="0.35">
      <c r="A15525" s="12"/>
    </row>
    <row r="15526" spans="1:1" x14ac:dyDescent="0.35">
      <c r="A15526" s="12"/>
    </row>
    <row r="15527" spans="1:1" x14ac:dyDescent="0.35">
      <c r="A15527" s="12"/>
    </row>
    <row r="15528" spans="1:1" x14ac:dyDescent="0.35">
      <c r="A15528" s="12"/>
    </row>
    <row r="15529" spans="1:1" x14ac:dyDescent="0.35">
      <c r="A15529" s="12"/>
    </row>
    <row r="15530" spans="1:1" x14ac:dyDescent="0.35">
      <c r="A15530" s="12"/>
    </row>
    <row r="15531" spans="1:1" x14ac:dyDescent="0.35">
      <c r="A15531" s="12"/>
    </row>
    <row r="15532" spans="1:1" x14ac:dyDescent="0.35">
      <c r="A15532" s="12"/>
    </row>
    <row r="15533" spans="1:1" x14ac:dyDescent="0.35">
      <c r="A15533" s="12"/>
    </row>
    <row r="15534" spans="1:1" x14ac:dyDescent="0.35">
      <c r="A15534" s="12"/>
    </row>
    <row r="15535" spans="1:1" x14ac:dyDescent="0.35">
      <c r="A15535" s="12"/>
    </row>
    <row r="15536" spans="1:1" x14ac:dyDescent="0.35">
      <c r="A15536" s="12"/>
    </row>
    <row r="15537" spans="1:1" x14ac:dyDescent="0.35">
      <c r="A15537" s="12"/>
    </row>
    <row r="15538" spans="1:1" x14ac:dyDescent="0.35">
      <c r="A15538" s="12"/>
    </row>
    <row r="15539" spans="1:1" x14ac:dyDescent="0.35">
      <c r="A15539" s="12"/>
    </row>
    <row r="15540" spans="1:1" x14ac:dyDescent="0.35">
      <c r="A15540" s="12"/>
    </row>
    <row r="15541" spans="1:1" x14ac:dyDescent="0.35">
      <c r="A15541" s="12"/>
    </row>
    <row r="15542" spans="1:1" x14ac:dyDescent="0.35">
      <c r="A15542" s="12"/>
    </row>
    <row r="15543" spans="1:1" x14ac:dyDescent="0.35">
      <c r="A15543" s="12"/>
    </row>
    <row r="15544" spans="1:1" x14ac:dyDescent="0.35">
      <c r="A15544" s="12"/>
    </row>
    <row r="15545" spans="1:1" x14ac:dyDescent="0.35">
      <c r="A15545" s="12"/>
    </row>
    <row r="15546" spans="1:1" x14ac:dyDescent="0.35">
      <c r="A15546" s="12"/>
    </row>
    <row r="15547" spans="1:1" x14ac:dyDescent="0.35">
      <c r="A15547" s="12"/>
    </row>
    <row r="15548" spans="1:1" x14ac:dyDescent="0.35">
      <c r="A15548" s="12"/>
    </row>
    <row r="15549" spans="1:1" x14ac:dyDescent="0.35">
      <c r="A15549" s="12"/>
    </row>
    <row r="15550" spans="1:1" x14ac:dyDescent="0.35">
      <c r="A15550" s="12"/>
    </row>
    <row r="15551" spans="1:1" x14ac:dyDescent="0.35">
      <c r="A15551" s="12"/>
    </row>
    <row r="15552" spans="1:1" x14ac:dyDescent="0.35">
      <c r="A15552" s="12"/>
    </row>
    <row r="15553" spans="1:1" x14ac:dyDescent="0.35">
      <c r="A15553" s="12"/>
    </row>
    <row r="15554" spans="1:1" x14ac:dyDescent="0.35">
      <c r="A15554" s="12"/>
    </row>
    <row r="15555" spans="1:1" x14ac:dyDescent="0.35">
      <c r="A15555" s="12"/>
    </row>
    <row r="15556" spans="1:1" x14ac:dyDescent="0.35">
      <c r="A15556" s="12"/>
    </row>
    <row r="15557" spans="1:1" x14ac:dyDescent="0.35">
      <c r="A15557" s="12"/>
    </row>
    <row r="15558" spans="1:1" x14ac:dyDescent="0.35">
      <c r="A15558" s="12"/>
    </row>
    <row r="15559" spans="1:1" x14ac:dyDescent="0.35">
      <c r="A15559" s="12"/>
    </row>
    <row r="15560" spans="1:1" x14ac:dyDescent="0.35">
      <c r="A15560" s="12"/>
    </row>
    <row r="15561" spans="1:1" x14ac:dyDescent="0.35">
      <c r="A15561" s="12"/>
    </row>
    <row r="15562" spans="1:1" x14ac:dyDescent="0.35">
      <c r="A15562" s="12"/>
    </row>
    <row r="15563" spans="1:1" x14ac:dyDescent="0.35">
      <c r="A15563" s="12"/>
    </row>
    <row r="15564" spans="1:1" x14ac:dyDescent="0.35">
      <c r="A15564" s="12"/>
    </row>
    <row r="15565" spans="1:1" x14ac:dyDescent="0.35">
      <c r="A15565" s="12"/>
    </row>
    <row r="15566" spans="1:1" x14ac:dyDescent="0.35">
      <c r="A15566" s="12"/>
    </row>
    <row r="15567" spans="1:1" x14ac:dyDescent="0.35">
      <c r="A15567" s="12"/>
    </row>
    <row r="15568" spans="1:1" x14ac:dyDescent="0.35">
      <c r="A15568" s="12"/>
    </row>
    <row r="15569" spans="1:1" x14ac:dyDescent="0.35">
      <c r="A15569" s="12"/>
    </row>
    <row r="15570" spans="1:1" x14ac:dyDescent="0.35">
      <c r="A15570" s="12"/>
    </row>
    <row r="15571" spans="1:1" x14ac:dyDescent="0.35">
      <c r="A15571" s="12"/>
    </row>
    <row r="15572" spans="1:1" x14ac:dyDescent="0.35">
      <c r="A15572" s="12"/>
    </row>
    <row r="15573" spans="1:1" x14ac:dyDescent="0.35">
      <c r="A15573" s="12"/>
    </row>
    <row r="15574" spans="1:1" x14ac:dyDescent="0.35">
      <c r="A15574" s="12"/>
    </row>
    <row r="15575" spans="1:1" x14ac:dyDescent="0.35">
      <c r="A15575" s="12"/>
    </row>
    <row r="15576" spans="1:1" x14ac:dyDescent="0.35">
      <c r="A15576" s="12"/>
    </row>
    <row r="15577" spans="1:1" x14ac:dyDescent="0.35">
      <c r="A15577" s="12"/>
    </row>
    <row r="15578" spans="1:1" x14ac:dyDescent="0.35">
      <c r="A15578" s="12"/>
    </row>
    <row r="15579" spans="1:1" x14ac:dyDescent="0.35">
      <c r="A15579" s="12"/>
    </row>
    <row r="15580" spans="1:1" x14ac:dyDescent="0.35">
      <c r="A15580" s="12"/>
    </row>
    <row r="15581" spans="1:1" x14ac:dyDescent="0.35">
      <c r="A15581" s="12"/>
    </row>
    <row r="15582" spans="1:1" x14ac:dyDescent="0.35">
      <c r="A15582" s="12"/>
    </row>
    <row r="15583" spans="1:1" x14ac:dyDescent="0.35">
      <c r="A15583" s="12"/>
    </row>
    <row r="15584" spans="1:1" x14ac:dyDescent="0.35">
      <c r="A15584" s="12"/>
    </row>
    <row r="15585" spans="1:1" x14ac:dyDescent="0.35">
      <c r="A15585" s="12"/>
    </row>
    <row r="15586" spans="1:1" x14ac:dyDescent="0.35">
      <c r="A15586" s="12"/>
    </row>
    <row r="15587" spans="1:1" x14ac:dyDescent="0.35">
      <c r="A15587" s="12"/>
    </row>
    <row r="15588" spans="1:1" x14ac:dyDescent="0.35">
      <c r="A15588" s="12"/>
    </row>
    <row r="15589" spans="1:1" x14ac:dyDescent="0.35">
      <c r="A15589" s="12"/>
    </row>
    <row r="15590" spans="1:1" x14ac:dyDescent="0.35">
      <c r="A15590" s="12"/>
    </row>
    <row r="15591" spans="1:1" x14ac:dyDescent="0.35">
      <c r="A15591" s="12"/>
    </row>
    <row r="15592" spans="1:1" x14ac:dyDescent="0.35">
      <c r="A15592" s="12"/>
    </row>
    <row r="15593" spans="1:1" x14ac:dyDescent="0.35">
      <c r="A15593" s="12"/>
    </row>
    <row r="15594" spans="1:1" x14ac:dyDescent="0.35">
      <c r="A15594" s="12"/>
    </row>
    <row r="15595" spans="1:1" x14ac:dyDescent="0.35">
      <c r="A15595" s="12"/>
    </row>
    <row r="15596" spans="1:1" x14ac:dyDescent="0.35">
      <c r="A15596" s="12"/>
    </row>
    <row r="15597" spans="1:1" x14ac:dyDescent="0.35">
      <c r="A15597" s="12"/>
    </row>
    <row r="15598" spans="1:1" x14ac:dyDescent="0.35">
      <c r="A15598" s="12"/>
    </row>
    <row r="15599" spans="1:1" x14ac:dyDescent="0.35">
      <c r="A15599" s="12"/>
    </row>
    <row r="15600" spans="1:1" x14ac:dyDescent="0.35">
      <c r="A15600" s="12"/>
    </row>
    <row r="15601" spans="1:1" x14ac:dyDescent="0.35">
      <c r="A15601" s="12"/>
    </row>
    <row r="15602" spans="1:1" x14ac:dyDescent="0.35">
      <c r="A15602" s="12"/>
    </row>
    <row r="15603" spans="1:1" x14ac:dyDescent="0.35">
      <c r="A15603" s="12"/>
    </row>
    <row r="15604" spans="1:1" x14ac:dyDescent="0.35">
      <c r="A15604" s="12"/>
    </row>
    <row r="15605" spans="1:1" x14ac:dyDescent="0.35">
      <c r="A15605" s="12"/>
    </row>
    <row r="15606" spans="1:1" x14ac:dyDescent="0.35">
      <c r="A15606" s="12"/>
    </row>
    <row r="15607" spans="1:1" x14ac:dyDescent="0.35">
      <c r="A15607" s="12"/>
    </row>
    <row r="15608" spans="1:1" x14ac:dyDescent="0.35">
      <c r="A15608" s="12"/>
    </row>
    <row r="15609" spans="1:1" x14ac:dyDescent="0.35">
      <c r="A15609" s="12"/>
    </row>
    <row r="15610" spans="1:1" x14ac:dyDescent="0.35">
      <c r="A15610" s="12"/>
    </row>
    <row r="15611" spans="1:1" x14ac:dyDescent="0.35">
      <c r="A15611" s="12"/>
    </row>
    <row r="15612" spans="1:1" x14ac:dyDescent="0.35">
      <c r="A15612" s="12"/>
    </row>
    <row r="15613" spans="1:1" x14ac:dyDescent="0.35">
      <c r="A15613" s="12"/>
    </row>
    <row r="15614" spans="1:1" x14ac:dyDescent="0.35">
      <c r="A15614" s="12"/>
    </row>
    <row r="15615" spans="1:1" x14ac:dyDescent="0.35">
      <c r="A15615" s="12"/>
    </row>
    <row r="15616" spans="1:1" x14ac:dyDescent="0.35">
      <c r="A15616" s="12"/>
    </row>
    <row r="15617" spans="1:1" x14ac:dyDescent="0.35">
      <c r="A15617" s="12"/>
    </row>
    <row r="15618" spans="1:1" x14ac:dyDescent="0.35">
      <c r="A15618" s="12"/>
    </row>
    <row r="15619" spans="1:1" x14ac:dyDescent="0.35">
      <c r="A15619" s="12"/>
    </row>
    <row r="15620" spans="1:1" x14ac:dyDescent="0.35">
      <c r="A15620" s="12"/>
    </row>
    <row r="15621" spans="1:1" x14ac:dyDescent="0.35">
      <c r="A15621" s="12"/>
    </row>
    <row r="15622" spans="1:1" x14ac:dyDescent="0.35">
      <c r="A15622" s="12"/>
    </row>
    <row r="15623" spans="1:1" x14ac:dyDescent="0.35">
      <c r="A15623" s="12"/>
    </row>
    <row r="15624" spans="1:1" x14ac:dyDescent="0.35">
      <c r="A15624" s="12"/>
    </row>
    <row r="15625" spans="1:1" x14ac:dyDescent="0.35">
      <c r="A15625" s="12"/>
    </row>
    <row r="15626" spans="1:1" x14ac:dyDescent="0.35">
      <c r="A15626" s="12"/>
    </row>
    <row r="15627" spans="1:1" x14ac:dyDescent="0.35">
      <c r="A15627" s="12"/>
    </row>
    <row r="15628" spans="1:1" x14ac:dyDescent="0.35">
      <c r="A15628" s="12"/>
    </row>
    <row r="15629" spans="1:1" x14ac:dyDescent="0.35">
      <c r="A15629" s="12"/>
    </row>
    <row r="15630" spans="1:1" x14ac:dyDescent="0.35">
      <c r="A15630" s="12"/>
    </row>
    <row r="15631" spans="1:1" x14ac:dyDescent="0.35">
      <c r="A15631" s="12"/>
    </row>
    <row r="15632" spans="1:1" x14ac:dyDescent="0.35">
      <c r="A15632" s="12"/>
    </row>
    <row r="15633" spans="1:1" x14ac:dyDescent="0.35">
      <c r="A15633" s="12"/>
    </row>
    <row r="15634" spans="1:1" x14ac:dyDescent="0.35">
      <c r="A15634" s="12"/>
    </row>
    <row r="15635" spans="1:1" x14ac:dyDescent="0.35">
      <c r="A15635" s="12"/>
    </row>
    <row r="15636" spans="1:1" x14ac:dyDescent="0.35">
      <c r="A15636" s="12"/>
    </row>
    <row r="15637" spans="1:1" x14ac:dyDescent="0.35">
      <c r="A15637" s="12"/>
    </row>
    <row r="15638" spans="1:1" x14ac:dyDescent="0.35">
      <c r="A15638" s="12"/>
    </row>
    <row r="15639" spans="1:1" x14ac:dyDescent="0.35">
      <c r="A15639" s="12"/>
    </row>
    <row r="15640" spans="1:1" x14ac:dyDescent="0.35">
      <c r="A15640" s="12"/>
    </row>
    <row r="15641" spans="1:1" x14ac:dyDescent="0.35">
      <c r="A15641" s="12"/>
    </row>
    <row r="15642" spans="1:1" x14ac:dyDescent="0.35">
      <c r="A15642" s="12"/>
    </row>
    <row r="15643" spans="1:1" x14ac:dyDescent="0.35">
      <c r="A15643" s="12"/>
    </row>
    <row r="15644" spans="1:1" x14ac:dyDescent="0.35">
      <c r="A15644" s="12"/>
    </row>
    <row r="15645" spans="1:1" x14ac:dyDescent="0.35">
      <c r="A15645" s="12"/>
    </row>
    <row r="15646" spans="1:1" x14ac:dyDescent="0.35">
      <c r="A15646" s="12"/>
    </row>
    <row r="15647" spans="1:1" x14ac:dyDescent="0.35">
      <c r="A15647" s="12"/>
    </row>
    <row r="15648" spans="1:1" x14ac:dyDescent="0.35">
      <c r="A15648" s="12"/>
    </row>
    <row r="15649" spans="1:1" x14ac:dyDescent="0.35">
      <c r="A15649" s="12"/>
    </row>
    <row r="15650" spans="1:1" x14ac:dyDescent="0.35">
      <c r="A15650" s="12"/>
    </row>
    <row r="15651" spans="1:1" x14ac:dyDescent="0.35">
      <c r="A15651" s="12"/>
    </row>
    <row r="15652" spans="1:1" x14ac:dyDescent="0.35">
      <c r="A15652" s="12"/>
    </row>
    <row r="15653" spans="1:1" x14ac:dyDescent="0.35">
      <c r="A15653" s="12"/>
    </row>
    <row r="15654" spans="1:1" x14ac:dyDescent="0.35">
      <c r="A15654" s="12"/>
    </row>
    <row r="15655" spans="1:1" x14ac:dyDescent="0.35">
      <c r="A15655" s="12"/>
    </row>
    <row r="15656" spans="1:1" x14ac:dyDescent="0.35">
      <c r="A15656" s="12"/>
    </row>
    <row r="15657" spans="1:1" x14ac:dyDescent="0.35">
      <c r="A15657" s="12"/>
    </row>
    <row r="15658" spans="1:1" x14ac:dyDescent="0.35">
      <c r="A15658" s="12"/>
    </row>
    <row r="15659" spans="1:1" x14ac:dyDescent="0.35">
      <c r="A15659" s="12"/>
    </row>
    <row r="15660" spans="1:1" x14ac:dyDescent="0.35">
      <c r="A15660" s="12"/>
    </row>
    <row r="15661" spans="1:1" x14ac:dyDescent="0.35">
      <c r="A15661" s="12"/>
    </row>
    <row r="15662" spans="1:1" x14ac:dyDescent="0.35">
      <c r="A15662" s="12"/>
    </row>
    <row r="15663" spans="1:1" x14ac:dyDescent="0.35">
      <c r="A15663" s="12"/>
    </row>
    <row r="15664" spans="1:1" x14ac:dyDescent="0.35">
      <c r="A15664" s="12"/>
    </row>
    <row r="15665" spans="1:1" x14ac:dyDescent="0.35">
      <c r="A15665" s="12"/>
    </row>
    <row r="15666" spans="1:1" x14ac:dyDescent="0.35">
      <c r="A15666" s="12"/>
    </row>
    <row r="15667" spans="1:1" x14ac:dyDescent="0.35">
      <c r="A15667" s="12"/>
    </row>
    <row r="15668" spans="1:1" x14ac:dyDescent="0.35">
      <c r="A15668" s="12"/>
    </row>
    <row r="15669" spans="1:1" x14ac:dyDescent="0.35">
      <c r="A15669" s="12"/>
    </row>
    <row r="15670" spans="1:1" x14ac:dyDescent="0.35">
      <c r="A15670" s="12"/>
    </row>
    <row r="15671" spans="1:1" x14ac:dyDescent="0.35">
      <c r="A15671" s="12"/>
    </row>
    <row r="15672" spans="1:1" x14ac:dyDescent="0.35">
      <c r="A15672" s="12"/>
    </row>
    <row r="15673" spans="1:1" x14ac:dyDescent="0.35">
      <c r="A15673" s="12"/>
    </row>
    <row r="15674" spans="1:1" x14ac:dyDescent="0.35">
      <c r="A15674" s="12"/>
    </row>
    <row r="15675" spans="1:1" x14ac:dyDescent="0.35">
      <c r="A15675" s="12"/>
    </row>
    <row r="15676" spans="1:1" x14ac:dyDescent="0.35">
      <c r="A15676" s="12"/>
    </row>
    <row r="15677" spans="1:1" x14ac:dyDescent="0.35">
      <c r="A15677" s="12"/>
    </row>
    <row r="15678" spans="1:1" x14ac:dyDescent="0.35">
      <c r="A15678" s="12"/>
    </row>
    <row r="15679" spans="1:1" x14ac:dyDescent="0.35">
      <c r="A15679" s="12"/>
    </row>
    <row r="15680" spans="1:1" x14ac:dyDescent="0.35">
      <c r="A15680" s="12"/>
    </row>
    <row r="15681" spans="1:1" x14ac:dyDescent="0.35">
      <c r="A15681" s="12"/>
    </row>
    <row r="15682" spans="1:1" x14ac:dyDescent="0.35">
      <c r="A15682" s="12"/>
    </row>
    <row r="15683" spans="1:1" x14ac:dyDescent="0.35">
      <c r="A15683" s="12"/>
    </row>
    <row r="15684" spans="1:1" x14ac:dyDescent="0.35">
      <c r="A15684" s="12"/>
    </row>
    <row r="15685" spans="1:1" x14ac:dyDescent="0.35">
      <c r="A15685" s="12"/>
    </row>
    <row r="15686" spans="1:1" x14ac:dyDescent="0.35">
      <c r="A15686" s="12"/>
    </row>
    <row r="15687" spans="1:1" x14ac:dyDescent="0.35">
      <c r="A15687" s="12"/>
    </row>
    <row r="15688" spans="1:1" x14ac:dyDescent="0.35">
      <c r="A15688" s="12"/>
    </row>
    <row r="15689" spans="1:1" x14ac:dyDescent="0.35">
      <c r="A15689" s="12"/>
    </row>
    <row r="15690" spans="1:1" x14ac:dyDescent="0.35">
      <c r="A15690" s="12"/>
    </row>
    <row r="15691" spans="1:1" x14ac:dyDescent="0.35">
      <c r="A15691" s="12"/>
    </row>
    <row r="15692" spans="1:1" x14ac:dyDescent="0.35">
      <c r="A15692" s="12"/>
    </row>
    <row r="15693" spans="1:1" x14ac:dyDescent="0.35">
      <c r="A15693" s="12"/>
    </row>
    <row r="15694" spans="1:1" x14ac:dyDescent="0.35">
      <c r="A15694" s="12"/>
    </row>
    <row r="15695" spans="1:1" x14ac:dyDescent="0.35">
      <c r="A15695" s="12"/>
    </row>
    <row r="15696" spans="1:1" x14ac:dyDescent="0.35">
      <c r="A15696" s="12"/>
    </row>
    <row r="15697" spans="1:1" x14ac:dyDescent="0.35">
      <c r="A15697" s="12"/>
    </row>
    <row r="15698" spans="1:1" x14ac:dyDescent="0.35">
      <c r="A15698" s="12"/>
    </row>
    <row r="15699" spans="1:1" x14ac:dyDescent="0.35">
      <c r="A15699" s="12"/>
    </row>
    <row r="15700" spans="1:1" x14ac:dyDescent="0.35">
      <c r="A15700" s="12"/>
    </row>
    <row r="15701" spans="1:1" x14ac:dyDescent="0.35">
      <c r="A15701" s="12"/>
    </row>
    <row r="15702" spans="1:1" x14ac:dyDescent="0.35">
      <c r="A15702" s="12"/>
    </row>
    <row r="15703" spans="1:1" x14ac:dyDescent="0.35">
      <c r="A15703" s="12"/>
    </row>
    <row r="15704" spans="1:1" x14ac:dyDescent="0.35">
      <c r="A15704" s="12"/>
    </row>
    <row r="15705" spans="1:1" x14ac:dyDescent="0.35">
      <c r="A15705" s="12"/>
    </row>
    <row r="15706" spans="1:1" x14ac:dyDescent="0.35">
      <c r="A15706" s="12"/>
    </row>
    <row r="15707" spans="1:1" x14ac:dyDescent="0.35">
      <c r="A15707" s="12"/>
    </row>
    <row r="15708" spans="1:1" x14ac:dyDescent="0.35">
      <c r="A15708" s="12"/>
    </row>
    <row r="15709" spans="1:1" x14ac:dyDescent="0.35">
      <c r="A15709" s="12"/>
    </row>
    <row r="15710" spans="1:1" x14ac:dyDescent="0.35">
      <c r="A15710" s="12"/>
    </row>
    <row r="15711" spans="1:1" x14ac:dyDescent="0.35">
      <c r="A15711" s="12"/>
    </row>
    <row r="15712" spans="1:1" x14ac:dyDescent="0.35">
      <c r="A15712" s="12"/>
    </row>
    <row r="15713" spans="1:1" x14ac:dyDescent="0.35">
      <c r="A15713" s="12"/>
    </row>
    <row r="15714" spans="1:1" x14ac:dyDescent="0.35">
      <c r="A15714" s="12"/>
    </row>
    <row r="15715" spans="1:1" x14ac:dyDescent="0.35">
      <c r="A15715" s="12"/>
    </row>
    <row r="15716" spans="1:1" x14ac:dyDescent="0.35">
      <c r="A15716" s="12"/>
    </row>
    <row r="15717" spans="1:1" x14ac:dyDescent="0.35">
      <c r="A15717" s="12"/>
    </row>
    <row r="15718" spans="1:1" x14ac:dyDescent="0.35">
      <c r="A15718" s="12"/>
    </row>
    <row r="15719" spans="1:1" x14ac:dyDescent="0.35">
      <c r="A15719" s="12"/>
    </row>
    <row r="15720" spans="1:1" x14ac:dyDescent="0.35">
      <c r="A15720" s="12"/>
    </row>
    <row r="15721" spans="1:1" x14ac:dyDescent="0.35">
      <c r="A15721" s="12"/>
    </row>
    <row r="15722" spans="1:1" x14ac:dyDescent="0.35">
      <c r="A15722" s="12"/>
    </row>
    <row r="15723" spans="1:1" x14ac:dyDescent="0.35">
      <c r="A15723" s="12"/>
    </row>
    <row r="15724" spans="1:1" x14ac:dyDescent="0.35">
      <c r="A15724" s="12"/>
    </row>
    <row r="15725" spans="1:1" x14ac:dyDescent="0.35">
      <c r="A15725" s="12"/>
    </row>
    <row r="15726" spans="1:1" x14ac:dyDescent="0.35">
      <c r="A15726" s="12"/>
    </row>
    <row r="15727" spans="1:1" x14ac:dyDescent="0.35">
      <c r="A15727" s="12"/>
    </row>
    <row r="15728" spans="1:1" x14ac:dyDescent="0.35">
      <c r="A15728" s="12"/>
    </row>
    <row r="15729" spans="1:1" x14ac:dyDescent="0.35">
      <c r="A15729" s="12"/>
    </row>
    <row r="15730" spans="1:1" x14ac:dyDescent="0.35">
      <c r="A15730" s="12"/>
    </row>
    <row r="15731" spans="1:1" x14ac:dyDescent="0.35">
      <c r="A15731" s="12"/>
    </row>
    <row r="15732" spans="1:1" x14ac:dyDescent="0.35">
      <c r="A15732" s="12"/>
    </row>
    <row r="15733" spans="1:1" x14ac:dyDescent="0.35">
      <c r="A15733" s="12"/>
    </row>
    <row r="15734" spans="1:1" x14ac:dyDescent="0.35">
      <c r="A15734" s="12"/>
    </row>
    <row r="15735" spans="1:1" x14ac:dyDescent="0.35">
      <c r="A15735" s="12"/>
    </row>
    <row r="15736" spans="1:1" x14ac:dyDescent="0.35">
      <c r="A15736" s="12"/>
    </row>
    <row r="15737" spans="1:1" x14ac:dyDescent="0.35">
      <c r="A15737" s="12"/>
    </row>
    <row r="15738" spans="1:1" x14ac:dyDescent="0.35">
      <c r="A15738" s="12"/>
    </row>
    <row r="15739" spans="1:1" x14ac:dyDescent="0.35">
      <c r="A15739" s="12"/>
    </row>
    <row r="15740" spans="1:1" x14ac:dyDescent="0.35">
      <c r="A15740" s="12"/>
    </row>
    <row r="15741" spans="1:1" x14ac:dyDescent="0.35">
      <c r="A15741" s="12"/>
    </row>
    <row r="15742" spans="1:1" x14ac:dyDescent="0.35">
      <c r="A15742" s="12"/>
    </row>
    <row r="15743" spans="1:1" x14ac:dyDescent="0.35">
      <c r="A15743" s="12"/>
    </row>
    <row r="15744" spans="1:1" x14ac:dyDescent="0.35">
      <c r="A15744" s="12"/>
    </row>
    <row r="15745" spans="1:1" x14ac:dyDescent="0.35">
      <c r="A15745" s="12"/>
    </row>
    <row r="15746" spans="1:1" x14ac:dyDescent="0.35">
      <c r="A15746" s="12"/>
    </row>
    <row r="15747" spans="1:1" x14ac:dyDescent="0.35">
      <c r="A15747" s="12"/>
    </row>
    <row r="15748" spans="1:1" x14ac:dyDescent="0.35">
      <c r="A15748" s="12"/>
    </row>
    <row r="15749" spans="1:1" x14ac:dyDescent="0.35">
      <c r="A15749" s="12"/>
    </row>
    <row r="15750" spans="1:1" x14ac:dyDescent="0.35">
      <c r="A15750" s="12"/>
    </row>
    <row r="15751" spans="1:1" x14ac:dyDescent="0.35">
      <c r="A15751" s="12"/>
    </row>
    <row r="15752" spans="1:1" x14ac:dyDescent="0.35">
      <c r="A15752" s="12"/>
    </row>
    <row r="15753" spans="1:1" x14ac:dyDescent="0.35">
      <c r="A15753" s="12"/>
    </row>
    <row r="15754" spans="1:1" x14ac:dyDescent="0.35">
      <c r="A15754" s="12"/>
    </row>
    <row r="15755" spans="1:1" x14ac:dyDescent="0.35">
      <c r="A15755" s="12"/>
    </row>
    <row r="15756" spans="1:1" x14ac:dyDescent="0.35">
      <c r="A15756" s="12"/>
    </row>
    <row r="15757" spans="1:1" x14ac:dyDescent="0.35">
      <c r="A15757" s="12"/>
    </row>
    <row r="15758" spans="1:1" x14ac:dyDescent="0.35">
      <c r="A15758" s="12"/>
    </row>
    <row r="15759" spans="1:1" x14ac:dyDescent="0.35">
      <c r="A15759" s="12"/>
    </row>
    <row r="15760" spans="1:1" x14ac:dyDescent="0.35">
      <c r="A15760" s="12"/>
    </row>
    <row r="15761" spans="1:1" x14ac:dyDescent="0.35">
      <c r="A15761" s="12"/>
    </row>
    <row r="15762" spans="1:1" x14ac:dyDescent="0.35">
      <c r="A15762" s="12"/>
    </row>
    <row r="15763" spans="1:1" x14ac:dyDescent="0.35">
      <c r="A15763" s="12"/>
    </row>
    <row r="15764" spans="1:1" x14ac:dyDescent="0.35">
      <c r="A15764" s="12"/>
    </row>
    <row r="15765" spans="1:1" x14ac:dyDescent="0.35">
      <c r="A15765" s="12"/>
    </row>
    <row r="15766" spans="1:1" x14ac:dyDescent="0.35">
      <c r="A15766" s="12"/>
    </row>
    <row r="15767" spans="1:1" x14ac:dyDescent="0.35">
      <c r="A15767" s="12"/>
    </row>
    <row r="15768" spans="1:1" x14ac:dyDescent="0.35">
      <c r="A15768" s="12"/>
    </row>
    <row r="15769" spans="1:1" x14ac:dyDescent="0.35">
      <c r="A15769" s="12"/>
    </row>
    <row r="15770" spans="1:1" x14ac:dyDescent="0.35">
      <c r="A15770" s="12"/>
    </row>
    <row r="15771" spans="1:1" x14ac:dyDescent="0.35">
      <c r="A15771" s="12"/>
    </row>
    <row r="15772" spans="1:1" x14ac:dyDescent="0.35">
      <c r="A15772" s="12"/>
    </row>
    <row r="15773" spans="1:1" x14ac:dyDescent="0.35">
      <c r="A15773" s="12"/>
    </row>
    <row r="15774" spans="1:1" x14ac:dyDescent="0.35">
      <c r="A15774" s="12"/>
    </row>
    <row r="15775" spans="1:1" x14ac:dyDescent="0.35">
      <c r="A15775" s="12"/>
    </row>
    <row r="15776" spans="1:1" x14ac:dyDescent="0.35">
      <c r="A15776" s="12"/>
    </row>
    <row r="15777" spans="1:1" x14ac:dyDescent="0.35">
      <c r="A15777" s="12"/>
    </row>
    <row r="15778" spans="1:1" x14ac:dyDescent="0.35">
      <c r="A15778" s="12"/>
    </row>
    <row r="15779" spans="1:1" x14ac:dyDescent="0.35">
      <c r="A15779" s="12"/>
    </row>
    <row r="15780" spans="1:1" x14ac:dyDescent="0.35">
      <c r="A15780" s="12"/>
    </row>
    <row r="15781" spans="1:1" x14ac:dyDescent="0.35">
      <c r="A15781" s="12"/>
    </row>
    <row r="15782" spans="1:1" x14ac:dyDescent="0.35">
      <c r="A15782" s="12"/>
    </row>
    <row r="15783" spans="1:1" x14ac:dyDescent="0.35">
      <c r="A15783" s="12"/>
    </row>
    <row r="15784" spans="1:1" x14ac:dyDescent="0.35">
      <c r="A15784" s="12"/>
    </row>
    <row r="15785" spans="1:1" x14ac:dyDescent="0.35">
      <c r="A15785" s="12"/>
    </row>
    <row r="15786" spans="1:1" x14ac:dyDescent="0.35">
      <c r="A15786" s="12"/>
    </row>
    <row r="15787" spans="1:1" x14ac:dyDescent="0.35">
      <c r="A15787" s="12"/>
    </row>
    <row r="15788" spans="1:1" x14ac:dyDescent="0.35">
      <c r="A15788" s="12"/>
    </row>
    <row r="15789" spans="1:1" x14ac:dyDescent="0.35">
      <c r="A15789" s="12"/>
    </row>
    <row r="15790" spans="1:1" x14ac:dyDescent="0.35">
      <c r="A15790" s="12"/>
    </row>
    <row r="15791" spans="1:1" x14ac:dyDescent="0.35">
      <c r="A15791" s="12"/>
    </row>
    <row r="15792" spans="1:1" x14ac:dyDescent="0.35">
      <c r="A15792" s="12"/>
    </row>
    <row r="15793" spans="1:1" x14ac:dyDescent="0.35">
      <c r="A15793" s="12"/>
    </row>
    <row r="15794" spans="1:1" x14ac:dyDescent="0.35">
      <c r="A15794" s="12"/>
    </row>
    <row r="15795" spans="1:1" x14ac:dyDescent="0.35">
      <c r="A15795" s="12"/>
    </row>
    <row r="15796" spans="1:1" x14ac:dyDescent="0.35">
      <c r="A15796" s="12"/>
    </row>
    <row r="15797" spans="1:1" x14ac:dyDescent="0.35">
      <c r="A15797" s="12"/>
    </row>
    <row r="15798" spans="1:1" x14ac:dyDescent="0.35">
      <c r="A15798" s="12"/>
    </row>
    <row r="15799" spans="1:1" x14ac:dyDescent="0.35">
      <c r="A15799" s="12"/>
    </row>
    <row r="15800" spans="1:1" x14ac:dyDescent="0.35">
      <c r="A15800" s="12"/>
    </row>
    <row r="15801" spans="1:1" x14ac:dyDescent="0.35">
      <c r="A15801" s="12"/>
    </row>
    <row r="15802" spans="1:1" x14ac:dyDescent="0.35">
      <c r="A15802" s="12"/>
    </row>
    <row r="15803" spans="1:1" x14ac:dyDescent="0.35">
      <c r="A15803" s="12"/>
    </row>
    <row r="15804" spans="1:1" x14ac:dyDescent="0.35">
      <c r="A15804" s="12"/>
    </row>
    <row r="15805" spans="1:1" x14ac:dyDescent="0.35">
      <c r="A15805" s="12"/>
    </row>
    <row r="15806" spans="1:1" x14ac:dyDescent="0.35">
      <c r="A15806" s="12"/>
    </row>
    <row r="15807" spans="1:1" x14ac:dyDescent="0.35">
      <c r="A15807" s="12"/>
    </row>
    <row r="15808" spans="1:1" x14ac:dyDescent="0.35">
      <c r="A15808" s="12"/>
    </row>
    <row r="15809" spans="1:1" x14ac:dyDescent="0.35">
      <c r="A15809" s="12"/>
    </row>
    <row r="15810" spans="1:1" x14ac:dyDescent="0.35">
      <c r="A15810" s="12"/>
    </row>
    <row r="15811" spans="1:1" x14ac:dyDescent="0.35">
      <c r="A15811" s="12"/>
    </row>
    <row r="15812" spans="1:1" x14ac:dyDescent="0.35">
      <c r="A15812" s="12"/>
    </row>
    <row r="15813" spans="1:1" x14ac:dyDescent="0.35">
      <c r="A15813" s="12"/>
    </row>
    <row r="15814" spans="1:1" x14ac:dyDescent="0.35">
      <c r="A15814" s="12"/>
    </row>
    <row r="15815" spans="1:1" x14ac:dyDescent="0.35">
      <c r="A15815" s="12"/>
    </row>
    <row r="15816" spans="1:1" x14ac:dyDescent="0.35">
      <c r="A15816" s="12"/>
    </row>
    <row r="15817" spans="1:1" x14ac:dyDescent="0.35">
      <c r="A15817" s="12"/>
    </row>
    <row r="15818" spans="1:1" x14ac:dyDescent="0.35">
      <c r="A15818" s="12"/>
    </row>
    <row r="15819" spans="1:1" x14ac:dyDescent="0.35">
      <c r="A15819" s="12"/>
    </row>
    <row r="15820" spans="1:1" x14ac:dyDescent="0.35">
      <c r="A15820" s="12"/>
    </row>
    <row r="15821" spans="1:1" x14ac:dyDescent="0.35">
      <c r="A15821" s="12"/>
    </row>
    <row r="15822" spans="1:1" x14ac:dyDescent="0.35">
      <c r="A15822" s="12"/>
    </row>
    <row r="15823" spans="1:1" x14ac:dyDescent="0.35">
      <c r="A15823" s="12"/>
    </row>
    <row r="15824" spans="1:1" x14ac:dyDescent="0.35">
      <c r="A15824" s="12"/>
    </row>
    <row r="15825" spans="1:1" x14ac:dyDescent="0.35">
      <c r="A15825" s="12"/>
    </row>
    <row r="15826" spans="1:1" x14ac:dyDescent="0.35">
      <c r="A15826" s="12"/>
    </row>
    <row r="15827" spans="1:1" x14ac:dyDescent="0.35">
      <c r="A15827" s="12"/>
    </row>
    <row r="15828" spans="1:1" x14ac:dyDescent="0.35">
      <c r="A15828" s="12"/>
    </row>
    <row r="15829" spans="1:1" x14ac:dyDescent="0.35">
      <c r="A15829" s="12"/>
    </row>
    <row r="15830" spans="1:1" x14ac:dyDescent="0.35">
      <c r="A15830" s="12"/>
    </row>
    <row r="15831" spans="1:1" x14ac:dyDescent="0.35">
      <c r="A15831" s="12"/>
    </row>
    <row r="15832" spans="1:1" x14ac:dyDescent="0.35">
      <c r="A15832" s="12"/>
    </row>
    <row r="15833" spans="1:1" x14ac:dyDescent="0.35">
      <c r="A15833" s="12"/>
    </row>
    <row r="15834" spans="1:1" x14ac:dyDescent="0.35">
      <c r="A15834" s="12"/>
    </row>
    <row r="15835" spans="1:1" x14ac:dyDescent="0.35">
      <c r="A15835" s="12"/>
    </row>
    <row r="15836" spans="1:1" x14ac:dyDescent="0.35">
      <c r="A15836" s="12"/>
    </row>
    <row r="15837" spans="1:1" x14ac:dyDescent="0.35">
      <c r="A15837" s="12"/>
    </row>
    <row r="15838" spans="1:1" x14ac:dyDescent="0.35">
      <c r="A15838" s="12"/>
    </row>
    <row r="15839" spans="1:1" x14ac:dyDescent="0.35">
      <c r="A15839" s="12"/>
    </row>
    <row r="15840" spans="1:1" x14ac:dyDescent="0.35">
      <c r="A15840" s="12"/>
    </row>
    <row r="15841" spans="1:1" x14ac:dyDescent="0.35">
      <c r="A15841" s="12"/>
    </row>
    <row r="15842" spans="1:1" x14ac:dyDescent="0.35">
      <c r="A15842" s="12"/>
    </row>
    <row r="15843" spans="1:1" x14ac:dyDescent="0.35">
      <c r="A15843" s="12"/>
    </row>
    <row r="15844" spans="1:1" x14ac:dyDescent="0.35">
      <c r="A15844" s="12"/>
    </row>
    <row r="15845" spans="1:1" x14ac:dyDescent="0.35">
      <c r="A15845" s="12"/>
    </row>
    <row r="15846" spans="1:1" x14ac:dyDescent="0.35">
      <c r="A15846" s="12"/>
    </row>
    <row r="15847" spans="1:1" x14ac:dyDescent="0.35">
      <c r="A15847" s="12"/>
    </row>
    <row r="15848" spans="1:1" x14ac:dyDescent="0.35">
      <c r="A15848" s="12"/>
    </row>
    <row r="15849" spans="1:1" x14ac:dyDescent="0.35">
      <c r="A15849" s="12"/>
    </row>
    <row r="15850" spans="1:1" x14ac:dyDescent="0.35">
      <c r="A15850" s="12"/>
    </row>
    <row r="15851" spans="1:1" x14ac:dyDescent="0.35">
      <c r="A15851" s="12"/>
    </row>
    <row r="15852" spans="1:1" x14ac:dyDescent="0.35">
      <c r="A15852" s="12"/>
    </row>
    <row r="15853" spans="1:1" x14ac:dyDescent="0.35">
      <c r="A15853" s="12"/>
    </row>
    <row r="15854" spans="1:1" x14ac:dyDescent="0.35">
      <c r="A15854" s="12"/>
    </row>
    <row r="15855" spans="1:1" x14ac:dyDescent="0.35">
      <c r="A15855" s="12"/>
    </row>
    <row r="15856" spans="1:1" x14ac:dyDescent="0.35">
      <c r="A15856" s="12"/>
    </row>
    <row r="15857" spans="1:1" x14ac:dyDescent="0.35">
      <c r="A15857" s="12"/>
    </row>
    <row r="15858" spans="1:1" x14ac:dyDescent="0.35">
      <c r="A15858" s="12"/>
    </row>
    <row r="15859" spans="1:1" x14ac:dyDescent="0.35">
      <c r="A15859" s="12"/>
    </row>
    <row r="15860" spans="1:1" x14ac:dyDescent="0.35">
      <c r="A15860" s="12"/>
    </row>
    <row r="15861" spans="1:1" x14ac:dyDescent="0.35">
      <c r="A15861" s="12"/>
    </row>
    <row r="15862" spans="1:1" x14ac:dyDescent="0.35">
      <c r="A15862" s="12"/>
    </row>
    <row r="15863" spans="1:1" x14ac:dyDescent="0.35">
      <c r="A15863" s="12"/>
    </row>
    <row r="15864" spans="1:1" x14ac:dyDescent="0.35">
      <c r="A15864" s="12"/>
    </row>
    <row r="15865" spans="1:1" x14ac:dyDescent="0.35">
      <c r="A15865" s="12"/>
    </row>
    <row r="15866" spans="1:1" x14ac:dyDescent="0.35">
      <c r="A15866" s="12"/>
    </row>
    <row r="15867" spans="1:1" x14ac:dyDescent="0.35">
      <c r="A15867" s="12"/>
    </row>
    <row r="15868" spans="1:1" x14ac:dyDescent="0.35">
      <c r="A15868" s="12"/>
    </row>
    <row r="15869" spans="1:1" x14ac:dyDescent="0.35">
      <c r="A15869" s="12"/>
    </row>
    <row r="15870" spans="1:1" x14ac:dyDescent="0.35">
      <c r="A15870" s="12"/>
    </row>
    <row r="15871" spans="1:1" x14ac:dyDescent="0.35">
      <c r="A15871" s="12"/>
    </row>
    <row r="15872" spans="1:1" x14ac:dyDescent="0.35">
      <c r="A15872" s="12"/>
    </row>
    <row r="15873" spans="1:1" x14ac:dyDescent="0.35">
      <c r="A15873" s="12"/>
    </row>
    <row r="15874" spans="1:1" x14ac:dyDescent="0.35">
      <c r="A15874" s="12"/>
    </row>
    <row r="15875" spans="1:1" x14ac:dyDescent="0.35">
      <c r="A15875" s="12"/>
    </row>
    <row r="15876" spans="1:1" x14ac:dyDescent="0.35">
      <c r="A15876" s="12"/>
    </row>
    <row r="15877" spans="1:1" x14ac:dyDescent="0.35">
      <c r="A15877" s="12"/>
    </row>
    <row r="15878" spans="1:1" x14ac:dyDescent="0.35">
      <c r="A15878" s="12"/>
    </row>
    <row r="15879" spans="1:1" x14ac:dyDescent="0.35">
      <c r="A15879" s="12"/>
    </row>
    <row r="15880" spans="1:1" x14ac:dyDescent="0.35">
      <c r="A15880" s="12"/>
    </row>
    <row r="15881" spans="1:1" x14ac:dyDescent="0.35">
      <c r="A15881" s="12"/>
    </row>
    <row r="15882" spans="1:1" x14ac:dyDescent="0.35">
      <c r="A15882" s="12"/>
    </row>
    <row r="15883" spans="1:1" x14ac:dyDescent="0.35">
      <c r="A15883" s="12"/>
    </row>
    <row r="15884" spans="1:1" x14ac:dyDescent="0.35">
      <c r="A15884" s="12"/>
    </row>
    <row r="15885" spans="1:1" x14ac:dyDescent="0.35">
      <c r="A15885" s="12"/>
    </row>
    <row r="15886" spans="1:1" x14ac:dyDescent="0.35">
      <c r="A15886" s="12"/>
    </row>
    <row r="15887" spans="1:1" x14ac:dyDescent="0.35">
      <c r="A15887" s="12"/>
    </row>
    <row r="15888" spans="1:1" x14ac:dyDescent="0.35">
      <c r="A15888" s="12"/>
    </row>
    <row r="15889" spans="1:1" x14ac:dyDescent="0.35">
      <c r="A15889" s="12"/>
    </row>
    <row r="15890" spans="1:1" x14ac:dyDescent="0.35">
      <c r="A15890" s="12"/>
    </row>
    <row r="15891" spans="1:1" x14ac:dyDescent="0.35">
      <c r="A15891" s="12"/>
    </row>
    <row r="15892" spans="1:1" x14ac:dyDescent="0.35">
      <c r="A15892" s="12"/>
    </row>
    <row r="15893" spans="1:1" x14ac:dyDescent="0.35">
      <c r="A15893" s="12"/>
    </row>
    <row r="15894" spans="1:1" x14ac:dyDescent="0.35">
      <c r="A15894" s="12"/>
    </row>
    <row r="15895" spans="1:1" x14ac:dyDescent="0.35">
      <c r="A15895" s="12"/>
    </row>
    <row r="15896" spans="1:1" x14ac:dyDescent="0.35">
      <c r="A15896" s="12"/>
    </row>
    <row r="15897" spans="1:1" x14ac:dyDescent="0.35">
      <c r="A15897" s="12"/>
    </row>
    <row r="15898" spans="1:1" x14ac:dyDescent="0.35">
      <c r="A15898" s="12"/>
    </row>
    <row r="15899" spans="1:1" x14ac:dyDescent="0.35">
      <c r="A15899" s="12"/>
    </row>
    <row r="15900" spans="1:1" x14ac:dyDescent="0.35">
      <c r="A15900" s="12"/>
    </row>
    <row r="15901" spans="1:1" x14ac:dyDescent="0.35">
      <c r="A15901" s="12"/>
    </row>
    <row r="15902" spans="1:1" x14ac:dyDescent="0.35">
      <c r="A15902" s="12"/>
    </row>
    <row r="15903" spans="1:1" x14ac:dyDescent="0.35">
      <c r="A15903" s="12"/>
    </row>
    <row r="15904" spans="1:1" x14ac:dyDescent="0.35">
      <c r="A15904" s="12"/>
    </row>
    <row r="15905" spans="1:1" x14ac:dyDescent="0.35">
      <c r="A15905" s="12"/>
    </row>
    <row r="15906" spans="1:1" x14ac:dyDescent="0.35">
      <c r="A15906" s="12"/>
    </row>
    <row r="15907" spans="1:1" x14ac:dyDescent="0.35">
      <c r="A15907" s="12"/>
    </row>
    <row r="15908" spans="1:1" x14ac:dyDescent="0.35">
      <c r="A15908" s="12"/>
    </row>
    <row r="15909" spans="1:1" x14ac:dyDescent="0.35">
      <c r="A15909" s="12"/>
    </row>
    <row r="15910" spans="1:1" x14ac:dyDescent="0.35">
      <c r="A15910" s="12"/>
    </row>
    <row r="15911" spans="1:1" x14ac:dyDescent="0.35">
      <c r="A15911" s="12"/>
    </row>
    <row r="15912" spans="1:1" x14ac:dyDescent="0.35">
      <c r="A15912" s="12"/>
    </row>
    <row r="15913" spans="1:1" x14ac:dyDescent="0.35">
      <c r="A15913" s="12"/>
    </row>
    <row r="15914" spans="1:1" x14ac:dyDescent="0.35">
      <c r="A15914" s="12"/>
    </row>
    <row r="15915" spans="1:1" x14ac:dyDescent="0.35">
      <c r="A15915" s="12"/>
    </row>
    <row r="15916" spans="1:1" x14ac:dyDescent="0.35">
      <c r="A15916" s="12"/>
    </row>
    <row r="15917" spans="1:1" x14ac:dyDescent="0.35">
      <c r="A15917" s="12"/>
    </row>
    <row r="15918" spans="1:1" x14ac:dyDescent="0.35">
      <c r="A15918" s="12"/>
    </row>
    <row r="15919" spans="1:1" x14ac:dyDescent="0.35">
      <c r="A15919" s="12"/>
    </row>
    <row r="15920" spans="1:1" x14ac:dyDescent="0.35">
      <c r="A15920" s="12"/>
    </row>
    <row r="15921" spans="1:1" x14ac:dyDescent="0.35">
      <c r="A15921" s="12"/>
    </row>
    <row r="15922" spans="1:1" x14ac:dyDescent="0.35">
      <c r="A15922" s="12"/>
    </row>
    <row r="15923" spans="1:1" x14ac:dyDescent="0.35">
      <c r="A15923" s="12"/>
    </row>
    <row r="15924" spans="1:1" x14ac:dyDescent="0.35">
      <c r="A15924" s="12"/>
    </row>
    <row r="15925" spans="1:1" x14ac:dyDescent="0.35">
      <c r="A15925" s="12"/>
    </row>
    <row r="15926" spans="1:1" x14ac:dyDescent="0.35">
      <c r="A15926" s="12"/>
    </row>
    <row r="15927" spans="1:1" x14ac:dyDescent="0.35">
      <c r="A15927" s="12"/>
    </row>
    <row r="15928" spans="1:1" x14ac:dyDescent="0.35">
      <c r="A15928" s="12"/>
    </row>
    <row r="15929" spans="1:1" x14ac:dyDescent="0.35">
      <c r="A15929" s="12"/>
    </row>
    <row r="15930" spans="1:1" x14ac:dyDescent="0.35">
      <c r="A15930" s="12"/>
    </row>
    <row r="15931" spans="1:1" x14ac:dyDescent="0.35">
      <c r="A15931" s="12"/>
    </row>
    <row r="15932" spans="1:1" x14ac:dyDescent="0.35">
      <c r="A15932" s="12"/>
    </row>
    <row r="15933" spans="1:1" x14ac:dyDescent="0.35">
      <c r="A15933" s="12"/>
    </row>
    <row r="15934" spans="1:1" x14ac:dyDescent="0.35">
      <c r="A15934" s="12"/>
    </row>
    <row r="15935" spans="1:1" x14ac:dyDescent="0.35">
      <c r="A15935" s="12"/>
    </row>
    <row r="15936" spans="1:1" x14ac:dyDescent="0.35">
      <c r="A15936" s="12"/>
    </row>
    <row r="15937" spans="1:1" x14ac:dyDescent="0.35">
      <c r="A15937" s="12"/>
    </row>
    <row r="15938" spans="1:1" x14ac:dyDescent="0.35">
      <c r="A15938" s="12"/>
    </row>
    <row r="15939" spans="1:1" x14ac:dyDescent="0.35">
      <c r="A15939" s="12"/>
    </row>
    <row r="15940" spans="1:1" x14ac:dyDescent="0.35">
      <c r="A15940" s="12"/>
    </row>
    <row r="15941" spans="1:1" x14ac:dyDescent="0.35">
      <c r="A15941" s="12"/>
    </row>
    <row r="15942" spans="1:1" x14ac:dyDescent="0.35">
      <c r="A15942" s="12"/>
    </row>
    <row r="15943" spans="1:1" x14ac:dyDescent="0.35">
      <c r="A15943" s="12"/>
    </row>
    <row r="15944" spans="1:1" x14ac:dyDescent="0.35">
      <c r="A15944" s="12"/>
    </row>
    <row r="15945" spans="1:1" x14ac:dyDescent="0.35">
      <c r="A15945" s="12"/>
    </row>
    <row r="15946" spans="1:1" x14ac:dyDescent="0.35">
      <c r="A15946" s="12"/>
    </row>
    <row r="15947" spans="1:1" x14ac:dyDescent="0.35">
      <c r="A15947" s="12"/>
    </row>
    <row r="15948" spans="1:1" x14ac:dyDescent="0.35">
      <c r="A15948" s="12"/>
    </row>
    <row r="15949" spans="1:1" x14ac:dyDescent="0.35">
      <c r="A15949" s="12"/>
    </row>
    <row r="15950" spans="1:1" x14ac:dyDescent="0.35">
      <c r="A15950" s="12"/>
    </row>
    <row r="15951" spans="1:1" x14ac:dyDescent="0.35">
      <c r="A15951" s="12"/>
    </row>
    <row r="15952" spans="1:1" x14ac:dyDescent="0.35">
      <c r="A15952" s="12"/>
    </row>
    <row r="15953" spans="1:1" x14ac:dyDescent="0.35">
      <c r="A15953" s="12"/>
    </row>
    <row r="15954" spans="1:1" x14ac:dyDescent="0.35">
      <c r="A15954" s="12"/>
    </row>
    <row r="15955" spans="1:1" x14ac:dyDescent="0.35">
      <c r="A15955" s="12"/>
    </row>
    <row r="15956" spans="1:1" x14ac:dyDescent="0.35">
      <c r="A15956" s="12"/>
    </row>
    <row r="15957" spans="1:1" x14ac:dyDescent="0.35">
      <c r="A15957" s="12"/>
    </row>
    <row r="15958" spans="1:1" x14ac:dyDescent="0.35">
      <c r="A15958" s="12"/>
    </row>
    <row r="15959" spans="1:1" x14ac:dyDescent="0.35">
      <c r="A15959" s="12"/>
    </row>
    <row r="15960" spans="1:1" x14ac:dyDescent="0.35">
      <c r="A15960" s="12"/>
    </row>
    <row r="15961" spans="1:1" x14ac:dyDescent="0.35">
      <c r="A15961" s="12"/>
    </row>
    <row r="15962" spans="1:1" x14ac:dyDescent="0.35">
      <c r="A15962" s="12"/>
    </row>
    <row r="15963" spans="1:1" x14ac:dyDescent="0.35">
      <c r="A15963" s="12"/>
    </row>
    <row r="15964" spans="1:1" x14ac:dyDescent="0.35">
      <c r="A15964" s="12"/>
    </row>
    <row r="15965" spans="1:1" x14ac:dyDescent="0.35">
      <c r="A15965" s="12"/>
    </row>
    <row r="15966" spans="1:1" x14ac:dyDescent="0.35">
      <c r="A15966" s="12"/>
    </row>
    <row r="15967" spans="1:1" x14ac:dyDescent="0.35">
      <c r="A15967" s="12"/>
    </row>
    <row r="15968" spans="1:1" x14ac:dyDescent="0.35">
      <c r="A15968" s="12"/>
    </row>
    <row r="15969" spans="1:1" x14ac:dyDescent="0.35">
      <c r="A15969" s="12"/>
    </row>
    <row r="15970" spans="1:1" x14ac:dyDescent="0.35">
      <c r="A15970" s="12"/>
    </row>
    <row r="15971" spans="1:1" x14ac:dyDescent="0.35">
      <c r="A15971" s="12"/>
    </row>
    <row r="15972" spans="1:1" x14ac:dyDescent="0.35">
      <c r="A15972" s="12"/>
    </row>
    <row r="15973" spans="1:1" x14ac:dyDescent="0.35">
      <c r="A15973" s="12"/>
    </row>
    <row r="15974" spans="1:1" x14ac:dyDescent="0.35">
      <c r="A15974" s="12"/>
    </row>
    <row r="15975" spans="1:1" x14ac:dyDescent="0.35">
      <c r="A15975" s="12"/>
    </row>
    <row r="15976" spans="1:1" x14ac:dyDescent="0.35">
      <c r="A15976" s="12"/>
    </row>
    <row r="15977" spans="1:1" x14ac:dyDescent="0.35">
      <c r="A15977" s="12"/>
    </row>
    <row r="15978" spans="1:1" x14ac:dyDescent="0.35">
      <c r="A15978" s="12"/>
    </row>
    <row r="15979" spans="1:1" x14ac:dyDescent="0.35">
      <c r="A15979" s="12"/>
    </row>
    <row r="15980" spans="1:1" x14ac:dyDescent="0.35">
      <c r="A15980" s="12"/>
    </row>
    <row r="15981" spans="1:1" x14ac:dyDescent="0.35">
      <c r="A15981" s="12"/>
    </row>
    <row r="15982" spans="1:1" x14ac:dyDescent="0.35">
      <c r="A15982" s="12"/>
    </row>
    <row r="15983" spans="1:1" x14ac:dyDescent="0.35">
      <c r="A15983" s="12"/>
    </row>
    <row r="15984" spans="1:1" x14ac:dyDescent="0.35">
      <c r="A15984" s="12"/>
    </row>
    <row r="15985" spans="1:1" x14ac:dyDescent="0.35">
      <c r="A15985" s="12"/>
    </row>
    <row r="15986" spans="1:1" x14ac:dyDescent="0.35">
      <c r="A15986" s="12"/>
    </row>
    <row r="15987" spans="1:1" x14ac:dyDescent="0.35">
      <c r="A15987" s="12"/>
    </row>
    <row r="15988" spans="1:1" x14ac:dyDescent="0.35">
      <c r="A15988" s="12"/>
    </row>
    <row r="15989" spans="1:1" x14ac:dyDescent="0.35">
      <c r="A15989" s="12"/>
    </row>
    <row r="15990" spans="1:1" x14ac:dyDescent="0.35">
      <c r="A15990" s="12"/>
    </row>
    <row r="15991" spans="1:1" x14ac:dyDescent="0.35">
      <c r="A15991" s="12"/>
    </row>
    <row r="15992" spans="1:1" x14ac:dyDescent="0.35">
      <c r="A15992" s="12"/>
    </row>
    <row r="15993" spans="1:1" x14ac:dyDescent="0.35">
      <c r="A15993" s="12"/>
    </row>
    <row r="15994" spans="1:1" x14ac:dyDescent="0.35">
      <c r="A15994" s="12"/>
    </row>
    <row r="15995" spans="1:1" x14ac:dyDescent="0.35">
      <c r="A15995" s="12"/>
    </row>
    <row r="15996" spans="1:1" x14ac:dyDescent="0.35">
      <c r="A15996" s="12"/>
    </row>
    <row r="15997" spans="1:1" x14ac:dyDescent="0.35">
      <c r="A15997" s="12"/>
    </row>
    <row r="15998" spans="1:1" x14ac:dyDescent="0.35">
      <c r="A15998" s="12"/>
    </row>
    <row r="15999" spans="1:1" x14ac:dyDescent="0.35">
      <c r="A15999" s="12"/>
    </row>
    <row r="16000" spans="1:1" x14ac:dyDescent="0.35">
      <c r="A16000" s="12"/>
    </row>
    <row r="16001" spans="1:1" x14ac:dyDescent="0.35">
      <c r="A16001" s="12"/>
    </row>
    <row r="16002" spans="1:1" x14ac:dyDescent="0.35">
      <c r="A16002" s="12"/>
    </row>
    <row r="16003" spans="1:1" x14ac:dyDescent="0.35">
      <c r="A16003" s="12"/>
    </row>
    <row r="16004" spans="1:1" x14ac:dyDescent="0.35">
      <c r="A16004" s="12"/>
    </row>
    <row r="16005" spans="1:1" x14ac:dyDescent="0.35">
      <c r="A16005" s="12"/>
    </row>
    <row r="16006" spans="1:1" x14ac:dyDescent="0.35">
      <c r="A16006" s="12"/>
    </row>
    <row r="16007" spans="1:1" x14ac:dyDescent="0.35">
      <c r="A16007" s="12"/>
    </row>
    <row r="16008" spans="1:1" x14ac:dyDescent="0.35">
      <c r="A16008" s="12"/>
    </row>
    <row r="16009" spans="1:1" x14ac:dyDescent="0.35">
      <c r="A16009" s="12"/>
    </row>
    <row r="16010" spans="1:1" x14ac:dyDescent="0.35">
      <c r="A16010" s="12"/>
    </row>
    <row r="16011" spans="1:1" x14ac:dyDescent="0.35">
      <c r="A16011" s="12"/>
    </row>
    <row r="16012" spans="1:1" x14ac:dyDescent="0.35">
      <c r="A16012" s="12"/>
    </row>
    <row r="16013" spans="1:1" x14ac:dyDescent="0.35">
      <c r="A16013" s="12"/>
    </row>
    <row r="16014" spans="1:1" x14ac:dyDescent="0.35">
      <c r="A16014" s="12"/>
    </row>
    <row r="16015" spans="1:1" x14ac:dyDescent="0.35">
      <c r="A16015" s="12"/>
    </row>
    <row r="16016" spans="1:1" x14ac:dyDescent="0.35">
      <c r="A16016" s="12"/>
    </row>
    <row r="16017" spans="1:1" x14ac:dyDescent="0.35">
      <c r="A16017" s="12"/>
    </row>
    <row r="16018" spans="1:1" x14ac:dyDescent="0.35">
      <c r="A16018" s="12"/>
    </row>
    <row r="16019" spans="1:1" x14ac:dyDescent="0.35">
      <c r="A16019" s="12"/>
    </row>
    <row r="16020" spans="1:1" x14ac:dyDescent="0.35">
      <c r="A16020" s="12"/>
    </row>
    <row r="16021" spans="1:1" x14ac:dyDescent="0.35">
      <c r="A16021" s="12"/>
    </row>
    <row r="16022" spans="1:1" x14ac:dyDescent="0.35">
      <c r="A16022" s="12"/>
    </row>
    <row r="16023" spans="1:1" x14ac:dyDescent="0.35">
      <c r="A16023" s="12"/>
    </row>
    <row r="16024" spans="1:1" x14ac:dyDescent="0.35">
      <c r="A16024" s="12"/>
    </row>
    <row r="16025" spans="1:1" x14ac:dyDescent="0.35">
      <c r="A16025" s="12"/>
    </row>
    <row r="16026" spans="1:1" x14ac:dyDescent="0.35">
      <c r="A16026" s="12"/>
    </row>
    <row r="16027" spans="1:1" x14ac:dyDescent="0.35">
      <c r="A16027" s="12"/>
    </row>
    <row r="16028" spans="1:1" x14ac:dyDescent="0.35">
      <c r="A16028" s="12"/>
    </row>
    <row r="16029" spans="1:1" x14ac:dyDescent="0.35">
      <c r="A16029" s="12"/>
    </row>
    <row r="16030" spans="1:1" x14ac:dyDescent="0.35">
      <c r="A16030" s="12"/>
    </row>
    <row r="16031" spans="1:1" x14ac:dyDescent="0.35">
      <c r="A16031" s="12"/>
    </row>
    <row r="16032" spans="1:1" x14ac:dyDescent="0.35">
      <c r="A16032" s="12"/>
    </row>
    <row r="16033" spans="1:1" x14ac:dyDescent="0.35">
      <c r="A16033" s="12"/>
    </row>
    <row r="16034" spans="1:1" x14ac:dyDescent="0.35">
      <c r="A16034" s="12"/>
    </row>
    <row r="16035" spans="1:1" x14ac:dyDescent="0.35">
      <c r="A16035" s="12"/>
    </row>
    <row r="16036" spans="1:1" x14ac:dyDescent="0.35">
      <c r="A16036" s="12"/>
    </row>
    <row r="16037" spans="1:1" x14ac:dyDescent="0.35">
      <c r="A16037" s="12"/>
    </row>
    <row r="16038" spans="1:1" x14ac:dyDescent="0.35">
      <c r="A16038" s="12"/>
    </row>
    <row r="16039" spans="1:1" x14ac:dyDescent="0.35">
      <c r="A16039" s="12"/>
    </row>
    <row r="16040" spans="1:1" x14ac:dyDescent="0.35">
      <c r="A16040" s="12"/>
    </row>
    <row r="16041" spans="1:1" x14ac:dyDescent="0.35">
      <c r="A16041" s="12"/>
    </row>
    <row r="16042" spans="1:1" x14ac:dyDescent="0.35">
      <c r="A16042" s="12"/>
    </row>
    <row r="16043" spans="1:1" x14ac:dyDescent="0.35">
      <c r="A16043" s="12"/>
    </row>
    <row r="16044" spans="1:1" x14ac:dyDescent="0.35">
      <c r="A16044" s="12"/>
    </row>
    <row r="16045" spans="1:1" x14ac:dyDescent="0.35">
      <c r="A16045" s="12"/>
    </row>
    <row r="16046" spans="1:1" x14ac:dyDescent="0.35">
      <c r="A16046" s="12"/>
    </row>
    <row r="16047" spans="1:1" x14ac:dyDescent="0.35">
      <c r="A16047" s="12"/>
    </row>
    <row r="16048" spans="1:1" x14ac:dyDescent="0.35">
      <c r="A16048" s="12"/>
    </row>
    <row r="16049" spans="1:1" x14ac:dyDescent="0.35">
      <c r="A16049" s="12"/>
    </row>
    <row r="16050" spans="1:1" x14ac:dyDescent="0.35">
      <c r="A16050" s="12"/>
    </row>
    <row r="16051" spans="1:1" x14ac:dyDescent="0.35">
      <c r="A16051" s="12"/>
    </row>
    <row r="16052" spans="1:1" x14ac:dyDescent="0.35">
      <c r="A16052" s="12"/>
    </row>
    <row r="16053" spans="1:1" x14ac:dyDescent="0.35">
      <c r="A16053" s="12"/>
    </row>
    <row r="16054" spans="1:1" x14ac:dyDescent="0.35">
      <c r="A16054" s="12"/>
    </row>
    <row r="16055" spans="1:1" x14ac:dyDescent="0.35">
      <c r="A16055" s="12"/>
    </row>
    <row r="16056" spans="1:1" x14ac:dyDescent="0.35">
      <c r="A16056" s="12"/>
    </row>
    <row r="16057" spans="1:1" x14ac:dyDescent="0.35">
      <c r="A16057" s="12"/>
    </row>
    <row r="16058" spans="1:1" x14ac:dyDescent="0.35">
      <c r="A16058" s="12"/>
    </row>
    <row r="16059" spans="1:1" x14ac:dyDescent="0.35">
      <c r="A16059" s="12"/>
    </row>
    <row r="16060" spans="1:1" x14ac:dyDescent="0.35">
      <c r="A16060" s="12"/>
    </row>
    <row r="16061" spans="1:1" x14ac:dyDescent="0.35">
      <c r="A16061" s="12"/>
    </row>
    <row r="16062" spans="1:1" x14ac:dyDescent="0.35">
      <c r="A16062" s="12"/>
    </row>
    <row r="16063" spans="1:1" x14ac:dyDescent="0.35">
      <c r="A16063" s="12"/>
    </row>
    <row r="16064" spans="1:1" x14ac:dyDescent="0.35">
      <c r="A16064" s="12"/>
    </row>
    <row r="16065" spans="1:1" x14ac:dyDescent="0.35">
      <c r="A16065" s="12"/>
    </row>
    <row r="16066" spans="1:1" x14ac:dyDescent="0.35">
      <c r="A16066" s="12"/>
    </row>
    <row r="16067" spans="1:1" x14ac:dyDescent="0.35">
      <c r="A16067" s="12"/>
    </row>
    <row r="16068" spans="1:1" x14ac:dyDescent="0.35">
      <c r="A16068" s="12"/>
    </row>
    <row r="16069" spans="1:1" x14ac:dyDescent="0.35">
      <c r="A16069" s="12"/>
    </row>
    <row r="16070" spans="1:1" x14ac:dyDescent="0.35">
      <c r="A16070" s="12"/>
    </row>
    <row r="16071" spans="1:1" x14ac:dyDescent="0.35">
      <c r="A16071" s="12"/>
    </row>
    <row r="16072" spans="1:1" x14ac:dyDescent="0.35">
      <c r="A16072" s="12"/>
    </row>
    <row r="16073" spans="1:1" x14ac:dyDescent="0.35">
      <c r="A16073" s="12"/>
    </row>
    <row r="16074" spans="1:1" x14ac:dyDescent="0.35">
      <c r="A16074" s="12"/>
    </row>
    <row r="16075" spans="1:1" x14ac:dyDescent="0.35">
      <c r="A16075" s="12"/>
    </row>
    <row r="16076" spans="1:1" x14ac:dyDescent="0.35">
      <c r="A16076" s="12"/>
    </row>
    <row r="16077" spans="1:1" x14ac:dyDescent="0.35">
      <c r="A16077" s="12"/>
    </row>
    <row r="16078" spans="1:1" x14ac:dyDescent="0.35">
      <c r="A16078" s="12"/>
    </row>
    <row r="16079" spans="1:1" x14ac:dyDescent="0.35">
      <c r="A16079" s="12"/>
    </row>
    <row r="16080" spans="1:1" x14ac:dyDescent="0.35">
      <c r="A16080" s="12"/>
    </row>
    <row r="16081" spans="1:1" x14ac:dyDescent="0.35">
      <c r="A16081" s="12"/>
    </row>
    <row r="16082" spans="1:1" x14ac:dyDescent="0.35">
      <c r="A16082" s="12"/>
    </row>
    <row r="16083" spans="1:1" x14ac:dyDescent="0.35">
      <c r="A16083" s="12"/>
    </row>
    <row r="16084" spans="1:1" x14ac:dyDescent="0.35">
      <c r="A16084" s="12"/>
    </row>
    <row r="16085" spans="1:1" x14ac:dyDescent="0.35">
      <c r="A16085" s="12"/>
    </row>
    <row r="16086" spans="1:1" x14ac:dyDescent="0.35">
      <c r="A16086" s="12"/>
    </row>
    <row r="16087" spans="1:1" x14ac:dyDescent="0.35">
      <c r="A16087" s="12"/>
    </row>
    <row r="16088" spans="1:1" x14ac:dyDescent="0.35">
      <c r="A16088" s="12"/>
    </row>
    <row r="16089" spans="1:1" x14ac:dyDescent="0.35">
      <c r="A16089" s="12"/>
    </row>
    <row r="16090" spans="1:1" x14ac:dyDescent="0.35">
      <c r="A16090" s="12"/>
    </row>
    <row r="16091" spans="1:1" x14ac:dyDescent="0.35">
      <c r="A16091" s="12"/>
    </row>
    <row r="16092" spans="1:1" x14ac:dyDescent="0.35">
      <c r="A16092" s="12"/>
    </row>
    <row r="16093" spans="1:1" x14ac:dyDescent="0.35">
      <c r="A16093" s="12"/>
    </row>
    <row r="16094" spans="1:1" x14ac:dyDescent="0.35">
      <c r="A16094" s="12"/>
    </row>
    <row r="16095" spans="1:1" x14ac:dyDescent="0.35">
      <c r="A16095" s="12"/>
    </row>
    <row r="16096" spans="1:1" x14ac:dyDescent="0.35">
      <c r="A16096" s="12"/>
    </row>
    <row r="16097" spans="1:1" x14ac:dyDescent="0.35">
      <c r="A16097" s="12"/>
    </row>
    <row r="16098" spans="1:1" x14ac:dyDescent="0.35">
      <c r="A16098" s="12"/>
    </row>
    <row r="16099" spans="1:1" x14ac:dyDescent="0.35">
      <c r="A16099" s="12"/>
    </row>
    <row r="16100" spans="1:1" x14ac:dyDescent="0.35">
      <c r="A16100" s="12"/>
    </row>
    <row r="16101" spans="1:1" x14ac:dyDescent="0.35">
      <c r="A16101" s="12"/>
    </row>
    <row r="16102" spans="1:1" x14ac:dyDescent="0.35">
      <c r="A16102" s="12"/>
    </row>
    <row r="16103" spans="1:1" x14ac:dyDescent="0.35">
      <c r="A16103" s="12"/>
    </row>
    <row r="16104" spans="1:1" x14ac:dyDescent="0.35">
      <c r="A16104" s="12"/>
    </row>
    <row r="16105" spans="1:1" x14ac:dyDescent="0.35">
      <c r="A16105" s="12"/>
    </row>
    <row r="16106" spans="1:1" x14ac:dyDescent="0.35">
      <c r="A16106" s="12"/>
    </row>
    <row r="16107" spans="1:1" x14ac:dyDescent="0.35">
      <c r="A16107" s="12"/>
    </row>
    <row r="16108" spans="1:1" x14ac:dyDescent="0.35">
      <c r="A16108" s="12"/>
    </row>
    <row r="16109" spans="1:1" x14ac:dyDescent="0.35">
      <c r="A16109" s="12"/>
    </row>
    <row r="16110" spans="1:1" x14ac:dyDescent="0.35">
      <c r="A16110" s="12"/>
    </row>
    <row r="16111" spans="1:1" x14ac:dyDescent="0.35">
      <c r="A16111" s="12"/>
    </row>
    <row r="16112" spans="1:1" x14ac:dyDescent="0.35">
      <c r="A16112" s="12"/>
    </row>
    <row r="16113" spans="1:1" x14ac:dyDescent="0.35">
      <c r="A16113" s="12"/>
    </row>
    <row r="16114" spans="1:1" x14ac:dyDescent="0.35">
      <c r="A16114" s="12"/>
    </row>
    <row r="16115" spans="1:1" x14ac:dyDescent="0.35">
      <c r="A16115" s="12"/>
    </row>
    <row r="16116" spans="1:1" x14ac:dyDescent="0.35">
      <c r="A16116" s="12"/>
    </row>
    <row r="16117" spans="1:1" x14ac:dyDescent="0.35">
      <c r="A16117" s="12"/>
    </row>
    <row r="16118" spans="1:1" x14ac:dyDescent="0.35">
      <c r="A16118" s="12"/>
    </row>
    <row r="16119" spans="1:1" x14ac:dyDescent="0.35">
      <c r="A16119" s="12"/>
    </row>
    <row r="16120" spans="1:1" x14ac:dyDescent="0.35">
      <c r="A16120" s="12"/>
    </row>
    <row r="16121" spans="1:1" x14ac:dyDescent="0.35">
      <c r="A16121" s="12"/>
    </row>
    <row r="16122" spans="1:1" x14ac:dyDescent="0.35">
      <c r="A16122" s="12"/>
    </row>
    <row r="16123" spans="1:1" x14ac:dyDescent="0.35">
      <c r="A16123" s="12"/>
    </row>
    <row r="16124" spans="1:1" x14ac:dyDescent="0.35">
      <c r="A16124" s="12"/>
    </row>
    <row r="16125" spans="1:1" x14ac:dyDescent="0.35">
      <c r="A16125" s="12"/>
    </row>
    <row r="16126" spans="1:1" x14ac:dyDescent="0.35">
      <c r="A16126" s="12"/>
    </row>
    <row r="16127" spans="1:1" x14ac:dyDescent="0.35">
      <c r="A16127" s="12"/>
    </row>
    <row r="16128" spans="1:1" x14ac:dyDescent="0.35">
      <c r="A16128" s="12"/>
    </row>
    <row r="16129" spans="1:1" x14ac:dyDescent="0.35">
      <c r="A16129" s="12"/>
    </row>
    <row r="16130" spans="1:1" x14ac:dyDescent="0.35">
      <c r="A16130" s="12"/>
    </row>
    <row r="16131" spans="1:1" x14ac:dyDescent="0.35">
      <c r="A16131" s="12"/>
    </row>
    <row r="16132" spans="1:1" x14ac:dyDescent="0.35">
      <c r="A16132" s="12"/>
    </row>
    <row r="16133" spans="1:1" x14ac:dyDescent="0.35">
      <c r="A16133" s="12"/>
    </row>
    <row r="16134" spans="1:1" x14ac:dyDescent="0.35">
      <c r="A16134" s="12"/>
    </row>
    <row r="16135" spans="1:1" x14ac:dyDescent="0.35">
      <c r="A16135" s="12"/>
    </row>
    <row r="16136" spans="1:1" x14ac:dyDescent="0.35">
      <c r="A16136" s="12"/>
    </row>
    <row r="16137" spans="1:1" x14ac:dyDescent="0.35">
      <c r="A16137" s="12"/>
    </row>
    <row r="16138" spans="1:1" x14ac:dyDescent="0.35">
      <c r="A16138" s="12"/>
    </row>
    <row r="16139" spans="1:1" x14ac:dyDescent="0.35">
      <c r="A16139" s="12"/>
    </row>
    <row r="16140" spans="1:1" x14ac:dyDescent="0.35">
      <c r="A16140" s="12"/>
    </row>
    <row r="16141" spans="1:1" x14ac:dyDescent="0.35">
      <c r="A16141" s="12"/>
    </row>
    <row r="16142" spans="1:1" x14ac:dyDescent="0.35">
      <c r="A16142" s="12"/>
    </row>
    <row r="16143" spans="1:1" x14ac:dyDescent="0.35">
      <c r="A16143" s="12"/>
    </row>
    <row r="16144" spans="1:1" x14ac:dyDescent="0.35">
      <c r="A16144" s="12"/>
    </row>
    <row r="16145" spans="1:1" x14ac:dyDescent="0.35">
      <c r="A16145" s="12"/>
    </row>
    <row r="16146" spans="1:1" x14ac:dyDescent="0.35">
      <c r="A16146" s="12"/>
    </row>
    <row r="16147" spans="1:1" x14ac:dyDescent="0.35">
      <c r="A16147" s="12"/>
    </row>
    <row r="16148" spans="1:1" x14ac:dyDescent="0.35">
      <c r="A16148" s="12"/>
    </row>
    <row r="16149" spans="1:1" x14ac:dyDescent="0.35">
      <c r="A16149" s="12"/>
    </row>
    <row r="16150" spans="1:1" x14ac:dyDescent="0.35">
      <c r="A16150" s="12"/>
    </row>
    <row r="16151" spans="1:1" x14ac:dyDescent="0.35">
      <c r="A16151" s="12"/>
    </row>
    <row r="16152" spans="1:1" x14ac:dyDescent="0.35">
      <c r="A16152" s="12"/>
    </row>
    <row r="16153" spans="1:1" x14ac:dyDescent="0.35">
      <c r="A16153" s="12"/>
    </row>
    <row r="16154" spans="1:1" x14ac:dyDescent="0.35">
      <c r="A16154" s="12"/>
    </row>
    <row r="16155" spans="1:1" x14ac:dyDescent="0.35">
      <c r="A16155" s="12"/>
    </row>
    <row r="16156" spans="1:1" x14ac:dyDescent="0.35">
      <c r="A16156" s="12"/>
    </row>
    <row r="16157" spans="1:1" x14ac:dyDescent="0.35">
      <c r="A16157" s="12"/>
    </row>
    <row r="16158" spans="1:1" x14ac:dyDescent="0.35">
      <c r="A16158" s="12"/>
    </row>
    <row r="16159" spans="1:1" x14ac:dyDescent="0.35">
      <c r="A16159" s="12"/>
    </row>
    <row r="16160" spans="1:1" x14ac:dyDescent="0.35">
      <c r="A16160" s="12"/>
    </row>
    <row r="16161" spans="1:1" x14ac:dyDescent="0.35">
      <c r="A16161" s="12"/>
    </row>
    <row r="16162" spans="1:1" x14ac:dyDescent="0.35">
      <c r="A16162" s="12"/>
    </row>
    <row r="16163" spans="1:1" x14ac:dyDescent="0.35">
      <c r="A16163" s="12"/>
    </row>
    <row r="16164" spans="1:1" x14ac:dyDescent="0.35">
      <c r="A16164" s="12"/>
    </row>
    <row r="16165" spans="1:1" x14ac:dyDescent="0.35">
      <c r="A16165" s="12"/>
    </row>
    <row r="16166" spans="1:1" x14ac:dyDescent="0.35">
      <c r="A16166" s="12"/>
    </row>
    <row r="16167" spans="1:1" x14ac:dyDescent="0.35">
      <c r="A16167" s="12"/>
    </row>
    <row r="16168" spans="1:1" x14ac:dyDescent="0.35">
      <c r="A16168" s="12"/>
    </row>
    <row r="16169" spans="1:1" x14ac:dyDescent="0.35">
      <c r="A16169" s="12"/>
    </row>
    <row r="16170" spans="1:1" x14ac:dyDescent="0.35">
      <c r="A16170" s="12"/>
    </row>
    <row r="16171" spans="1:1" x14ac:dyDescent="0.35">
      <c r="A16171" s="12"/>
    </row>
    <row r="16172" spans="1:1" x14ac:dyDescent="0.35">
      <c r="A16172" s="12"/>
    </row>
    <row r="16173" spans="1:1" x14ac:dyDescent="0.35">
      <c r="A16173" s="12"/>
    </row>
    <row r="16174" spans="1:1" x14ac:dyDescent="0.35">
      <c r="A16174" s="12"/>
    </row>
    <row r="16175" spans="1:1" x14ac:dyDescent="0.35">
      <c r="A16175" s="12"/>
    </row>
    <row r="16176" spans="1:1" x14ac:dyDescent="0.35">
      <c r="A16176" s="12"/>
    </row>
    <row r="16177" spans="1:1" x14ac:dyDescent="0.35">
      <c r="A16177" s="12"/>
    </row>
    <row r="16178" spans="1:1" x14ac:dyDescent="0.35">
      <c r="A16178" s="12"/>
    </row>
    <row r="16179" spans="1:1" x14ac:dyDescent="0.35">
      <c r="A16179" s="12"/>
    </row>
    <row r="16180" spans="1:1" x14ac:dyDescent="0.35">
      <c r="A16180" s="12"/>
    </row>
    <row r="16181" spans="1:1" x14ac:dyDescent="0.35">
      <c r="A16181" s="12"/>
    </row>
    <row r="16182" spans="1:1" x14ac:dyDescent="0.35">
      <c r="A16182" s="12"/>
    </row>
    <row r="16183" spans="1:1" x14ac:dyDescent="0.35">
      <c r="A16183" s="12"/>
    </row>
    <row r="16184" spans="1:1" x14ac:dyDescent="0.35">
      <c r="A16184" s="12"/>
    </row>
    <row r="16185" spans="1:1" x14ac:dyDescent="0.35">
      <c r="A16185" s="12"/>
    </row>
    <row r="16186" spans="1:1" x14ac:dyDescent="0.35">
      <c r="A16186" s="12"/>
    </row>
    <row r="16187" spans="1:1" x14ac:dyDescent="0.35">
      <c r="A16187" s="12"/>
    </row>
    <row r="16188" spans="1:1" x14ac:dyDescent="0.35">
      <c r="A16188" s="12"/>
    </row>
    <row r="16189" spans="1:1" x14ac:dyDescent="0.35">
      <c r="A16189" s="12"/>
    </row>
    <row r="16190" spans="1:1" x14ac:dyDescent="0.35">
      <c r="A16190" s="12"/>
    </row>
    <row r="16191" spans="1:1" x14ac:dyDescent="0.35">
      <c r="A16191" s="12"/>
    </row>
    <row r="16192" spans="1:1" x14ac:dyDescent="0.35">
      <c r="A16192" s="12"/>
    </row>
    <row r="16193" spans="1:1" x14ac:dyDescent="0.35">
      <c r="A16193" s="12"/>
    </row>
    <row r="16194" spans="1:1" x14ac:dyDescent="0.35">
      <c r="A16194" s="12"/>
    </row>
    <row r="16195" spans="1:1" x14ac:dyDescent="0.35">
      <c r="A16195" s="12"/>
    </row>
    <row r="16196" spans="1:1" x14ac:dyDescent="0.35">
      <c r="A16196" s="12"/>
    </row>
    <row r="16197" spans="1:1" x14ac:dyDescent="0.35">
      <c r="A16197" s="12"/>
    </row>
    <row r="16198" spans="1:1" x14ac:dyDescent="0.35">
      <c r="A16198" s="12"/>
    </row>
    <row r="16199" spans="1:1" x14ac:dyDescent="0.35">
      <c r="A16199" s="12"/>
    </row>
    <row r="16200" spans="1:1" x14ac:dyDescent="0.35">
      <c r="A16200" s="12"/>
    </row>
    <row r="16201" spans="1:1" x14ac:dyDescent="0.35">
      <c r="A16201" s="12"/>
    </row>
    <row r="16202" spans="1:1" x14ac:dyDescent="0.35">
      <c r="A16202" s="12"/>
    </row>
    <row r="16203" spans="1:1" x14ac:dyDescent="0.35">
      <c r="A16203" s="12"/>
    </row>
    <row r="16204" spans="1:1" x14ac:dyDescent="0.35">
      <c r="A16204" s="12"/>
    </row>
    <row r="16205" spans="1:1" x14ac:dyDescent="0.35">
      <c r="A16205" s="12"/>
    </row>
    <row r="16206" spans="1:1" x14ac:dyDescent="0.35">
      <c r="A16206" s="12"/>
    </row>
    <row r="16207" spans="1:1" x14ac:dyDescent="0.35">
      <c r="A16207" s="12"/>
    </row>
    <row r="16208" spans="1:1" x14ac:dyDescent="0.35">
      <c r="A16208" s="12"/>
    </row>
    <row r="16209" spans="1:1" x14ac:dyDescent="0.35">
      <c r="A16209" s="12"/>
    </row>
    <row r="16210" spans="1:1" x14ac:dyDescent="0.35">
      <c r="A16210" s="12"/>
    </row>
    <row r="16211" spans="1:1" x14ac:dyDescent="0.35">
      <c r="A16211" s="12"/>
    </row>
    <row r="16212" spans="1:1" x14ac:dyDescent="0.35">
      <c r="A16212" s="12"/>
    </row>
    <row r="16213" spans="1:1" x14ac:dyDescent="0.35">
      <c r="A16213" s="12"/>
    </row>
    <row r="16214" spans="1:1" x14ac:dyDescent="0.35">
      <c r="A16214" s="12"/>
    </row>
    <row r="16215" spans="1:1" x14ac:dyDescent="0.35">
      <c r="A16215" s="12"/>
    </row>
    <row r="16216" spans="1:1" x14ac:dyDescent="0.35">
      <c r="A16216" s="12"/>
    </row>
    <row r="16217" spans="1:1" x14ac:dyDescent="0.35">
      <c r="A16217" s="12"/>
    </row>
    <row r="16218" spans="1:1" x14ac:dyDescent="0.35">
      <c r="A16218" s="12"/>
    </row>
    <row r="16219" spans="1:1" x14ac:dyDescent="0.35">
      <c r="A16219" s="12"/>
    </row>
    <row r="16220" spans="1:1" x14ac:dyDescent="0.35">
      <c r="A16220" s="12"/>
    </row>
    <row r="16221" spans="1:1" x14ac:dyDescent="0.35">
      <c r="A16221" s="12"/>
    </row>
    <row r="16222" spans="1:1" x14ac:dyDescent="0.35">
      <c r="A16222" s="12"/>
    </row>
    <row r="16223" spans="1:1" x14ac:dyDescent="0.35">
      <c r="A16223" s="12"/>
    </row>
    <row r="16224" spans="1:1" x14ac:dyDescent="0.35">
      <c r="A16224" s="12"/>
    </row>
    <row r="16225" spans="1:1" x14ac:dyDescent="0.35">
      <c r="A16225" s="12"/>
    </row>
    <row r="16226" spans="1:1" x14ac:dyDescent="0.35">
      <c r="A16226" s="12"/>
    </row>
    <row r="16227" spans="1:1" x14ac:dyDescent="0.35">
      <c r="A16227" s="12"/>
    </row>
    <row r="16228" spans="1:1" x14ac:dyDescent="0.35">
      <c r="A16228" s="12"/>
    </row>
    <row r="16229" spans="1:1" x14ac:dyDescent="0.35">
      <c r="A16229" s="12"/>
    </row>
    <row r="16230" spans="1:1" x14ac:dyDescent="0.35">
      <c r="A16230" s="12"/>
    </row>
    <row r="16231" spans="1:1" x14ac:dyDescent="0.35">
      <c r="A16231" s="12"/>
    </row>
    <row r="16232" spans="1:1" x14ac:dyDescent="0.35">
      <c r="A16232" s="12"/>
    </row>
    <row r="16233" spans="1:1" x14ac:dyDescent="0.35">
      <c r="A16233" s="12"/>
    </row>
    <row r="16234" spans="1:1" x14ac:dyDescent="0.35">
      <c r="A16234" s="12"/>
    </row>
    <row r="16235" spans="1:1" x14ac:dyDescent="0.35">
      <c r="A16235" s="12"/>
    </row>
    <row r="16236" spans="1:1" x14ac:dyDescent="0.35">
      <c r="A16236" s="12"/>
    </row>
    <row r="16237" spans="1:1" x14ac:dyDescent="0.35">
      <c r="A16237" s="12"/>
    </row>
    <row r="16238" spans="1:1" x14ac:dyDescent="0.35">
      <c r="A16238" s="12"/>
    </row>
    <row r="16239" spans="1:1" x14ac:dyDescent="0.35">
      <c r="A16239" s="12"/>
    </row>
    <row r="16240" spans="1:1" x14ac:dyDescent="0.35">
      <c r="A16240" s="12"/>
    </row>
    <row r="16241" spans="1:1" x14ac:dyDescent="0.35">
      <c r="A16241" s="12"/>
    </row>
    <row r="16242" spans="1:1" x14ac:dyDescent="0.35">
      <c r="A16242" s="12"/>
    </row>
    <row r="16243" spans="1:1" x14ac:dyDescent="0.35">
      <c r="A16243" s="12"/>
    </row>
    <row r="16244" spans="1:1" x14ac:dyDescent="0.35">
      <c r="A16244" s="12"/>
    </row>
    <row r="16245" spans="1:1" x14ac:dyDescent="0.35">
      <c r="A16245" s="12"/>
    </row>
    <row r="16246" spans="1:1" x14ac:dyDescent="0.35">
      <c r="A16246" s="12"/>
    </row>
    <row r="16247" spans="1:1" x14ac:dyDescent="0.35">
      <c r="A16247" s="12"/>
    </row>
    <row r="16248" spans="1:1" x14ac:dyDescent="0.35">
      <c r="A16248" s="12"/>
    </row>
    <row r="16249" spans="1:1" x14ac:dyDescent="0.35">
      <c r="A16249" s="12"/>
    </row>
    <row r="16250" spans="1:1" x14ac:dyDescent="0.35">
      <c r="A16250" s="12"/>
    </row>
    <row r="16251" spans="1:1" x14ac:dyDescent="0.35">
      <c r="A16251" s="12"/>
    </row>
    <row r="16252" spans="1:1" x14ac:dyDescent="0.35">
      <c r="A16252" s="12"/>
    </row>
    <row r="16253" spans="1:1" x14ac:dyDescent="0.35">
      <c r="A16253" s="12"/>
    </row>
    <row r="16254" spans="1:1" x14ac:dyDescent="0.35">
      <c r="A16254" s="12"/>
    </row>
    <row r="16255" spans="1:1" x14ac:dyDescent="0.35">
      <c r="A16255" s="12"/>
    </row>
    <row r="16256" spans="1:1" x14ac:dyDescent="0.35">
      <c r="A16256" s="12"/>
    </row>
    <row r="16257" spans="1:1" x14ac:dyDescent="0.35">
      <c r="A16257" s="12"/>
    </row>
    <row r="16258" spans="1:1" x14ac:dyDescent="0.35">
      <c r="A16258" s="12"/>
    </row>
    <row r="16259" spans="1:1" x14ac:dyDescent="0.35">
      <c r="A16259" s="12"/>
    </row>
    <row r="16260" spans="1:1" x14ac:dyDescent="0.35">
      <c r="A16260" s="12"/>
    </row>
    <row r="16261" spans="1:1" x14ac:dyDescent="0.35">
      <c r="A16261" s="12"/>
    </row>
    <row r="16262" spans="1:1" x14ac:dyDescent="0.35">
      <c r="A16262" s="12"/>
    </row>
    <row r="16263" spans="1:1" x14ac:dyDescent="0.35">
      <c r="A16263" s="12"/>
    </row>
    <row r="16264" spans="1:1" x14ac:dyDescent="0.35">
      <c r="A16264" s="12"/>
    </row>
    <row r="16265" spans="1:1" x14ac:dyDescent="0.35">
      <c r="A16265" s="12"/>
    </row>
    <row r="16266" spans="1:1" x14ac:dyDescent="0.35">
      <c r="A16266" s="12"/>
    </row>
    <row r="16267" spans="1:1" x14ac:dyDescent="0.35">
      <c r="A16267" s="12"/>
    </row>
    <row r="16268" spans="1:1" x14ac:dyDescent="0.35">
      <c r="A16268" s="12"/>
    </row>
    <row r="16269" spans="1:1" x14ac:dyDescent="0.35">
      <c r="A16269" s="12"/>
    </row>
    <row r="16270" spans="1:1" x14ac:dyDescent="0.35">
      <c r="A16270" s="12"/>
    </row>
    <row r="16271" spans="1:1" x14ac:dyDescent="0.35">
      <c r="A16271" s="12"/>
    </row>
    <row r="16272" spans="1:1" x14ac:dyDescent="0.35">
      <c r="A16272" s="12"/>
    </row>
    <row r="16273" spans="1:1" x14ac:dyDescent="0.35">
      <c r="A16273" s="12"/>
    </row>
    <row r="16274" spans="1:1" x14ac:dyDescent="0.35">
      <c r="A16274" s="12"/>
    </row>
    <row r="16275" spans="1:1" x14ac:dyDescent="0.35">
      <c r="A16275" s="12"/>
    </row>
    <row r="16276" spans="1:1" x14ac:dyDescent="0.35">
      <c r="A16276" s="12"/>
    </row>
    <row r="16277" spans="1:1" x14ac:dyDescent="0.35">
      <c r="A16277" s="12"/>
    </row>
    <row r="16278" spans="1:1" x14ac:dyDescent="0.35">
      <c r="A16278" s="12"/>
    </row>
    <row r="16279" spans="1:1" x14ac:dyDescent="0.35">
      <c r="A16279" s="12"/>
    </row>
    <row r="16280" spans="1:1" x14ac:dyDescent="0.35">
      <c r="A16280" s="12"/>
    </row>
    <row r="16281" spans="1:1" x14ac:dyDescent="0.35">
      <c r="A16281" s="12"/>
    </row>
    <row r="16282" spans="1:1" x14ac:dyDescent="0.35">
      <c r="A16282" s="12"/>
    </row>
    <row r="16283" spans="1:1" x14ac:dyDescent="0.35">
      <c r="A16283" s="12"/>
    </row>
    <row r="16284" spans="1:1" x14ac:dyDescent="0.35">
      <c r="A16284" s="12"/>
    </row>
    <row r="16285" spans="1:1" x14ac:dyDescent="0.35">
      <c r="A16285" s="12"/>
    </row>
    <row r="16286" spans="1:1" x14ac:dyDescent="0.35">
      <c r="A16286" s="12"/>
    </row>
    <row r="16287" spans="1:1" x14ac:dyDescent="0.35">
      <c r="A16287" s="12"/>
    </row>
    <row r="16288" spans="1:1" x14ac:dyDescent="0.35">
      <c r="A16288" s="12"/>
    </row>
    <row r="16289" spans="1:1" x14ac:dyDescent="0.35">
      <c r="A16289" s="12"/>
    </row>
    <row r="16290" spans="1:1" x14ac:dyDescent="0.35">
      <c r="A16290" s="12"/>
    </row>
    <row r="16291" spans="1:1" x14ac:dyDescent="0.35">
      <c r="A16291" s="12"/>
    </row>
    <row r="16292" spans="1:1" x14ac:dyDescent="0.35">
      <c r="A16292" s="12"/>
    </row>
    <row r="16293" spans="1:1" x14ac:dyDescent="0.35">
      <c r="A16293" s="12"/>
    </row>
    <row r="16294" spans="1:1" x14ac:dyDescent="0.35">
      <c r="A16294" s="12"/>
    </row>
    <row r="16295" spans="1:1" x14ac:dyDescent="0.35">
      <c r="A16295" s="12"/>
    </row>
    <row r="16296" spans="1:1" x14ac:dyDescent="0.35">
      <c r="A16296" s="12"/>
    </row>
    <row r="16297" spans="1:1" x14ac:dyDescent="0.35">
      <c r="A16297" s="12"/>
    </row>
    <row r="16298" spans="1:1" x14ac:dyDescent="0.35">
      <c r="A16298" s="12"/>
    </row>
    <row r="16299" spans="1:1" x14ac:dyDescent="0.35">
      <c r="A16299" s="12"/>
    </row>
    <row r="16300" spans="1:1" x14ac:dyDescent="0.35">
      <c r="A16300" s="12"/>
    </row>
    <row r="16301" spans="1:1" x14ac:dyDescent="0.35">
      <c r="A16301" s="12"/>
    </row>
    <row r="16302" spans="1:1" x14ac:dyDescent="0.35">
      <c r="A16302" s="12"/>
    </row>
    <row r="16303" spans="1:1" x14ac:dyDescent="0.35">
      <c r="A16303" s="12"/>
    </row>
    <row r="16304" spans="1:1" x14ac:dyDescent="0.35">
      <c r="A16304" s="12"/>
    </row>
    <row r="16305" spans="1:1" x14ac:dyDescent="0.35">
      <c r="A16305" s="12"/>
    </row>
    <row r="16306" spans="1:1" x14ac:dyDescent="0.35">
      <c r="A16306" s="12"/>
    </row>
    <row r="16307" spans="1:1" x14ac:dyDescent="0.35">
      <c r="A16307" s="12"/>
    </row>
    <row r="16308" spans="1:1" x14ac:dyDescent="0.35">
      <c r="A16308" s="12"/>
    </row>
    <row r="16309" spans="1:1" x14ac:dyDescent="0.35">
      <c r="A16309" s="12"/>
    </row>
    <row r="16310" spans="1:1" x14ac:dyDescent="0.35">
      <c r="A16310" s="12"/>
    </row>
    <row r="16311" spans="1:1" x14ac:dyDescent="0.35">
      <c r="A16311" s="12"/>
    </row>
    <row r="16312" spans="1:1" x14ac:dyDescent="0.35">
      <c r="A16312" s="12"/>
    </row>
    <row r="16313" spans="1:1" x14ac:dyDescent="0.35">
      <c r="A16313" s="12"/>
    </row>
    <row r="16314" spans="1:1" x14ac:dyDescent="0.35">
      <c r="A16314" s="12"/>
    </row>
    <row r="16315" spans="1:1" x14ac:dyDescent="0.35">
      <c r="A16315" s="12"/>
    </row>
    <row r="16316" spans="1:1" x14ac:dyDescent="0.35">
      <c r="A16316" s="12"/>
    </row>
    <row r="16317" spans="1:1" x14ac:dyDescent="0.35">
      <c r="A16317" s="12"/>
    </row>
    <row r="16318" spans="1:1" x14ac:dyDescent="0.35">
      <c r="A16318" s="12"/>
    </row>
    <row r="16319" spans="1:1" x14ac:dyDescent="0.35">
      <c r="A16319" s="12"/>
    </row>
    <row r="16320" spans="1:1" x14ac:dyDescent="0.35">
      <c r="A16320" s="12"/>
    </row>
    <row r="16321" spans="1:1" x14ac:dyDescent="0.35">
      <c r="A16321" s="12"/>
    </row>
    <row r="16322" spans="1:1" x14ac:dyDescent="0.35">
      <c r="A16322" s="12"/>
    </row>
    <row r="16323" spans="1:1" x14ac:dyDescent="0.35">
      <c r="A16323" s="12"/>
    </row>
    <row r="16324" spans="1:1" x14ac:dyDescent="0.35">
      <c r="A16324" s="12"/>
    </row>
    <row r="16325" spans="1:1" x14ac:dyDescent="0.35">
      <c r="A16325" s="12"/>
    </row>
    <row r="16326" spans="1:1" x14ac:dyDescent="0.35">
      <c r="A16326" s="12"/>
    </row>
    <row r="16327" spans="1:1" x14ac:dyDescent="0.35">
      <c r="A16327" s="12"/>
    </row>
    <row r="16328" spans="1:1" x14ac:dyDescent="0.35">
      <c r="A16328" s="12"/>
    </row>
    <row r="16329" spans="1:1" x14ac:dyDescent="0.35">
      <c r="A16329" s="12"/>
    </row>
    <row r="16330" spans="1:1" x14ac:dyDescent="0.35">
      <c r="A16330" s="12"/>
    </row>
    <row r="16331" spans="1:1" x14ac:dyDescent="0.35">
      <c r="A16331" s="12"/>
    </row>
    <row r="16332" spans="1:1" x14ac:dyDescent="0.35">
      <c r="A16332" s="12"/>
    </row>
    <row r="16333" spans="1:1" x14ac:dyDescent="0.35">
      <c r="A16333" s="12"/>
    </row>
    <row r="16334" spans="1:1" x14ac:dyDescent="0.35">
      <c r="A16334" s="12"/>
    </row>
    <row r="16335" spans="1:1" x14ac:dyDescent="0.35">
      <c r="A16335" s="12"/>
    </row>
    <row r="16336" spans="1:1" x14ac:dyDescent="0.35">
      <c r="A16336" s="12"/>
    </row>
    <row r="16337" spans="1:1" x14ac:dyDescent="0.35">
      <c r="A16337" s="12"/>
    </row>
    <row r="16338" spans="1:1" x14ac:dyDescent="0.35">
      <c r="A16338" s="12"/>
    </row>
    <row r="16339" spans="1:1" x14ac:dyDescent="0.35">
      <c r="A16339" s="12"/>
    </row>
    <row r="16340" spans="1:1" x14ac:dyDescent="0.35">
      <c r="A16340" s="12"/>
    </row>
    <row r="16341" spans="1:1" x14ac:dyDescent="0.35">
      <c r="A16341" s="12"/>
    </row>
    <row r="16342" spans="1:1" x14ac:dyDescent="0.35">
      <c r="A16342" s="12"/>
    </row>
    <row r="16343" spans="1:1" x14ac:dyDescent="0.35">
      <c r="A16343" s="12"/>
    </row>
    <row r="16344" spans="1:1" x14ac:dyDescent="0.35">
      <c r="A16344" s="12"/>
    </row>
    <row r="16345" spans="1:1" x14ac:dyDescent="0.35">
      <c r="A16345" s="12"/>
    </row>
    <row r="16346" spans="1:1" x14ac:dyDescent="0.35">
      <c r="A16346" s="12"/>
    </row>
    <row r="16347" spans="1:1" x14ac:dyDescent="0.35">
      <c r="A16347" s="12"/>
    </row>
    <row r="16348" spans="1:1" x14ac:dyDescent="0.35">
      <c r="A16348" s="12"/>
    </row>
    <row r="16349" spans="1:1" x14ac:dyDescent="0.35">
      <c r="A16349" s="12"/>
    </row>
    <row r="16350" spans="1:1" x14ac:dyDescent="0.35">
      <c r="A16350" s="12"/>
    </row>
    <row r="16351" spans="1:1" x14ac:dyDescent="0.35">
      <c r="A16351" s="12"/>
    </row>
    <row r="16352" spans="1:1" x14ac:dyDescent="0.35">
      <c r="A16352" s="12"/>
    </row>
    <row r="16353" spans="1:1" x14ac:dyDescent="0.35">
      <c r="A16353" s="12"/>
    </row>
    <row r="16354" spans="1:1" x14ac:dyDescent="0.35">
      <c r="A16354" s="12"/>
    </row>
    <row r="16355" spans="1:1" x14ac:dyDescent="0.35">
      <c r="A16355" s="12"/>
    </row>
    <row r="16356" spans="1:1" x14ac:dyDescent="0.35">
      <c r="A16356" s="12"/>
    </row>
    <row r="16357" spans="1:1" x14ac:dyDescent="0.35">
      <c r="A16357" s="12"/>
    </row>
    <row r="16358" spans="1:1" x14ac:dyDescent="0.35">
      <c r="A16358" s="12"/>
    </row>
    <row r="16359" spans="1:1" x14ac:dyDescent="0.35">
      <c r="A16359" s="12"/>
    </row>
    <row r="16360" spans="1:1" x14ac:dyDescent="0.35">
      <c r="A16360" s="12"/>
    </row>
    <row r="16361" spans="1:1" x14ac:dyDescent="0.35">
      <c r="A16361" s="12"/>
    </row>
    <row r="16362" spans="1:1" x14ac:dyDescent="0.35">
      <c r="A16362" s="12"/>
    </row>
    <row r="16363" spans="1:1" x14ac:dyDescent="0.35">
      <c r="A16363" s="12"/>
    </row>
    <row r="16364" spans="1:1" x14ac:dyDescent="0.35">
      <c r="A16364" s="12"/>
    </row>
    <row r="16365" spans="1:1" x14ac:dyDescent="0.35">
      <c r="A16365" s="12"/>
    </row>
    <row r="16366" spans="1:1" x14ac:dyDescent="0.35">
      <c r="A16366" s="12"/>
    </row>
    <row r="16367" spans="1:1" x14ac:dyDescent="0.35">
      <c r="A16367" s="12"/>
    </row>
    <row r="16368" spans="1:1" x14ac:dyDescent="0.35">
      <c r="A16368" s="12"/>
    </row>
    <row r="16369" spans="1:1" x14ac:dyDescent="0.35">
      <c r="A16369" s="12"/>
    </row>
    <row r="16370" spans="1:1" x14ac:dyDescent="0.35">
      <c r="A16370" s="12"/>
    </row>
    <row r="16371" spans="1:1" x14ac:dyDescent="0.35">
      <c r="A16371" s="12"/>
    </row>
    <row r="16372" spans="1:1" x14ac:dyDescent="0.35">
      <c r="A16372" s="12"/>
    </row>
    <row r="16373" spans="1:1" x14ac:dyDescent="0.35">
      <c r="A16373" s="12"/>
    </row>
    <row r="16374" spans="1:1" x14ac:dyDescent="0.35">
      <c r="A16374" s="12"/>
    </row>
    <row r="16375" spans="1:1" x14ac:dyDescent="0.35">
      <c r="A16375" s="12"/>
    </row>
    <row r="16376" spans="1:1" x14ac:dyDescent="0.35">
      <c r="A16376" s="12"/>
    </row>
    <row r="16377" spans="1:1" x14ac:dyDescent="0.35">
      <c r="A16377" s="12"/>
    </row>
    <row r="16378" spans="1:1" x14ac:dyDescent="0.35">
      <c r="A16378" s="12"/>
    </row>
    <row r="16379" spans="1:1" x14ac:dyDescent="0.35">
      <c r="A16379" s="12"/>
    </row>
    <row r="16380" spans="1:1" x14ac:dyDescent="0.35">
      <c r="A16380" s="12"/>
    </row>
    <row r="16381" spans="1:1" x14ac:dyDescent="0.35">
      <c r="A16381" s="12"/>
    </row>
    <row r="16382" spans="1:1" x14ac:dyDescent="0.35">
      <c r="A16382" s="12"/>
    </row>
    <row r="16383" spans="1:1" x14ac:dyDescent="0.35">
      <c r="A16383" s="12"/>
    </row>
    <row r="16384" spans="1:1" x14ac:dyDescent="0.35">
      <c r="A16384" s="12"/>
    </row>
    <row r="16385" spans="1:1" x14ac:dyDescent="0.35">
      <c r="A16385" s="12"/>
    </row>
    <row r="16386" spans="1:1" x14ac:dyDescent="0.35">
      <c r="A16386" s="12"/>
    </row>
    <row r="16387" spans="1:1" x14ac:dyDescent="0.35">
      <c r="A16387" s="12"/>
    </row>
    <row r="16388" spans="1:1" x14ac:dyDescent="0.35">
      <c r="A16388" s="12"/>
    </row>
    <row r="16389" spans="1:1" x14ac:dyDescent="0.35">
      <c r="A16389" s="12"/>
    </row>
    <row r="16390" spans="1:1" x14ac:dyDescent="0.35">
      <c r="A16390" s="12"/>
    </row>
    <row r="16391" spans="1:1" x14ac:dyDescent="0.35">
      <c r="A16391" s="12"/>
    </row>
    <row r="16392" spans="1:1" x14ac:dyDescent="0.35">
      <c r="A16392" s="12"/>
    </row>
    <row r="16393" spans="1:1" x14ac:dyDescent="0.35">
      <c r="A16393" s="12"/>
    </row>
    <row r="16394" spans="1:1" x14ac:dyDescent="0.35">
      <c r="A16394" s="12"/>
    </row>
    <row r="16395" spans="1:1" x14ac:dyDescent="0.35">
      <c r="A16395" s="12"/>
    </row>
  </sheetData>
  <conditionalFormatting sqref="A37:A16395">
    <cfRule type="expression" dxfId="11" priority="1">
      <formula>_xlfn.ISFORMULA(A37)</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7C68A9-88A7-4B8E-9C69-8602A05ED97C}">
  <sheetPr>
    <tabColor rgb="FF00B050"/>
  </sheetPr>
  <dimension ref="A1:C2117"/>
  <sheetViews>
    <sheetView topLeftCell="A477" workbookViewId="0">
      <selection activeCell="O31" sqref="O31"/>
    </sheetView>
  </sheetViews>
  <sheetFormatPr defaultColWidth="8.7265625" defaultRowHeight="14.5" x14ac:dyDescent="0.35"/>
  <cols>
    <col min="1" max="1" width="19.54296875" style="24" customWidth="1"/>
    <col min="2" max="2" width="32" style="24" customWidth="1"/>
    <col min="3" max="3" width="131" style="26" customWidth="1"/>
    <col min="4" max="16384" width="8.7265625" style="23"/>
  </cols>
  <sheetData>
    <row r="1" spans="1:3" x14ac:dyDescent="0.35">
      <c r="A1" s="22" t="s">
        <v>462</v>
      </c>
      <c r="B1" s="22" t="s">
        <v>463</v>
      </c>
      <c r="C1" s="25" t="s">
        <v>29</v>
      </c>
    </row>
    <row r="2" spans="1:3" x14ac:dyDescent="0.35">
      <c r="A2" s="24" t="s">
        <v>464</v>
      </c>
      <c r="B2" s="24" t="s">
        <v>465</v>
      </c>
    </row>
    <row r="3" spans="1:3" x14ac:dyDescent="0.35">
      <c r="A3" s="24" t="s">
        <v>464</v>
      </c>
      <c r="B3" s="24" t="s">
        <v>466</v>
      </c>
      <c r="C3" s="26" t="s">
        <v>466</v>
      </c>
    </row>
    <row r="4" spans="1:3" ht="101.5" x14ac:dyDescent="0.35">
      <c r="A4" s="24" t="s">
        <v>464</v>
      </c>
      <c r="C4" s="26" t="s">
        <v>467</v>
      </c>
    </row>
    <row r="5" spans="1:3" ht="29" x14ac:dyDescent="0.35">
      <c r="A5" s="24" t="s">
        <v>468</v>
      </c>
      <c r="B5" s="24" t="s">
        <v>63</v>
      </c>
      <c r="C5" s="26" t="s">
        <v>469</v>
      </c>
    </row>
    <row r="6" spans="1:3" x14ac:dyDescent="0.35">
      <c r="A6" s="24" t="s">
        <v>468</v>
      </c>
      <c r="B6" s="24" t="s">
        <v>63</v>
      </c>
      <c r="C6" s="26" t="s">
        <v>470</v>
      </c>
    </row>
    <row r="7" spans="1:3" x14ac:dyDescent="0.35">
      <c r="A7" s="24" t="s">
        <v>471</v>
      </c>
      <c r="B7" s="24" t="s">
        <v>85</v>
      </c>
      <c r="C7" s="26" t="s">
        <v>472</v>
      </c>
    </row>
    <row r="8" spans="1:3" ht="29" x14ac:dyDescent="0.35">
      <c r="A8" s="24" t="s">
        <v>473</v>
      </c>
      <c r="B8" s="24" t="s">
        <v>63</v>
      </c>
      <c r="C8" s="26" t="s">
        <v>474</v>
      </c>
    </row>
    <row r="9" spans="1:3" x14ac:dyDescent="0.35">
      <c r="A9" s="24" t="s">
        <v>473</v>
      </c>
      <c r="B9" s="24" t="s">
        <v>63</v>
      </c>
      <c r="C9" s="26" t="s">
        <v>475</v>
      </c>
    </row>
    <row r="10" spans="1:3" x14ac:dyDescent="0.35">
      <c r="A10" s="24" t="s">
        <v>476</v>
      </c>
      <c r="B10" s="24" t="s">
        <v>85</v>
      </c>
      <c r="C10" s="26" t="s">
        <v>477</v>
      </c>
    </row>
    <row r="11" spans="1:3" x14ac:dyDescent="0.35">
      <c r="A11" s="24" t="s">
        <v>478</v>
      </c>
      <c r="B11" s="24" t="s">
        <v>107</v>
      </c>
      <c r="C11" s="26" t="s">
        <v>479</v>
      </c>
    </row>
    <row r="12" spans="1:3" x14ac:dyDescent="0.35">
      <c r="A12" s="24" t="s">
        <v>478</v>
      </c>
      <c r="B12" s="24" t="s">
        <v>107</v>
      </c>
      <c r="C12" s="26" t="s">
        <v>480</v>
      </c>
    </row>
    <row r="13" spans="1:3" x14ac:dyDescent="0.35">
      <c r="A13" s="24" t="s">
        <v>481</v>
      </c>
      <c r="B13" s="24" t="s">
        <v>63</v>
      </c>
      <c r="C13" s="26" t="s">
        <v>482</v>
      </c>
    </row>
    <row r="14" spans="1:3" ht="29" x14ac:dyDescent="0.35">
      <c r="A14" s="24" t="s">
        <v>481</v>
      </c>
      <c r="B14" s="24" t="s">
        <v>63</v>
      </c>
      <c r="C14" s="26" t="s">
        <v>483</v>
      </c>
    </row>
    <row r="15" spans="1:3" x14ac:dyDescent="0.35">
      <c r="A15" s="24" t="s">
        <v>484</v>
      </c>
      <c r="B15" s="24" t="s">
        <v>85</v>
      </c>
      <c r="C15" s="26" t="s">
        <v>485</v>
      </c>
    </row>
    <row r="16" spans="1:3" x14ac:dyDescent="0.35">
      <c r="A16" s="24" t="s">
        <v>484</v>
      </c>
      <c r="B16" s="24" t="s">
        <v>85</v>
      </c>
      <c r="C16" s="26" t="s">
        <v>486</v>
      </c>
    </row>
    <row r="17" spans="1:3" x14ac:dyDescent="0.35">
      <c r="A17" s="24" t="s">
        <v>487</v>
      </c>
      <c r="B17" s="24" t="s">
        <v>107</v>
      </c>
      <c r="C17" s="26" t="s">
        <v>488</v>
      </c>
    </row>
    <row r="18" spans="1:3" x14ac:dyDescent="0.35">
      <c r="A18" s="24" t="s">
        <v>487</v>
      </c>
      <c r="B18" s="24" t="s">
        <v>107</v>
      </c>
      <c r="C18" s="26" t="s">
        <v>489</v>
      </c>
    </row>
    <row r="19" spans="1:3" x14ac:dyDescent="0.35">
      <c r="A19" s="24" t="s">
        <v>490</v>
      </c>
      <c r="B19" s="24" t="s">
        <v>63</v>
      </c>
      <c r="C19" s="26" t="s">
        <v>491</v>
      </c>
    </row>
    <row r="20" spans="1:3" x14ac:dyDescent="0.35">
      <c r="A20" s="24" t="s">
        <v>490</v>
      </c>
      <c r="B20" s="24" t="s">
        <v>63</v>
      </c>
      <c r="C20" s="26" t="s">
        <v>492</v>
      </c>
    </row>
    <row r="21" spans="1:3" x14ac:dyDescent="0.35">
      <c r="A21" s="24" t="s">
        <v>493</v>
      </c>
      <c r="B21" s="24" t="s">
        <v>85</v>
      </c>
      <c r="C21" s="26" t="s">
        <v>494</v>
      </c>
    </row>
    <row r="22" spans="1:3" ht="29" x14ac:dyDescent="0.35">
      <c r="A22" s="24" t="s">
        <v>493</v>
      </c>
      <c r="B22" s="24" t="s">
        <v>85</v>
      </c>
      <c r="C22" s="26" t="s">
        <v>495</v>
      </c>
    </row>
    <row r="23" spans="1:3" x14ac:dyDescent="0.35">
      <c r="A23" s="24" t="s">
        <v>496</v>
      </c>
      <c r="B23" s="24" t="s">
        <v>63</v>
      </c>
      <c r="C23" s="26" t="s">
        <v>497</v>
      </c>
    </row>
    <row r="24" spans="1:3" x14ac:dyDescent="0.35">
      <c r="A24" s="24" t="s">
        <v>496</v>
      </c>
      <c r="B24" s="24" t="s">
        <v>63</v>
      </c>
      <c r="C24" s="26" t="s">
        <v>498</v>
      </c>
    </row>
    <row r="25" spans="1:3" x14ac:dyDescent="0.35">
      <c r="A25" s="24" t="s">
        <v>499</v>
      </c>
      <c r="B25" s="24" t="s">
        <v>85</v>
      </c>
      <c r="C25" s="26" t="s">
        <v>500</v>
      </c>
    </row>
    <row r="26" spans="1:3" x14ac:dyDescent="0.35">
      <c r="A26" s="24" t="s">
        <v>499</v>
      </c>
      <c r="B26" s="24" t="s">
        <v>85</v>
      </c>
      <c r="C26" s="26" t="s">
        <v>501</v>
      </c>
    </row>
    <row r="27" spans="1:3" x14ac:dyDescent="0.35">
      <c r="A27" s="24" t="s">
        <v>502</v>
      </c>
      <c r="B27" s="24" t="s">
        <v>107</v>
      </c>
      <c r="C27" s="26" t="s">
        <v>503</v>
      </c>
    </row>
    <row r="28" spans="1:3" x14ac:dyDescent="0.35">
      <c r="A28" s="24" t="s">
        <v>502</v>
      </c>
      <c r="B28" s="24" t="s">
        <v>107</v>
      </c>
      <c r="C28" s="26" t="s">
        <v>504</v>
      </c>
    </row>
    <row r="29" spans="1:3" x14ac:dyDescent="0.35">
      <c r="A29" s="24" t="s">
        <v>505</v>
      </c>
      <c r="B29" s="24" t="s">
        <v>63</v>
      </c>
      <c r="C29" s="26" t="s">
        <v>506</v>
      </c>
    </row>
    <row r="30" spans="1:3" x14ac:dyDescent="0.35">
      <c r="A30" s="24" t="s">
        <v>505</v>
      </c>
      <c r="B30" s="24" t="s">
        <v>63</v>
      </c>
      <c r="C30" s="26" t="s">
        <v>507</v>
      </c>
    </row>
    <row r="31" spans="1:3" x14ac:dyDescent="0.35">
      <c r="A31" s="24" t="s">
        <v>508</v>
      </c>
      <c r="B31" s="24" t="s">
        <v>85</v>
      </c>
      <c r="C31" s="26" t="s">
        <v>509</v>
      </c>
    </row>
    <row r="32" spans="1:3" ht="43.5" x14ac:dyDescent="0.35">
      <c r="A32" s="24" t="s">
        <v>508</v>
      </c>
      <c r="B32" s="24" t="s">
        <v>85</v>
      </c>
      <c r="C32" s="26" t="s">
        <v>510</v>
      </c>
    </row>
    <row r="33" spans="1:3" ht="29" x14ac:dyDescent="0.35">
      <c r="A33" s="24" t="s">
        <v>511</v>
      </c>
      <c r="B33" s="24" t="s">
        <v>107</v>
      </c>
      <c r="C33" s="26" t="s">
        <v>512</v>
      </c>
    </row>
    <row r="34" spans="1:3" x14ac:dyDescent="0.35">
      <c r="A34" s="24" t="s">
        <v>513</v>
      </c>
      <c r="B34" s="24" t="s">
        <v>63</v>
      </c>
      <c r="C34" s="26" t="s">
        <v>514</v>
      </c>
    </row>
    <row r="35" spans="1:3" x14ac:dyDescent="0.35">
      <c r="A35" s="24" t="s">
        <v>513</v>
      </c>
      <c r="B35" s="24" t="s">
        <v>63</v>
      </c>
      <c r="C35" s="26" t="s">
        <v>515</v>
      </c>
    </row>
    <row r="36" spans="1:3" x14ac:dyDescent="0.35">
      <c r="A36" s="24" t="s">
        <v>516</v>
      </c>
      <c r="B36" s="24" t="s">
        <v>85</v>
      </c>
      <c r="C36" s="26" t="s">
        <v>517</v>
      </c>
    </row>
    <row r="37" spans="1:3" x14ac:dyDescent="0.35">
      <c r="A37" s="24" t="s">
        <v>518</v>
      </c>
      <c r="B37" s="24" t="s">
        <v>107</v>
      </c>
      <c r="C37" s="26" t="s">
        <v>519</v>
      </c>
    </row>
    <row r="38" spans="1:3" x14ac:dyDescent="0.35">
      <c r="A38" s="24" t="s">
        <v>520</v>
      </c>
      <c r="B38" s="24" t="s">
        <v>63</v>
      </c>
      <c r="C38" s="26" t="s">
        <v>521</v>
      </c>
    </row>
    <row r="39" spans="1:3" x14ac:dyDescent="0.35">
      <c r="A39" s="24" t="s">
        <v>520</v>
      </c>
      <c r="B39" s="24" t="s">
        <v>63</v>
      </c>
      <c r="C39" s="26" t="s">
        <v>522</v>
      </c>
    </row>
    <row r="40" spans="1:3" x14ac:dyDescent="0.35">
      <c r="A40" s="24" t="s">
        <v>523</v>
      </c>
      <c r="B40" s="24" t="s">
        <v>85</v>
      </c>
      <c r="C40" s="26" t="s">
        <v>524</v>
      </c>
    </row>
    <row r="41" spans="1:3" x14ac:dyDescent="0.35">
      <c r="A41" s="24" t="s">
        <v>525</v>
      </c>
      <c r="B41" s="24" t="s">
        <v>107</v>
      </c>
      <c r="C41" s="26" t="s">
        <v>526</v>
      </c>
    </row>
    <row r="42" spans="1:3" x14ac:dyDescent="0.35">
      <c r="A42" s="24" t="s">
        <v>527</v>
      </c>
      <c r="B42" s="24" t="s">
        <v>63</v>
      </c>
      <c r="C42" s="26" t="s">
        <v>528</v>
      </c>
    </row>
    <row r="43" spans="1:3" ht="29" x14ac:dyDescent="0.35">
      <c r="A43" s="24" t="s">
        <v>527</v>
      </c>
      <c r="B43" s="24" t="s">
        <v>63</v>
      </c>
      <c r="C43" s="26" t="s">
        <v>529</v>
      </c>
    </row>
    <row r="44" spans="1:3" x14ac:dyDescent="0.35">
      <c r="A44" s="24" t="s">
        <v>530</v>
      </c>
      <c r="B44" s="24" t="s">
        <v>63</v>
      </c>
      <c r="C44" s="26" t="s">
        <v>531</v>
      </c>
    </row>
    <row r="45" spans="1:3" x14ac:dyDescent="0.35">
      <c r="A45" s="24" t="s">
        <v>530</v>
      </c>
      <c r="B45" s="24" t="s">
        <v>63</v>
      </c>
      <c r="C45" s="26" t="s">
        <v>532</v>
      </c>
    </row>
    <row r="46" spans="1:3" x14ac:dyDescent="0.35">
      <c r="A46" s="24" t="s">
        <v>533</v>
      </c>
      <c r="B46" s="24" t="s">
        <v>85</v>
      </c>
      <c r="C46" s="26" t="s">
        <v>534</v>
      </c>
    </row>
    <row r="47" spans="1:3" x14ac:dyDescent="0.35">
      <c r="A47" s="24" t="s">
        <v>535</v>
      </c>
      <c r="B47" s="24" t="s">
        <v>107</v>
      </c>
      <c r="C47" s="26" t="s">
        <v>536</v>
      </c>
    </row>
    <row r="48" spans="1:3" x14ac:dyDescent="0.35">
      <c r="A48" s="24" t="s">
        <v>537</v>
      </c>
      <c r="B48" s="24" t="s">
        <v>63</v>
      </c>
      <c r="C48" s="26" t="s">
        <v>538</v>
      </c>
    </row>
    <row r="49" spans="1:3" x14ac:dyDescent="0.35">
      <c r="A49" s="24" t="s">
        <v>537</v>
      </c>
      <c r="B49" s="24" t="s">
        <v>63</v>
      </c>
      <c r="C49" s="26" t="s">
        <v>539</v>
      </c>
    </row>
    <row r="50" spans="1:3" x14ac:dyDescent="0.35">
      <c r="A50" s="24" t="s">
        <v>540</v>
      </c>
      <c r="B50" s="24" t="s">
        <v>85</v>
      </c>
      <c r="C50" s="26" t="s">
        <v>541</v>
      </c>
    </row>
    <row r="51" spans="1:3" x14ac:dyDescent="0.35">
      <c r="A51" s="24" t="s">
        <v>542</v>
      </c>
      <c r="B51" s="24" t="s">
        <v>107</v>
      </c>
      <c r="C51" s="26" t="s">
        <v>543</v>
      </c>
    </row>
    <row r="52" spans="1:3" x14ac:dyDescent="0.35">
      <c r="A52" s="24" t="s">
        <v>544</v>
      </c>
      <c r="B52" s="24" t="s">
        <v>63</v>
      </c>
      <c r="C52" s="26" t="s">
        <v>545</v>
      </c>
    </row>
    <row r="53" spans="1:3" x14ac:dyDescent="0.35">
      <c r="A53" s="24" t="s">
        <v>544</v>
      </c>
      <c r="B53" s="24" t="s">
        <v>63</v>
      </c>
      <c r="C53" s="26" t="s">
        <v>546</v>
      </c>
    </row>
    <row r="54" spans="1:3" x14ac:dyDescent="0.35">
      <c r="A54" s="24" t="s">
        <v>547</v>
      </c>
      <c r="B54" s="24" t="s">
        <v>85</v>
      </c>
      <c r="C54" s="26" t="s">
        <v>548</v>
      </c>
    </row>
    <row r="55" spans="1:3" x14ac:dyDescent="0.35">
      <c r="A55" s="24" t="s">
        <v>547</v>
      </c>
      <c r="B55" s="24" t="s">
        <v>85</v>
      </c>
      <c r="C55" s="26" t="s">
        <v>549</v>
      </c>
    </row>
    <row r="56" spans="1:3" x14ac:dyDescent="0.35">
      <c r="A56" s="24" t="s">
        <v>550</v>
      </c>
      <c r="B56" s="24" t="s">
        <v>63</v>
      </c>
      <c r="C56" s="26" t="s">
        <v>551</v>
      </c>
    </row>
    <row r="57" spans="1:3" x14ac:dyDescent="0.35">
      <c r="A57" s="24" t="s">
        <v>550</v>
      </c>
      <c r="B57" s="24" t="s">
        <v>63</v>
      </c>
      <c r="C57" s="26" t="s">
        <v>552</v>
      </c>
    </row>
    <row r="58" spans="1:3" x14ac:dyDescent="0.35">
      <c r="A58" s="24" t="s">
        <v>553</v>
      </c>
      <c r="B58" s="24" t="s">
        <v>85</v>
      </c>
      <c r="C58" s="26" t="s">
        <v>554</v>
      </c>
    </row>
    <row r="59" spans="1:3" x14ac:dyDescent="0.35">
      <c r="A59" s="24" t="s">
        <v>555</v>
      </c>
      <c r="B59" s="24" t="s">
        <v>63</v>
      </c>
      <c r="C59" s="26" t="s">
        <v>556</v>
      </c>
    </row>
    <row r="60" spans="1:3" x14ac:dyDescent="0.35">
      <c r="A60" s="24" t="s">
        <v>555</v>
      </c>
      <c r="B60" s="24" t="s">
        <v>63</v>
      </c>
      <c r="C60" s="26" t="s">
        <v>557</v>
      </c>
    </row>
    <row r="61" spans="1:3" ht="29" x14ac:dyDescent="0.35">
      <c r="A61" s="24" t="s">
        <v>558</v>
      </c>
      <c r="B61" s="24" t="s">
        <v>85</v>
      </c>
      <c r="C61" s="26" t="s">
        <v>559</v>
      </c>
    </row>
    <row r="62" spans="1:3" ht="29" x14ac:dyDescent="0.35">
      <c r="A62" s="24" t="s">
        <v>560</v>
      </c>
      <c r="B62" s="24" t="s">
        <v>107</v>
      </c>
      <c r="C62" s="26" t="s">
        <v>561</v>
      </c>
    </row>
    <row r="63" spans="1:3" x14ac:dyDescent="0.35">
      <c r="A63" s="24" t="s">
        <v>562</v>
      </c>
      <c r="B63" s="24" t="s">
        <v>63</v>
      </c>
      <c r="C63" s="26" t="s">
        <v>563</v>
      </c>
    </row>
    <row r="64" spans="1:3" x14ac:dyDescent="0.35">
      <c r="A64" s="24" t="s">
        <v>562</v>
      </c>
      <c r="B64" s="24" t="s">
        <v>63</v>
      </c>
      <c r="C64" s="26" t="s">
        <v>564</v>
      </c>
    </row>
    <row r="65" spans="1:3" x14ac:dyDescent="0.35">
      <c r="A65" s="24" t="s">
        <v>565</v>
      </c>
      <c r="B65" s="24" t="s">
        <v>85</v>
      </c>
      <c r="C65" s="26" t="s">
        <v>566</v>
      </c>
    </row>
    <row r="66" spans="1:3" x14ac:dyDescent="0.35">
      <c r="A66" s="24" t="s">
        <v>567</v>
      </c>
      <c r="B66" s="24" t="s">
        <v>107</v>
      </c>
      <c r="C66" s="26" t="s">
        <v>568</v>
      </c>
    </row>
    <row r="67" spans="1:3" x14ac:dyDescent="0.35">
      <c r="A67" s="24" t="s">
        <v>569</v>
      </c>
      <c r="B67" s="24" t="s">
        <v>63</v>
      </c>
      <c r="C67" s="26" t="s">
        <v>570</v>
      </c>
    </row>
    <row r="68" spans="1:3" x14ac:dyDescent="0.35">
      <c r="A68" s="24" t="s">
        <v>569</v>
      </c>
      <c r="B68" s="24" t="s">
        <v>63</v>
      </c>
      <c r="C68" s="26" t="s">
        <v>571</v>
      </c>
    </row>
    <row r="69" spans="1:3" x14ac:dyDescent="0.35">
      <c r="A69" s="24" t="s">
        <v>572</v>
      </c>
      <c r="B69" s="24" t="s">
        <v>85</v>
      </c>
      <c r="C69" s="26" t="s">
        <v>573</v>
      </c>
    </row>
    <row r="70" spans="1:3" x14ac:dyDescent="0.35">
      <c r="A70" s="24" t="s">
        <v>574</v>
      </c>
      <c r="B70" s="24" t="s">
        <v>107</v>
      </c>
      <c r="C70" s="26" t="s">
        <v>575</v>
      </c>
    </row>
    <row r="71" spans="1:3" x14ac:dyDescent="0.35">
      <c r="A71" s="24" t="s">
        <v>576</v>
      </c>
      <c r="B71" s="24" t="s">
        <v>63</v>
      </c>
      <c r="C71" s="26" t="s">
        <v>577</v>
      </c>
    </row>
    <row r="72" spans="1:3" x14ac:dyDescent="0.35">
      <c r="A72" s="24" t="s">
        <v>576</v>
      </c>
      <c r="B72" s="24" t="s">
        <v>63</v>
      </c>
      <c r="C72" s="26" t="s">
        <v>578</v>
      </c>
    </row>
    <row r="73" spans="1:3" x14ac:dyDescent="0.35">
      <c r="A73" s="24" t="s">
        <v>579</v>
      </c>
      <c r="B73" s="24" t="s">
        <v>85</v>
      </c>
      <c r="C73" s="26" t="s">
        <v>580</v>
      </c>
    </row>
    <row r="74" spans="1:3" x14ac:dyDescent="0.35">
      <c r="A74" s="24" t="s">
        <v>581</v>
      </c>
      <c r="B74" s="24" t="s">
        <v>107</v>
      </c>
      <c r="C74" s="26" t="s">
        <v>582</v>
      </c>
    </row>
    <row r="75" spans="1:3" x14ac:dyDescent="0.35">
      <c r="A75" s="24" t="s">
        <v>583</v>
      </c>
      <c r="B75" s="24" t="s">
        <v>63</v>
      </c>
      <c r="C75" s="26" t="s">
        <v>584</v>
      </c>
    </row>
    <row r="76" spans="1:3" x14ac:dyDescent="0.35">
      <c r="A76" s="24" t="s">
        <v>583</v>
      </c>
      <c r="B76" s="24" t="s">
        <v>63</v>
      </c>
      <c r="C76" s="26" t="s">
        <v>585</v>
      </c>
    </row>
    <row r="77" spans="1:3" x14ac:dyDescent="0.35">
      <c r="A77" s="24" t="s">
        <v>586</v>
      </c>
      <c r="B77" s="24" t="s">
        <v>85</v>
      </c>
      <c r="C77" s="26" t="s">
        <v>587</v>
      </c>
    </row>
    <row r="78" spans="1:3" x14ac:dyDescent="0.35">
      <c r="A78" s="24" t="s">
        <v>588</v>
      </c>
      <c r="B78" s="24" t="s">
        <v>107</v>
      </c>
      <c r="C78" s="26" t="s">
        <v>589</v>
      </c>
    </row>
    <row r="79" spans="1:3" x14ac:dyDescent="0.35">
      <c r="A79" s="24" t="s">
        <v>590</v>
      </c>
      <c r="B79" s="24" t="s">
        <v>63</v>
      </c>
      <c r="C79" s="26" t="s">
        <v>591</v>
      </c>
    </row>
    <row r="80" spans="1:3" ht="29" x14ac:dyDescent="0.35">
      <c r="A80" s="24" t="s">
        <v>590</v>
      </c>
      <c r="B80" s="24" t="s">
        <v>63</v>
      </c>
      <c r="C80" s="26" t="s">
        <v>592</v>
      </c>
    </row>
    <row r="81" spans="1:3" x14ac:dyDescent="0.35">
      <c r="A81" s="24" t="s">
        <v>593</v>
      </c>
      <c r="C81" s="26" t="s">
        <v>594</v>
      </c>
    </row>
    <row r="82" spans="1:3" x14ac:dyDescent="0.35">
      <c r="A82" s="24" t="s">
        <v>595</v>
      </c>
      <c r="B82" s="24" t="s">
        <v>63</v>
      </c>
      <c r="C82" s="26" t="s">
        <v>596</v>
      </c>
    </row>
    <row r="83" spans="1:3" x14ac:dyDescent="0.35">
      <c r="A83" s="24" t="s">
        <v>595</v>
      </c>
      <c r="B83" s="24" t="s">
        <v>63</v>
      </c>
      <c r="C83" s="26" t="s">
        <v>597</v>
      </c>
    </row>
    <row r="84" spans="1:3" x14ac:dyDescent="0.35">
      <c r="A84" s="24" t="s">
        <v>598</v>
      </c>
      <c r="B84" s="24" t="s">
        <v>85</v>
      </c>
      <c r="C84" s="26" t="s">
        <v>599</v>
      </c>
    </row>
    <row r="85" spans="1:3" x14ac:dyDescent="0.35">
      <c r="A85" s="24" t="s">
        <v>600</v>
      </c>
      <c r="B85" s="24" t="s">
        <v>107</v>
      </c>
      <c r="C85" s="26" t="s">
        <v>601</v>
      </c>
    </row>
    <row r="86" spans="1:3" x14ac:dyDescent="0.35">
      <c r="A86" s="24" t="s">
        <v>602</v>
      </c>
      <c r="B86" s="24" t="s">
        <v>128</v>
      </c>
      <c r="C86" s="26" t="s">
        <v>603</v>
      </c>
    </row>
    <row r="87" spans="1:3" x14ac:dyDescent="0.35">
      <c r="A87" s="24" t="s">
        <v>604</v>
      </c>
      <c r="C87" s="26" t="s">
        <v>605</v>
      </c>
    </row>
    <row r="88" spans="1:3" x14ac:dyDescent="0.35">
      <c r="A88" s="24" t="s">
        <v>606</v>
      </c>
      <c r="B88" s="24" t="s">
        <v>63</v>
      </c>
      <c r="C88" s="26" t="s">
        <v>607</v>
      </c>
    </row>
    <row r="89" spans="1:3" ht="72.5" x14ac:dyDescent="0.35">
      <c r="A89" s="24" t="s">
        <v>606</v>
      </c>
      <c r="B89" s="24" t="s">
        <v>63</v>
      </c>
      <c r="C89" s="26" t="s">
        <v>608</v>
      </c>
    </row>
    <row r="90" spans="1:3" x14ac:dyDescent="0.35">
      <c r="A90" s="24" t="s">
        <v>609</v>
      </c>
      <c r="B90" s="24" t="s">
        <v>63</v>
      </c>
      <c r="C90" s="26" t="s">
        <v>610</v>
      </c>
    </row>
    <row r="91" spans="1:3" x14ac:dyDescent="0.35">
      <c r="A91" s="24" t="s">
        <v>609</v>
      </c>
      <c r="B91" s="24" t="s">
        <v>63</v>
      </c>
      <c r="C91" s="26" t="s">
        <v>611</v>
      </c>
    </row>
    <row r="92" spans="1:3" x14ac:dyDescent="0.35">
      <c r="A92" s="24" t="s">
        <v>612</v>
      </c>
      <c r="B92" s="24" t="s">
        <v>85</v>
      </c>
      <c r="C92" s="26" t="s">
        <v>613</v>
      </c>
    </row>
    <row r="93" spans="1:3" x14ac:dyDescent="0.35">
      <c r="A93" s="24" t="s">
        <v>612</v>
      </c>
      <c r="B93" s="24" t="s">
        <v>85</v>
      </c>
      <c r="C93" s="26" t="s">
        <v>614</v>
      </c>
    </row>
    <row r="94" spans="1:3" x14ac:dyDescent="0.35">
      <c r="A94" s="24" t="s">
        <v>615</v>
      </c>
      <c r="B94" s="24" t="s">
        <v>107</v>
      </c>
      <c r="C94" s="26" t="s">
        <v>616</v>
      </c>
    </row>
    <row r="95" spans="1:3" x14ac:dyDescent="0.35">
      <c r="A95" s="24" t="s">
        <v>615</v>
      </c>
      <c r="B95" s="24" t="s">
        <v>107</v>
      </c>
      <c r="C95" s="26" t="s">
        <v>617</v>
      </c>
    </row>
    <row r="96" spans="1:3" x14ac:dyDescent="0.35">
      <c r="A96" s="24" t="s">
        <v>618</v>
      </c>
      <c r="B96" s="24" t="s">
        <v>128</v>
      </c>
      <c r="C96" s="26" t="s">
        <v>619</v>
      </c>
    </row>
    <row r="97" spans="1:3" ht="29" x14ac:dyDescent="0.35">
      <c r="A97" s="24" t="s">
        <v>618</v>
      </c>
      <c r="B97" s="24" t="s">
        <v>128</v>
      </c>
      <c r="C97" s="26" t="s">
        <v>620</v>
      </c>
    </row>
    <row r="98" spans="1:3" x14ac:dyDescent="0.35">
      <c r="A98" s="24" t="s">
        <v>621</v>
      </c>
      <c r="B98" s="24" t="s">
        <v>63</v>
      </c>
      <c r="C98" s="26" t="s">
        <v>622</v>
      </c>
    </row>
    <row r="99" spans="1:3" ht="58" x14ac:dyDescent="0.35">
      <c r="A99" s="24" t="s">
        <v>621</v>
      </c>
      <c r="B99" s="24" t="s">
        <v>63</v>
      </c>
      <c r="C99" s="26" t="s">
        <v>623</v>
      </c>
    </row>
    <row r="100" spans="1:3" x14ac:dyDescent="0.35">
      <c r="A100" s="24" t="s">
        <v>624</v>
      </c>
      <c r="B100" s="24" t="s">
        <v>85</v>
      </c>
      <c r="C100" s="26" t="s">
        <v>625</v>
      </c>
    </row>
    <row r="101" spans="1:3" x14ac:dyDescent="0.35">
      <c r="A101" s="24" t="s">
        <v>624</v>
      </c>
      <c r="B101" s="24" t="s">
        <v>85</v>
      </c>
      <c r="C101" s="26" t="s">
        <v>626</v>
      </c>
    </row>
    <row r="102" spans="1:3" x14ac:dyDescent="0.35">
      <c r="A102" s="24" t="s">
        <v>627</v>
      </c>
      <c r="B102" s="24" t="s">
        <v>107</v>
      </c>
      <c r="C102" s="26" t="s">
        <v>628</v>
      </c>
    </row>
    <row r="103" spans="1:3" x14ac:dyDescent="0.35">
      <c r="A103" s="24" t="s">
        <v>627</v>
      </c>
      <c r="B103" s="24" t="s">
        <v>107</v>
      </c>
      <c r="C103" s="26" t="s">
        <v>629</v>
      </c>
    </row>
    <row r="104" spans="1:3" x14ac:dyDescent="0.35">
      <c r="A104" s="24" t="s">
        <v>630</v>
      </c>
      <c r="B104" s="24" t="s">
        <v>63</v>
      </c>
      <c r="C104" s="26" t="s">
        <v>631</v>
      </c>
    </row>
    <row r="105" spans="1:3" x14ac:dyDescent="0.35">
      <c r="A105" s="24" t="s">
        <v>630</v>
      </c>
      <c r="B105" s="24" t="s">
        <v>63</v>
      </c>
      <c r="C105" s="26" t="s">
        <v>632</v>
      </c>
    </row>
    <row r="106" spans="1:3" x14ac:dyDescent="0.35">
      <c r="A106" s="24" t="s">
        <v>633</v>
      </c>
      <c r="B106" s="24" t="s">
        <v>85</v>
      </c>
      <c r="C106" s="26" t="s">
        <v>634</v>
      </c>
    </row>
    <row r="107" spans="1:3" x14ac:dyDescent="0.35">
      <c r="A107" s="24" t="s">
        <v>633</v>
      </c>
      <c r="B107" s="24" t="s">
        <v>85</v>
      </c>
      <c r="C107" s="26" t="s">
        <v>635</v>
      </c>
    </row>
    <row r="108" spans="1:3" x14ac:dyDescent="0.35">
      <c r="A108" s="24" t="s">
        <v>636</v>
      </c>
      <c r="B108" s="24" t="s">
        <v>107</v>
      </c>
      <c r="C108" s="26" t="s">
        <v>637</v>
      </c>
    </row>
    <row r="109" spans="1:3" x14ac:dyDescent="0.35">
      <c r="A109" s="24" t="s">
        <v>636</v>
      </c>
      <c r="B109" s="24" t="s">
        <v>107</v>
      </c>
      <c r="C109" s="26" t="s">
        <v>638</v>
      </c>
    </row>
    <row r="110" spans="1:3" x14ac:dyDescent="0.35">
      <c r="A110" s="24" t="s">
        <v>639</v>
      </c>
      <c r="B110" s="24" t="s">
        <v>63</v>
      </c>
      <c r="C110" s="26" t="s">
        <v>640</v>
      </c>
    </row>
    <row r="111" spans="1:3" x14ac:dyDescent="0.35">
      <c r="A111" s="24" t="s">
        <v>639</v>
      </c>
      <c r="B111" s="24" t="s">
        <v>63</v>
      </c>
      <c r="C111" s="26" t="s">
        <v>641</v>
      </c>
    </row>
    <row r="112" spans="1:3" x14ac:dyDescent="0.35">
      <c r="A112" s="24" t="s">
        <v>642</v>
      </c>
      <c r="B112" s="24" t="s">
        <v>63</v>
      </c>
      <c r="C112" s="26" t="s">
        <v>643</v>
      </c>
    </row>
    <row r="113" spans="1:3" x14ac:dyDescent="0.35">
      <c r="A113" s="24" t="s">
        <v>642</v>
      </c>
      <c r="B113" s="24" t="s">
        <v>63</v>
      </c>
      <c r="C113" s="26" t="s">
        <v>644</v>
      </c>
    </row>
    <row r="114" spans="1:3" x14ac:dyDescent="0.35">
      <c r="A114" s="24" t="s">
        <v>645</v>
      </c>
      <c r="B114" s="24" t="s">
        <v>85</v>
      </c>
      <c r="C114" s="26" t="s">
        <v>646</v>
      </c>
    </row>
    <row r="115" spans="1:3" x14ac:dyDescent="0.35">
      <c r="A115" s="24" t="s">
        <v>647</v>
      </c>
      <c r="B115" s="24" t="s">
        <v>107</v>
      </c>
      <c r="C115" s="26" t="s">
        <v>648</v>
      </c>
    </row>
    <row r="116" spans="1:3" x14ac:dyDescent="0.35">
      <c r="A116" s="24" t="s">
        <v>649</v>
      </c>
      <c r="B116" s="24" t="s">
        <v>128</v>
      </c>
      <c r="C116" s="26" t="s">
        <v>650</v>
      </c>
    </row>
    <row r="117" spans="1:3" x14ac:dyDescent="0.35">
      <c r="A117" s="24" t="s">
        <v>649</v>
      </c>
      <c r="B117" s="24" t="s">
        <v>128</v>
      </c>
      <c r="C117" s="26" t="s">
        <v>651</v>
      </c>
    </row>
    <row r="118" spans="1:3" x14ac:dyDescent="0.35">
      <c r="A118" s="24" t="s">
        <v>652</v>
      </c>
      <c r="B118" s="24" t="s">
        <v>63</v>
      </c>
      <c r="C118" s="26" t="s">
        <v>653</v>
      </c>
    </row>
    <row r="119" spans="1:3" x14ac:dyDescent="0.35">
      <c r="A119" s="24" t="s">
        <v>652</v>
      </c>
      <c r="B119" s="24" t="s">
        <v>63</v>
      </c>
      <c r="C119" s="26" t="s">
        <v>654</v>
      </c>
    </row>
    <row r="120" spans="1:3" x14ac:dyDescent="0.35">
      <c r="A120" s="24" t="s">
        <v>655</v>
      </c>
      <c r="B120" s="24" t="s">
        <v>85</v>
      </c>
      <c r="C120" s="26" t="s">
        <v>656</v>
      </c>
    </row>
    <row r="121" spans="1:3" x14ac:dyDescent="0.35">
      <c r="A121" s="24" t="s">
        <v>657</v>
      </c>
      <c r="B121" s="24" t="s">
        <v>107</v>
      </c>
      <c r="C121" s="26" t="s">
        <v>658</v>
      </c>
    </row>
    <row r="122" spans="1:3" x14ac:dyDescent="0.35">
      <c r="A122" s="24" t="s">
        <v>659</v>
      </c>
      <c r="B122" s="24" t="s">
        <v>128</v>
      </c>
      <c r="C122" s="26" t="s">
        <v>660</v>
      </c>
    </row>
    <row r="123" spans="1:3" x14ac:dyDescent="0.35">
      <c r="A123" s="24" t="s">
        <v>659</v>
      </c>
      <c r="B123" s="24" t="s">
        <v>128</v>
      </c>
      <c r="C123" s="26" t="s">
        <v>661</v>
      </c>
    </row>
    <row r="124" spans="1:3" x14ac:dyDescent="0.35">
      <c r="A124" s="24" t="s">
        <v>662</v>
      </c>
      <c r="B124" s="24" t="s">
        <v>63</v>
      </c>
      <c r="C124" s="26" t="s">
        <v>663</v>
      </c>
    </row>
    <row r="125" spans="1:3" x14ac:dyDescent="0.35">
      <c r="A125" s="24" t="s">
        <v>662</v>
      </c>
      <c r="B125" s="24" t="s">
        <v>63</v>
      </c>
      <c r="C125" s="26" t="s">
        <v>664</v>
      </c>
    </row>
    <row r="126" spans="1:3" x14ac:dyDescent="0.35">
      <c r="A126" s="24" t="s">
        <v>665</v>
      </c>
      <c r="B126" s="24" t="s">
        <v>63</v>
      </c>
      <c r="C126" s="26" t="s">
        <v>666</v>
      </c>
    </row>
    <row r="127" spans="1:3" x14ac:dyDescent="0.35">
      <c r="A127" s="24" t="s">
        <v>665</v>
      </c>
      <c r="B127" s="24" t="s">
        <v>63</v>
      </c>
      <c r="C127" s="26" t="s">
        <v>667</v>
      </c>
    </row>
    <row r="128" spans="1:3" x14ac:dyDescent="0.35">
      <c r="A128" s="24" t="s">
        <v>668</v>
      </c>
      <c r="B128" s="24" t="s">
        <v>85</v>
      </c>
      <c r="C128" s="26" t="s">
        <v>669</v>
      </c>
    </row>
    <row r="129" spans="1:3" x14ac:dyDescent="0.35">
      <c r="A129" s="24" t="s">
        <v>668</v>
      </c>
      <c r="B129" s="24" t="s">
        <v>85</v>
      </c>
      <c r="C129" s="26" t="s">
        <v>670</v>
      </c>
    </row>
    <row r="130" spans="1:3" x14ac:dyDescent="0.35">
      <c r="A130" s="24" t="s">
        <v>671</v>
      </c>
      <c r="B130" s="24" t="s">
        <v>107</v>
      </c>
      <c r="C130" s="26" t="s">
        <v>672</v>
      </c>
    </row>
    <row r="131" spans="1:3" ht="29" x14ac:dyDescent="0.35">
      <c r="A131" s="24" t="s">
        <v>671</v>
      </c>
      <c r="B131" s="24" t="s">
        <v>107</v>
      </c>
      <c r="C131" s="26" t="s">
        <v>673</v>
      </c>
    </row>
    <row r="132" spans="1:3" x14ac:dyDescent="0.35">
      <c r="A132" s="24" t="s">
        <v>674</v>
      </c>
      <c r="C132" s="26" t="s">
        <v>675</v>
      </c>
    </row>
    <row r="133" spans="1:3" ht="58" x14ac:dyDescent="0.35">
      <c r="A133" s="24" t="s">
        <v>676</v>
      </c>
      <c r="B133" s="24" t="s">
        <v>63</v>
      </c>
      <c r="C133" s="26" t="s">
        <v>677</v>
      </c>
    </row>
    <row r="134" spans="1:3" x14ac:dyDescent="0.35">
      <c r="A134" s="24" t="s">
        <v>676</v>
      </c>
      <c r="B134" s="24" t="s">
        <v>63</v>
      </c>
      <c r="C134" s="26" t="s">
        <v>678</v>
      </c>
    </row>
    <row r="135" spans="1:3" x14ac:dyDescent="0.35">
      <c r="A135" s="24" t="s">
        <v>679</v>
      </c>
      <c r="B135" s="24" t="s">
        <v>85</v>
      </c>
      <c r="C135" s="26" t="s">
        <v>678</v>
      </c>
    </row>
    <row r="136" spans="1:3" x14ac:dyDescent="0.35">
      <c r="A136" s="24" t="s">
        <v>680</v>
      </c>
      <c r="B136" s="24" t="s">
        <v>107</v>
      </c>
      <c r="C136" s="26" t="s">
        <v>678</v>
      </c>
    </row>
    <row r="137" spans="1:3" x14ac:dyDescent="0.35">
      <c r="A137" s="24" t="s">
        <v>681</v>
      </c>
      <c r="B137" s="24" t="s">
        <v>128</v>
      </c>
      <c r="C137" s="26" t="s">
        <v>678</v>
      </c>
    </row>
    <row r="138" spans="1:3" x14ac:dyDescent="0.35">
      <c r="A138" s="24" t="s">
        <v>682</v>
      </c>
      <c r="B138" s="24" t="s">
        <v>149</v>
      </c>
      <c r="C138" s="26" t="s">
        <v>678</v>
      </c>
    </row>
    <row r="139" spans="1:3" x14ac:dyDescent="0.35">
      <c r="A139" s="24" t="s">
        <v>683</v>
      </c>
      <c r="B139" s="24" t="s">
        <v>362</v>
      </c>
      <c r="C139" s="26" t="s">
        <v>678</v>
      </c>
    </row>
    <row r="140" spans="1:3" x14ac:dyDescent="0.35">
      <c r="A140" s="24" t="s">
        <v>684</v>
      </c>
      <c r="B140" s="24" t="s">
        <v>685</v>
      </c>
    </row>
    <row r="141" spans="1:3" ht="29" x14ac:dyDescent="0.35">
      <c r="A141" s="24" t="s">
        <v>684</v>
      </c>
      <c r="B141" s="24" t="s">
        <v>686</v>
      </c>
      <c r="C141" s="26" t="s">
        <v>686</v>
      </c>
    </row>
    <row r="142" spans="1:3" ht="72.5" x14ac:dyDescent="0.35">
      <c r="A142" s="24" t="s">
        <v>684</v>
      </c>
      <c r="C142" s="26" t="s">
        <v>687</v>
      </c>
    </row>
    <row r="143" spans="1:3" x14ac:dyDescent="0.35">
      <c r="A143" s="24" t="s">
        <v>684</v>
      </c>
      <c r="C143" s="26" t="s">
        <v>688</v>
      </c>
    </row>
    <row r="144" spans="1:3" x14ac:dyDescent="0.35">
      <c r="A144" s="24" t="s">
        <v>684</v>
      </c>
      <c r="C144" s="26" t="s">
        <v>689</v>
      </c>
    </row>
    <row r="145" spans="1:3" x14ac:dyDescent="0.35">
      <c r="A145" s="24" t="s">
        <v>690</v>
      </c>
      <c r="B145" s="24" t="s">
        <v>63</v>
      </c>
      <c r="C145" s="26" t="s">
        <v>691</v>
      </c>
    </row>
    <row r="146" spans="1:3" x14ac:dyDescent="0.35">
      <c r="A146" s="24" t="s">
        <v>690</v>
      </c>
      <c r="B146" s="24" t="s">
        <v>63</v>
      </c>
      <c r="C146" s="26" t="s">
        <v>692</v>
      </c>
    </row>
    <row r="147" spans="1:3" x14ac:dyDescent="0.35">
      <c r="A147" s="24" t="s">
        <v>693</v>
      </c>
      <c r="B147" s="24" t="s">
        <v>85</v>
      </c>
      <c r="C147" s="26" t="s">
        <v>694</v>
      </c>
    </row>
    <row r="148" spans="1:3" x14ac:dyDescent="0.35">
      <c r="A148" s="24" t="s">
        <v>695</v>
      </c>
      <c r="B148" s="24" t="s">
        <v>107</v>
      </c>
      <c r="C148" s="26" t="s">
        <v>696</v>
      </c>
    </row>
    <row r="149" spans="1:3" x14ac:dyDescent="0.35">
      <c r="A149" s="24" t="s">
        <v>695</v>
      </c>
      <c r="B149" s="24" t="s">
        <v>107</v>
      </c>
      <c r="C149" s="26" t="s">
        <v>697</v>
      </c>
    </row>
    <row r="150" spans="1:3" x14ac:dyDescent="0.35">
      <c r="A150" s="24" t="s">
        <v>698</v>
      </c>
      <c r="C150" s="26" t="s">
        <v>699</v>
      </c>
    </row>
    <row r="151" spans="1:3" x14ac:dyDescent="0.35">
      <c r="A151" s="24" t="s">
        <v>698</v>
      </c>
      <c r="C151" s="26" t="s">
        <v>700</v>
      </c>
    </row>
    <row r="152" spans="1:3" x14ac:dyDescent="0.35">
      <c r="A152" s="24" t="s">
        <v>701</v>
      </c>
      <c r="B152" s="24" t="s">
        <v>63</v>
      </c>
      <c r="C152" s="26" t="s">
        <v>702</v>
      </c>
    </row>
    <row r="153" spans="1:3" x14ac:dyDescent="0.35">
      <c r="A153" s="24" t="s">
        <v>701</v>
      </c>
      <c r="B153" s="24" t="s">
        <v>63</v>
      </c>
      <c r="C153" s="26" t="s">
        <v>703</v>
      </c>
    </row>
    <row r="154" spans="1:3" x14ac:dyDescent="0.35">
      <c r="A154" s="24" t="s">
        <v>704</v>
      </c>
      <c r="B154" s="24" t="s">
        <v>85</v>
      </c>
      <c r="C154" s="26" t="s">
        <v>703</v>
      </c>
    </row>
    <row r="155" spans="1:3" x14ac:dyDescent="0.35">
      <c r="A155" s="24" t="s">
        <v>705</v>
      </c>
      <c r="B155" s="24" t="s">
        <v>107</v>
      </c>
      <c r="C155" s="26" t="s">
        <v>706</v>
      </c>
    </row>
    <row r="156" spans="1:3" x14ac:dyDescent="0.35">
      <c r="A156" s="24" t="s">
        <v>707</v>
      </c>
      <c r="C156" s="26" t="s">
        <v>708</v>
      </c>
    </row>
    <row r="157" spans="1:3" x14ac:dyDescent="0.35">
      <c r="A157" s="24" t="s">
        <v>707</v>
      </c>
      <c r="C157" s="26" t="s">
        <v>709</v>
      </c>
    </row>
    <row r="158" spans="1:3" x14ac:dyDescent="0.35">
      <c r="A158" s="24" t="s">
        <v>710</v>
      </c>
      <c r="B158" s="24" t="s">
        <v>63</v>
      </c>
      <c r="C158" s="26" t="s">
        <v>711</v>
      </c>
    </row>
    <row r="159" spans="1:3" x14ac:dyDescent="0.35">
      <c r="A159" s="24" t="s">
        <v>710</v>
      </c>
      <c r="B159" s="24" t="s">
        <v>63</v>
      </c>
      <c r="C159" s="26" t="s">
        <v>712</v>
      </c>
    </row>
    <row r="160" spans="1:3" x14ac:dyDescent="0.35">
      <c r="A160" s="24" t="s">
        <v>713</v>
      </c>
      <c r="B160" s="24" t="s">
        <v>85</v>
      </c>
      <c r="C160" s="26" t="s">
        <v>714</v>
      </c>
    </row>
    <row r="161" spans="1:3" x14ac:dyDescent="0.35">
      <c r="A161" s="24" t="s">
        <v>715</v>
      </c>
      <c r="C161" s="26" t="s">
        <v>716</v>
      </c>
    </row>
    <row r="162" spans="1:3" x14ac:dyDescent="0.35">
      <c r="A162" s="24" t="s">
        <v>715</v>
      </c>
      <c r="C162" s="26" t="s">
        <v>717</v>
      </c>
    </row>
    <row r="163" spans="1:3" x14ac:dyDescent="0.35">
      <c r="A163" s="24" t="s">
        <v>718</v>
      </c>
      <c r="B163" s="24" t="s">
        <v>63</v>
      </c>
      <c r="C163" s="26" t="s">
        <v>719</v>
      </c>
    </row>
    <row r="164" spans="1:3" ht="29" x14ac:dyDescent="0.35">
      <c r="A164" s="24" t="s">
        <v>718</v>
      </c>
      <c r="B164" s="24" t="s">
        <v>63</v>
      </c>
      <c r="C164" s="26" t="s">
        <v>720</v>
      </c>
    </row>
    <row r="165" spans="1:3" x14ac:dyDescent="0.35">
      <c r="A165" s="24" t="s">
        <v>721</v>
      </c>
      <c r="C165" s="26" t="s">
        <v>722</v>
      </c>
    </row>
    <row r="166" spans="1:3" x14ac:dyDescent="0.35">
      <c r="A166" s="24" t="s">
        <v>721</v>
      </c>
      <c r="C166" s="26" t="s">
        <v>723</v>
      </c>
    </row>
    <row r="167" spans="1:3" ht="29" x14ac:dyDescent="0.35">
      <c r="A167" s="24" t="s">
        <v>721</v>
      </c>
      <c r="C167" s="26" t="s">
        <v>724</v>
      </c>
    </row>
    <row r="168" spans="1:3" x14ac:dyDescent="0.35">
      <c r="A168" s="24" t="s">
        <v>725</v>
      </c>
      <c r="B168" s="24" t="s">
        <v>63</v>
      </c>
      <c r="C168" s="26" t="s">
        <v>726</v>
      </c>
    </row>
    <row r="169" spans="1:3" x14ac:dyDescent="0.35">
      <c r="A169" s="24" t="s">
        <v>725</v>
      </c>
      <c r="B169" s="24" t="s">
        <v>63</v>
      </c>
      <c r="C169" s="26" t="s">
        <v>727</v>
      </c>
    </row>
    <row r="170" spans="1:3" x14ac:dyDescent="0.35">
      <c r="A170" s="24" t="s">
        <v>728</v>
      </c>
      <c r="B170" s="24" t="s">
        <v>85</v>
      </c>
      <c r="C170" s="26" t="s">
        <v>729</v>
      </c>
    </row>
    <row r="171" spans="1:3" x14ac:dyDescent="0.35">
      <c r="A171" s="24" t="s">
        <v>730</v>
      </c>
      <c r="B171" s="24" t="s">
        <v>107</v>
      </c>
      <c r="C171" s="26" t="s">
        <v>731</v>
      </c>
    </row>
    <row r="172" spans="1:3" ht="29" x14ac:dyDescent="0.35">
      <c r="A172" s="24" t="s">
        <v>732</v>
      </c>
      <c r="C172" s="26" t="s">
        <v>733</v>
      </c>
    </row>
    <row r="173" spans="1:3" x14ac:dyDescent="0.35">
      <c r="A173" s="24" t="s">
        <v>734</v>
      </c>
      <c r="B173" s="24" t="s">
        <v>63</v>
      </c>
      <c r="C173" s="26" t="s">
        <v>735</v>
      </c>
    </row>
    <row r="174" spans="1:3" x14ac:dyDescent="0.35">
      <c r="A174" s="24" t="s">
        <v>734</v>
      </c>
      <c r="B174" s="24" t="s">
        <v>63</v>
      </c>
      <c r="C174" s="26" t="s">
        <v>727</v>
      </c>
    </row>
    <row r="175" spans="1:3" x14ac:dyDescent="0.35">
      <c r="A175" s="24" t="s">
        <v>736</v>
      </c>
      <c r="B175" s="24" t="s">
        <v>85</v>
      </c>
      <c r="C175" s="26" t="s">
        <v>729</v>
      </c>
    </row>
    <row r="176" spans="1:3" x14ac:dyDescent="0.35">
      <c r="A176" s="24" t="s">
        <v>737</v>
      </c>
      <c r="B176" s="24" t="s">
        <v>107</v>
      </c>
      <c r="C176" s="26" t="s">
        <v>731</v>
      </c>
    </row>
    <row r="177" spans="1:3" x14ac:dyDescent="0.35">
      <c r="A177" s="24" t="s">
        <v>738</v>
      </c>
      <c r="B177" s="24" t="s">
        <v>63</v>
      </c>
      <c r="C177" s="26" t="s">
        <v>739</v>
      </c>
    </row>
    <row r="178" spans="1:3" x14ac:dyDescent="0.35">
      <c r="A178" s="24" t="s">
        <v>738</v>
      </c>
      <c r="B178" s="24" t="s">
        <v>63</v>
      </c>
      <c r="C178" s="26" t="s">
        <v>727</v>
      </c>
    </row>
    <row r="179" spans="1:3" x14ac:dyDescent="0.35">
      <c r="A179" s="24" t="s">
        <v>740</v>
      </c>
      <c r="B179" s="24" t="s">
        <v>85</v>
      </c>
      <c r="C179" s="26" t="s">
        <v>729</v>
      </c>
    </row>
    <row r="180" spans="1:3" x14ac:dyDescent="0.35">
      <c r="A180" s="24" t="s">
        <v>741</v>
      </c>
      <c r="B180" s="24" t="s">
        <v>107</v>
      </c>
      <c r="C180" s="26" t="s">
        <v>731</v>
      </c>
    </row>
    <row r="181" spans="1:3" x14ac:dyDescent="0.35">
      <c r="A181" s="24" t="s">
        <v>742</v>
      </c>
      <c r="B181" s="24" t="s">
        <v>63</v>
      </c>
      <c r="C181" s="26" t="s">
        <v>743</v>
      </c>
    </row>
    <row r="182" spans="1:3" x14ac:dyDescent="0.35">
      <c r="A182" s="24" t="s">
        <v>742</v>
      </c>
      <c r="B182" s="24" t="s">
        <v>63</v>
      </c>
      <c r="C182" s="26" t="s">
        <v>727</v>
      </c>
    </row>
    <row r="183" spans="1:3" x14ac:dyDescent="0.35">
      <c r="A183" s="24" t="s">
        <v>744</v>
      </c>
      <c r="B183" s="24" t="s">
        <v>85</v>
      </c>
      <c r="C183" s="26" t="s">
        <v>729</v>
      </c>
    </row>
    <row r="184" spans="1:3" x14ac:dyDescent="0.35">
      <c r="A184" s="24" t="s">
        <v>745</v>
      </c>
      <c r="B184" s="24" t="s">
        <v>107</v>
      </c>
      <c r="C184" s="26" t="s">
        <v>731</v>
      </c>
    </row>
    <row r="185" spans="1:3" x14ac:dyDescent="0.35">
      <c r="A185" s="24" t="s">
        <v>746</v>
      </c>
      <c r="B185" s="24" t="s">
        <v>63</v>
      </c>
      <c r="C185" s="26" t="s">
        <v>747</v>
      </c>
    </row>
    <row r="186" spans="1:3" x14ac:dyDescent="0.35">
      <c r="A186" s="24" t="s">
        <v>748</v>
      </c>
      <c r="B186" s="24" t="s">
        <v>63</v>
      </c>
      <c r="C186" s="26" t="s">
        <v>749</v>
      </c>
    </row>
    <row r="187" spans="1:3" x14ac:dyDescent="0.35">
      <c r="A187" s="24" t="s">
        <v>748</v>
      </c>
      <c r="B187" s="24" t="s">
        <v>63</v>
      </c>
      <c r="C187" s="26" t="s">
        <v>750</v>
      </c>
    </row>
    <row r="188" spans="1:3" x14ac:dyDescent="0.35">
      <c r="A188" s="24" t="s">
        <v>751</v>
      </c>
      <c r="B188" s="24" t="s">
        <v>85</v>
      </c>
      <c r="C188" s="26" t="s">
        <v>752</v>
      </c>
    </row>
    <row r="189" spans="1:3" x14ac:dyDescent="0.35">
      <c r="A189" s="24" t="s">
        <v>753</v>
      </c>
      <c r="C189" s="26" t="s">
        <v>754</v>
      </c>
    </row>
    <row r="190" spans="1:3" x14ac:dyDescent="0.35">
      <c r="A190" s="24" t="s">
        <v>755</v>
      </c>
      <c r="B190" s="24" t="s">
        <v>63</v>
      </c>
      <c r="C190" s="26" t="s">
        <v>756</v>
      </c>
    </row>
    <row r="191" spans="1:3" x14ac:dyDescent="0.35">
      <c r="A191" s="24" t="s">
        <v>755</v>
      </c>
      <c r="B191" s="24" t="s">
        <v>63</v>
      </c>
      <c r="C191" s="26" t="s">
        <v>757</v>
      </c>
    </row>
    <row r="192" spans="1:3" x14ac:dyDescent="0.35">
      <c r="A192" s="24" t="s">
        <v>758</v>
      </c>
      <c r="B192" s="24" t="s">
        <v>85</v>
      </c>
      <c r="C192" s="26" t="s">
        <v>759</v>
      </c>
    </row>
    <row r="193" spans="1:3" x14ac:dyDescent="0.35">
      <c r="A193" s="24" t="s">
        <v>760</v>
      </c>
      <c r="B193" s="24" t="s">
        <v>107</v>
      </c>
      <c r="C193" s="26" t="s">
        <v>761</v>
      </c>
    </row>
    <row r="194" spans="1:3" x14ac:dyDescent="0.35">
      <c r="A194" s="24" t="s">
        <v>760</v>
      </c>
      <c r="B194" s="24" t="s">
        <v>107</v>
      </c>
      <c r="C194" s="26" t="s">
        <v>762</v>
      </c>
    </row>
    <row r="195" spans="1:3" x14ac:dyDescent="0.35">
      <c r="A195" s="24" t="s">
        <v>763</v>
      </c>
      <c r="B195" s="24" t="s">
        <v>128</v>
      </c>
      <c r="C195" s="26" t="s">
        <v>764</v>
      </c>
    </row>
    <row r="196" spans="1:3" x14ac:dyDescent="0.35">
      <c r="A196" s="24" t="s">
        <v>765</v>
      </c>
      <c r="B196" s="24" t="s">
        <v>63</v>
      </c>
      <c r="C196" s="26" t="s">
        <v>766</v>
      </c>
    </row>
    <row r="197" spans="1:3" x14ac:dyDescent="0.35">
      <c r="A197" s="24" t="s">
        <v>767</v>
      </c>
      <c r="B197" s="24" t="s">
        <v>85</v>
      </c>
      <c r="C197" s="26" t="s">
        <v>768</v>
      </c>
    </row>
    <row r="198" spans="1:3" x14ac:dyDescent="0.35">
      <c r="A198" s="24" t="s">
        <v>767</v>
      </c>
      <c r="B198" s="24" t="s">
        <v>85</v>
      </c>
      <c r="C198" s="26" t="s">
        <v>769</v>
      </c>
    </row>
    <row r="199" spans="1:3" x14ac:dyDescent="0.35">
      <c r="A199" s="24" t="s">
        <v>770</v>
      </c>
      <c r="B199" s="24" t="s">
        <v>107</v>
      </c>
      <c r="C199" s="26" t="s">
        <v>771</v>
      </c>
    </row>
    <row r="200" spans="1:3" x14ac:dyDescent="0.35">
      <c r="A200" s="24" t="s">
        <v>770</v>
      </c>
      <c r="B200" s="24" t="s">
        <v>107</v>
      </c>
      <c r="C200" s="26" t="s">
        <v>772</v>
      </c>
    </row>
    <row r="201" spans="1:3" x14ac:dyDescent="0.35">
      <c r="A201" s="24" t="s">
        <v>770</v>
      </c>
      <c r="B201" s="24" t="s">
        <v>107</v>
      </c>
      <c r="C201" s="26" t="s">
        <v>773</v>
      </c>
    </row>
    <row r="202" spans="1:3" x14ac:dyDescent="0.35">
      <c r="A202" s="24" t="s">
        <v>774</v>
      </c>
      <c r="C202" s="26" t="s">
        <v>775</v>
      </c>
    </row>
    <row r="203" spans="1:3" ht="58" x14ac:dyDescent="0.35">
      <c r="A203" s="24" t="s">
        <v>776</v>
      </c>
      <c r="B203" s="24" t="s">
        <v>63</v>
      </c>
      <c r="C203" s="26" t="s">
        <v>777</v>
      </c>
    </row>
    <row r="204" spans="1:3" x14ac:dyDescent="0.35">
      <c r="A204" s="24" t="s">
        <v>776</v>
      </c>
      <c r="B204" s="24" t="s">
        <v>63</v>
      </c>
      <c r="C204" s="26" t="s">
        <v>778</v>
      </c>
    </row>
    <row r="205" spans="1:3" x14ac:dyDescent="0.35">
      <c r="A205" s="24" t="s">
        <v>779</v>
      </c>
      <c r="B205" s="24" t="s">
        <v>85</v>
      </c>
      <c r="C205" s="26" t="s">
        <v>778</v>
      </c>
    </row>
    <row r="206" spans="1:3" x14ac:dyDescent="0.35">
      <c r="A206" s="24" t="s">
        <v>780</v>
      </c>
      <c r="B206" s="24" t="s">
        <v>107</v>
      </c>
      <c r="C206" s="26" t="s">
        <v>778</v>
      </c>
    </row>
    <row r="207" spans="1:3" x14ac:dyDescent="0.35">
      <c r="A207" s="24" t="s">
        <v>781</v>
      </c>
      <c r="B207" s="24" t="s">
        <v>128</v>
      </c>
      <c r="C207" s="26" t="s">
        <v>778</v>
      </c>
    </row>
    <row r="208" spans="1:3" x14ac:dyDescent="0.35">
      <c r="A208" s="24" t="s">
        <v>782</v>
      </c>
      <c r="B208" s="24" t="s">
        <v>149</v>
      </c>
      <c r="C208" s="26" t="s">
        <v>778</v>
      </c>
    </row>
    <row r="209" spans="1:3" x14ac:dyDescent="0.35">
      <c r="A209" s="24" t="s">
        <v>783</v>
      </c>
      <c r="B209" s="24" t="s">
        <v>362</v>
      </c>
      <c r="C209" s="26" t="s">
        <v>778</v>
      </c>
    </row>
    <row r="210" spans="1:3" x14ac:dyDescent="0.35">
      <c r="A210" s="24" t="s">
        <v>784</v>
      </c>
      <c r="B210" s="24" t="s">
        <v>785</v>
      </c>
    </row>
    <row r="211" spans="1:3" x14ac:dyDescent="0.35">
      <c r="A211" s="24" t="s">
        <v>784</v>
      </c>
      <c r="B211" s="24" t="s">
        <v>786</v>
      </c>
      <c r="C211" s="26" t="s">
        <v>786</v>
      </c>
    </row>
    <row r="212" spans="1:3" ht="43.5" x14ac:dyDescent="0.35">
      <c r="A212" s="24" t="s">
        <v>784</v>
      </c>
      <c r="B212" s="24" t="s">
        <v>787</v>
      </c>
      <c r="C212" s="26" t="s">
        <v>787</v>
      </c>
    </row>
    <row r="213" spans="1:3" ht="72.5" x14ac:dyDescent="0.35">
      <c r="A213" s="24" t="s">
        <v>784</v>
      </c>
      <c r="C213" s="26" t="s">
        <v>788</v>
      </c>
    </row>
    <row r="214" spans="1:3" x14ac:dyDescent="0.35">
      <c r="A214" s="24" t="s">
        <v>784</v>
      </c>
      <c r="C214" s="26" t="s">
        <v>789</v>
      </c>
    </row>
    <row r="215" spans="1:3" ht="29" x14ac:dyDescent="0.35">
      <c r="A215" s="24" t="s">
        <v>790</v>
      </c>
      <c r="B215" s="24" t="s">
        <v>791</v>
      </c>
      <c r="C215" s="26" t="s">
        <v>792</v>
      </c>
    </row>
    <row r="216" spans="1:3" x14ac:dyDescent="0.35">
      <c r="A216" s="24" t="s">
        <v>790</v>
      </c>
      <c r="B216" s="24" t="s">
        <v>791</v>
      </c>
      <c r="C216" s="26" t="s">
        <v>793</v>
      </c>
    </row>
    <row r="217" spans="1:3" x14ac:dyDescent="0.35">
      <c r="A217" s="24" t="s">
        <v>794</v>
      </c>
      <c r="B217" s="24" t="s">
        <v>795</v>
      </c>
      <c r="C217" s="26" t="s">
        <v>796</v>
      </c>
    </row>
    <row r="218" spans="1:3" x14ac:dyDescent="0.35">
      <c r="A218" s="24" t="s">
        <v>797</v>
      </c>
      <c r="B218" s="24" t="s">
        <v>798</v>
      </c>
      <c r="C218" s="26" t="s">
        <v>799</v>
      </c>
    </row>
    <row r="219" spans="1:3" x14ac:dyDescent="0.35">
      <c r="A219" s="24" t="s">
        <v>800</v>
      </c>
      <c r="C219" s="26" t="s">
        <v>801</v>
      </c>
    </row>
    <row r="220" spans="1:3" ht="29" x14ac:dyDescent="0.35">
      <c r="A220" s="24" t="s">
        <v>802</v>
      </c>
      <c r="B220" s="24" t="s">
        <v>791</v>
      </c>
      <c r="C220" s="26" t="s">
        <v>803</v>
      </c>
    </row>
    <row r="221" spans="1:3" ht="29" x14ac:dyDescent="0.35">
      <c r="A221" s="24" t="s">
        <v>802</v>
      </c>
      <c r="B221" s="24" t="s">
        <v>791</v>
      </c>
      <c r="C221" s="26" t="s">
        <v>804</v>
      </c>
    </row>
    <row r="222" spans="1:3" x14ac:dyDescent="0.35">
      <c r="A222" s="24" t="s">
        <v>805</v>
      </c>
      <c r="B222" s="24" t="s">
        <v>795</v>
      </c>
      <c r="C222" s="26" t="s">
        <v>806</v>
      </c>
    </row>
    <row r="223" spans="1:3" x14ac:dyDescent="0.35">
      <c r="A223" s="24" t="s">
        <v>807</v>
      </c>
      <c r="B223" s="24" t="s">
        <v>798</v>
      </c>
      <c r="C223" s="26" t="s">
        <v>808</v>
      </c>
    </row>
    <row r="224" spans="1:3" x14ac:dyDescent="0.35">
      <c r="A224" s="24" t="s">
        <v>809</v>
      </c>
      <c r="C224" s="26" t="s">
        <v>810</v>
      </c>
    </row>
    <row r="225" spans="1:3" ht="29" x14ac:dyDescent="0.35">
      <c r="A225" s="24" t="s">
        <v>811</v>
      </c>
      <c r="B225" s="24" t="s">
        <v>791</v>
      </c>
      <c r="C225" s="26" t="s">
        <v>812</v>
      </c>
    </row>
    <row r="226" spans="1:3" x14ac:dyDescent="0.35">
      <c r="A226" s="24" t="s">
        <v>811</v>
      </c>
      <c r="B226" s="24" t="s">
        <v>791</v>
      </c>
      <c r="C226" s="26" t="s">
        <v>813</v>
      </c>
    </row>
    <row r="227" spans="1:3" x14ac:dyDescent="0.35">
      <c r="A227" s="24" t="s">
        <v>814</v>
      </c>
      <c r="B227" s="24" t="s">
        <v>795</v>
      </c>
      <c r="C227" s="26" t="s">
        <v>815</v>
      </c>
    </row>
    <row r="228" spans="1:3" x14ac:dyDescent="0.35">
      <c r="A228" s="24" t="s">
        <v>816</v>
      </c>
      <c r="C228" s="26" t="s">
        <v>817</v>
      </c>
    </row>
    <row r="229" spans="1:3" ht="43.5" x14ac:dyDescent="0.35">
      <c r="A229" s="24" t="s">
        <v>818</v>
      </c>
      <c r="B229" s="24" t="s">
        <v>791</v>
      </c>
      <c r="C229" s="26" t="s">
        <v>819</v>
      </c>
    </row>
    <row r="230" spans="1:3" x14ac:dyDescent="0.35">
      <c r="A230" s="24" t="s">
        <v>818</v>
      </c>
      <c r="B230" s="24" t="s">
        <v>791</v>
      </c>
      <c r="C230" s="26" t="s">
        <v>820</v>
      </c>
    </row>
    <row r="231" spans="1:3" x14ac:dyDescent="0.35">
      <c r="A231" s="24" t="s">
        <v>821</v>
      </c>
      <c r="B231" s="24" t="s">
        <v>795</v>
      </c>
      <c r="C231" s="26" t="s">
        <v>822</v>
      </c>
    </row>
    <row r="232" spans="1:3" x14ac:dyDescent="0.35">
      <c r="A232" s="24" t="s">
        <v>823</v>
      </c>
      <c r="B232" s="24" t="s">
        <v>798</v>
      </c>
      <c r="C232" s="26" t="s">
        <v>824</v>
      </c>
    </row>
    <row r="233" spans="1:3" x14ac:dyDescent="0.35">
      <c r="A233" s="24" t="s">
        <v>825</v>
      </c>
      <c r="B233" s="24" t="s">
        <v>791</v>
      </c>
      <c r="C233" s="26" t="s">
        <v>826</v>
      </c>
    </row>
    <row r="234" spans="1:3" x14ac:dyDescent="0.35">
      <c r="A234" s="24" t="s">
        <v>827</v>
      </c>
      <c r="B234" s="24" t="s">
        <v>795</v>
      </c>
      <c r="C234" s="26" t="s">
        <v>828</v>
      </c>
    </row>
    <row r="235" spans="1:3" x14ac:dyDescent="0.35">
      <c r="A235" s="24" t="s">
        <v>829</v>
      </c>
      <c r="B235" s="24" t="s">
        <v>798</v>
      </c>
      <c r="C235" s="26" t="s">
        <v>830</v>
      </c>
    </row>
    <row r="236" spans="1:3" x14ac:dyDescent="0.35">
      <c r="A236" s="24" t="s">
        <v>831</v>
      </c>
      <c r="B236" s="24" t="s">
        <v>791</v>
      </c>
      <c r="C236" s="26" t="s">
        <v>832</v>
      </c>
    </row>
    <row r="237" spans="1:3" x14ac:dyDescent="0.35">
      <c r="A237" s="24" t="s">
        <v>833</v>
      </c>
      <c r="C237" s="26" t="s">
        <v>834</v>
      </c>
    </row>
    <row r="238" spans="1:3" ht="29" x14ac:dyDescent="0.35">
      <c r="A238" s="24" t="s">
        <v>835</v>
      </c>
      <c r="B238" s="24" t="s">
        <v>791</v>
      </c>
      <c r="C238" s="26" t="s">
        <v>836</v>
      </c>
    </row>
    <row r="239" spans="1:3" ht="29" x14ac:dyDescent="0.35">
      <c r="A239" s="24" t="s">
        <v>835</v>
      </c>
      <c r="B239" s="24" t="s">
        <v>791</v>
      </c>
      <c r="C239" s="26" t="s">
        <v>837</v>
      </c>
    </row>
    <row r="240" spans="1:3" ht="43.5" x14ac:dyDescent="0.35">
      <c r="A240" s="24" t="s">
        <v>838</v>
      </c>
      <c r="B240" s="24" t="s">
        <v>795</v>
      </c>
      <c r="C240" s="26" t="s">
        <v>839</v>
      </c>
    </row>
    <row r="241" spans="1:3" x14ac:dyDescent="0.35">
      <c r="A241" s="24" t="s">
        <v>840</v>
      </c>
      <c r="C241" s="26" t="s">
        <v>841</v>
      </c>
    </row>
    <row r="242" spans="1:3" ht="43.5" x14ac:dyDescent="0.35">
      <c r="A242" s="24" t="s">
        <v>842</v>
      </c>
      <c r="B242" s="24" t="s">
        <v>791</v>
      </c>
      <c r="C242" s="26" t="s">
        <v>843</v>
      </c>
    </row>
    <row r="243" spans="1:3" x14ac:dyDescent="0.35">
      <c r="A243" s="24" t="s">
        <v>842</v>
      </c>
      <c r="B243" s="24" t="s">
        <v>791</v>
      </c>
      <c r="C243" s="26" t="s">
        <v>844</v>
      </c>
    </row>
    <row r="244" spans="1:3" x14ac:dyDescent="0.35">
      <c r="A244" s="24" t="s">
        <v>845</v>
      </c>
      <c r="B244" s="24" t="s">
        <v>795</v>
      </c>
      <c r="C244" s="26" t="s">
        <v>846</v>
      </c>
    </row>
    <row r="245" spans="1:3" x14ac:dyDescent="0.35">
      <c r="A245" s="24" t="s">
        <v>847</v>
      </c>
      <c r="B245" s="24" t="s">
        <v>798</v>
      </c>
      <c r="C245" s="26" t="s">
        <v>848</v>
      </c>
    </row>
    <row r="246" spans="1:3" x14ac:dyDescent="0.35">
      <c r="A246" s="24" t="s">
        <v>849</v>
      </c>
      <c r="B246" s="24" t="s">
        <v>791</v>
      </c>
      <c r="C246" s="26" t="s">
        <v>850</v>
      </c>
    </row>
    <row r="247" spans="1:3" x14ac:dyDescent="0.35">
      <c r="A247" s="24" t="s">
        <v>851</v>
      </c>
      <c r="B247" s="24" t="s">
        <v>795</v>
      </c>
      <c r="C247" s="26" t="s">
        <v>852</v>
      </c>
    </row>
    <row r="248" spans="1:3" x14ac:dyDescent="0.35">
      <c r="A248" s="24" t="s">
        <v>853</v>
      </c>
      <c r="B248" s="24" t="s">
        <v>798</v>
      </c>
      <c r="C248" s="26" t="s">
        <v>854</v>
      </c>
    </row>
    <row r="249" spans="1:3" x14ac:dyDescent="0.35">
      <c r="A249" s="24" t="s">
        <v>855</v>
      </c>
      <c r="B249" s="24" t="s">
        <v>791</v>
      </c>
      <c r="C249" s="26" t="s">
        <v>856</v>
      </c>
    </row>
    <row r="250" spans="1:3" x14ac:dyDescent="0.35">
      <c r="A250" s="24" t="s">
        <v>857</v>
      </c>
      <c r="B250" s="24" t="s">
        <v>795</v>
      </c>
      <c r="C250" s="26" t="s">
        <v>858</v>
      </c>
    </row>
    <row r="251" spans="1:3" x14ac:dyDescent="0.35">
      <c r="A251" s="24" t="s">
        <v>859</v>
      </c>
      <c r="B251" s="24" t="s">
        <v>791</v>
      </c>
      <c r="C251" s="26" t="s">
        <v>860</v>
      </c>
    </row>
    <row r="252" spans="1:3" x14ac:dyDescent="0.35">
      <c r="A252" s="24" t="s">
        <v>861</v>
      </c>
      <c r="B252" s="24" t="s">
        <v>795</v>
      </c>
      <c r="C252" s="26" t="s">
        <v>862</v>
      </c>
    </row>
    <row r="253" spans="1:3" x14ac:dyDescent="0.35">
      <c r="A253" s="24" t="s">
        <v>863</v>
      </c>
      <c r="B253" s="24" t="s">
        <v>798</v>
      </c>
      <c r="C253" s="26" t="s">
        <v>864</v>
      </c>
    </row>
    <row r="254" spans="1:3" x14ac:dyDescent="0.35">
      <c r="A254" s="24" t="s">
        <v>865</v>
      </c>
      <c r="B254" s="24" t="s">
        <v>791</v>
      </c>
      <c r="C254" s="26" t="s">
        <v>866</v>
      </c>
    </row>
    <row r="255" spans="1:3" x14ac:dyDescent="0.35">
      <c r="A255" s="24" t="s">
        <v>867</v>
      </c>
      <c r="B255" s="24" t="s">
        <v>795</v>
      </c>
      <c r="C255" s="26" t="s">
        <v>868</v>
      </c>
    </row>
    <row r="256" spans="1:3" x14ac:dyDescent="0.35">
      <c r="A256" s="24" t="s">
        <v>869</v>
      </c>
      <c r="B256" s="24" t="s">
        <v>798</v>
      </c>
      <c r="C256" s="26" t="s">
        <v>870</v>
      </c>
    </row>
    <row r="257" spans="1:3" x14ac:dyDescent="0.35">
      <c r="A257" s="24" t="s">
        <v>871</v>
      </c>
      <c r="B257" s="24" t="s">
        <v>872</v>
      </c>
      <c r="C257" s="26" t="s">
        <v>873</v>
      </c>
    </row>
    <row r="258" spans="1:3" x14ac:dyDescent="0.35">
      <c r="A258" s="24" t="s">
        <v>874</v>
      </c>
      <c r="B258" s="24" t="s">
        <v>791</v>
      </c>
      <c r="C258" s="26" t="s">
        <v>875</v>
      </c>
    </row>
    <row r="259" spans="1:3" x14ac:dyDescent="0.35">
      <c r="A259" s="24" t="s">
        <v>876</v>
      </c>
      <c r="B259" s="24" t="s">
        <v>795</v>
      </c>
      <c r="C259" s="26" t="s">
        <v>877</v>
      </c>
    </row>
    <row r="260" spans="1:3" x14ac:dyDescent="0.35">
      <c r="A260" s="24" t="s">
        <v>878</v>
      </c>
      <c r="B260" s="24" t="s">
        <v>791</v>
      </c>
      <c r="C260" s="26" t="s">
        <v>806</v>
      </c>
    </row>
    <row r="261" spans="1:3" x14ac:dyDescent="0.35">
      <c r="A261" s="24" t="s">
        <v>879</v>
      </c>
      <c r="B261" s="24" t="s">
        <v>795</v>
      </c>
      <c r="C261" s="26" t="s">
        <v>880</v>
      </c>
    </row>
    <row r="262" spans="1:3" x14ac:dyDescent="0.35">
      <c r="A262" s="24" t="s">
        <v>881</v>
      </c>
      <c r="C262" s="26" t="s">
        <v>882</v>
      </c>
    </row>
    <row r="263" spans="1:3" ht="43.5" x14ac:dyDescent="0.35">
      <c r="A263" s="24" t="s">
        <v>883</v>
      </c>
      <c r="B263" s="24" t="s">
        <v>884</v>
      </c>
      <c r="C263" s="26" t="s">
        <v>885</v>
      </c>
    </row>
    <row r="264" spans="1:3" ht="43.5" x14ac:dyDescent="0.35">
      <c r="A264" s="24" t="s">
        <v>883</v>
      </c>
      <c r="B264" s="24" t="s">
        <v>884</v>
      </c>
      <c r="C264" s="26" t="s">
        <v>886</v>
      </c>
    </row>
    <row r="265" spans="1:3" x14ac:dyDescent="0.35">
      <c r="A265" s="24" t="s">
        <v>887</v>
      </c>
      <c r="B265" s="24" t="s">
        <v>795</v>
      </c>
      <c r="C265" s="26" t="s">
        <v>888</v>
      </c>
    </row>
    <row r="266" spans="1:3" x14ac:dyDescent="0.35">
      <c r="A266" s="24" t="s">
        <v>889</v>
      </c>
      <c r="C266" s="26" t="s">
        <v>890</v>
      </c>
    </row>
    <row r="267" spans="1:3" ht="43.5" x14ac:dyDescent="0.35">
      <c r="A267" s="24" t="s">
        <v>891</v>
      </c>
      <c r="B267" s="24" t="s">
        <v>791</v>
      </c>
      <c r="C267" s="26" t="s">
        <v>892</v>
      </c>
    </row>
    <row r="268" spans="1:3" x14ac:dyDescent="0.35">
      <c r="A268" s="24" t="s">
        <v>891</v>
      </c>
      <c r="B268" s="24" t="s">
        <v>791</v>
      </c>
      <c r="C268" s="26" t="s">
        <v>893</v>
      </c>
    </row>
    <row r="269" spans="1:3" x14ac:dyDescent="0.35">
      <c r="A269" s="24" t="s">
        <v>894</v>
      </c>
      <c r="B269" s="24" t="s">
        <v>795</v>
      </c>
      <c r="C269" s="26" t="s">
        <v>895</v>
      </c>
    </row>
    <row r="270" spans="1:3" x14ac:dyDescent="0.35">
      <c r="A270" s="24" t="s">
        <v>896</v>
      </c>
      <c r="B270" s="24" t="s">
        <v>798</v>
      </c>
      <c r="C270" s="26" t="s">
        <v>897</v>
      </c>
    </row>
    <row r="271" spans="1:3" x14ac:dyDescent="0.35">
      <c r="A271" s="24" t="s">
        <v>898</v>
      </c>
      <c r="B271" s="24" t="s">
        <v>791</v>
      </c>
      <c r="C271" s="26" t="s">
        <v>899</v>
      </c>
    </row>
    <row r="272" spans="1:3" x14ac:dyDescent="0.35">
      <c r="A272" s="24" t="s">
        <v>900</v>
      </c>
      <c r="B272" s="24" t="s">
        <v>795</v>
      </c>
      <c r="C272" s="26" t="s">
        <v>901</v>
      </c>
    </row>
    <row r="273" spans="1:3" x14ac:dyDescent="0.35">
      <c r="A273" s="24" t="s">
        <v>902</v>
      </c>
      <c r="B273" s="24" t="s">
        <v>791</v>
      </c>
      <c r="C273" s="26" t="s">
        <v>903</v>
      </c>
    </row>
    <row r="274" spans="1:3" x14ac:dyDescent="0.35">
      <c r="A274" s="24" t="s">
        <v>904</v>
      </c>
      <c r="B274" s="24" t="s">
        <v>795</v>
      </c>
      <c r="C274" s="26" t="s">
        <v>905</v>
      </c>
    </row>
    <row r="275" spans="1:3" x14ac:dyDescent="0.35">
      <c r="A275" s="24" t="s">
        <v>906</v>
      </c>
      <c r="C275" s="26" t="s">
        <v>907</v>
      </c>
    </row>
    <row r="276" spans="1:3" ht="29" x14ac:dyDescent="0.35">
      <c r="A276" s="24" t="s">
        <v>908</v>
      </c>
      <c r="B276" s="24" t="s">
        <v>791</v>
      </c>
      <c r="C276" s="26" t="s">
        <v>909</v>
      </c>
    </row>
    <row r="277" spans="1:3" x14ac:dyDescent="0.35">
      <c r="A277" s="24" t="s">
        <v>908</v>
      </c>
      <c r="B277" s="24" t="s">
        <v>791</v>
      </c>
      <c r="C277" s="26" t="s">
        <v>910</v>
      </c>
    </row>
    <row r="278" spans="1:3" x14ac:dyDescent="0.35">
      <c r="A278" s="24" t="s">
        <v>911</v>
      </c>
      <c r="B278" s="24" t="s">
        <v>795</v>
      </c>
      <c r="C278" s="26" t="s">
        <v>912</v>
      </c>
    </row>
    <row r="279" spans="1:3" x14ac:dyDescent="0.35">
      <c r="A279" s="24" t="s">
        <v>913</v>
      </c>
      <c r="B279" s="24" t="s">
        <v>798</v>
      </c>
      <c r="C279" s="26" t="s">
        <v>914</v>
      </c>
    </row>
    <row r="280" spans="1:3" x14ac:dyDescent="0.35">
      <c r="A280" s="24" t="s">
        <v>915</v>
      </c>
      <c r="B280" s="24" t="s">
        <v>795</v>
      </c>
      <c r="C280" s="26" t="s">
        <v>916</v>
      </c>
    </row>
    <row r="281" spans="1:3" ht="43.5" x14ac:dyDescent="0.35">
      <c r="A281" s="24" t="s">
        <v>915</v>
      </c>
      <c r="B281" s="24" t="s">
        <v>795</v>
      </c>
      <c r="C281" s="26" t="s">
        <v>917</v>
      </c>
    </row>
    <row r="282" spans="1:3" x14ac:dyDescent="0.35">
      <c r="A282" s="24" t="s">
        <v>915</v>
      </c>
      <c r="B282" s="24" t="s">
        <v>795</v>
      </c>
      <c r="C282" s="26" t="s">
        <v>808</v>
      </c>
    </row>
    <row r="283" spans="1:3" x14ac:dyDescent="0.35">
      <c r="A283" s="24" t="s">
        <v>918</v>
      </c>
      <c r="C283" s="26" t="s">
        <v>919</v>
      </c>
    </row>
    <row r="284" spans="1:3" ht="29" x14ac:dyDescent="0.35">
      <c r="A284" s="24" t="s">
        <v>920</v>
      </c>
      <c r="B284" s="24" t="s">
        <v>791</v>
      </c>
      <c r="C284" s="26" t="s">
        <v>921</v>
      </c>
    </row>
    <row r="285" spans="1:3" x14ac:dyDescent="0.35">
      <c r="A285" s="24" t="s">
        <v>920</v>
      </c>
      <c r="B285" s="24" t="s">
        <v>791</v>
      </c>
      <c r="C285" s="26" t="s">
        <v>922</v>
      </c>
    </row>
    <row r="286" spans="1:3" ht="29" x14ac:dyDescent="0.35">
      <c r="A286" s="24" t="s">
        <v>923</v>
      </c>
      <c r="B286" s="24" t="s">
        <v>795</v>
      </c>
      <c r="C286" s="26" t="s">
        <v>924</v>
      </c>
    </row>
    <row r="287" spans="1:3" x14ac:dyDescent="0.35">
      <c r="A287" s="24" t="s">
        <v>925</v>
      </c>
      <c r="B287" s="24" t="s">
        <v>798</v>
      </c>
      <c r="C287" s="26" t="s">
        <v>926</v>
      </c>
    </row>
    <row r="288" spans="1:3" x14ac:dyDescent="0.35">
      <c r="A288" s="24" t="s">
        <v>927</v>
      </c>
      <c r="C288" s="26" t="s">
        <v>928</v>
      </c>
    </row>
    <row r="289" spans="1:3" ht="29" x14ac:dyDescent="0.35">
      <c r="A289" s="24" t="s">
        <v>929</v>
      </c>
      <c r="B289" s="24" t="s">
        <v>63</v>
      </c>
      <c r="C289" s="26" t="s">
        <v>930</v>
      </c>
    </row>
    <row r="290" spans="1:3" x14ac:dyDescent="0.35">
      <c r="A290" s="24" t="s">
        <v>929</v>
      </c>
      <c r="B290" s="24" t="s">
        <v>63</v>
      </c>
      <c r="C290" s="26" t="s">
        <v>931</v>
      </c>
    </row>
    <row r="291" spans="1:3" x14ac:dyDescent="0.35">
      <c r="A291" s="24" t="s">
        <v>932</v>
      </c>
      <c r="B291" s="24" t="s">
        <v>795</v>
      </c>
      <c r="C291" s="26" t="s">
        <v>933</v>
      </c>
    </row>
    <row r="292" spans="1:3" x14ac:dyDescent="0.35">
      <c r="A292" s="24" t="s">
        <v>934</v>
      </c>
      <c r="B292" s="24" t="s">
        <v>798</v>
      </c>
      <c r="C292" s="26" t="s">
        <v>935</v>
      </c>
    </row>
    <row r="293" spans="1:3" x14ac:dyDescent="0.35">
      <c r="A293" s="24" t="s">
        <v>936</v>
      </c>
      <c r="B293" s="24" t="s">
        <v>791</v>
      </c>
      <c r="C293" s="26" t="s">
        <v>848</v>
      </c>
    </row>
    <row r="294" spans="1:3" ht="29" x14ac:dyDescent="0.35">
      <c r="A294" s="24" t="s">
        <v>937</v>
      </c>
      <c r="B294" s="24" t="s">
        <v>795</v>
      </c>
      <c r="C294" s="26" t="s">
        <v>938</v>
      </c>
    </row>
    <row r="295" spans="1:3" x14ac:dyDescent="0.35">
      <c r="A295" s="24" t="s">
        <v>939</v>
      </c>
      <c r="B295" s="24" t="s">
        <v>798</v>
      </c>
      <c r="C295" s="26" t="s">
        <v>940</v>
      </c>
    </row>
    <row r="296" spans="1:3" x14ac:dyDescent="0.35">
      <c r="A296" s="24" t="s">
        <v>941</v>
      </c>
      <c r="B296" s="24" t="s">
        <v>791</v>
      </c>
      <c r="C296" s="26" t="s">
        <v>942</v>
      </c>
    </row>
    <row r="297" spans="1:3" x14ac:dyDescent="0.35">
      <c r="A297" s="24" t="s">
        <v>943</v>
      </c>
      <c r="B297" s="24" t="s">
        <v>795</v>
      </c>
      <c r="C297" s="26" t="s">
        <v>944</v>
      </c>
    </row>
    <row r="298" spans="1:3" ht="29" x14ac:dyDescent="0.35">
      <c r="A298" s="24" t="s">
        <v>945</v>
      </c>
      <c r="B298" s="24" t="s">
        <v>798</v>
      </c>
      <c r="C298" s="26" t="s">
        <v>946</v>
      </c>
    </row>
    <row r="299" spans="1:3" x14ac:dyDescent="0.35">
      <c r="A299" s="24" t="s">
        <v>947</v>
      </c>
      <c r="B299" s="24" t="s">
        <v>872</v>
      </c>
      <c r="C299" s="26" t="s">
        <v>948</v>
      </c>
    </row>
    <row r="300" spans="1:3" x14ac:dyDescent="0.35">
      <c r="A300" s="24" t="s">
        <v>949</v>
      </c>
      <c r="B300" s="24" t="s">
        <v>791</v>
      </c>
      <c r="C300" s="26" t="s">
        <v>950</v>
      </c>
    </row>
    <row r="301" spans="1:3" x14ac:dyDescent="0.35">
      <c r="A301" s="24" t="s">
        <v>951</v>
      </c>
      <c r="B301" s="24" t="s">
        <v>795</v>
      </c>
      <c r="C301" s="26" t="s">
        <v>952</v>
      </c>
    </row>
    <row r="302" spans="1:3" x14ac:dyDescent="0.35">
      <c r="A302" s="24" t="s">
        <v>953</v>
      </c>
      <c r="B302" s="24" t="s">
        <v>798</v>
      </c>
      <c r="C302" s="26" t="s">
        <v>954</v>
      </c>
    </row>
    <row r="303" spans="1:3" ht="29" x14ac:dyDescent="0.35">
      <c r="A303" s="24" t="s">
        <v>955</v>
      </c>
      <c r="B303" s="24" t="s">
        <v>872</v>
      </c>
      <c r="C303" s="26" t="s">
        <v>956</v>
      </c>
    </row>
    <row r="304" spans="1:3" x14ac:dyDescent="0.35">
      <c r="A304" s="24" t="s">
        <v>957</v>
      </c>
      <c r="B304" s="24" t="s">
        <v>795</v>
      </c>
      <c r="C304" s="26" t="s">
        <v>958</v>
      </c>
    </row>
    <row r="305" spans="1:3" x14ac:dyDescent="0.35">
      <c r="A305" s="24" t="s">
        <v>959</v>
      </c>
      <c r="C305" s="26" t="s">
        <v>960</v>
      </c>
    </row>
    <row r="306" spans="1:3" ht="29" x14ac:dyDescent="0.35">
      <c r="A306" s="24" t="s">
        <v>961</v>
      </c>
      <c r="B306" s="24" t="s">
        <v>884</v>
      </c>
      <c r="C306" s="26" t="s">
        <v>962</v>
      </c>
    </row>
    <row r="307" spans="1:3" x14ac:dyDescent="0.35">
      <c r="A307" s="24" t="s">
        <v>961</v>
      </c>
      <c r="B307" s="24" t="s">
        <v>884</v>
      </c>
      <c r="C307" s="26" t="s">
        <v>963</v>
      </c>
    </row>
    <row r="308" spans="1:3" x14ac:dyDescent="0.35">
      <c r="A308" s="24" t="s">
        <v>964</v>
      </c>
      <c r="B308" s="24" t="s">
        <v>965</v>
      </c>
      <c r="C308" s="26" t="s">
        <v>966</v>
      </c>
    </row>
    <row r="309" spans="1:3" x14ac:dyDescent="0.35">
      <c r="A309" s="24" t="s">
        <v>967</v>
      </c>
      <c r="C309" s="26" t="s">
        <v>968</v>
      </c>
    </row>
    <row r="310" spans="1:3" ht="29" x14ac:dyDescent="0.35">
      <c r="A310" s="24" t="s">
        <v>969</v>
      </c>
      <c r="B310" s="24" t="s">
        <v>884</v>
      </c>
      <c r="C310" s="26" t="s">
        <v>970</v>
      </c>
    </row>
    <row r="311" spans="1:3" ht="29" x14ac:dyDescent="0.35">
      <c r="A311" s="24" t="s">
        <v>969</v>
      </c>
      <c r="B311" s="24" t="s">
        <v>884</v>
      </c>
      <c r="C311" s="26" t="s">
        <v>971</v>
      </c>
    </row>
    <row r="312" spans="1:3" x14ac:dyDescent="0.35">
      <c r="A312" s="24" t="s">
        <v>972</v>
      </c>
      <c r="B312" s="24" t="s">
        <v>965</v>
      </c>
      <c r="C312" s="26" t="s">
        <v>973</v>
      </c>
    </row>
    <row r="313" spans="1:3" x14ac:dyDescent="0.35">
      <c r="A313" s="24" t="s">
        <v>974</v>
      </c>
      <c r="B313" s="24" t="s">
        <v>791</v>
      </c>
      <c r="C313" s="26" t="s">
        <v>975</v>
      </c>
    </row>
    <row r="314" spans="1:3" x14ac:dyDescent="0.35">
      <c r="A314" s="24" t="s">
        <v>976</v>
      </c>
      <c r="B314" s="24" t="s">
        <v>795</v>
      </c>
      <c r="C314" s="26" t="s">
        <v>977</v>
      </c>
    </row>
    <row r="315" spans="1:3" x14ac:dyDescent="0.35">
      <c r="A315" s="24" t="s">
        <v>978</v>
      </c>
      <c r="B315" s="24" t="s">
        <v>798</v>
      </c>
      <c r="C315" s="26" t="s">
        <v>979</v>
      </c>
    </row>
    <row r="316" spans="1:3" x14ac:dyDescent="0.35">
      <c r="A316" s="24" t="s">
        <v>980</v>
      </c>
      <c r="B316" s="24" t="s">
        <v>791</v>
      </c>
      <c r="C316" s="26" t="s">
        <v>981</v>
      </c>
    </row>
    <row r="317" spans="1:3" x14ac:dyDescent="0.35">
      <c r="A317" s="24" t="s">
        <v>982</v>
      </c>
      <c r="B317" s="24" t="s">
        <v>795</v>
      </c>
      <c r="C317" s="26" t="s">
        <v>983</v>
      </c>
    </row>
    <row r="318" spans="1:3" x14ac:dyDescent="0.35">
      <c r="A318" s="24" t="s">
        <v>984</v>
      </c>
      <c r="B318" s="24" t="s">
        <v>798</v>
      </c>
      <c r="C318" s="26" t="s">
        <v>985</v>
      </c>
    </row>
    <row r="319" spans="1:3" x14ac:dyDescent="0.35">
      <c r="A319" s="24" t="s">
        <v>986</v>
      </c>
      <c r="B319" s="24" t="s">
        <v>791</v>
      </c>
      <c r="C319" s="26" t="s">
        <v>987</v>
      </c>
    </row>
    <row r="320" spans="1:3" x14ac:dyDescent="0.35">
      <c r="A320" s="24" t="s">
        <v>988</v>
      </c>
      <c r="B320" s="24" t="s">
        <v>795</v>
      </c>
      <c r="C320" s="26" t="s">
        <v>989</v>
      </c>
    </row>
    <row r="321" spans="1:3" x14ac:dyDescent="0.35">
      <c r="A321" s="24" t="s">
        <v>990</v>
      </c>
      <c r="B321" s="24" t="s">
        <v>791</v>
      </c>
      <c r="C321" s="26" t="s">
        <v>991</v>
      </c>
    </row>
    <row r="322" spans="1:3" x14ac:dyDescent="0.35">
      <c r="A322" s="24" t="s">
        <v>992</v>
      </c>
      <c r="B322" s="24" t="s">
        <v>795</v>
      </c>
      <c r="C322" s="26" t="s">
        <v>993</v>
      </c>
    </row>
    <row r="323" spans="1:3" x14ac:dyDescent="0.35">
      <c r="A323" s="24" t="s">
        <v>994</v>
      </c>
      <c r="B323" s="24" t="s">
        <v>798</v>
      </c>
      <c r="C323" s="26" t="s">
        <v>995</v>
      </c>
    </row>
    <row r="324" spans="1:3" x14ac:dyDescent="0.35">
      <c r="A324" s="24" t="s">
        <v>996</v>
      </c>
      <c r="B324" s="24" t="s">
        <v>791</v>
      </c>
      <c r="C324" s="26" t="s">
        <v>997</v>
      </c>
    </row>
    <row r="325" spans="1:3" x14ac:dyDescent="0.35">
      <c r="A325" s="24" t="s">
        <v>998</v>
      </c>
      <c r="B325" s="24" t="s">
        <v>999</v>
      </c>
      <c r="C325" s="26" t="s">
        <v>1000</v>
      </c>
    </row>
    <row r="326" spans="1:3" x14ac:dyDescent="0.35">
      <c r="A326" s="24" t="s">
        <v>1001</v>
      </c>
      <c r="B326" s="24" t="s">
        <v>1002</v>
      </c>
      <c r="C326" s="26" t="s">
        <v>1003</v>
      </c>
    </row>
    <row r="327" spans="1:3" ht="29" x14ac:dyDescent="0.35">
      <c r="A327" s="24" t="s">
        <v>1004</v>
      </c>
      <c r="B327" s="24" t="s">
        <v>1005</v>
      </c>
      <c r="C327" s="26" t="s">
        <v>1006</v>
      </c>
    </row>
    <row r="328" spans="1:3" x14ac:dyDescent="0.35">
      <c r="A328" s="24" t="s">
        <v>1007</v>
      </c>
      <c r="C328" s="26" t="s">
        <v>1008</v>
      </c>
    </row>
    <row r="329" spans="1:3" ht="29" x14ac:dyDescent="0.35">
      <c r="A329" s="24" t="s">
        <v>1009</v>
      </c>
      <c r="B329" s="24" t="s">
        <v>791</v>
      </c>
      <c r="C329" s="26" t="s">
        <v>1010</v>
      </c>
    </row>
    <row r="330" spans="1:3" x14ac:dyDescent="0.35">
      <c r="A330" s="24" t="s">
        <v>1009</v>
      </c>
      <c r="B330" s="24" t="s">
        <v>791</v>
      </c>
      <c r="C330" s="26" t="s">
        <v>1011</v>
      </c>
    </row>
    <row r="331" spans="1:3" x14ac:dyDescent="0.35">
      <c r="A331" s="24" t="s">
        <v>1012</v>
      </c>
      <c r="B331" s="24" t="s">
        <v>795</v>
      </c>
      <c r="C331" s="26" t="s">
        <v>1013</v>
      </c>
    </row>
    <row r="332" spans="1:3" x14ac:dyDescent="0.35">
      <c r="A332" s="24" t="s">
        <v>1014</v>
      </c>
      <c r="B332" s="24" t="s">
        <v>798</v>
      </c>
      <c r="C332" s="26" t="s">
        <v>1015</v>
      </c>
    </row>
    <row r="333" spans="1:3" x14ac:dyDescent="0.35">
      <c r="A333" s="24" t="s">
        <v>1016</v>
      </c>
      <c r="C333" s="26" t="s">
        <v>1017</v>
      </c>
    </row>
    <row r="334" spans="1:3" ht="43.5" x14ac:dyDescent="0.35">
      <c r="A334" s="24" t="s">
        <v>1018</v>
      </c>
      <c r="B334" s="24" t="s">
        <v>791</v>
      </c>
      <c r="C334" s="26" t="s">
        <v>1019</v>
      </c>
    </row>
    <row r="335" spans="1:3" x14ac:dyDescent="0.35">
      <c r="A335" s="24" t="s">
        <v>1018</v>
      </c>
      <c r="B335" s="24" t="s">
        <v>791</v>
      </c>
      <c r="C335" s="26" t="s">
        <v>914</v>
      </c>
    </row>
    <row r="336" spans="1:3" x14ac:dyDescent="0.35">
      <c r="A336" s="24" t="s">
        <v>1020</v>
      </c>
      <c r="B336" s="24" t="s">
        <v>795</v>
      </c>
      <c r="C336" s="26" t="s">
        <v>903</v>
      </c>
    </row>
    <row r="337" spans="1:3" x14ac:dyDescent="0.35">
      <c r="A337" s="24" t="s">
        <v>1021</v>
      </c>
      <c r="C337" s="26" t="s">
        <v>1022</v>
      </c>
    </row>
    <row r="338" spans="1:3" ht="29" x14ac:dyDescent="0.35">
      <c r="A338" s="24" t="s">
        <v>1023</v>
      </c>
      <c r="B338" s="24" t="s">
        <v>791</v>
      </c>
      <c r="C338" s="26" t="s">
        <v>1024</v>
      </c>
    </row>
    <row r="339" spans="1:3" x14ac:dyDescent="0.35">
      <c r="A339" s="24" t="s">
        <v>1023</v>
      </c>
      <c r="B339" s="24" t="s">
        <v>791</v>
      </c>
      <c r="C339" s="26" t="s">
        <v>1025</v>
      </c>
    </row>
    <row r="340" spans="1:3" x14ac:dyDescent="0.35">
      <c r="A340" s="24" t="s">
        <v>1026</v>
      </c>
      <c r="B340" s="24" t="s">
        <v>795</v>
      </c>
      <c r="C340" s="26" t="s">
        <v>1027</v>
      </c>
    </row>
    <row r="341" spans="1:3" x14ac:dyDescent="0.35">
      <c r="A341" s="24" t="s">
        <v>1028</v>
      </c>
      <c r="C341" s="26" t="s">
        <v>1029</v>
      </c>
    </row>
    <row r="342" spans="1:3" ht="43.5" x14ac:dyDescent="0.35">
      <c r="A342" s="24" t="s">
        <v>1030</v>
      </c>
      <c r="B342" s="24" t="s">
        <v>791</v>
      </c>
      <c r="C342" s="26" t="s">
        <v>1031</v>
      </c>
    </row>
    <row r="343" spans="1:3" x14ac:dyDescent="0.35">
      <c r="A343" s="24" t="s">
        <v>1030</v>
      </c>
      <c r="B343" s="24" t="s">
        <v>791</v>
      </c>
      <c r="C343" s="26" t="s">
        <v>1032</v>
      </c>
    </row>
    <row r="344" spans="1:3" x14ac:dyDescent="0.35">
      <c r="A344" s="24" t="s">
        <v>1033</v>
      </c>
      <c r="B344" s="24" t="s">
        <v>795</v>
      </c>
      <c r="C344" s="26" t="s">
        <v>1034</v>
      </c>
    </row>
    <row r="345" spans="1:3" ht="29" x14ac:dyDescent="0.35">
      <c r="A345" s="24" t="s">
        <v>1035</v>
      </c>
      <c r="B345" s="24" t="s">
        <v>798</v>
      </c>
      <c r="C345" s="26" t="s">
        <v>1036</v>
      </c>
    </row>
    <row r="346" spans="1:3" ht="29" x14ac:dyDescent="0.35">
      <c r="A346" s="24" t="s">
        <v>1037</v>
      </c>
      <c r="B346" s="24" t="s">
        <v>63</v>
      </c>
      <c r="C346" s="26" t="s">
        <v>1038</v>
      </c>
    </row>
    <row r="347" spans="1:3" x14ac:dyDescent="0.35">
      <c r="A347" s="24" t="s">
        <v>1039</v>
      </c>
      <c r="C347" s="26" t="s">
        <v>1040</v>
      </c>
    </row>
    <row r="348" spans="1:3" ht="29" x14ac:dyDescent="0.35">
      <c r="A348" s="24" t="s">
        <v>1041</v>
      </c>
      <c r="B348" s="24" t="s">
        <v>791</v>
      </c>
      <c r="C348" s="26" t="s">
        <v>1042</v>
      </c>
    </row>
    <row r="349" spans="1:3" ht="43.5" x14ac:dyDescent="0.35">
      <c r="A349" s="24" t="s">
        <v>1041</v>
      </c>
      <c r="B349" s="24" t="s">
        <v>791</v>
      </c>
      <c r="C349" s="26" t="s">
        <v>1043</v>
      </c>
    </row>
    <row r="350" spans="1:3" x14ac:dyDescent="0.35">
      <c r="A350" s="24" t="s">
        <v>1044</v>
      </c>
      <c r="C350" s="26" t="s">
        <v>1045</v>
      </c>
    </row>
    <row r="351" spans="1:3" ht="29" x14ac:dyDescent="0.35">
      <c r="A351" s="24" t="s">
        <v>1046</v>
      </c>
      <c r="B351" s="24" t="s">
        <v>791</v>
      </c>
      <c r="C351" s="26" t="s">
        <v>1047</v>
      </c>
    </row>
    <row r="352" spans="1:3" ht="29" x14ac:dyDescent="0.35">
      <c r="A352" s="24" t="s">
        <v>1046</v>
      </c>
      <c r="B352" s="24" t="s">
        <v>791</v>
      </c>
      <c r="C352" s="26" t="s">
        <v>1048</v>
      </c>
    </row>
    <row r="353" spans="1:3" x14ac:dyDescent="0.35">
      <c r="A353" s="24" t="s">
        <v>1049</v>
      </c>
      <c r="C353" s="26" t="s">
        <v>775</v>
      </c>
    </row>
    <row r="354" spans="1:3" ht="58" x14ac:dyDescent="0.35">
      <c r="A354" s="24" t="s">
        <v>1050</v>
      </c>
      <c r="B354" s="24" t="s">
        <v>63</v>
      </c>
      <c r="C354" s="26" t="s">
        <v>1051</v>
      </c>
    </row>
    <row r="355" spans="1:3" x14ac:dyDescent="0.35">
      <c r="A355" s="24" t="s">
        <v>1050</v>
      </c>
      <c r="B355" s="24" t="s">
        <v>63</v>
      </c>
      <c r="C355" s="26" t="s">
        <v>1052</v>
      </c>
    </row>
    <row r="356" spans="1:3" x14ac:dyDescent="0.35">
      <c r="A356" s="24" t="s">
        <v>1053</v>
      </c>
      <c r="B356" s="24" t="s">
        <v>85</v>
      </c>
      <c r="C356" s="26" t="s">
        <v>1052</v>
      </c>
    </row>
    <row r="357" spans="1:3" x14ac:dyDescent="0.35">
      <c r="A357" s="24" t="s">
        <v>1054</v>
      </c>
      <c r="B357" s="24" t="s">
        <v>107</v>
      </c>
      <c r="C357" s="26" t="s">
        <v>1052</v>
      </c>
    </row>
    <row r="358" spans="1:3" x14ac:dyDescent="0.35">
      <c r="A358" s="24" t="s">
        <v>1055</v>
      </c>
      <c r="B358" s="24" t="s">
        <v>128</v>
      </c>
      <c r="C358" s="26" t="s">
        <v>1052</v>
      </c>
    </row>
    <row r="359" spans="1:3" x14ac:dyDescent="0.35">
      <c r="A359" s="24" t="s">
        <v>1056</v>
      </c>
      <c r="B359" s="24" t="s">
        <v>149</v>
      </c>
      <c r="C359" s="26" t="s">
        <v>1052</v>
      </c>
    </row>
    <row r="360" spans="1:3" x14ac:dyDescent="0.35">
      <c r="A360" s="24" t="s">
        <v>1057</v>
      </c>
      <c r="B360" s="24" t="s">
        <v>362</v>
      </c>
      <c r="C360" s="26" t="s">
        <v>1052</v>
      </c>
    </row>
    <row r="361" spans="1:3" x14ac:dyDescent="0.35">
      <c r="A361" s="24" t="s">
        <v>1058</v>
      </c>
      <c r="B361" s="24" t="s">
        <v>1059</v>
      </c>
    </row>
    <row r="362" spans="1:3" x14ac:dyDescent="0.35">
      <c r="A362" s="24" t="s">
        <v>1058</v>
      </c>
      <c r="B362" s="24" t="s">
        <v>786</v>
      </c>
      <c r="C362" s="26" t="s">
        <v>786</v>
      </c>
    </row>
    <row r="363" spans="1:3" x14ac:dyDescent="0.35">
      <c r="A363" s="24" t="s">
        <v>1058</v>
      </c>
      <c r="B363" s="24" t="s">
        <v>1060</v>
      </c>
      <c r="C363" s="26" t="s">
        <v>1060</v>
      </c>
    </row>
    <row r="364" spans="1:3" ht="72.5" x14ac:dyDescent="0.35">
      <c r="A364" s="24" t="s">
        <v>1058</v>
      </c>
      <c r="C364" s="26" t="s">
        <v>788</v>
      </c>
    </row>
    <row r="365" spans="1:3" x14ac:dyDescent="0.35">
      <c r="A365" s="24" t="s">
        <v>1058</v>
      </c>
      <c r="C365" s="26" t="s">
        <v>1061</v>
      </c>
    </row>
    <row r="366" spans="1:3" ht="29" x14ac:dyDescent="0.35">
      <c r="A366" s="24" t="s">
        <v>1062</v>
      </c>
      <c r="B366" s="24" t="s">
        <v>791</v>
      </c>
      <c r="C366" s="26" t="s">
        <v>1063</v>
      </c>
    </row>
    <row r="367" spans="1:3" ht="29" x14ac:dyDescent="0.35">
      <c r="A367" s="24" t="s">
        <v>1062</v>
      </c>
      <c r="B367" s="24" t="s">
        <v>791</v>
      </c>
      <c r="C367" s="26" t="s">
        <v>1064</v>
      </c>
    </row>
    <row r="368" spans="1:3" ht="29" x14ac:dyDescent="0.35">
      <c r="A368" s="24" t="s">
        <v>1065</v>
      </c>
      <c r="B368" s="24" t="s">
        <v>795</v>
      </c>
      <c r="C368" s="26" t="s">
        <v>1066</v>
      </c>
    </row>
    <row r="369" spans="1:3" x14ac:dyDescent="0.35">
      <c r="A369" s="24" t="s">
        <v>1067</v>
      </c>
      <c r="C369" s="26" t="s">
        <v>1068</v>
      </c>
    </row>
    <row r="370" spans="1:3" ht="29" x14ac:dyDescent="0.35">
      <c r="A370" s="24" t="s">
        <v>1069</v>
      </c>
      <c r="B370" s="24" t="s">
        <v>791</v>
      </c>
      <c r="C370" s="26" t="s">
        <v>1070</v>
      </c>
    </row>
    <row r="371" spans="1:3" ht="29" x14ac:dyDescent="0.35">
      <c r="A371" s="24" t="s">
        <v>1069</v>
      </c>
      <c r="B371" s="24" t="s">
        <v>791</v>
      </c>
      <c r="C371" s="26" t="s">
        <v>1071</v>
      </c>
    </row>
    <row r="372" spans="1:3" x14ac:dyDescent="0.35">
      <c r="A372" s="24" t="s">
        <v>1072</v>
      </c>
      <c r="B372" s="24" t="s">
        <v>795</v>
      </c>
      <c r="C372" s="26" t="s">
        <v>808</v>
      </c>
    </row>
    <row r="373" spans="1:3" x14ac:dyDescent="0.35">
      <c r="A373" s="24" t="s">
        <v>1073</v>
      </c>
      <c r="C373" s="26" t="s">
        <v>1074</v>
      </c>
    </row>
    <row r="374" spans="1:3" ht="29" x14ac:dyDescent="0.35">
      <c r="A374" s="24" t="s">
        <v>1075</v>
      </c>
      <c r="B374" s="24" t="s">
        <v>791</v>
      </c>
      <c r="C374" s="26" t="s">
        <v>1076</v>
      </c>
    </row>
    <row r="375" spans="1:3" ht="29" x14ac:dyDescent="0.35">
      <c r="A375" s="24" t="s">
        <v>1075</v>
      </c>
      <c r="B375" s="24" t="s">
        <v>791</v>
      </c>
      <c r="C375" s="26" t="s">
        <v>1077</v>
      </c>
    </row>
    <row r="376" spans="1:3" ht="29" x14ac:dyDescent="0.35">
      <c r="A376" s="24" t="s">
        <v>1078</v>
      </c>
      <c r="B376" s="24" t="s">
        <v>795</v>
      </c>
      <c r="C376" s="26" t="s">
        <v>1079</v>
      </c>
    </row>
    <row r="377" spans="1:3" x14ac:dyDescent="0.35">
      <c r="A377" s="24" t="s">
        <v>1080</v>
      </c>
      <c r="C377" s="26" t="s">
        <v>1081</v>
      </c>
    </row>
    <row r="378" spans="1:3" ht="29" x14ac:dyDescent="0.35">
      <c r="A378" s="24" t="s">
        <v>1082</v>
      </c>
      <c r="B378" s="24" t="s">
        <v>791</v>
      </c>
      <c r="C378" s="26" t="s">
        <v>1083</v>
      </c>
    </row>
    <row r="379" spans="1:3" x14ac:dyDescent="0.35">
      <c r="A379" s="24" t="s">
        <v>1082</v>
      </c>
      <c r="B379" s="24" t="s">
        <v>791</v>
      </c>
      <c r="C379" s="26" t="s">
        <v>1084</v>
      </c>
    </row>
    <row r="380" spans="1:3" x14ac:dyDescent="0.35">
      <c r="A380" s="24" t="s">
        <v>1085</v>
      </c>
      <c r="C380" s="26" t="s">
        <v>1086</v>
      </c>
    </row>
    <row r="381" spans="1:3" ht="29" x14ac:dyDescent="0.35">
      <c r="A381" s="24" t="s">
        <v>1087</v>
      </c>
      <c r="B381" s="24" t="s">
        <v>791</v>
      </c>
      <c r="C381" s="26" t="s">
        <v>1088</v>
      </c>
    </row>
    <row r="382" spans="1:3" x14ac:dyDescent="0.35">
      <c r="A382" s="24" t="s">
        <v>1087</v>
      </c>
      <c r="B382" s="24" t="s">
        <v>791</v>
      </c>
      <c r="C382" s="26" t="s">
        <v>1089</v>
      </c>
    </row>
    <row r="383" spans="1:3" x14ac:dyDescent="0.35">
      <c r="A383" s="24" t="s">
        <v>1090</v>
      </c>
      <c r="B383" s="24" t="s">
        <v>795</v>
      </c>
      <c r="C383" s="26" t="s">
        <v>1091</v>
      </c>
    </row>
    <row r="384" spans="1:3" x14ac:dyDescent="0.35">
      <c r="A384" s="24" t="s">
        <v>1092</v>
      </c>
      <c r="B384" s="24" t="s">
        <v>798</v>
      </c>
      <c r="C384" s="26" t="s">
        <v>808</v>
      </c>
    </row>
    <row r="385" spans="1:3" x14ac:dyDescent="0.35">
      <c r="A385" s="24" t="s">
        <v>1093</v>
      </c>
      <c r="C385" s="26" t="s">
        <v>1094</v>
      </c>
    </row>
    <row r="386" spans="1:3" ht="29" x14ac:dyDescent="0.35">
      <c r="A386" s="24" t="s">
        <v>1095</v>
      </c>
      <c r="B386" s="24" t="s">
        <v>791</v>
      </c>
      <c r="C386" s="26" t="s">
        <v>1096</v>
      </c>
    </row>
    <row r="387" spans="1:3" x14ac:dyDescent="0.35">
      <c r="A387" s="24" t="s">
        <v>1095</v>
      </c>
      <c r="B387" s="24" t="s">
        <v>791</v>
      </c>
      <c r="C387" s="26" t="s">
        <v>1097</v>
      </c>
    </row>
    <row r="388" spans="1:3" x14ac:dyDescent="0.35">
      <c r="A388" s="24" t="s">
        <v>1098</v>
      </c>
      <c r="B388" s="24" t="s">
        <v>795</v>
      </c>
      <c r="C388" s="26" t="s">
        <v>1099</v>
      </c>
    </row>
    <row r="389" spans="1:3" x14ac:dyDescent="0.35">
      <c r="A389" s="24" t="s">
        <v>1100</v>
      </c>
      <c r="B389" s="24" t="s">
        <v>63</v>
      </c>
      <c r="C389" s="26" t="s">
        <v>1101</v>
      </c>
    </row>
    <row r="390" spans="1:3" x14ac:dyDescent="0.35">
      <c r="A390" s="24" t="s">
        <v>1102</v>
      </c>
      <c r="B390" s="24" t="s">
        <v>85</v>
      </c>
      <c r="C390" s="26" t="s">
        <v>1103</v>
      </c>
    </row>
    <row r="391" spans="1:3" x14ac:dyDescent="0.35">
      <c r="A391" s="24" t="s">
        <v>1104</v>
      </c>
      <c r="C391" s="26" t="s">
        <v>1105</v>
      </c>
    </row>
    <row r="392" spans="1:3" ht="29" x14ac:dyDescent="0.35">
      <c r="A392" s="24" t="s">
        <v>1106</v>
      </c>
      <c r="B392" s="24" t="s">
        <v>791</v>
      </c>
      <c r="C392" s="26" t="s">
        <v>1107</v>
      </c>
    </row>
    <row r="393" spans="1:3" x14ac:dyDescent="0.35">
      <c r="A393" s="24" t="s">
        <v>1106</v>
      </c>
      <c r="B393" s="24" t="s">
        <v>791</v>
      </c>
      <c r="C393" s="26" t="s">
        <v>1108</v>
      </c>
    </row>
    <row r="394" spans="1:3" x14ac:dyDescent="0.35">
      <c r="A394" s="24" t="s">
        <v>1109</v>
      </c>
      <c r="B394" s="24" t="s">
        <v>795</v>
      </c>
      <c r="C394" s="26" t="s">
        <v>1110</v>
      </c>
    </row>
    <row r="395" spans="1:3" x14ac:dyDescent="0.35">
      <c r="A395" s="24" t="s">
        <v>1111</v>
      </c>
      <c r="C395" s="26" t="s">
        <v>1112</v>
      </c>
    </row>
    <row r="396" spans="1:3" ht="29" x14ac:dyDescent="0.35">
      <c r="A396" s="24" t="s">
        <v>1113</v>
      </c>
      <c r="B396" s="24" t="s">
        <v>791</v>
      </c>
      <c r="C396" s="26" t="s">
        <v>1114</v>
      </c>
    </row>
    <row r="397" spans="1:3" ht="29" x14ac:dyDescent="0.35">
      <c r="A397" s="24" t="s">
        <v>1113</v>
      </c>
      <c r="B397" s="24" t="s">
        <v>791</v>
      </c>
      <c r="C397" s="26" t="s">
        <v>1115</v>
      </c>
    </row>
    <row r="398" spans="1:3" ht="29" x14ac:dyDescent="0.35">
      <c r="A398" s="24" t="s">
        <v>1116</v>
      </c>
      <c r="B398" s="24" t="s">
        <v>791</v>
      </c>
      <c r="C398" s="26" t="s">
        <v>1117</v>
      </c>
    </row>
    <row r="399" spans="1:3" x14ac:dyDescent="0.35">
      <c r="A399" s="24" t="s">
        <v>1118</v>
      </c>
      <c r="B399" s="24" t="s">
        <v>791</v>
      </c>
      <c r="C399" s="26" t="s">
        <v>1119</v>
      </c>
    </row>
    <row r="400" spans="1:3" x14ac:dyDescent="0.35">
      <c r="A400" s="24" t="s">
        <v>1120</v>
      </c>
      <c r="B400" s="24" t="s">
        <v>795</v>
      </c>
      <c r="C400" s="26" t="s">
        <v>1121</v>
      </c>
    </row>
    <row r="401" spans="1:3" ht="29" x14ac:dyDescent="0.35">
      <c r="A401" s="24" t="s">
        <v>1122</v>
      </c>
      <c r="B401" s="24" t="s">
        <v>791</v>
      </c>
      <c r="C401" s="26" t="s">
        <v>1123</v>
      </c>
    </row>
    <row r="402" spans="1:3" ht="29" x14ac:dyDescent="0.35">
      <c r="A402" s="24" t="s">
        <v>1124</v>
      </c>
      <c r="B402" s="24" t="s">
        <v>791</v>
      </c>
      <c r="C402" s="26" t="s">
        <v>1125</v>
      </c>
    </row>
    <row r="403" spans="1:3" x14ac:dyDescent="0.35">
      <c r="A403" s="24" t="s">
        <v>1126</v>
      </c>
      <c r="C403" s="26" t="s">
        <v>1127</v>
      </c>
    </row>
    <row r="404" spans="1:3" ht="29" x14ac:dyDescent="0.35">
      <c r="A404" s="24" t="s">
        <v>1128</v>
      </c>
      <c r="B404" s="24" t="s">
        <v>791</v>
      </c>
      <c r="C404" s="26" t="s">
        <v>1129</v>
      </c>
    </row>
    <row r="405" spans="1:3" x14ac:dyDescent="0.35">
      <c r="A405" s="24" t="s">
        <v>1128</v>
      </c>
      <c r="B405" s="24" t="s">
        <v>791</v>
      </c>
      <c r="C405" s="26" t="s">
        <v>1130</v>
      </c>
    </row>
    <row r="406" spans="1:3" x14ac:dyDescent="0.35">
      <c r="A406" s="24" t="s">
        <v>1131</v>
      </c>
      <c r="C406" s="26" t="s">
        <v>1132</v>
      </c>
    </row>
    <row r="407" spans="1:3" ht="29" x14ac:dyDescent="0.35">
      <c r="A407" s="24" t="s">
        <v>1133</v>
      </c>
      <c r="B407" s="24" t="s">
        <v>791</v>
      </c>
      <c r="C407" s="26" t="s">
        <v>1134</v>
      </c>
    </row>
    <row r="408" spans="1:3" x14ac:dyDescent="0.35">
      <c r="A408" s="24" t="s">
        <v>1133</v>
      </c>
      <c r="B408" s="24" t="s">
        <v>791</v>
      </c>
      <c r="C408" s="26" t="s">
        <v>1135</v>
      </c>
    </row>
    <row r="409" spans="1:3" x14ac:dyDescent="0.35">
      <c r="A409" s="24" t="s">
        <v>1136</v>
      </c>
      <c r="B409" s="24" t="s">
        <v>795</v>
      </c>
      <c r="C409" s="26" t="s">
        <v>1137</v>
      </c>
    </row>
    <row r="410" spans="1:3" x14ac:dyDescent="0.35">
      <c r="A410" s="24" t="s">
        <v>1138</v>
      </c>
      <c r="B410" s="24" t="s">
        <v>798</v>
      </c>
      <c r="C410" s="26" t="s">
        <v>1139</v>
      </c>
    </row>
    <row r="411" spans="1:3" ht="29" x14ac:dyDescent="0.35">
      <c r="A411" s="24" t="s">
        <v>1140</v>
      </c>
      <c r="B411" s="24" t="s">
        <v>872</v>
      </c>
      <c r="C411" s="26" t="s">
        <v>1141</v>
      </c>
    </row>
    <row r="412" spans="1:3" x14ac:dyDescent="0.35">
      <c r="A412" s="24" t="s">
        <v>1142</v>
      </c>
      <c r="C412" s="26" t="s">
        <v>1143</v>
      </c>
    </row>
    <row r="413" spans="1:3" x14ac:dyDescent="0.35">
      <c r="A413" s="24" t="s">
        <v>1144</v>
      </c>
      <c r="B413" s="24" t="s">
        <v>791</v>
      </c>
      <c r="C413" s="26" t="s">
        <v>1145</v>
      </c>
    </row>
    <row r="414" spans="1:3" x14ac:dyDescent="0.35">
      <c r="A414" s="24" t="s">
        <v>1144</v>
      </c>
      <c r="B414" s="24" t="s">
        <v>791</v>
      </c>
      <c r="C414" s="26" t="s">
        <v>1146</v>
      </c>
    </row>
    <row r="415" spans="1:3" x14ac:dyDescent="0.35">
      <c r="A415" s="24" t="s">
        <v>1147</v>
      </c>
      <c r="B415" s="24" t="s">
        <v>795</v>
      </c>
      <c r="C415" s="26" t="s">
        <v>1148</v>
      </c>
    </row>
    <row r="416" spans="1:3" x14ac:dyDescent="0.35">
      <c r="A416" s="24" t="s">
        <v>1149</v>
      </c>
      <c r="C416" s="26" t="s">
        <v>1150</v>
      </c>
    </row>
    <row r="417" spans="1:3" x14ac:dyDescent="0.35">
      <c r="A417" s="24" t="s">
        <v>1151</v>
      </c>
      <c r="B417" s="24" t="s">
        <v>63</v>
      </c>
      <c r="C417" s="26" t="s">
        <v>1152</v>
      </c>
    </row>
    <row r="418" spans="1:3" x14ac:dyDescent="0.35">
      <c r="A418" s="24" t="s">
        <v>1151</v>
      </c>
      <c r="B418" s="24" t="s">
        <v>63</v>
      </c>
      <c r="C418" s="26" t="s">
        <v>1153</v>
      </c>
    </row>
    <row r="419" spans="1:3" x14ac:dyDescent="0.35">
      <c r="A419" s="24" t="s">
        <v>1154</v>
      </c>
      <c r="B419" s="24" t="s">
        <v>85</v>
      </c>
      <c r="C419" s="26" t="s">
        <v>1155</v>
      </c>
    </row>
    <row r="420" spans="1:3" x14ac:dyDescent="0.35">
      <c r="A420" s="24" t="s">
        <v>1156</v>
      </c>
      <c r="B420" s="24" t="s">
        <v>107</v>
      </c>
      <c r="C420" s="26" t="s">
        <v>1157</v>
      </c>
    </row>
    <row r="421" spans="1:3" x14ac:dyDescent="0.35">
      <c r="A421" s="24" t="s">
        <v>1158</v>
      </c>
      <c r="B421" s="24" t="s">
        <v>128</v>
      </c>
      <c r="C421" s="26" t="s">
        <v>1159</v>
      </c>
    </row>
    <row r="422" spans="1:3" x14ac:dyDescent="0.35">
      <c r="A422" s="24" t="s">
        <v>1160</v>
      </c>
      <c r="B422" s="24" t="s">
        <v>149</v>
      </c>
      <c r="C422" s="26" t="s">
        <v>1161</v>
      </c>
    </row>
    <row r="423" spans="1:3" x14ac:dyDescent="0.35">
      <c r="A423" s="24" t="s">
        <v>1162</v>
      </c>
      <c r="C423" s="26" t="s">
        <v>1163</v>
      </c>
    </row>
    <row r="424" spans="1:3" x14ac:dyDescent="0.35">
      <c r="A424" s="24" t="s">
        <v>1164</v>
      </c>
      <c r="B424" s="24" t="s">
        <v>791</v>
      </c>
      <c r="C424" s="26" t="s">
        <v>1165</v>
      </c>
    </row>
    <row r="425" spans="1:3" x14ac:dyDescent="0.35">
      <c r="A425" s="24" t="s">
        <v>1164</v>
      </c>
      <c r="B425" s="24" t="s">
        <v>791</v>
      </c>
      <c r="C425" s="26" t="s">
        <v>1166</v>
      </c>
    </row>
    <row r="426" spans="1:3" x14ac:dyDescent="0.35">
      <c r="A426" s="24" t="s">
        <v>1167</v>
      </c>
      <c r="B426" s="24" t="s">
        <v>795</v>
      </c>
      <c r="C426" s="26" t="s">
        <v>1168</v>
      </c>
    </row>
    <row r="427" spans="1:3" x14ac:dyDescent="0.35">
      <c r="A427" s="24" t="s">
        <v>1169</v>
      </c>
      <c r="B427" s="24" t="s">
        <v>798</v>
      </c>
      <c r="C427" s="26" t="s">
        <v>1170</v>
      </c>
    </row>
    <row r="428" spans="1:3" x14ac:dyDescent="0.35">
      <c r="A428" s="24" t="s">
        <v>1171</v>
      </c>
      <c r="C428" s="26" t="s">
        <v>1172</v>
      </c>
    </row>
    <row r="429" spans="1:3" ht="29" x14ac:dyDescent="0.35">
      <c r="A429" s="24" t="s">
        <v>1173</v>
      </c>
      <c r="B429" s="24" t="s">
        <v>1005</v>
      </c>
      <c r="C429" s="26" t="s">
        <v>1174</v>
      </c>
    </row>
    <row r="430" spans="1:3" x14ac:dyDescent="0.35">
      <c r="A430" s="24" t="s">
        <v>1173</v>
      </c>
      <c r="B430" s="24" t="s">
        <v>1005</v>
      </c>
      <c r="C430" s="26" t="s">
        <v>1135</v>
      </c>
    </row>
    <row r="431" spans="1:3" x14ac:dyDescent="0.35">
      <c r="A431" s="24" t="s">
        <v>1175</v>
      </c>
      <c r="B431" s="24" t="s">
        <v>999</v>
      </c>
      <c r="C431" s="26" t="s">
        <v>1137</v>
      </c>
    </row>
    <row r="432" spans="1:3" x14ac:dyDescent="0.35">
      <c r="A432" s="24" t="s">
        <v>1176</v>
      </c>
      <c r="B432" s="24" t="s">
        <v>1002</v>
      </c>
      <c r="C432" s="26" t="s">
        <v>1139</v>
      </c>
    </row>
    <row r="433" spans="1:3" x14ac:dyDescent="0.35">
      <c r="A433" s="24" t="s">
        <v>1177</v>
      </c>
      <c r="B433" s="24" t="s">
        <v>1178</v>
      </c>
      <c r="C433" s="26" t="s">
        <v>1179</v>
      </c>
    </row>
    <row r="434" spans="1:3" x14ac:dyDescent="0.35">
      <c r="A434" s="24" t="s">
        <v>1180</v>
      </c>
      <c r="B434" s="24" t="s">
        <v>1181</v>
      </c>
      <c r="C434" s="26" t="s">
        <v>1182</v>
      </c>
    </row>
    <row r="435" spans="1:3" x14ac:dyDescent="0.35">
      <c r="A435" s="24" t="s">
        <v>1183</v>
      </c>
      <c r="C435" s="26" t="s">
        <v>775</v>
      </c>
    </row>
    <row r="436" spans="1:3" ht="58" x14ac:dyDescent="0.35">
      <c r="A436" s="24" t="s">
        <v>1184</v>
      </c>
      <c r="B436" s="24" t="s">
        <v>63</v>
      </c>
      <c r="C436" s="26" t="s">
        <v>1185</v>
      </c>
    </row>
    <row r="437" spans="1:3" x14ac:dyDescent="0.35">
      <c r="A437" s="24" t="s">
        <v>1184</v>
      </c>
      <c r="B437" s="24" t="s">
        <v>63</v>
      </c>
      <c r="C437" s="26" t="s">
        <v>1052</v>
      </c>
    </row>
    <row r="438" spans="1:3" x14ac:dyDescent="0.35">
      <c r="A438" s="24" t="s">
        <v>1186</v>
      </c>
      <c r="B438" s="24" t="s">
        <v>85</v>
      </c>
      <c r="C438" s="26" t="s">
        <v>1052</v>
      </c>
    </row>
    <row r="439" spans="1:3" x14ac:dyDescent="0.35">
      <c r="A439" s="24" t="s">
        <v>1187</v>
      </c>
      <c r="B439" s="24" t="s">
        <v>107</v>
      </c>
      <c r="C439" s="26" t="s">
        <v>1052</v>
      </c>
    </row>
    <row r="440" spans="1:3" x14ac:dyDescent="0.35">
      <c r="A440" s="24" t="s">
        <v>1188</v>
      </c>
      <c r="B440" s="24" t="s">
        <v>128</v>
      </c>
      <c r="C440" s="26" t="s">
        <v>1052</v>
      </c>
    </row>
    <row r="441" spans="1:3" x14ac:dyDescent="0.35">
      <c r="A441" s="24" t="s">
        <v>1189</v>
      </c>
      <c r="B441" s="24" t="s">
        <v>149</v>
      </c>
      <c r="C441" s="26" t="s">
        <v>1052</v>
      </c>
    </row>
    <row r="442" spans="1:3" x14ac:dyDescent="0.35">
      <c r="A442" s="24" t="s">
        <v>1190</v>
      </c>
      <c r="B442" s="24" t="s">
        <v>362</v>
      </c>
      <c r="C442" s="26" t="s">
        <v>1052</v>
      </c>
    </row>
    <row r="443" spans="1:3" x14ac:dyDescent="0.35">
      <c r="A443" s="24" t="s">
        <v>1191</v>
      </c>
      <c r="B443" s="24" t="s">
        <v>1192</v>
      </c>
    </row>
    <row r="444" spans="1:3" x14ac:dyDescent="0.35">
      <c r="A444" s="24" t="s">
        <v>1191</v>
      </c>
      <c r="B444" s="24" t="s">
        <v>786</v>
      </c>
      <c r="C444" s="26" t="s">
        <v>786</v>
      </c>
    </row>
    <row r="445" spans="1:3" x14ac:dyDescent="0.35">
      <c r="A445" s="24" t="s">
        <v>1191</v>
      </c>
      <c r="B445" s="24" t="s">
        <v>1193</v>
      </c>
      <c r="C445" s="26" t="s">
        <v>1193</v>
      </c>
    </row>
    <row r="446" spans="1:3" ht="72.5" x14ac:dyDescent="0.35">
      <c r="A446" s="24" t="s">
        <v>1191</v>
      </c>
      <c r="C446" s="26" t="s">
        <v>788</v>
      </c>
    </row>
    <row r="447" spans="1:3" x14ac:dyDescent="0.35">
      <c r="A447" s="24" t="s">
        <v>1191</v>
      </c>
      <c r="C447" s="26" t="s">
        <v>1194</v>
      </c>
    </row>
    <row r="448" spans="1:3" ht="29" x14ac:dyDescent="0.35">
      <c r="A448" s="24" t="s">
        <v>1195</v>
      </c>
      <c r="B448" s="24" t="s">
        <v>791</v>
      </c>
      <c r="C448" s="26" t="s">
        <v>1196</v>
      </c>
    </row>
    <row r="449" spans="1:3" ht="58" x14ac:dyDescent="0.35">
      <c r="A449" s="24" t="s">
        <v>1195</v>
      </c>
      <c r="B449" s="24" t="s">
        <v>791</v>
      </c>
      <c r="C449" s="26" t="s">
        <v>1197</v>
      </c>
    </row>
    <row r="450" spans="1:3" x14ac:dyDescent="0.35">
      <c r="A450" s="24" t="s">
        <v>1198</v>
      </c>
      <c r="C450" s="26" t="s">
        <v>1199</v>
      </c>
    </row>
    <row r="451" spans="1:3" ht="29" x14ac:dyDescent="0.35">
      <c r="A451" s="24" t="s">
        <v>1200</v>
      </c>
      <c r="B451" s="24" t="s">
        <v>791</v>
      </c>
      <c r="C451" s="26" t="s">
        <v>1201</v>
      </c>
    </row>
    <row r="452" spans="1:3" ht="58" x14ac:dyDescent="0.35">
      <c r="A452" s="24" t="s">
        <v>1200</v>
      </c>
      <c r="B452" s="24" t="s">
        <v>791</v>
      </c>
      <c r="C452" s="26" t="s">
        <v>1202</v>
      </c>
    </row>
    <row r="453" spans="1:3" x14ac:dyDescent="0.35">
      <c r="A453" s="24" t="s">
        <v>1203</v>
      </c>
      <c r="B453" s="24" t="s">
        <v>795</v>
      </c>
      <c r="C453" s="26" t="s">
        <v>1204</v>
      </c>
    </row>
    <row r="454" spans="1:3" x14ac:dyDescent="0.35">
      <c r="A454" s="24" t="s">
        <v>1205</v>
      </c>
      <c r="C454" s="26" t="s">
        <v>1206</v>
      </c>
    </row>
    <row r="455" spans="1:3" ht="29" x14ac:dyDescent="0.35">
      <c r="A455" s="24" t="s">
        <v>1207</v>
      </c>
      <c r="B455" s="24" t="s">
        <v>791</v>
      </c>
      <c r="C455" s="26" t="s">
        <v>1208</v>
      </c>
    </row>
    <row r="456" spans="1:3" ht="29" x14ac:dyDescent="0.35">
      <c r="A456" s="24" t="s">
        <v>1207</v>
      </c>
      <c r="B456" s="24" t="s">
        <v>791</v>
      </c>
      <c r="C456" s="26" t="s">
        <v>1209</v>
      </c>
    </row>
    <row r="457" spans="1:3" ht="29" x14ac:dyDescent="0.35">
      <c r="A457" s="24" t="s">
        <v>1210</v>
      </c>
      <c r="B457" s="24" t="s">
        <v>795</v>
      </c>
      <c r="C457" s="26" t="s">
        <v>1211</v>
      </c>
    </row>
    <row r="458" spans="1:3" x14ac:dyDescent="0.35">
      <c r="A458" s="24" t="s">
        <v>1212</v>
      </c>
      <c r="B458" s="24" t="s">
        <v>798</v>
      </c>
      <c r="C458" s="26" t="s">
        <v>1204</v>
      </c>
    </row>
    <row r="459" spans="1:3" x14ac:dyDescent="0.35">
      <c r="A459" s="24" t="s">
        <v>1213</v>
      </c>
      <c r="C459" s="26" t="s">
        <v>775</v>
      </c>
    </row>
    <row r="460" spans="1:3" ht="58" x14ac:dyDescent="0.35">
      <c r="A460" s="24" t="s">
        <v>1214</v>
      </c>
      <c r="B460" s="24" t="s">
        <v>63</v>
      </c>
      <c r="C460" s="26" t="s">
        <v>1215</v>
      </c>
    </row>
    <row r="461" spans="1:3" x14ac:dyDescent="0.35">
      <c r="A461" s="24" t="s">
        <v>1214</v>
      </c>
      <c r="B461" s="24" t="s">
        <v>63</v>
      </c>
      <c r="C461" s="26" t="s">
        <v>1052</v>
      </c>
    </row>
    <row r="462" spans="1:3" x14ac:dyDescent="0.35">
      <c r="A462" s="24" t="s">
        <v>1216</v>
      </c>
      <c r="B462" s="24" t="s">
        <v>85</v>
      </c>
      <c r="C462" s="26" t="s">
        <v>1052</v>
      </c>
    </row>
    <row r="463" spans="1:3" x14ac:dyDescent="0.35">
      <c r="A463" s="24" t="s">
        <v>1217</v>
      </c>
      <c r="B463" s="24" t="s">
        <v>107</v>
      </c>
      <c r="C463" s="26" t="s">
        <v>1052</v>
      </c>
    </row>
    <row r="464" spans="1:3" x14ac:dyDescent="0.35">
      <c r="A464" s="24" t="s">
        <v>1218</v>
      </c>
      <c r="B464" s="24" t="s">
        <v>128</v>
      </c>
      <c r="C464" s="26" t="s">
        <v>1052</v>
      </c>
    </row>
    <row r="465" spans="1:3" x14ac:dyDescent="0.35">
      <c r="A465" s="24" t="s">
        <v>1219</v>
      </c>
      <c r="B465" s="24" t="s">
        <v>149</v>
      </c>
      <c r="C465" s="26" t="s">
        <v>1052</v>
      </c>
    </row>
    <row r="466" spans="1:3" x14ac:dyDescent="0.35">
      <c r="A466" s="24" t="s">
        <v>1220</v>
      </c>
      <c r="B466" s="24" t="s">
        <v>362</v>
      </c>
      <c r="C466" s="26" t="s">
        <v>1052</v>
      </c>
    </row>
    <row r="467" spans="1:3" x14ac:dyDescent="0.35">
      <c r="A467" s="24" t="s">
        <v>1221</v>
      </c>
      <c r="B467" s="24" t="s">
        <v>1222</v>
      </c>
    </row>
    <row r="468" spans="1:3" x14ac:dyDescent="0.35">
      <c r="A468" s="24" t="s">
        <v>1221</v>
      </c>
      <c r="B468" s="24" t="s">
        <v>786</v>
      </c>
      <c r="C468" s="26" t="s">
        <v>786</v>
      </c>
    </row>
    <row r="469" spans="1:3" x14ac:dyDescent="0.35">
      <c r="A469" s="24" t="s">
        <v>1221</v>
      </c>
      <c r="B469" s="24" t="s">
        <v>1223</v>
      </c>
      <c r="C469" s="26" t="s">
        <v>1223</v>
      </c>
    </row>
    <row r="470" spans="1:3" ht="116" x14ac:dyDescent="0.35">
      <c r="A470" s="24" t="s">
        <v>1224</v>
      </c>
      <c r="B470" s="24" t="s">
        <v>63</v>
      </c>
      <c r="C470" s="26" t="s">
        <v>1225</v>
      </c>
    </row>
    <row r="471" spans="1:3" x14ac:dyDescent="0.35">
      <c r="A471" s="24" t="s">
        <v>1224</v>
      </c>
      <c r="B471" s="24" t="s">
        <v>63</v>
      </c>
      <c r="C471" s="26" t="s">
        <v>1226</v>
      </c>
    </row>
    <row r="472" spans="1:3" x14ac:dyDescent="0.35">
      <c r="A472" s="24" t="s">
        <v>1227</v>
      </c>
      <c r="B472" s="24" t="s">
        <v>1228</v>
      </c>
    </row>
    <row r="473" spans="1:3" x14ac:dyDescent="0.35">
      <c r="A473" s="24" t="s">
        <v>1227</v>
      </c>
      <c r="B473" s="24" t="s">
        <v>786</v>
      </c>
      <c r="C473" s="26" t="s">
        <v>786</v>
      </c>
    </row>
    <row r="474" spans="1:3" x14ac:dyDescent="0.35">
      <c r="A474" s="24" t="s">
        <v>1227</v>
      </c>
      <c r="B474" s="24" t="s">
        <v>1229</v>
      </c>
      <c r="C474" s="26" t="s">
        <v>1229</v>
      </c>
    </row>
    <row r="475" spans="1:3" x14ac:dyDescent="0.35">
      <c r="A475" s="24" t="s">
        <v>1227</v>
      </c>
      <c r="B475" s="24">
        <v>1</v>
      </c>
      <c r="C475" s="26" t="s">
        <v>1230</v>
      </c>
    </row>
    <row r="476" spans="1:3" x14ac:dyDescent="0.35">
      <c r="A476" s="24" t="s">
        <v>1227</v>
      </c>
      <c r="B476" s="24">
        <v>2</v>
      </c>
      <c r="C476" s="26" t="s">
        <v>1231</v>
      </c>
    </row>
    <row r="477" spans="1:3" x14ac:dyDescent="0.35">
      <c r="A477" s="24" t="s">
        <v>1227</v>
      </c>
      <c r="B477" s="24">
        <v>3</v>
      </c>
      <c r="C477" s="26" t="s">
        <v>1232</v>
      </c>
    </row>
    <row r="478" spans="1:3" x14ac:dyDescent="0.35">
      <c r="A478" s="24" t="s">
        <v>1227</v>
      </c>
      <c r="B478" s="24">
        <v>4</v>
      </c>
      <c r="C478" s="26" t="s">
        <v>1233</v>
      </c>
    </row>
    <row r="479" spans="1:3" x14ac:dyDescent="0.35">
      <c r="A479" s="24" t="s">
        <v>1227</v>
      </c>
      <c r="C479" s="26" t="s">
        <v>1234</v>
      </c>
    </row>
    <row r="480" spans="1:3" x14ac:dyDescent="0.35">
      <c r="A480" s="24" t="s">
        <v>1235</v>
      </c>
      <c r="B480" s="24" t="s">
        <v>1236</v>
      </c>
    </row>
    <row r="481" spans="1:3" x14ac:dyDescent="0.35">
      <c r="A481" s="24" t="s">
        <v>1235</v>
      </c>
      <c r="B481" s="24" t="s">
        <v>1237</v>
      </c>
      <c r="C481" s="26" t="s">
        <v>1237</v>
      </c>
    </row>
    <row r="482" spans="1:3" ht="87" x14ac:dyDescent="0.35">
      <c r="A482" s="24" t="s">
        <v>1235</v>
      </c>
      <c r="C482" s="26" t="s">
        <v>1238</v>
      </c>
    </row>
    <row r="483" spans="1:3" x14ac:dyDescent="0.35">
      <c r="A483" s="24" t="s">
        <v>1235</v>
      </c>
      <c r="C483" s="26" t="s">
        <v>1239</v>
      </c>
    </row>
    <row r="484" spans="1:3" ht="29" x14ac:dyDescent="0.35">
      <c r="A484" s="24" t="s">
        <v>1240</v>
      </c>
      <c r="B484" s="24" t="s">
        <v>791</v>
      </c>
      <c r="C484" s="26" t="s">
        <v>1241</v>
      </c>
    </row>
    <row r="485" spans="1:3" ht="29" x14ac:dyDescent="0.35">
      <c r="A485" s="24" t="s">
        <v>1240</v>
      </c>
      <c r="B485" s="24" t="s">
        <v>791</v>
      </c>
      <c r="C485" s="26" t="s">
        <v>1242</v>
      </c>
    </row>
    <row r="486" spans="1:3" ht="29" x14ac:dyDescent="0.35">
      <c r="A486" s="24" t="s">
        <v>1243</v>
      </c>
      <c r="B486" s="24" t="s">
        <v>795</v>
      </c>
      <c r="C486" s="26" t="s">
        <v>1244</v>
      </c>
    </row>
    <row r="487" spans="1:3" ht="29" x14ac:dyDescent="0.35">
      <c r="A487" s="24" t="s">
        <v>1245</v>
      </c>
      <c r="B487" s="24" t="s">
        <v>798</v>
      </c>
      <c r="C487" s="26" t="s">
        <v>1246</v>
      </c>
    </row>
    <row r="488" spans="1:3" ht="29" x14ac:dyDescent="0.35">
      <c r="A488" s="24" t="s">
        <v>1247</v>
      </c>
      <c r="B488" s="24" t="s">
        <v>872</v>
      </c>
      <c r="C488" s="26" t="s">
        <v>1248</v>
      </c>
    </row>
    <row r="489" spans="1:3" x14ac:dyDescent="0.35">
      <c r="A489" s="24" t="s">
        <v>1249</v>
      </c>
      <c r="C489" s="26" t="s">
        <v>1250</v>
      </c>
    </row>
    <row r="490" spans="1:3" ht="29" x14ac:dyDescent="0.35">
      <c r="A490" s="24" t="s">
        <v>1251</v>
      </c>
      <c r="B490" s="24" t="s">
        <v>791</v>
      </c>
      <c r="C490" s="26" t="s">
        <v>1252</v>
      </c>
    </row>
    <row r="491" spans="1:3" x14ac:dyDescent="0.35">
      <c r="A491" s="24" t="s">
        <v>1251</v>
      </c>
      <c r="B491" s="24" t="s">
        <v>791</v>
      </c>
      <c r="C491" s="26" t="s">
        <v>1253</v>
      </c>
    </row>
    <row r="492" spans="1:3" x14ac:dyDescent="0.35">
      <c r="A492" s="24" t="s">
        <v>1254</v>
      </c>
      <c r="B492" s="24" t="s">
        <v>795</v>
      </c>
      <c r="C492" s="26" t="s">
        <v>1255</v>
      </c>
    </row>
    <row r="493" spans="1:3" ht="29" x14ac:dyDescent="0.35">
      <c r="A493" s="24" t="s">
        <v>1256</v>
      </c>
      <c r="B493" s="24" t="s">
        <v>798</v>
      </c>
      <c r="C493" s="26" t="s">
        <v>1257</v>
      </c>
    </row>
    <row r="494" spans="1:3" ht="29" x14ac:dyDescent="0.35">
      <c r="A494" s="24" t="s">
        <v>1258</v>
      </c>
      <c r="B494" s="24" t="s">
        <v>872</v>
      </c>
      <c r="C494" s="26" t="s">
        <v>1259</v>
      </c>
    </row>
    <row r="495" spans="1:3" x14ac:dyDescent="0.35">
      <c r="A495" s="24" t="s">
        <v>1260</v>
      </c>
      <c r="B495" s="24" t="s">
        <v>1261</v>
      </c>
      <c r="C495" s="26" t="s">
        <v>808</v>
      </c>
    </row>
    <row r="496" spans="1:3" x14ac:dyDescent="0.35">
      <c r="A496" s="24" t="s">
        <v>1262</v>
      </c>
      <c r="C496" s="26" t="s">
        <v>1263</v>
      </c>
    </row>
    <row r="497" spans="1:3" ht="29" x14ac:dyDescent="0.35">
      <c r="A497" s="24" t="s">
        <v>1264</v>
      </c>
      <c r="B497" s="24" t="s">
        <v>791</v>
      </c>
      <c r="C497" s="26" t="s">
        <v>1265</v>
      </c>
    </row>
    <row r="498" spans="1:3" x14ac:dyDescent="0.35">
      <c r="A498" s="24" t="s">
        <v>1264</v>
      </c>
      <c r="B498" s="24" t="s">
        <v>791</v>
      </c>
      <c r="C498" s="26" t="s">
        <v>1266</v>
      </c>
    </row>
    <row r="499" spans="1:3" x14ac:dyDescent="0.35">
      <c r="A499" s="24" t="s">
        <v>1267</v>
      </c>
      <c r="B499" s="24" t="s">
        <v>795</v>
      </c>
      <c r="C499" s="26" t="s">
        <v>1268</v>
      </c>
    </row>
    <row r="500" spans="1:3" x14ac:dyDescent="0.35">
      <c r="A500" s="24" t="s">
        <v>1269</v>
      </c>
      <c r="B500" s="24" t="s">
        <v>798</v>
      </c>
      <c r="C500" s="26" t="s">
        <v>1270</v>
      </c>
    </row>
    <row r="501" spans="1:3" x14ac:dyDescent="0.35">
      <c r="A501" s="24" t="s">
        <v>1271</v>
      </c>
      <c r="B501" s="24" t="s">
        <v>872</v>
      </c>
      <c r="C501" s="26" t="s">
        <v>1272</v>
      </c>
    </row>
    <row r="502" spans="1:3" x14ac:dyDescent="0.35">
      <c r="A502" s="24" t="s">
        <v>1273</v>
      </c>
      <c r="B502" s="24" t="s">
        <v>1261</v>
      </c>
      <c r="C502" s="26" t="s">
        <v>1274</v>
      </c>
    </row>
    <row r="503" spans="1:3" x14ac:dyDescent="0.35">
      <c r="A503" s="24" t="s">
        <v>1275</v>
      </c>
      <c r="C503" s="26" t="s">
        <v>1276</v>
      </c>
    </row>
    <row r="504" spans="1:3" ht="29" x14ac:dyDescent="0.35">
      <c r="A504" s="24" t="s">
        <v>1277</v>
      </c>
      <c r="B504" s="24" t="s">
        <v>791</v>
      </c>
      <c r="C504" s="26" t="s">
        <v>1278</v>
      </c>
    </row>
    <row r="505" spans="1:3" x14ac:dyDescent="0.35">
      <c r="A505" s="24" t="s">
        <v>1277</v>
      </c>
      <c r="B505" s="24" t="s">
        <v>791</v>
      </c>
      <c r="C505" s="26" t="s">
        <v>1279</v>
      </c>
    </row>
    <row r="506" spans="1:3" x14ac:dyDescent="0.35">
      <c r="A506" s="24" t="s">
        <v>1280</v>
      </c>
      <c r="B506" s="24" t="s">
        <v>795</v>
      </c>
      <c r="C506" s="26" t="s">
        <v>1281</v>
      </c>
    </row>
    <row r="507" spans="1:3" x14ac:dyDescent="0.35">
      <c r="A507" s="24" t="s">
        <v>1282</v>
      </c>
      <c r="B507" s="24" t="s">
        <v>798</v>
      </c>
      <c r="C507" s="26" t="s">
        <v>1283</v>
      </c>
    </row>
    <row r="508" spans="1:3" x14ac:dyDescent="0.35">
      <c r="A508" s="24" t="s">
        <v>1284</v>
      </c>
      <c r="B508" s="24" t="s">
        <v>791</v>
      </c>
      <c r="C508" s="26" t="s">
        <v>1285</v>
      </c>
    </row>
    <row r="509" spans="1:3" x14ac:dyDescent="0.35">
      <c r="A509" s="24" t="s">
        <v>1286</v>
      </c>
      <c r="B509" s="24" t="s">
        <v>795</v>
      </c>
      <c r="C509" s="26" t="s">
        <v>1287</v>
      </c>
    </row>
    <row r="510" spans="1:3" x14ac:dyDescent="0.35">
      <c r="A510" s="24" t="s">
        <v>1288</v>
      </c>
      <c r="B510" s="24" t="s">
        <v>798</v>
      </c>
      <c r="C510" s="26" t="s">
        <v>808</v>
      </c>
    </row>
    <row r="511" spans="1:3" x14ac:dyDescent="0.35">
      <c r="A511" s="24" t="s">
        <v>1289</v>
      </c>
      <c r="C511" s="26" t="s">
        <v>1290</v>
      </c>
    </row>
    <row r="512" spans="1:3" ht="29" x14ac:dyDescent="0.35">
      <c r="A512" s="24" t="s">
        <v>1291</v>
      </c>
      <c r="B512" s="24" t="s">
        <v>791</v>
      </c>
      <c r="C512" s="26" t="s">
        <v>1292</v>
      </c>
    </row>
    <row r="513" spans="1:3" x14ac:dyDescent="0.35">
      <c r="A513" s="24" t="s">
        <v>1291</v>
      </c>
      <c r="B513" s="24" t="s">
        <v>791</v>
      </c>
      <c r="C513" s="26" t="s">
        <v>1293</v>
      </c>
    </row>
    <row r="514" spans="1:3" x14ac:dyDescent="0.35">
      <c r="A514" s="24" t="s">
        <v>1294</v>
      </c>
      <c r="B514" s="24" t="s">
        <v>795</v>
      </c>
      <c r="C514" s="26" t="s">
        <v>1295</v>
      </c>
    </row>
    <row r="515" spans="1:3" x14ac:dyDescent="0.35">
      <c r="A515" s="24" t="s">
        <v>1296</v>
      </c>
      <c r="B515" s="24" t="s">
        <v>798</v>
      </c>
      <c r="C515" s="26" t="s">
        <v>1297</v>
      </c>
    </row>
    <row r="516" spans="1:3" x14ac:dyDescent="0.35">
      <c r="A516" s="24" t="s">
        <v>1298</v>
      </c>
      <c r="B516" s="24" t="s">
        <v>872</v>
      </c>
      <c r="C516" s="26" t="s">
        <v>1299</v>
      </c>
    </row>
    <row r="517" spans="1:3" x14ac:dyDescent="0.35">
      <c r="A517" s="24" t="s">
        <v>1300</v>
      </c>
      <c r="C517" s="26" t="s">
        <v>1301</v>
      </c>
    </row>
    <row r="518" spans="1:3" ht="29" x14ac:dyDescent="0.35">
      <c r="A518" s="24" t="s">
        <v>1302</v>
      </c>
      <c r="B518" s="24" t="s">
        <v>791</v>
      </c>
      <c r="C518" s="26" t="s">
        <v>1303</v>
      </c>
    </row>
    <row r="519" spans="1:3" x14ac:dyDescent="0.35">
      <c r="A519" s="24" t="s">
        <v>1302</v>
      </c>
      <c r="B519" s="24" t="s">
        <v>791</v>
      </c>
      <c r="C519" s="26" t="s">
        <v>1304</v>
      </c>
    </row>
    <row r="520" spans="1:3" x14ac:dyDescent="0.35">
      <c r="A520" s="24" t="s">
        <v>1305</v>
      </c>
      <c r="B520" s="24" t="s">
        <v>795</v>
      </c>
      <c r="C520" s="26" t="s">
        <v>1306</v>
      </c>
    </row>
    <row r="521" spans="1:3" x14ac:dyDescent="0.35">
      <c r="A521" s="24" t="s">
        <v>1307</v>
      </c>
      <c r="B521" s="24" t="s">
        <v>798</v>
      </c>
      <c r="C521" s="26" t="s">
        <v>1308</v>
      </c>
    </row>
    <row r="522" spans="1:3" x14ac:dyDescent="0.35">
      <c r="A522" s="24" t="s">
        <v>1309</v>
      </c>
      <c r="B522" s="24" t="s">
        <v>872</v>
      </c>
      <c r="C522" s="26" t="s">
        <v>1310</v>
      </c>
    </row>
    <row r="523" spans="1:3" x14ac:dyDescent="0.35">
      <c r="A523" s="24" t="s">
        <v>1311</v>
      </c>
      <c r="B523" s="24" t="s">
        <v>791</v>
      </c>
      <c r="C523" s="26" t="s">
        <v>1312</v>
      </c>
    </row>
    <row r="524" spans="1:3" x14ac:dyDescent="0.35">
      <c r="A524" s="24" t="s">
        <v>1313</v>
      </c>
      <c r="B524" s="24" t="s">
        <v>795</v>
      </c>
      <c r="C524" s="26" t="s">
        <v>1314</v>
      </c>
    </row>
    <row r="525" spans="1:3" x14ac:dyDescent="0.35">
      <c r="A525" s="24" t="s">
        <v>1315</v>
      </c>
      <c r="B525" s="24" t="s">
        <v>791</v>
      </c>
      <c r="C525" s="26" t="s">
        <v>1316</v>
      </c>
    </row>
    <row r="526" spans="1:3" x14ac:dyDescent="0.35">
      <c r="A526" s="24" t="s">
        <v>1317</v>
      </c>
      <c r="B526" s="24" t="s">
        <v>795</v>
      </c>
      <c r="C526" s="26" t="s">
        <v>1318</v>
      </c>
    </row>
    <row r="527" spans="1:3" x14ac:dyDescent="0.35">
      <c r="A527" s="24" t="s">
        <v>1319</v>
      </c>
      <c r="B527" s="24" t="s">
        <v>798</v>
      </c>
      <c r="C527" s="26" t="s">
        <v>1320</v>
      </c>
    </row>
    <row r="528" spans="1:3" x14ac:dyDescent="0.35">
      <c r="A528" s="24" t="s">
        <v>1321</v>
      </c>
      <c r="B528" s="24" t="s">
        <v>872</v>
      </c>
      <c r="C528" s="26" t="s">
        <v>1322</v>
      </c>
    </row>
    <row r="529" spans="1:3" x14ac:dyDescent="0.35">
      <c r="A529" s="24" t="s">
        <v>1323</v>
      </c>
      <c r="B529" s="24" t="s">
        <v>791</v>
      </c>
      <c r="C529" s="26" t="s">
        <v>1324</v>
      </c>
    </row>
    <row r="530" spans="1:3" x14ac:dyDescent="0.35">
      <c r="A530" s="24" t="s">
        <v>1325</v>
      </c>
      <c r="B530" s="24" t="s">
        <v>795</v>
      </c>
      <c r="C530" s="26" t="s">
        <v>1326</v>
      </c>
    </row>
    <row r="531" spans="1:3" x14ac:dyDescent="0.35">
      <c r="A531" s="24" t="s">
        <v>1327</v>
      </c>
      <c r="B531" s="24" t="s">
        <v>798</v>
      </c>
      <c r="C531" s="26" t="s">
        <v>1328</v>
      </c>
    </row>
    <row r="532" spans="1:3" x14ac:dyDescent="0.35">
      <c r="A532" s="24" t="s">
        <v>1329</v>
      </c>
      <c r="B532" s="24" t="s">
        <v>872</v>
      </c>
      <c r="C532" s="26" t="s">
        <v>1330</v>
      </c>
    </row>
    <row r="533" spans="1:3" x14ac:dyDescent="0.35">
      <c r="A533" s="24" t="s">
        <v>1331</v>
      </c>
      <c r="B533" s="24" t="s">
        <v>791</v>
      </c>
      <c r="C533" s="26" t="s">
        <v>1332</v>
      </c>
    </row>
    <row r="534" spans="1:3" x14ac:dyDescent="0.35">
      <c r="A534" s="24" t="s">
        <v>1333</v>
      </c>
      <c r="B534" s="24" t="s">
        <v>795</v>
      </c>
      <c r="C534" s="26" t="s">
        <v>1334</v>
      </c>
    </row>
    <row r="535" spans="1:3" x14ac:dyDescent="0.35">
      <c r="A535" s="24" t="s">
        <v>1335</v>
      </c>
      <c r="B535" s="24" t="s">
        <v>791</v>
      </c>
      <c r="C535" s="26" t="s">
        <v>1336</v>
      </c>
    </row>
    <row r="536" spans="1:3" x14ac:dyDescent="0.35">
      <c r="A536" s="24" t="s">
        <v>1337</v>
      </c>
      <c r="B536" s="24" t="s">
        <v>795</v>
      </c>
      <c r="C536" s="26" t="s">
        <v>1338</v>
      </c>
    </row>
    <row r="537" spans="1:3" x14ac:dyDescent="0.35">
      <c r="A537" s="24" t="s">
        <v>1339</v>
      </c>
      <c r="B537" s="24" t="s">
        <v>798</v>
      </c>
      <c r="C537" s="26" t="s">
        <v>1340</v>
      </c>
    </row>
    <row r="538" spans="1:3" x14ac:dyDescent="0.35">
      <c r="A538" s="24" t="s">
        <v>1341</v>
      </c>
      <c r="B538" s="24" t="s">
        <v>872</v>
      </c>
      <c r="C538" s="26" t="s">
        <v>1342</v>
      </c>
    </row>
    <row r="539" spans="1:3" x14ac:dyDescent="0.35">
      <c r="A539" s="24" t="s">
        <v>1343</v>
      </c>
      <c r="B539" s="24" t="s">
        <v>1261</v>
      </c>
      <c r="C539" s="26" t="s">
        <v>1344</v>
      </c>
    </row>
    <row r="540" spans="1:3" x14ac:dyDescent="0.35">
      <c r="A540" s="24" t="s">
        <v>1345</v>
      </c>
      <c r="B540" s="24" t="s">
        <v>1346</v>
      </c>
      <c r="C540" s="26" t="s">
        <v>1347</v>
      </c>
    </row>
    <row r="541" spans="1:3" x14ac:dyDescent="0.35">
      <c r="A541" s="24" t="s">
        <v>1348</v>
      </c>
      <c r="B541" s="24" t="s">
        <v>791</v>
      </c>
      <c r="C541" s="26" t="s">
        <v>1349</v>
      </c>
    </row>
    <row r="542" spans="1:3" x14ac:dyDescent="0.35">
      <c r="A542" s="24" t="s">
        <v>1350</v>
      </c>
      <c r="B542" s="24" t="s">
        <v>795</v>
      </c>
      <c r="C542" s="26" t="s">
        <v>1351</v>
      </c>
    </row>
    <row r="543" spans="1:3" x14ac:dyDescent="0.35">
      <c r="A543" s="24" t="s">
        <v>1352</v>
      </c>
      <c r="B543" s="24" t="s">
        <v>798</v>
      </c>
      <c r="C543" s="26" t="s">
        <v>1353</v>
      </c>
    </row>
    <row r="544" spans="1:3" x14ac:dyDescent="0.35">
      <c r="A544" s="24" t="s">
        <v>1354</v>
      </c>
      <c r="B544" s="24" t="s">
        <v>872</v>
      </c>
      <c r="C544" s="26" t="s">
        <v>1355</v>
      </c>
    </row>
    <row r="545" spans="1:3" x14ac:dyDescent="0.35">
      <c r="A545" s="24" t="s">
        <v>1356</v>
      </c>
      <c r="B545" s="24" t="s">
        <v>791</v>
      </c>
      <c r="C545" s="26" t="s">
        <v>1357</v>
      </c>
    </row>
    <row r="546" spans="1:3" x14ac:dyDescent="0.35">
      <c r="A546" s="24" t="s">
        <v>1358</v>
      </c>
      <c r="B546" s="24" t="s">
        <v>795</v>
      </c>
      <c r="C546" s="26" t="s">
        <v>1359</v>
      </c>
    </row>
    <row r="547" spans="1:3" x14ac:dyDescent="0.35">
      <c r="A547" s="24" t="s">
        <v>1360</v>
      </c>
      <c r="B547" s="24" t="s">
        <v>798</v>
      </c>
      <c r="C547" s="26" t="s">
        <v>1361</v>
      </c>
    </row>
    <row r="548" spans="1:3" x14ac:dyDescent="0.35">
      <c r="A548" s="24" t="s">
        <v>1362</v>
      </c>
      <c r="B548" s="24" t="s">
        <v>872</v>
      </c>
      <c r="C548" s="26" t="s">
        <v>1363</v>
      </c>
    </row>
    <row r="549" spans="1:3" x14ac:dyDescent="0.35">
      <c r="A549" s="24" t="s">
        <v>1364</v>
      </c>
      <c r="B549" s="24" t="s">
        <v>791</v>
      </c>
      <c r="C549" s="26" t="s">
        <v>1365</v>
      </c>
    </row>
    <row r="550" spans="1:3" x14ac:dyDescent="0.35">
      <c r="A550" s="24" t="s">
        <v>1366</v>
      </c>
      <c r="B550" s="24" t="s">
        <v>795</v>
      </c>
      <c r="C550" s="26" t="s">
        <v>1367</v>
      </c>
    </row>
    <row r="551" spans="1:3" x14ac:dyDescent="0.35">
      <c r="A551" s="24" t="s">
        <v>1368</v>
      </c>
      <c r="B551" s="24" t="s">
        <v>798</v>
      </c>
      <c r="C551" s="26" t="s">
        <v>1369</v>
      </c>
    </row>
    <row r="552" spans="1:3" x14ac:dyDescent="0.35">
      <c r="A552" s="24" t="s">
        <v>1370</v>
      </c>
      <c r="B552" s="24" t="s">
        <v>872</v>
      </c>
      <c r="C552" s="26" t="s">
        <v>1371</v>
      </c>
    </row>
    <row r="553" spans="1:3" x14ac:dyDescent="0.35">
      <c r="A553" s="24" t="s">
        <v>1372</v>
      </c>
      <c r="B553" s="24" t="s">
        <v>791</v>
      </c>
      <c r="C553" s="26" t="s">
        <v>1373</v>
      </c>
    </row>
    <row r="554" spans="1:3" x14ac:dyDescent="0.35">
      <c r="A554" s="24" t="s">
        <v>1374</v>
      </c>
      <c r="B554" s="24" t="s">
        <v>795</v>
      </c>
      <c r="C554" s="26" t="s">
        <v>1375</v>
      </c>
    </row>
    <row r="555" spans="1:3" x14ac:dyDescent="0.35">
      <c r="A555" s="24" t="s">
        <v>1376</v>
      </c>
      <c r="B555" s="24" t="s">
        <v>798</v>
      </c>
      <c r="C555" s="26" t="s">
        <v>1377</v>
      </c>
    </row>
    <row r="556" spans="1:3" x14ac:dyDescent="0.35">
      <c r="A556" s="24" t="s">
        <v>1378</v>
      </c>
      <c r="B556" s="24" t="s">
        <v>872</v>
      </c>
      <c r="C556" s="26" t="s">
        <v>1379</v>
      </c>
    </row>
    <row r="557" spans="1:3" x14ac:dyDescent="0.35">
      <c r="A557" s="24" t="s">
        <v>1380</v>
      </c>
      <c r="B557" s="24" t="s">
        <v>791</v>
      </c>
      <c r="C557" s="26" t="s">
        <v>1381</v>
      </c>
    </row>
    <row r="558" spans="1:3" x14ac:dyDescent="0.35">
      <c r="A558" s="24" t="s">
        <v>1382</v>
      </c>
      <c r="B558" s="24" t="s">
        <v>795</v>
      </c>
      <c r="C558" s="26" t="s">
        <v>1383</v>
      </c>
    </row>
    <row r="559" spans="1:3" x14ac:dyDescent="0.35">
      <c r="A559" s="24" t="s">
        <v>1384</v>
      </c>
      <c r="B559" s="24" t="s">
        <v>791</v>
      </c>
      <c r="C559" s="26" t="s">
        <v>1385</v>
      </c>
    </row>
    <row r="560" spans="1:3" x14ac:dyDescent="0.35">
      <c r="A560" s="24" t="s">
        <v>1386</v>
      </c>
      <c r="B560" s="24" t="s">
        <v>795</v>
      </c>
      <c r="C560" s="26" t="s">
        <v>1387</v>
      </c>
    </row>
    <row r="561" spans="1:3" x14ac:dyDescent="0.35">
      <c r="A561" s="24" t="s">
        <v>1388</v>
      </c>
      <c r="B561" s="24" t="s">
        <v>798</v>
      </c>
      <c r="C561" s="26" t="s">
        <v>1389</v>
      </c>
    </row>
    <row r="562" spans="1:3" x14ac:dyDescent="0.35">
      <c r="A562" s="24" t="s">
        <v>1390</v>
      </c>
      <c r="B562" s="24" t="s">
        <v>872</v>
      </c>
      <c r="C562" s="26" t="s">
        <v>1391</v>
      </c>
    </row>
    <row r="563" spans="1:3" x14ac:dyDescent="0.35">
      <c r="A563" s="24" t="s">
        <v>1392</v>
      </c>
      <c r="B563" s="24" t="s">
        <v>791</v>
      </c>
      <c r="C563" s="26" t="s">
        <v>1393</v>
      </c>
    </row>
    <row r="564" spans="1:3" x14ac:dyDescent="0.35">
      <c r="A564" s="24" t="s">
        <v>1394</v>
      </c>
      <c r="B564" s="24" t="s">
        <v>795</v>
      </c>
      <c r="C564" s="26" t="s">
        <v>1395</v>
      </c>
    </row>
    <row r="565" spans="1:3" x14ac:dyDescent="0.35">
      <c r="A565" s="24" t="s">
        <v>1396</v>
      </c>
      <c r="B565" s="24" t="s">
        <v>791</v>
      </c>
      <c r="C565" s="26" t="s">
        <v>1397</v>
      </c>
    </row>
    <row r="566" spans="1:3" x14ac:dyDescent="0.35">
      <c r="A566" s="24" t="s">
        <v>1398</v>
      </c>
      <c r="B566" s="24" t="s">
        <v>795</v>
      </c>
      <c r="C566" s="26" t="s">
        <v>1399</v>
      </c>
    </row>
    <row r="567" spans="1:3" x14ac:dyDescent="0.35">
      <c r="A567" s="24" t="s">
        <v>1400</v>
      </c>
      <c r="B567" s="24" t="s">
        <v>798</v>
      </c>
      <c r="C567" s="26" t="s">
        <v>1401</v>
      </c>
    </row>
    <row r="568" spans="1:3" x14ac:dyDescent="0.35">
      <c r="A568" s="24" t="s">
        <v>1402</v>
      </c>
      <c r="B568" s="24" t="s">
        <v>872</v>
      </c>
      <c r="C568" s="26" t="s">
        <v>1403</v>
      </c>
    </row>
    <row r="569" spans="1:3" x14ac:dyDescent="0.35">
      <c r="A569" s="24" t="s">
        <v>1404</v>
      </c>
      <c r="B569" s="24" t="s">
        <v>791</v>
      </c>
      <c r="C569" s="26" t="s">
        <v>1405</v>
      </c>
    </row>
    <row r="570" spans="1:3" x14ac:dyDescent="0.35">
      <c r="A570" s="24" t="s">
        <v>1406</v>
      </c>
      <c r="B570" s="24" t="s">
        <v>795</v>
      </c>
      <c r="C570" s="26" t="s">
        <v>1407</v>
      </c>
    </row>
    <row r="571" spans="1:3" x14ac:dyDescent="0.35">
      <c r="A571" s="24" t="s">
        <v>1408</v>
      </c>
      <c r="B571" s="24" t="s">
        <v>791</v>
      </c>
      <c r="C571" s="26" t="s">
        <v>1409</v>
      </c>
    </row>
    <row r="572" spans="1:3" x14ac:dyDescent="0.35">
      <c r="A572" s="24" t="s">
        <v>1410</v>
      </c>
      <c r="B572" s="24" t="s">
        <v>795</v>
      </c>
      <c r="C572" s="26" t="s">
        <v>1411</v>
      </c>
    </row>
    <row r="573" spans="1:3" x14ac:dyDescent="0.35">
      <c r="A573" s="24" t="s">
        <v>1412</v>
      </c>
      <c r="B573" s="24" t="s">
        <v>798</v>
      </c>
      <c r="C573" s="26" t="s">
        <v>1413</v>
      </c>
    </row>
    <row r="574" spans="1:3" x14ac:dyDescent="0.35">
      <c r="A574" s="24" t="s">
        <v>1414</v>
      </c>
      <c r="B574" s="24" t="s">
        <v>872</v>
      </c>
      <c r="C574" s="26" t="s">
        <v>1415</v>
      </c>
    </row>
    <row r="575" spans="1:3" x14ac:dyDescent="0.35">
      <c r="A575" s="24" t="s">
        <v>1416</v>
      </c>
      <c r="B575" s="24" t="s">
        <v>791</v>
      </c>
      <c r="C575" s="26" t="s">
        <v>1417</v>
      </c>
    </row>
    <row r="576" spans="1:3" x14ac:dyDescent="0.35">
      <c r="A576" s="24" t="s">
        <v>1418</v>
      </c>
      <c r="B576" s="24" t="s">
        <v>795</v>
      </c>
      <c r="C576" s="26" t="s">
        <v>1419</v>
      </c>
    </row>
    <row r="577" spans="1:3" x14ac:dyDescent="0.35">
      <c r="A577" s="24" t="s">
        <v>1420</v>
      </c>
      <c r="B577" s="24" t="s">
        <v>798</v>
      </c>
      <c r="C577" s="26" t="s">
        <v>1421</v>
      </c>
    </row>
    <row r="578" spans="1:3" x14ac:dyDescent="0.35">
      <c r="A578" s="24" t="s">
        <v>1422</v>
      </c>
      <c r="B578" s="24" t="s">
        <v>872</v>
      </c>
      <c r="C578" s="26" t="s">
        <v>1423</v>
      </c>
    </row>
    <row r="579" spans="1:3" x14ac:dyDescent="0.35">
      <c r="A579" s="24" t="s">
        <v>1424</v>
      </c>
      <c r="B579" s="24" t="s">
        <v>791</v>
      </c>
      <c r="C579" s="26" t="s">
        <v>1425</v>
      </c>
    </row>
    <row r="580" spans="1:3" x14ac:dyDescent="0.35">
      <c r="A580" s="24" t="s">
        <v>1426</v>
      </c>
      <c r="B580" s="24" t="s">
        <v>795</v>
      </c>
      <c r="C580" s="26" t="s">
        <v>1427</v>
      </c>
    </row>
    <row r="581" spans="1:3" x14ac:dyDescent="0.35">
      <c r="A581" s="24" t="s">
        <v>1428</v>
      </c>
      <c r="B581" s="24" t="s">
        <v>798</v>
      </c>
      <c r="C581" s="26" t="s">
        <v>1429</v>
      </c>
    </row>
    <row r="582" spans="1:3" x14ac:dyDescent="0.35">
      <c r="A582" s="24" t="s">
        <v>1430</v>
      </c>
      <c r="B582" s="24" t="s">
        <v>872</v>
      </c>
      <c r="C582" s="26" t="s">
        <v>1431</v>
      </c>
    </row>
    <row r="583" spans="1:3" x14ac:dyDescent="0.35">
      <c r="A583" s="24" t="s">
        <v>1432</v>
      </c>
      <c r="B583" s="24" t="s">
        <v>791</v>
      </c>
      <c r="C583" s="26" t="s">
        <v>1433</v>
      </c>
    </row>
    <row r="584" spans="1:3" x14ac:dyDescent="0.35">
      <c r="A584" s="24" t="s">
        <v>1434</v>
      </c>
      <c r="B584" s="24" t="s">
        <v>795</v>
      </c>
      <c r="C584" s="26" t="s">
        <v>1435</v>
      </c>
    </row>
    <row r="585" spans="1:3" x14ac:dyDescent="0.35">
      <c r="A585" s="24" t="s">
        <v>1436</v>
      </c>
      <c r="B585" s="24" t="s">
        <v>798</v>
      </c>
      <c r="C585" s="26" t="s">
        <v>1437</v>
      </c>
    </row>
    <row r="586" spans="1:3" x14ac:dyDescent="0.35">
      <c r="A586" s="24" t="s">
        <v>1438</v>
      </c>
      <c r="B586" s="24" t="s">
        <v>872</v>
      </c>
      <c r="C586" s="26" t="s">
        <v>1439</v>
      </c>
    </row>
    <row r="587" spans="1:3" x14ac:dyDescent="0.35">
      <c r="A587" s="24" t="s">
        <v>1440</v>
      </c>
      <c r="B587" s="24" t="s">
        <v>791</v>
      </c>
      <c r="C587" s="26" t="s">
        <v>1441</v>
      </c>
    </row>
    <row r="588" spans="1:3" x14ac:dyDescent="0.35">
      <c r="A588" s="24" t="s">
        <v>1442</v>
      </c>
      <c r="B588" s="24" t="s">
        <v>795</v>
      </c>
      <c r="C588" s="26" t="s">
        <v>1443</v>
      </c>
    </row>
    <row r="589" spans="1:3" x14ac:dyDescent="0.35">
      <c r="A589" s="24" t="s">
        <v>1444</v>
      </c>
      <c r="B589" s="24" t="s">
        <v>798</v>
      </c>
      <c r="C589" s="26" t="s">
        <v>1445</v>
      </c>
    </row>
    <row r="590" spans="1:3" x14ac:dyDescent="0.35">
      <c r="A590" s="24" t="s">
        <v>1446</v>
      </c>
      <c r="B590" s="24" t="s">
        <v>872</v>
      </c>
      <c r="C590" s="26" t="s">
        <v>1447</v>
      </c>
    </row>
    <row r="591" spans="1:3" x14ac:dyDescent="0.35">
      <c r="A591" s="24" t="s">
        <v>1448</v>
      </c>
      <c r="B591" s="24" t="s">
        <v>791</v>
      </c>
      <c r="C591" s="26" t="s">
        <v>1449</v>
      </c>
    </row>
    <row r="592" spans="1:3" x14ac:dyDescent="0.35">
      <c r="A592" s="24" t="s">
        <v>1450</v>
      </c>
      <c r="B592" s="24" t="s">
        <v>795</v>
      </c>
      <c r="C592" s="26" t="s">
        <v>1451</v>
      </c>
    </row>
    <row r="593" spans="1:3" x14ac:dyDescent="0.35">
      <c r="A593" s="24" t="s">
        <v>1452</v>
      </c>
      <c r="B593" s="24" t="s">
        <v>798</v>
      </c>
      <c r="C593" s="26" t="s">
        <v>1453</v>
      </c>
    </row>
    <row r="594" spans="1:3" x14ac:dyDescent="0.35">
      <c r="A594" s="24" t="s">
        <v>1454</v>
      </c>
      <c r="B594" s="24" t="s">
        <v>872</v>
      </c>
      <c r="C594" s="26" t="s">
        <v>1455</v>
      </c>
    </row>
    <row r="595" spans="1:3" x14ac:dyDescent="0.35">
      <c r="A595" s="24" t="s">
        <v>1456</v>
      </c>
      <c r="B595" s="24" t="s">
        <v>791</v>
      </c>
      <c r="C595" s="26" t="s">
        <v>1457</v>
      </c>
    </row>
    <row r="596" spans="1:3" x14ac:dyDescent="0.35">
      <c r="A596" s="24" t="s">
        <v>1458</v>
      </c>
      <c r="B596" s="24" t="s">
        <v>795</v>
      </c>
      <c r="C596" s="26" t="s">
        <v>1459</v>
      </c>
    </row>
    <row r="597" spans="1:3" x14ac:dyDescent="0.35">
      <c r="A597" s="24" t="s">
        <v>1460</v>
      </c>
      <c r="C597" s="26" t="s">
        <v>1461</v>
      </c>
    </row>
    <row r="598" spans="1:3" ht="29" x14ac:dyDescent="0.35">
      <c r="A598" s="24" t="s">
        <v>1462</v>
      </c>
      <c r="B598" s="24" t="s">
        <v>791</v>
      </c>
      <c r="C598" s="26" t="s">
        <v>1463</v>
      </c>
    </row>
    <row r="599" spans="1:3" x14ac:dyDescent="0.35">
      <c r="A599" s="24" t="s">
        <v>1462</v>
      </c>
      <c r="B599" s="24" t="s">
        <v>791</v>
      </c>
      <c r="C599" s="26" t="s">
        <v>1464</v>
      </c>
    </row>
    <row r="600" spans="1:3" x14ac:dyDescent="0.35">
      <c r="A600" s="24" t="s">
        <v>1465</v>
      </c>
      <c r="B600" s="24" t="s">
        <v>795</v>
      </c>
      <c r="C600" s="26" t="s">
        <v>1466</v>
      </c>
    </row>
    <row r="601" spans="1:3" x14ac:dyDescent="0.35">
      <c r="A601" s="24" t="s">
        <v>1467</v>
      </c>
      <c r="B601" s="24" t="s">
        <v>798</v>
      </c>
      <c r="C601" s="26" t="s">
        <v>1468</v>
      </c>
    </row>
    <row r="602" spans="1:3" x14ac:dyDescent="0.35">
      <c r="A602" s="24" t="s">
        <v>1469</v>
      </c>
      <c r="B602" s="24" t="s">
        <v>872</v>
      </c>
      <c r="C602" s="26" t="s">
        <v>1470</v>
      </c>
    </row>
    <row r="603" spans="1:3" x14ac:dyDescent="0.35">
      <c r="A603" s="24" t="s">
        <v>1471</v>
      </c>
      <c r="C603" s="26" t="s">
        <v>1472</v>
      </c>
    </row>
    <row r="604" spans="1:3" ht="29" x14ac:dyDescent="0.35">
      <c r="A604" s="24" t="s">
        <v>1473</v>
      </c>
      <c r="B604" s="24" t="s">
        <v>791</v>
      </c>
      <c r="C604" s="26" t="s">
        <v>1474</v>
      </c>
    </row>
    <row r="605" spans="1:3" x14ac:dyDescent="0.35">
      <c r="A605" s="24" t="s">
        <v>1473</v>
      </c>
      <c r="B605" s="24" t="s">
        <v>791</v>
      </c>
      <c r="C605" s="26" t="s">
        <v>1475</v>
      </c>
    </row>
    <row r="606" spans="1:3" x14ac:dyDescent="0.35">
      <c r="A606" s="24" t="s">
        <v>1476</v>
      </c>
      <c r="B606" s="24" t="s">
        <v>795</v>
      </c>
      <c r="C606" s="26" t="s">
        <v>1477</v>
      </c>
    </row>
    <row r="607" spans="1:3" x14ac:dyDescent="0.35">
      <c r="A607" s="24" t="s">
        <v>1478</v>
      </c>
      <c r="B607" s="24" t="s">
        <v>798</v>
      </c>
      <c r="C607" s="26" t="s">
        <v>1479</v>
      </c>
    </row>
    <row r="608" spans="1:3" x14ac:dyDescent="0.35">
      <c r="A608" s="24" t="s">
        <v>1480</v>
      </c>
      <c r="B608" s="24" t="s">
        <v>872</v>
      </c>
      <c r="C608" s="26" t="s">
        <v>1481</v>
      </c>
    </row>
    <row r="609" spans="1:3" x14ac:dyDescent="0.35">
      <c r="A609" s="24" t="s">
        <v>1482</v>
      </c>
      <c r="B609" s="24" t="s">
        <v>791</v>
      </c>
      <c r="C609" s="26" t="s">
        <v>1483</v>
      </c>
    </row>
    <row r="610" spans="1:3" x14ac:dyDescent="0.35">
      <c r="A610" s="24" t="s">
        <v>1484</v>
      </c>
      <c r="B610" s="24" t="s">
        <v>795</v>
      </c>
      <c r="C610" s="26" t="s">
        <v>1485</v>
      </c>
    </row>
    <row r="611" spans="1:3" x14ac:dyDescent="0.35">
      <c r="A611" s="24" t="s">
        <v>1486</v>
      </c>
      <c r="B611" s="24" t="s">
        <v>791</v>
      </c>
      <c r="C611" s="26" t="s">
        <v>1487</v>
      </c>
    </row>
    <row r="612" spans="1:3" x14ac:dyDescent="0.35">
      <c r="A612" s="24" t="s">
        <v>1488</v>
      </c>
      <c r="B612" s="24" t="s">
        <v>795</v>
      </c>
      <c r="C612" s="26" t="s">
        <v>1489</v>
      </c>
    </row>
    <row r="613" spans="1:3" x14ac:dyDescent="0.35">
      <c r="A613" s="24" t="s">
        <v>1490</v>
      </c>
      <c r="B613" s="24" t="s">
        <v>798</v>
      </c>
      <c r="C613" s="26" t="s">
        <v>1491</v>
      </c>
    </row>
    <row r="614" spans="1:3" x14ac:dyDescent="0.35">
      <c r="A614" s="24" t="s">
        <v>1492</v>
      </c>
      <c r="B614" s="24" t="s">
        <v>872</v>
      </c>
      <c r="C614" s="26" t="s">
        <v>1493</v>
      </c>
    </row>
    <row r="615" spans="1:3" x14ac:dyDescent="0.35">
      <c r="A615" s="24" t="s">
        <v>1494</v>
      </c>
      <c r="B615" s="24" t="s">
        <v>1261</v>
      </c>
      <c r="C615" s="26" t="s">
        <v>1495</v>
      </c>
    </row>
    <row r="616" spans="1:3" x14ac:dyDescent="0.35">
      <c r="A616" s="24" t="s">
        <v>1496</v>
      </c>
      <c r="B616" s="24" t="s">
        <v>791</v>
      </c>
      <c r="C616" s="26" t="s">
        <v>1497</v>
      </c>
    </row>
    <row r="617" spans="1:3" x14ac:dyDescent="0.35">
      <c r="A617" s="24" t="s">
        <v>1498</v>
      </c>
      <c r="B617" s="24" t="s">
        <v>795</v>
      </c>
      <c r="C617" s="26" t="s">
        <v>1499</v>
      </c>
    </row>
    <row r="618" spans="1:3" x14ac:dyDescent="0.35">
      <c r="A618" s="24" t="s">
        <v>1500</v>
      </c>
      <c r="B618" s="24" t="s">
        <v>798</v>
      </c>
      <c r="C618" s="26" t="s">
        <v>1501</v>
      </c>
    </row>
    <row r="619" spans="1:3" x14ac:dyDescent="0.35">
      <c r="A619" s="24" t="s">
        <v>1502</v>
      </c>
      <c r="B619" s="24" t="s">
        <v>872</v>
      </c>
      <c r="C619" s="26" t="s">
        <v>1503</v>
      </c>
    </row>
    <row r="620" spans="1:3" x14ac:dyDescent="0.35">
      <c r="A620" s="24" t="s">
        <v>1504</v>
      </c>
      <c r="B620" s="24" t="s">
        <v>791</v>
      </c>
      <c r="C620" s="26" t="s">
        <v>1505</v>
      </c>
    </row>
    <row r="621" spans="1:3" x14ac:dyDescent="0.35">
      <c r="A621" s="24" t="s">
        <v>1506</v>
      </c>
      <c r="B621" s="24" t="s">
        <v>795</v>
      </c>
      <c r="C621" s="26" t="s">
        <v>1507</v>
      </c>
    </row>
    <row r="622" spans="1:3" x14ac:dyDescent="0.35">
      <c r="A622" s="24" t="s">
        <v>1508</v>
      </c>
      <c r="B622" s="24" t="s">
        <v>798</v>
      </c>
      <c r="C622" s="26" t="s">
        <v>1509</v>
      </c>
    </row>
    <row r="623" spans="1:3" x14ac:dyDescent="0.35">
      <c r="A623" s="24" t="s">
        <v>1510</v>
      </c>
      <c r="B623" s="24" t="s">
        <v>872</v>
      </c>
      <c r="C623" s="26" t="s">
        <v>1511</v>
      </c>
    </row>
    <row r="624" spans="1:3" x14ac:dyDescent="0.35">
      <c r="A624" s="24" t="s">
        <v>1512</v>
      </c>
      <c r="B624" s="24" t="s">
        <v>1261</v>
      </c>
      <c r="C624" s="26" t="s">
        <v>1513</v>
      </c>
    </row>
    <row r="625" spans="1:3" x14ac:dyDescent="0.35">
      <c r="A625" s="24" t="s">
        <v>1514</v>
      </c>
      <c r="B625" s="24" t="s">
        <v>1346</v>
      </c>
      <c r="C625" s="26" t="s">
        <v>1515</v>
      </c>
    </row>
    <row r="626" spans="1:3" x14ac:dyDescent="0.35">
      <c r="A626" s="24" t="s">
        <v>1516</v>
      </c>
      <c r="B626" s="24" t="s">
        <v>791</v>
      </c>
      <c r="C626" s="26" t="s">
        <v>1517</v>
      </c>
    </row>
    <row r="627" spans="1:3" x14ac:dyDescent="0.35">
      <c r="A627" s="24" t="s">
        <v>1518</v>
      </c>
      <c r="B627" s="24" t="s">
        <v>795</v>
      </c>
      <c r="C627" s="26" t="s">
        <v>1519</v>
      </c>
    </row>
    <row r="628" spans="1:3" x14ac:dyDescent="0.35">
      <c r="A628" s="24" t="s">
        <v>1520</v>
      </c>
      <c r="B628" s="24" t="s">
        <v>798</v>
      </c>
      <c r="C628" s="26" t="s">
        <v>1521</v>
      </c>
    </row>
    <row r="629" spans="1:3" x14ac:dyDescent="0.35">
      <c r="A629" s="24" t="s">
        <v>1522</v>
      </c>
      <c r="B629" s="24" t="s">
        <v>791</v>
      </c>
      <c r="C629" s="26" t="s">
        <v>1523</v>
      </c>
    </row>
    <row r="630" spans="1:3" x14ac:dyDescent="0.35">
      <c r="A630" s="24" t="s">
        <v>1524</v>
      </c>
      <c r="B630" s="24" t="s">
        <v>795</v>
      </c>
      <c r="C630" s="26" t="s">
        <v>1525</v>
      </c>
    </row>
    <row r="631" spans="1:3" x14ac:dyDescent="0.35">
      <c r="A631" s="24" t="s">
        <v>1526</v>
      </c>
      <c r="B631" s="24" t="s">
        <v>798</v>
      </c>
      <c r="C631" s="26" t="s">
        <v>1527</v>
      </c>
    </row>
    <row r="632" spans="1:3" x14ac:dyDescent="0.35">
      <c r="A632" s="24" t="s">
        <v>1528</v>
      </c>
      <c r="B632" s="24" t="s">
        <v>872</v>
      </c>
      <c r="C632" s="26" t="s">
        <v>1529</v>
      </c>
    </row>
    <row r="633" spans="1:3" x14ac:dyDescent="0.35">
      <c r="A633" s="24" t="s">
        <v>1530</v>
      </c>
      <c r="B633" s="24" t="s">
        <v>791</v>
      </c>
      <c r="C633" s="26" t="s">
        <v>1531</v>
      </c>
    </row>
    <row r="634" spans="1:3" x14ac:dyDescent="0.35">
      <c r="A634" s="24" t="s">
        <v>1532</v>
      </c>
      <c r="B634" s="24" t="s">
        <v>795</v>
      </c>
      <c r="C634" s="26" t="s">
        <v>1533</v>
      </c>
    </row>
    <row r="635" spans="1:3" x14ac:dyDescent="0.35">
      <c r="A635" s="24" t="s">
        <v>1534</v>
      </c>
      <c r="B635" s="24" t="s">
        <v>798</v>
      </c>
      <c r="C635" s="26" t="s">
        <v>1535</v>
      </c>
    </row>
    <row r="636" spans="1:3" x14ac:dyDescent="0.35">
      <c r="A636" s="24" t="s">
        <v>1536</v>
      </c>
      <c r="B636" s="24" t="s">
        <v>872</v>
      </c>
      <c r="C636" s="26" t="s">
        <v>1537</v>
      </c>
    </row>
    <row r="637" spans="1:3" x14ac:dyDescent="0.35">
      <c r="A637" s="24" t="s">
        <v>1538</v>
      </c>
      <c r="B637" s="24" t="s">
        <v>1261</v>
      </c>
      <c r="C637" s="26" t="s">
        <v>1539</v>
      </c>
    </row>
    <row r="638" spans="1:3" x14ac:dyDescent="0.35">
      <c r="A638" s="24" t="s">
        <v>1540</v>
      </c>
      <c r="B638" s="24" t="s">
        <v>791</v>
      </c>
      <c r="C638" s="26" t="s">
        <v>1541</v>
      </c>
    </row>
    <row r="639" spans="1:3" x14ac:dyDescent="0.35">
      <c r="A639" s="24" t="s">
        <v>1542</v>
      </c>
      <c r="B639" s="24" t="s">
        <v>795</v>
      </c>
      <c r="C639" s="26" t="s">
        <v>1543</v>
      </c>
    </row>
    <row r="640" spans="1:3" x14ac:dyDescent="0.35">
      <c r="A640" s="24" t="s">
        <v>1544</v>
      </c>
      <c r="B640" s="24" t="s">
        <v>798</v>
      </c>
      <c r="C640" s="26" t="s">
        <v>1545</v>
      </c>
    </row>
    <row r="641" spans="1:3" x14ac:dyDescent="0.35">
      <c r="A641" s="24" t="s">
        <v>1546</v>
      </c>
      <c r="B641" s="24" t="s">
        <v>872</v>
      </c>
      <c r="C641" s="26" t="s">
        <v>1547</v>
      </c>
    </row>
    <row r="642" spans="1:3" x14ac:dyDescent="0.35">
      <c r="A642" s="24" t="s">
        <v>1548</v>
      </c>
      <c r="B642" s="24" t="s">
        <v>791</v>
      </c>
      <c r="C642" s="26" t="s">
        <v>1549</v>
      </c>
    </row>
    <row r="643" spans="1:3" x14ac:dyDescent="0.35">
      <c r="A643" s="24" t="s">
        <v>1550</v>
      </c>
      <c r="B643" s="24" t="s">
        <v>795</v>
      </c>
      <c r="C643" s="26" t="s">
        <v>1551</v>
      </c>
    </row>
    <row r="644" spans="1:3" x14ac:dyDescent="0.35">
      <c r="A644" s="24" t="s">
        <v>1552</v>
      </c>
      <c r="B644" s="24" t="s">
        <v>798</v>
      </c>
      <c r="C644" s="26" t="s">
        <v>1553</v>
      </c>
    </row>
    <row r="645" spans="1:3" x14ac:dyDescent="0.35">
      <c r="A645" s="24" t="s">
        <v>1554</v>
      </c>
      <c r="B645" s="24" t="s">
        <v>872</v>
      </c>
      <c r="C645" s="26" t="s">
        <v>1555</v>
      </c>
    </row>
    <row r="646" spans="1:3" x14ac:dyDescent="0.35">
      <c r="A646" s="24" t="s">
        <v>1556</v>
      </c>
      <c r="B646" s="24" t="s">
        <v>791</v>
      </c>
      <c r="C646" s="26" t="s">
        <v>1557</v>
      </c>
    </row>
    <row r="647" spans="1:3" x14ac:dyDescent="0.35">
      <c r="A647" s="24" t="s">
        <v>1558</v>
      </c>
      <c r="B647" s="24" t="s">
        <v>795</v>
      </c>
      <c r="C647" s="26" t="s">
        <v>1559</v>
      </c>
    </row>
    <row r="648" spans="1:3" x14ac:dyDescent="0.35">
      <c r="A648" s="24" t="s">
        <v>1560</v>
      </c>
      <c r="B648" s="24" t="s">
        <v>798</v>
      </c>
      <c r="C648" s="26" t="s">
        <v>1561</v>
      </c>
    </row>
    <row r="649" spans="1:3" x14ac:dyDescent="0.35">
      <c r="A649" s="24" t="s">
        <v>1562</v>
      </c>
      <c r="B649" s="24" t="s">
        <v>872</v>
      </c>
      <c r="C649" s="26" t="s">
        <v>1563</v>
      </c>
    </row>
    <row r="650" spans="1:3" x14ac:dyDescent="0.35">
      <c r="A650" s="24" t="s">
        <v>1564</v>
      </c>
      <c r="B650" s="24" t="s">
        <v>791</v>
      </c>
      <c r="C650" s="26" t="s">
        <v>1565</v>
      </c>
    </row>
    <row r="651" spans="1:3" x14ac:dyDescent="0.35">
      <c r="A651" s="24" t="s">
        <v>1566</v>
      </c>
      <c r="B651" s="24" t="s">
        <v>795</v>
      </c>
      <c r="C651" s="26" t="s">
        <v>1567</v>
      </c>
    </row>
    <row r="652" spans="1:3" x14ac:dyDescent="0.35">
      <c r="A652" s="24" t="s">
        <v>1568</v>
      </c>
      <c r="B652" s="24" t="s">
        <v>798</v>
      </c>
      <c r="C652" s="26" t="s">
        <v>1569</v>
      </c>
    </row>
    <row r="653" spans="1:3" x14ac:dyDescent="0.35">
      <c r="A653" s="24" t="s">
        <v>1570</v>
      </c>
      <c r="B653" s="24" t="s">
        <v>872</v>
      </c>
      <c r="C653" s="26" t="s">
        <v>1571</v>
      </c>
    </row>
    <row r="654" spans="1:3" x14ac:dyDescent="0.35">
      <c r="A654" s="24" t="s">
        <v>1572</v>
      </c>
      <c r="B654" s="24" t="s">
        <v>791</v>
      </c>
      <c r="C654" s="26" t="s">
        <v>1573</v>
      </c>
    </row>
    <row r="655" spans="1:3" x14ac:dyDescent="0.35">
      <c r="A655" s="24" t="s">
        <v>1574</v>
      </c>
      <c r="B655" s="24" t="s">
        <v>795</v>
      </c>
      <c r="C655" s="26" t="s">
        <v>1575</v>
      </c>
    </row>
    <row r="656" spans="1:3" x14ac:dyDescent="0.35">
      <c r="A656" s="24" t="s">
        <v>1576</v>
      </c>
      <c r="B656" s="24" t="s">
        <v>798</v>
      </c>
      <c r="C656" s="26" t="s">
        <v>1577</v>
      </c>
    </row>
    <row r="657" spans="1:3" x14ac:dyDescent="0.35">
      <c r="A657" s="24" t="s">
        <v>1578</v>
      </c>
      <c r="B657" s="24" t="s">
        <v>872</v>
      </c>
      <c r="C657" s="26" t="s">
        <v>1579</v>
      </c>
    </row>
    <row r="658" spans="1:3" x14ac:dyDescent="0.35">
      <c r="A658" s="24" t="s">
        <v>1580</v>
      </c>
      <c r="B658" s="24" t="s">
        <v>791</v>
      </c>
      <c r="C658" s="26" t="s">
        <v>1581</v>
      </c>
    </row>
    <row r="659" spans="1:3" x14ac:dyDescent="0.35">
      <c r="A659" s="24" t="s">
        <v>1582</v>
      </c>
      <c r="B659" s="24" t="s">
        <v>795</v>
      </c>
      <c r="C659" s="26" t="s">
        <v>1583</v>
      </c>
    </row>
    <row r="660" spans="1:3" x14ac:dyDescent="0.35">
      <c r="A660" s="24" t="s">
        <v>1584</v>
      </c>
      <c r="B660" s="24" t="s">
        <v>798</v>
      </c>
      <c r="C660" s="26" t="s">
        <v>1585</v>
      </c>
    </row>
    <row r="661" spans="1:3" x14ac:dyDescent="0.35">
      <c r="A661" s="24" t="s">
        <v>1586</v>
      </c>
      <c r="B661" s="24" t="s">
        <v>872</v>
      </c>
      <c r="C661" s="26" t="s">
        <v>1587</v>
      </c>
    </row>
    <row r="662" spans="1:3" x14ac:dyDescent="0.35">
      <c r="A662" s="24" t="s">
        <v>1588</v>
      </c>
      <c r="B662" s="24" t="s">
        <v>791</v>
      </c>
      <c r="C662" s="26" t="s">
        <v>1589</v>
      </c>
    </row>
    <row r="663" spans="1:3" x14ac:dyDescent="0.35">
      <c r="A663" s="24" t="s">
        <v>1590</v>
      </c>
      <c r="B663" s="24" t="s">
        <v>795</v>
      </c>
      <c r="C663" s="26" t="s">
        <v>1591</v>
      </c>
    </row>
    <row r="664" spans="1:3" x14ac:dyDescent="0.35">
      <c r="A664" s="24" t="s">
        <v>1592</v>
      </c>
      <c r="B664" s="24" t="s">
        <v>798</v>
      </c>
      <c r="C664" s="26" t="s">
        <v>1593</v>
      </c>
    </row>
    <row r="665" spans="1:3" x14ac:dyDescent="0.35">
      <c r="A665" s="24" t="s">
        <v>1594</v>
      </c>
      <c r="B665" s="24" t="s">
        <v>872</v>
      </c>
      <c r="C665" s="26" t="s">
        <v>1595</v>
      </c>
    </row>
    <row r="666" spans="1:3" x14ac:dyDescent="0.35">
      <c r="A666" s="24" t="s">
        <v>1596</v>
      </c>
      <c r="B666" s="24" t="s">
        <v>791</v>
      </c>
      <c r="C666" s="26" t="s">
        <v>1597</v>
      </c>
    </row>
    <row r="667" spans="1:3" x14ac:dyDescent="0.35">
      <c r="A667" s="24" t="s">
        <v>1598</v>
      </c>
      <c r="B667" s="24" t="s">
        <v>795</v>
      </c>
      <c r="C667" s="26" t="s">
        <v>1599</v>
      </c>
    </row>
    <row r="668" spans="1:3" x14ac:dyDescent="0.35">
      <c r="A668" s="24" t="s">
        <v>1600</v>
      </c>
      <c r="B668" s="24" t="s">
        <v>798</v>
      </c>
      <c r="C668" s="26" t="s">
        <v>1601</v>
      </c>
    </row>
    <row r="669" spans="1:3" x14ac:dyDescent="0.35">
      <c r="A669" s="24" t="s">
        <v>1602</v>
      </c>
      <c r="B669" s="24" t="s">
        <v>872</v>
      </c>
      <c r="C669" s="26" t="s">
        <v>1603</v>
      </c>
    </row>
    <row r="670" spans="1:3" x14ac:dyDescent="0.35">
      <c r="A670" s="24" t="s">
        <v>1604</v>
      </c>
      <c r="B670" s="24" t="s">
        <v>791</v>
      </c>
      <c r="C670" s="26" t="s">
        <v>1605</v>
      </c>
    </row>
    <row r="671" spans="1:3" x14ac:dyDescent="0.35">
      <c r="A671" s="24" t="s">
        <v>1606</v>
      </c>
      <c r="B671" s="24" t="s">
        <v>795</v>
      </c>
      <c r="C671" s="26" t="s">
        <v>1607</v>
      </c>
    </row>
    <row r="672" spans="1:3" x14ac:dyDescent="0.35">
      <c r="A672" s="24" t="s">
        <v>1608</v>
      </c>
      <c r="B672" s="24" t="s">
        <v>798</v>
      </c>
      <c r="C672" s="26" t="s">
        <v>1609</v>
      </c>
    </row>
    <row r="673" spans="1:3" x14ac:dyDescent="0.35">
      <c r="A673" s="24" t="s">
        <v>1610</v>
      </c>
      <c r="B673" s="24" t="s">
        <v>791</v>
      </c>
      <c r="C673" s="26" t="s">
        <v>1611</v>
      </c>
    </row>
    <row r="674" spans="1:3" x14ac:dyDescent="0.35">
      <c r="A674" s="24" t="s">
        <v>1612</v>
      </c>
      <c r="B674" s="24" t="s">
        <v>795</v>
      </c>
      <c r="C674" s="26" t="s">
        <v>1613</v>
      </c>
    </row>
    <row r="675" spans="1:3" x14ac:dyDescent="0.35">
      <c r="A675" s="24" t="s">
        <v>1614</v>
      </c>
      <c r="B675" s="24" t="s">
        <v>798</v>
      </c>
      <c r="C675" s="26" t="s">
        <v>1615</v>
      </c>
    </row>
    <row r="676" spans="1:3" x14ac:dyDescent="0.35">
      <c r="A676" s="24" t="s">
        <v>1616</v>
      </c>
      <c r="B676" s="24" t="s">
        <v>872</v>
      </c>
      <c r="C676" s="26" t="s">
        <v>1617</v>
      </c>
    </row>
    <row r="677" spans="1:3" x14ac:dyDescent="0.35">
      <c r="A677" s="24" t="s">
        <v>1618</v>
      </c>
      <c r="B677" s="24" t="s">
        <v>791</v>
      </c>
      <c r="C677" s="26" t="s">
        <v>1619</v>
      </c>
    </row>
    <row r="678" spans="1:3" x14ac:dyDescent="0.35">
      <c r="A678" s="24" t="s">
        <v>1620</v>
      </c>
      <c r="B678" s="24" t="s">
        <v>795</v>
      </c>
      <c r="C678" s="26" t="s">
        <v>1621</v>
      </c>
    </row>
    <row r="679" spans="1:3" x14ac:dyDescent="0.35">
      <c r="A679" s="24" t="s">
        <v>1622</v>
      </c>
      <c r="B679" s="24" t="s">
        <v>798</v>
      </c>
      <c r="C679" s="26" t="s">
        <v>1623</v>
      </c>
    </row>
    <row r="680" spans="1:3" x14ac:dyDescent="0.35">
      <c r="A680" s="24" t="s">
        <v>1624</v>
      </c>
      <c r="B680" s="24" t="s">
        <v>872</v>
      </c>
      <c r="C680" s="26" t="s">
        <v>1625</v>
      </c>
    </row>
    <row r="681" spans="1:3" x14ac:dyDescent="0.35">
      <c r="A681" s="24" t="s">
        <v>1626</v>
      </c>
      <c r="B681" s="24" t="s">
        <v>791</v>
      </c>
      <c r="C681" s="26" t="s">
        <v>1627</v>
      </c>
    </row>
    <row r="682" spans="1:3" x14ac:dyDescent="0.35">
      <c r="A682" s="24" t="s">
        <v>1628</v>
      </c>
      <c r="B682" s="24" t="s">
        <v>795</v>
      </c>
      <c r="C682" s="26" t="s">
        <v>1629</v>
      </c>
    </row>
    <row r="683" spans="1:3" x14ac:dyDescent="0.35">
      <c r="A683" s="24" t="s">
        <v>1630</v>
      </c>
      <c r="B683" s="24" t="s">
        <v>798</v>
      </c>
      <c r="C683" s="26" t="s">
        <v>1631</v>
      </c>
    </row>
    <row r="684" spans="1:3" x14ac:dyDescent="0.35">
      <c r="A684" s="24" t="s">
        <v>1632</v>
      </c>
      <c r="B684" s="24" t="s">
        <v>872</v>
      </c>
      <c r="C684" s="26" t="s">
        <v>1633</v>
      </c>
    </row>
    <row r="685" spans="1:3" x14ac:dyDescent="0.35">
      <c r="A685" s="24" t="s">
        <v>1634</v>
      </c>
      <c r="B685" s="24" t="s">
        <v>791</v>
      </c>
      <c r="C685" s="26" t="s">
        <v>1635</v>
      </c>
    </row>
    <row r="686" spans="1:3" x14ac:dyDescent="0.35">
      <c r="A686" s="24" t="s">
        <v>1636</v>
      </c>
      <c r="B686" s="24" t="s">
        <v>795</v>
      </c>
      <c r="C686" s="26" t="s">
        <v>1637</v>
      </c>
    </row>
    <row r="687" spans="1:3" x14ac:dyDescent="0.35">
      <c r="A687" s="24" t="s">
        <v>1638</v>
      </c>
      <c r="B687" s="24" t="s">
        <v>798</v>
      </c>
      <c r="C687" s="26" t="s">
        <v>1639</v>
      </c>
    </row>
    <row r="688" spans="1:3" x14ac:dyDescent="0.35">
      <c r="A688" s="24" t="s">
        <v>1640</v>
      </c>
      <c r="B688" s="24" t="s">
        <v>872</v>
      </c>
      <c r="C688" s="26" t="s">
        <v>1641</v>
      </c>
    </row>
    <row r="689" spans="1:3" x14ac:dyDescent="0.35">
      <c r="A689" s="24" t="s">
        <v>1642</v>
      </c>
      <c r="B689" s="24" t="s">
        <v>791</v>
      </c>
      <c r="C689" s="26" t="s">
        <v>1643</v>
      </c>
    </row>
    <row r="690" spans="1:3" x14ac:dyDescent="0.35">
      <c r="A690" s="24" t="s">
        <v>1644</v>
      </c>
      <c r="B690" s="24" t="s">
        <v>795</v>
      </c>
      <c r="C690" s="26" t="s">
        <v>1645</v>
      </c>
    </row>
    <row r="691" spans="1:3" x14ac:dyDescent="0.35">
      <c r="A691" s="24" t="s">
        <v>1646</v>
      </c>
      <c r="B691" s="24" t="s">
        <v>798</v>
      </c>
      <c r="C691" s="26" t="s">
        <v>1647</v>
      </c>
    </row>
    <row r="692" spans="1:3" x14ac:dyDescent="0.35">
      <c r="A692" s="24" t="s">
        <v>1648</v>
      </c>
      <c r="B692" s="24" t="s">
        <v>872</v>
      </c>
      <c r="C692" s="26" t="s">
        <v>1649</v>
      </c>
    </row>
    <row r="693" spans="1:3" x14ac:dyDescent="0.35">
      <c r="A693" s="24" t="s">
        <v>1650</v>
      </c>
      <c r="B693" s="24" t="s">
        <v>791</v>
      </c>
      <c r="C693" s="26" t="s">
        <v>1651</v>
      </c>
    </row>
    <row r="694" spans="1:3" x14ac:dyDescent="0.35">
      <c r="A694" s="24" t="s">
        <v>1652</v>
      </c>
      <c r="B694" s="24" t="s">
        <v>795</v>
      </c>
      <c r="C694" s="26" t="s">
        <v>1653</v>
      </c>
    </row>
    <row r="695" spans="1:3" x14ac:dyDescent="0.35">
      <c r="A695" s="24" t="s">
        <v>1654</v>
      </c>
      <c r="B695" s="24" t="s">
        <v>798</v>
      </c>
      <c r="C695" s="26" t="s">
        <v>1655</v>
      </c>
    </row>
    <row r="696" spans="1:3" x14ac:dyDescent="0.35">
      <c r="A696" s="24" t="s">
        <v>1656</v>
      </c>
      <c r="B696" s="24" t="s">
        <v>872</v>
      </c>
      <c r="C696" s="26" t="s">
        <v>1657</v>
      </c>
    </row>
    <row r="697" spans="1:3" x14ac:dyDescent="0.35">
      <c r="A697" s="24" t="s">
        <v>1658</v>
      </c>
      <c r="B697" s="24" t="s">
        <v>791</v>
      </c>
      <c r="C697" s="26" t="s">
        <v>1659</v>
      </c>
    </row>
    <row r="698" spans="1:3" x14ac:dyDescent="0.35">
      <c r="A698" s="24" t="s">
        <v>1660</v>
      </c>
      <c r="B698" s="24" t="s">
        <v>795</v>
      </c>
      <c r="C698" s="26" t="s">
        <v>1661</v>
      </c>
    </row>
    <row r="699" spans="1:3" x14ac:dyDescent="0.35">
      <c r="A699" s="24" t="s">
        <v>1662</v>
      </c>
      <c r="B699" s="24" t="s">
        <v>798</v>
      </c>
      <c r="C699" s="26" t="s">
        <v>1663</v>
      </c>
    </row>
    <row r="700" spans="1:3" x14ac:dyDescent="0.35">
      <c r="A700" s="24" t="s">
        <v>1664</v>
      </c>
      <c r="B700" s="24" t="s">
        <v>872</v>
      </c>
      <c r="C700" s="26" t="s">
        <v>1665</v>
      </c>
    </row>
    <row r="701" spans="1:3" x14ac:dyDescent="0.35">
      <c r="A701" s="24" t="s">
        <v>1666</v>
      </c>
      <c r="B701" s="24" t="s">
        <v>791</v>
      </c>
      <c r="C701" s="26" t="s">
        <v>1667</v>
      </c>
    </row>
    <row r="702" spans="1:3" x14ac:dyDescent="0.35">
      <c r="A702" s="24" t="s">
        <v>1668</v>
      </c>
      <c r="B702" s="24" t="s">
        <v>795</v>
      </c>
      <c r="C702" s="26" t="s">
        <v>1669</v>
      </c>
    </row>
    <row r="703" spans="1:3" x14ac:dyDescent="0.35">
      <c r="A703" s="24" t="s">
        <v>1670</v>
      </c>
      <c r="B703" s="24" t="s">
        <v>798</v>
      </c>
      <c r="C703" s="26" t="s">
        <v>1671</v>
      </c>
    </row>
    <row r="704" spans="1:3" x14ac:dyDescent="0.35">
      <c r="A704" s="24" t="s">
        <v>1672</v>
      </c>
      <c r="B704" s="24" t="s">
        <v>872</v>
      </c>
      <c r="C704" s="26" t="s">
        <v>1673</v>
      </c>
    </row>
    <row r="705" spans="1:3" x14ac:dyDescent="0.35">
      <c r="A705" s="24" t="s">
        <v>1674</v>
      </c>
      <c r="B705" s="24" t="s">
        <v>791</v>
      </c>
      <c r="C705" s="26" t="s">
        <v>1675</v>
      </c>
    </row>
    <row r="706" spans="1:3" x14ac:dyDescent="0.35">
      <c r="A706" s="24" t="s">
        <v>1676</v>
      </c>
      <c r="B706" s="24" t="s">
        <v>795</v>
      </c>
      <c r="C706" s="26" t="s">
        <v>1677</v>
      </c>
    </row>
    <row r="707" spans="1:3" x14ac:dyDescent="0.35">
      <c r="A707" s="24" t="s">
        <v>1678</v>
      </c>
      <c r="C707" s="26" t="s">
        <v>1679</v>
      </c>
    </row>
    <row r="708" spans="1:3" ht="29" x14ac:dyDescent="0.35">
      <c r="A708" s="24" t="s">
        <v>1680</v>
      </c>
      <c r="B708" s="24" t="s">
        <v>791</v>
      </c>
      <c r="C708" s="26" t="s">
        <v>1681</v>
      </c>
    </row>
    <row r="709" spans="1:3" x14ac:dyDescent="0.35">
      <c r="A709" s="24" t="s">
        <v>1680</v>
      </c>
      <c r="B709" s="24" t="s">
        <v>791</v>
      </c>
      <c r="C709" s="26" t="s">
        <v>1682</v>
      </c>
    </row>
    <row r="710" spans="1:3" x14ac:dyDescent="0.35">
      <c r="A710" s="24" t="s">
        <v>1683</v>
      </c>
      <c r="B710" s="24" t="s">
        <v>795</v>
      </c>
      <c r="C710" s="26" t="s">
        <v>1684</v>
      </c>
    </row>
    <row r="711" spans="1:3" x14ac:dyDescent="0.35">
      <c r="A711" s="24" t="s">
        <v>1685</v>
      </c>
      <c r="B711" s="24" t="s">
        <v>798</v>
      </c>
      <c r="C711" s="26" t="s">
        <v>1686</v>
      </c>
    </row>
    <row r="712" spans="1:3" x14ac:dyDescent="0.35">
      <c r="A712" s="24" t="s">
        <v>1687</v>
      </c>
      <c r="B712" s="24" t="s">
        <v>872</v>
      </c>
      <c r="C712" s="26" t="s">
        <v>808</v>
      </c>
    </row>
    <row r="713" spans="1:3" x14ac:dyDescent="0.35">
      <c r="A713" s="24" t="s">
        <v>1688</v>
      </c>
      <c r="C713" s="26" t="s">
        <v>1689</v>
      </c>
    </row>
    <row r="714" spans="1:3" ht="29" x14ac:dyDescent="0.35">
      <c r="A714" s="24" t="s">
        <v>1690</v>
      </c>
      <c r="B714" s="24" t="s">
        <v>791</v>
      </c>
      <c r="C714" s="26" t="s">
        <v>1691</v>
      </c>
    </row>
    <row r="715" spans="1:3" x14ac:dyDescent="0.35">
      <c r="A715" s="24" t="s">
        <v>1690</v>
      </c>
      <c r="B715" s="24" t="s">
        <v>791</v>
      </c>
      <c r="C715" s="26" t="s">
        <v>1692</v>
      </c>
    </row>
    <row r="716" spans="1:3" x14ac:dyDescent="0.35">
      <c r="A716" s="24" t="s">
        <v>1693</v>
      </c>
      <c r="B716" s="24" t="s">
        <v>795</v>
      </c>
      <c r="C716" s="26" t="s">
        <v>1694</v>
      </c>
    </row>
    <row r="717" spans="1:3" x14ac:dyDescent="0.35">
      <c r="A717" s="24" t="s">
        <v>1695</v>
      </c>
      <c r="B717" s="24" t="s">
        <v>798</v>
      </c>
      <c r="C717" s="26" t="s">
        <v>1696</v>
      </c>
    </row>
    <row r="718" spans="1:3" x14ac:dyDescent="0.35">
      <c r="A718" s="24" t="s">
        <v>1697</v>
      </c>
      <c r="C718" s="26" t="s">
        <v>1698</v>
      </c>
    </row>
    <row r="719" spans="1:3" x14ac:dyDescent="0.35">
      <c r="A719" s="24" t="s">
        <v>1699</v>
      </c>
      <c r="B719" s="24" t="s">
        <v>791</v>
      </c>
      <c r="C719" s="26" t="s">
        <v>1700</v>
      </c>
    </row>
    <row r="720" spans="1:3" x14ac:dyDescent="0.35">
      <c r="A720" s="24" t="s">
        <v>1699</v>
      </c>
      <c r="B720" s="24" t="s">
        <v>791</v>
      </c>
      <c r="C720" s="26" t="s">
        <v>1701</v>
      </c>
    </row>
    <row r="721" spans="1:3" x14ac:dyDescent="0.35">
      <c r="A721" s="24" t="s">
        <v>1702</v>
      </c>
      <c r="B721" s="24" t="s">
        <v>795</v>
      </c>
      <c r="C721" s="26" t="s">
        <v>1703</v>
      </c>
    </row>
    <row r="722" spans="1:3" x14ac:dyDescent="0.35">
      <c r="A722" s="24" t="s">
        <v>1704</v>
      </c>
      <c r="B722" s="24" t="s">
        <v>798</v>
      </c>
      <c r="C722" s="26" t="s">
        <v>1705</v>
      </c>
    </row>
    <row r="723" spans="1:3" x14ac:dyDescent="0.35">
      <c r="A723" s="24" t="s">
        <v>1706</v>
      </c>
      <c r="C723" s="26" t="s">
        <v>771</v>
      </c>
    </row>
    <row r="724" spans="1:3" x14ac:dyDescent="0.35">
      <c r="A724" s="24" t="s">
        <v>1707</v>
      </c>
      <c r="B724" s="24" t="s">
        <v>791</v>
      </c>
      <c r="C724" s="26" t="s">
        <v>1708</v>
      </c>
    </row>
    <row r="725" spans="1:3" x14ac:dyDescent="0.35">
      <c r="A725" s="24" t="s">
        <v>1707</v>
      </c>
      <c r="B725" s="24" t="s">
        <v>791</v>
      </c>
      <c r="C725" s="26" t="s">
        <v>1709</v>
      </c>
    </row>
    <row r="726" spans="1:3" x14ac:dyDescent="0.35">
      <c r="A726" s="24" t="s">
        <v>1710</v>
      </c>
      <c r="B726" s="24" t="s">
        <v>795</v>
      </c>
      <c r="C726" s="26" t="s">
        <v>1711</v>
      </c>
    </row>
    <row r="727" spans="1:3" x14ac:dyDescent="0.35">
      <c r="A727" s="24" t="s">
        <v>1712</v>
      </c>
      <c r="B727" s="24" t="s">
        <v>798</v>
      </c>
      <c r="C727" s="26" t="s">
        <v>1713</v>
      </c>
    </row>
    <row r="728" spans="1:3" ht="29" x14ac:dyDescent="0.35">
      <c r="A728" s="24" t="s">
        <v>1714</v>
      </c>
      <c r="B728" s="24" t="s">
        <v>872</v>
      </c>
      <c r="C728" s="26" t="s">
        <v>1715</v>
      </c>
    </row>
    <row r="729" spans="1:3" x14ac:dyDescent="0.35">
      <c r="A729" s="24" t="s">
        <v>1716</v>
      </c>
      <c r="C729" s="26" t="s">
        <v>1717</v>
      </c>
    </row>
    <row r="730" spans="1:3" x14ac:dyDescent="0.35">
      <c r="A730" s="24" t="s">
        <v>1718</v>
      </c>
      <c r="B730" s="24" t="s">
        <v>791</v>
      </c>
      <c r="C730" s="26" t="s">
        <v>1719</v>
      </c>
    </row>
    <row r="731" spans="1:3" x14ac:dyDescent="0.35">
      <c r="A731" s="24" t="s">
        <v>1718</v>
      </c>
      <c r="B731" s="24" t="s">
        <v>791</v>
      </c>
      <c r="C731" s="26" t="s">
        <v>1720</v>
      </c>
    </row>
    <row r="732" spans="1:3" x14ac:dyDescent="0.35">
      <c r="A732" s="24" t="s">
        <v>1721</v>
      </c>
      <c r="B732" s="24" t="s">
        <v>795</v>
      </c>
      <c r="C732" s="26" t="s">
        <v>1722</v>
      </c>
    </row>
    <row r="733" spans="1:3" x14ac:dyDescent="0.35">
      <c r="A733" s="24" t="s">
        <v>1723</v>
      </c>
      <c r="B733" s="24" t="s">
        <v>798</v>
      </c>
      <c r="C733" s="26" t="s">
        <v>1724</v>
      </c>
    </row>
    <row r="734" spans="1:3" x14ac:dyDescent="0.35">
      <c r="A734" s="24" t="s">
        <v>1725</v>
      </c>
      <c r="C734" s="26" t="s">
        <v>1726</v>
      </c>
    </row>
    <row r="735" spans="1:3" ht="58" x14ac:dyDescent="0.35">
      <c r="A735" s="24" t="s">
        <v>1727</v>
      </c>
      <c r="B735" s="24" t="s">
        <v>63</v>
      </c>
      <c r="C735" s="26" t="s">
        <v>1728</v>
      </c>
    </row>
    <row r="736" spans="1:3" x14ac:dyDescent="0.35">
      <c r="A736" s="24" t="s">
        <v>1727</v>
      </c>
      <c r="B736" s="24" t="s">
        <v>63</v>
      </c>
      <c r="C736" s="26" t="s">
        <v>1729</v>
      </c>
    </row>
    <row r="737" spans="1:3" x14ac:dyDescent="0.35">
      <c r="A737" s="24" t="s">
        <v>1730</v>
      </c>
      <c r="B737" s="24" t="s">
        <v>85</v>
      </c>
      <c r="C737" s="26" t="s">
        <v>1729</v>
      </c>
    </row>
    <row r="738" spans="1:3" x14ac:dyDescent="0.35">
      <c r="A738" s="24" t="s">
        <v>1731</v>
      </c>
      <c r="B738" s="24" t="s">
        <v>107</v>
      </c>
      <c r="C738" s="26" t="s">
        <v>1729</v>
      </c>
    </row>
    <row r="739" spans="1:3" x14ac:dyDescent="0.35">
      <c r="A739" s="24" t="s">
        <v>1732</v>
      </c>
      <c r="B739" s="24" t="s">
        <v>128</v>
      </c>
      <c r="C739" s="26" t="s">
        <v>1729</v>
      </c>
    </row>
    <row r="740" spans="1:3" x14ac:dyDescent="0.35">
      <c r="A740" s="24" t="s">
        <v>1733</v>
      </c>
      <c r="B740" s="24" t="s">
        <v>149</v>
      </c>
      <c r="C740" s="26" t="s">
        <v>1729</v>
      </c>
    </row>
    <row r="741" spans="1:3" x14ac:dyDescent="0.35">
      <c r="A741" s="24" t="s">
        <v>1734</v>
      </c>
      <c r="B741" s="24" t="s">
        <v>362</v>
      </c>
      <c r="C741" s="26" t="s">
        <v>1729</v>
      </c>
    </row>
    <row r="742" spans="1:3" x14ac:dyDescent="0.35">
      <c r="A742" s="24" t="s">
        <v>1735</v>
      </c>
      <c r="B742" s="24" t="s">
        <v>1736</v>
      </c>
    </row>
    <row r="743" spans="1:3" x14ac:dyDescent="0.35">
      <c r="A743" s="24" t="s">
        <v>1735</v>
      </c>
      <c r="B743" s="24" t="s">
        <v>1237</v>
      </c>
      <c r="C743" s="26" t="s">
        <v>1237</v>
      </c>
    </row>
    <row r="744" spans="1:3" x14ac:dyDescent="0.35">
      <c r="A744" s="24" t="s">
        <v>1735</v>
      </c>
      <c r="B744" s="24" t="s">
        <v>1737</v>
      </c>
      <c r="C744" s="26" t="s">
        <v>1737</v>
      </c>
    </row>
    <row r="745" spans="1:3" ht="87" x14ac:dyDescent="0.35">
      <c r="A745" s="24" t="s">
        <v>1735</v>
      </c>
      <c r="C745" s="26" t="s">
        <v>1238</v>
      </c>
    </row>
    <row r="746" spans="1:3" x14ac:dyDescent="0.35">
      <c r="A746" s="24" t="s">
        <v>1735</v>
      </c>
      <c r="C746" s="26" t="s">
        <v>1738</v>
      </c>
    </row>
    <row r="747" spans="1:3" ht="29" x14ac:dyDescent="0.35">
      <c r="A747" s="24" t="s">
        <v>1739</v>
      </c>
      <c r="B747" s="24" t="s">
        <v>791</v>
      </c>
      <c r="C747" s="26" t="s">
        <v>1740</v>
      </c>
    </row>
    <row r="748" spans="1:3" x14ac:dyDescent="0.35">
      <c r="A748" s="24" t="s">
        <v>1739</v>
      </c>
      <c r="B748" s="24" t="s">
        <v>791</v>
      </c>
      <c r="C748" s="26" t="s">
        <v>1741</v>
      </c>
    </row>
    <row r="749" spans="1:3" x14ac:dyDescent="0.35">
      <c r="A749" s="24" t="s">
        <v>1742</v>
      </c>
      <c r="B749" s="24" t="s">
        <v>795</v>
      </c>
      <c r="C749" s="26" t="s">
        <v>1743</v>
      </c>
    </row>
    <row r="750" spans="1:3" x14ac:dyDescent="0.35">
      <c r="A750" s="24" t="s">
        <v>1744</v>
      </c>
      <c r="B750" s="24" t="s">
        <v>798</v>
      </c>
      <c r="C750" s="26" t="s">
        <v>1745</v>
      </c>
    </row>
    <row r="751" spans="1:3" x14ac:dyDescent="0.35">
      <c r="A751" s="24" t="s">
        <v>1746</v>
      </c>
      <c r="B751" s="24" t="s">
        <v>872</v>
      </c>
      <c r="C751" s="26" t="s">
        <v>1747</v>
      </c>
    </row>
    <row r="752" spans="1:3" x14ac:dyDescent="0.35">
      <c r="A752" s="24" t="s">
        <v>1748</v>
      </c>
      <c r="C752" s="26" t="s">
        <v>1749</v>
      </c>
    </row>
    <row r="753" spans="1:3" ht="29" x14ac:dyDescent="0.35">
      <c r="A753" s="24" t="s">
        <v>1750</v>
      </c>
      <c r="B753" s="24" t="s">
        <v>791</v>
      </c>
      <c r="C753" s="26" t="s">
        <v>1751</v>
      </c>
    </row>
    <row r="754" spans="1:3" x14ac:dyDescent="0.35">
      <c r="A754" s="24" t="s">
        <v>1750</v>
      </c>
      <c r="B754" s="24" t="s">
        <v>791</v>
      </c>
      <c r="C754" s="26" t="s">
        <v>1752</v>
      </c>
    </row>
    <row r="755" spans="1:3" x14ac:dyDescent="0.35">
      <c r="A755" s="24" t="s">
        <v>1753</v>
      </c>
      <c r="B755" s="24" t="s">
        <v>795</v>
      </c>
      <c r="C755" s="26" t="s">
        <v>1754</v>
      </c>
    </row>
    <row r="756" spans="1:3" x14ac:dyDescent="0.35">
      <c r="A756" s="24" t="s">
        <v>1755</v>
      </c>
      <c r="B756" s="24" t="s">
        <v>798</v>
      </c>
      <c r="C756" s="26" t="s">
        <v>808</v>
      </c>
    </row>
    <row r="757" spans="1:3" x14ac:dyDescent="0.35">
      <c r="A757" s="24" t="s">
        <v>1756</v>
      </c>
      <c r="C757" s="26" t="s">
        <v>1726</v>
      </c>
    </row>
    <row r="758" spans="1:3" ht="58" x14ac:dyDescent="0.35">
      <c r="A758" s="24" t="s">
        <v>1757</v>
      </c>
      <c r="B758" s="24" t="s">
        <v>63</v>
      </c>
      <c r="C758" s="26" t="s">
        <v>1758</v>
      </c>
    </row>
    <row r="759" spans="1:3" x14ac:dyDescent="0.35">
      <c r="A759" s="24" t="s">
        <v>1757</v>
      </c>
      <c r="B759" s="24" t="s">
        <v>63</v>
      </c>
      <c r="C759" s="26" t="s">
        <v>1729</v>
      </c>
    </row>
    <row r="760" spans="1:3" x14ac:dyDescent="0.35">
      <c r="A760" s="24" t="s">
        <v>1759</v>
      </c>
      <c r="B760" s="24" t="s">
        <v>85</v>
      </c>
      <c r="C760" s="26" t="s">
        <v>1729</v>
      </c>
    </row>
    <row r="761" spans="1:3" x14ac:dyDescent="0.35">
      <c r="A761" s="24" t="s">
        <v>1760</v>
      </c>
      <c r="B761" s="24" t="s">
        <v>107</v>
      </c>
      <c r="C761" s="26" t="s">
        <v>1729</v>
      </c>
    </row>
    <row r="762" spans="1:3" x14ac:dyDescent="0.35">
      <c r="A762" s="24" t="s">
        <v>1761</v>
      </c>
      <c r="B762" s="24" t="s">
        <v>128</v>
      </c>
      <c r="C762" s="26" t="s">
        <v>1729</v>
      </c>
    </row>
    <row r="763" spans="1:3" x14ac:dyDescent="0.35">
      <c r="A763" s="24" t="s">
        <v>1762</v>
      </c>
      <c r="B763" s="24" t="s">
        <v>149</v>
      </c>
      <c r="C763" s="26" t="s">
        <v>1729</v>
      </c>
    </row>
    <row r="764" spans="1:3" x14ac:dyDescent="0.35">
      <c r="A764" s="24" t="s">
        <v>1763</v>
      </c>
      <c r="B764" s="24" t="s">
        <v>362</v>
      </c>
      <c r="C764" s="26" t="s">
        <v>1729</v>
      </c>
    </row>
    <row r="765" spans="1:3" x14ac:dyDescent="0.35">
      <c r="A765" s="24" t="s">
        <v>1764</v>
      </c>
      <c r="B765" s="24" t="s">
        <v>1765</v>
      </c>
    </row>
    <row r="766" spans="1:3" x14ac:dyDescent="0.35">
      <c r="A766" s="24" t="s">
        <v>1764</v>
      </c>
      <c r="B766" s="24" t="s">
        <v>1237</v>
      </c>
      <c r="C766" s="26" t="s">
        <v>1237</v>
      </c>
    </row>
    <row r="767" spans="1:3" x14ac:dyDescent="0.35">
      <c r="A767" s="24" t="s">
        <v>1764</v>
      </c>
      <c r="B767" s="24" t="s">
        <v>1229</v>
      </c>
      <c r="C767" s="26" t="s">
        <v>1229</v>
      </c>
    </row>
    <row r="768" spans="1:3" x14ac:dyDescent="0.35">
      <c r="A768" s="24" t="s">
        <v>1764</v>
      </c>
      <c r="B768" s="24">
        <v>1</v>
      </c>
      <c r="C768" s="26" t="s">
        <v>1766</v>
      </c>
    </row>
    <row r="769" spans="1:3" x14ac:dyDescent="0.35">
      <c r="A769" s="24" t="s">
        <v>1764</v>
      </c>
      <c r="B769" s="24">
        <v>2</v>
      </c>
      <c r="C769" s="26" t="s">
        <v>1738</v>
      </c>
    </row>
    <row r="770" spans="1:3" x14ac:dyDescent="0.35">
      <c r="A770" s="24" t="s">
        <v>1764</v>
      </c>
      <c r="C770" s="26" t="s">
        <v>1767</v>
      </c>
    </row>
    <row r="771" spans="1:3" x14ac:dyDescent="0.35">
      <c r="A771" s="24" t="s">
        <v>1768</v>
      </c>
      <c r="B771" s="24" t="s">
        <v>1769</v>
      </c>
    </row>
    <row r="772" spans="1:3" ht="29" x14ac:dyDescent="0.35">
      <c r="A772" s="24" t="s">
        <v>1768</v>
      </c>
      <c r="B772" s="24" t="s">
        <v>1770</v>
      </c>
      <c r="C772" s="26" t="s">
        <v>1770</v>
      </c>
    </row>
    <row r="773" spans="1:3" ht="72.5" x14ac:dyDescent="0.35">
      <c r="A773" s="24" t="s">
        <v>1768</v>
      </c>
      <c r="C773" s="26" t="s">
        <v>1771</v>
      </c>
    </row>
    <row r="774" spans="1:3" x14ac:dyDescent="0.35">
      <c r="A774" s="24" t="s">
        <v>1768</v>
      </c>
      <c r="C774" s="26" t="s">
        <v>1772</v>
      </c>
    </row>
    <row r="775" spans="1:3" x14ac:dyDescent="0.35">
      <c r="A775" s="24" t="s">
        <v>1773</v>
      </c>
      <c r="B775" s="24" t="s">
        <v>63</v>
      </c>
      <c r="C775" s="26" t="s">
        <v>1774</v>
      </c>
    </row>
    <row r="776" spans="1:3" x14ac:dyDescent="0.35">
      <c r="A776" s="24" t="s">
        <v>1773</v>
      </c>
      <c r="B776" s="24" t="s">
        <v>63</v>
      </c>
      <c r="C776" s="26" t="s">
        <v>1775</v>
      </c>
    </row>
    <row r="777" spans="1:3" x14ac:dyDescent="0.35">
      <c r="A777" s="24" t="s">
        <v>1776</v>
      </c>
      <c r="B777" s="24" t="s">
        <v>85</v>
      </c>
      <c r="C777" s="26" t="s">
        <v>1777</v>
      </c>
    </row>
    <row r="778" spans="1:3" x14ac:dyDescent="0.35">
      <c r="A778" s="24" t="s">
        <v>1778</v>
      </c>
      <c r="B778" s="24" t="s">
        <v>107</v>
      </c>
      <c r="C778" s="26" t="s">
        <v>1779</v>
      </c>
    </row>
    <row r="779" spans="1:3" x14ac:dyDescent="0.35">
      <c r="A779" s="24" t="s">
        <v>1780</v>
      </c>
      <c r="B779" s="24" t="s">
        <v>128</v>
      </c>
      <c r="C779" s="26" t="s">
        <v>1781</v>
      </c>
    </row>
    <row r="780" spans="1:3" x14ac:dyDescent="0.35">
      <c r="A780" s="24" t="s">
        <v>1782</v>
      </c>
      <c r="B780" s="24" t="s">
        <v>149</v>
      </c>
      <c r="C780" s="26" t="s">
        <v>1783</v>
      </c>
    </row>
    <row r="781" spans="1:3" x14ac:dyDescent="0.35">
      <c r="A781" s="24" t="s">
        <v>1784</v>
      </c>
      <c r="C781" s="26" t="s">
        <v>1785</v>
      </c>
    </row>
    <row r="782" spans="1:3" x14ac:dyDescent="0.35">
      <c r="A782" s="24" t="s">
        <v>1786</v>
      </c>
      <c r="B782" s="24" t="s">
        <v>63</v>
      </c>
      <c r="C782" s="26" t="s">
        <v>1787</v>
      </c>
    </row>
    <row r="783" spans="1:3" x14ac:dyDescent="0.35">
      <c r="A783" s="24" t="s">
        <v>1786</v>
      </c>
      <c r="B783" s="24" t="s">
        <v>63</v>
      </c>
      <c r="C783" s="26" t="s">
        <v>1788</v>
      </c>
    </row>
    <row r="784" spans="1:3" x14ac:dyDescent="0.35">
      <c r="A784" s="24" t="s">
        <v>1789</v>
      </c>
      <c r="B784" s="24" t="s">
        <v>85</v>
      </c>
      <c r="C784" s="26" t="s">
        <v>1790</v>
      </c>
    </row>
    <row r="785" spans="1:3" x14ac:dyDescent="0.35">
      <c r="A785" s="24" t="s">
        <v>1791</v>
      </c>
      <c r="B785" s="24" t="s">
        <v>107</v>
      </c>
      <c r="C785" s="26" t="s">
        <v>1792</v>
      </c>
    </row>
    <row r="786" spans="1:3" x14ac:dyDescent="0.35">
      <c r="A786" s="24" t="s">
        <v>1793</v>
      </c>
      <c r="B786" s="24" t="s">
        <v>63</v>
      </c>
      <c r="C786" s="26" t="s">
        <v>1794</v>
      </c>
    </row>
    <row r="787" spans="1:3" x14ac:dyDescent="0.35">
      <c r="A787" s="24" t="s">
        <v>1795</v>
      </c>
      <c r="B787" s="24" t="s">
        <v>85</v>
      </c>
      <c r="C787" s="26" t="s">
        <v>1796</v>
      </c>
    </row>
    <row r="788" spans="1:3" x14ac:dyDescent="0.35">
      <c r="A788" s="24" t="s">
        <v>1797</v>
      </c>
      <c r="B788" s="24" t="s">
        <v>63</v>
      </c>
      <c r="C788" s="26" t="s">
        <v>1798</v>
      </c>
    </row>
    <row r="789" spans="1:3" x14ac:dyDescent="0.35">
      <c r="A789" s="24" t="s">
        <v>1799</v>
      </c>
      <c r="B789" s="24" t="s">
        <v>85</v>
      </c>
      <c r="C789" s="26" t="s">
        <v>1800</v>
      </c>
    </row>
    <row r="790" spans="1:3" x14ac:dyDescent="0.35">
      <c r="A790" s="24" t="s">
        <v>1801</v>
      </c>
      <c r="B790" s="24" t="s">
        <v>107</v>
      </c>
      <c r="C790" s="26" t="s">
        <v>1802</v>
      </c>
    </row>
    <row r="791" spans="1:3" x14ac:dyDescent="0.35">
      <c r="A791" s="24" t="s">
        <v>1803</v>
      </c>
      <c r="C791" s="26" t="s">
        <v>1804</v>
      </c>
    </row>
    <row r="792" spans="1:3" x14ac:dyDescent="0.35">
      <c r="A792" s="24" t="s">
        <v>1805</v>
      </c>
      <c r="B792" s="24" t="s">
        <v>63</v>
      </c>
      <c r="C792" s="26" t="s">
        <v>1806</v>
      </c>
    </row>
    <row r="793" spans="1:3" x14ac:dyDescent="0.35">
      <c r="A793" s="24" t="s">
        <v>1805</v>
      </c>
      <c r="B793" s="24" t="s">
        <v>63</v>
      </c>
      <c r="C793" s="26" t="s">
        <v>1807</v>
      </c>
    </row>
    <row r="794" spans="1:3" x14ac:dyDescent="0.35">
      <c r="A794" s="24" t="s">
        <v>1808</v>
      </c>
      <c r="B794" s="24" t="s">
        <v>85</v>
      </c>
      <c r="C794" s="26" t="s">
        <v>1809</v>
      </c>
    </row>
    <row r="795" spans="1:3" x14ac:dyDescent="0.35">
      <c r="A795" s="24" t="s">
        <v>1810</v>
      </c>
      <c r="B795" s="24" t="s">
        <v>107</v>
      </c>
      <c r="C795" s="26" t="s">
        <v>808</v>
      </c>
    </row>
    <row r="796" spans="1:3" x14ac:dyDescent="0.35">
      <c r="A796" s="24" t="s">
        <v>1811</v>
      </c>
      <c r="C796" s="26" t="s">
        <v>1812</v>
      </c>
    </row>
    <row r="797" spans="1:3" ht="29" x14ac:dyDescent="0.35">
      <c r="A797" s="24" t="s">
        <v>1813</v>
      </c>
      <c r="B797" s="24" t="s">
        <v>63</v>
      </c>
      <c r="C797" s="26" t="s">
        <v>1814</v>
      </c>
    </row>
    <row r="798" spans="1:3" x14ac:dyDescent="0.35">
      <c r="A798" s="24" t="s">
        <v>1813</v>
      </c>
      <c r="B798" s="24" t="s">
        <v>63</v>
      </c>
      <c r="C798" s="26" t="s">
        <v>1815</v>
      </c>
    </row>
    <row r="799" spans="1:3" x14ac:dyDescent="0.35">
      <c r="A799" s="24" t="s">
        <v>1816</v>
      </c>
      <c r="B799" s="24" t="s">
        <v>85</v>
      </c>
      <c r="C799" s="26" t="s">
        <v>1817</v>
      </c>
    </row>
    <row r="800" spans="1:3" x14ac:dyDescent="0.35">
      <c r="A800" s="24" t="s">
        <v>1818</v>
      </c>
      <c r="B800" s="24" t="s">
        <v>107</v>
      </c>
      <c r="C800" s="26" t="s">
        <v>1819</v>
      </c>
    </row>
    <row r="801" spans="1:3" x14ac:dyDescent="0.35">
      <c r="A801" s="24" t="s">
        <v>1820</v>
      </c>
      <c r="C801" s="26" t="s">
        <v>1821</v>
      </c>
    </row>
    <row r="802" spans="1:3" ht="29" x14ac:dyDescent="0.35">
      <c r="A802" s="24" t="s">
        <v>1822</v>
      </c>
      <c r="B802" s="24" t="s">
        <v>63</v>
      </c>
      <c r="C802" s="26" t="s">
        <v>1823</v>
      </c>
    </row>
    <row r="803" spans="1:3" x14ac:dyDescent="0.35">
      <c r="A803" s="24" t="s">
        <v>1822</v>
      </c>
      <c r="B803" s="24" t="s">
        <v>63</v>
      </c>
      <c r="C803" s="26" t="s">
        <v>1824</v>
      </c>
    </row>
    <row r="804" spans="1:3" x14ac:dyDescent="0.35">
      <c r="A804" s="24" t="s">
        <v>1825</v>
      </c>
      <c r="B804" s="24" t="s">
        <v>85</v>
      </c>
      <c r="C804" s="26" t="s">
        <v>1826</v>
      </c>
    </row>
    <row r="805" spans="1:3" x14ac:dyDescent="0.35">
      <c r="A805" s="24" t="s">
        <v>1827</v>
      </c>
      <c r="B805" s="24" t="s">
        <v>107</v>
      </c>
      <c r="C805" s="26" t="s">
        <v>808</v>
      </c>
    </row>
    <row r="806" spans="1:3" x14ac:dyDescent="0.35">
      <c r="A806" s="24" t="s">
        <v>1828</v>
      </c>
      <c r="C806" s="26" t="s">
        <v>1829</v>
      </c>
    </row>
    <row r="807" spans="1:3" x14ac:dyDescent="0.35">
      <c r="A807" s="24" t="s">
        <v>1830</v>
      </c>
      <c r="B807" s="24" t="s">
        <v>63</v>
      </c>
      <c r="C807" s="26" t="s">
        <v>1831</v>
      </c>
    </row>
    <row r="808" spans="1:3" x14ac:dyDescent="0.35">
      <c r="A808" s="24" t="s">
        <v>1830</v>
      </c>
      <c r="B808" s="24" t="s">
        <v>63</v>
      </c>
      <c r="C808" s="26" t="s">
        <v>1832</v>
      </c>
    </row>
    <row r="809" spans="1:3" x14ac:dyDescent="0.35">
      <c r="A809" s="24" t="s">
        <v>1833</v>
      </c>
      <c r="B809" s="24" t="s">
        <v>85</v>
      </c>
      <c r="C809" s="26" t="s">
        <v>1834</v>
      </c>
    </row>
    <row r="810" spans="1:3" x14ac:dyDescent="0.35">
      <c r="A810" s="24" t="s">
        <v>1833</v>
      </c>
      <c r="B810" s="24" t="s">
        <v>85</v>
      </c>
      <c r="C810" s="26" t="s">
        <v>1835</v>
      </c>
    </row>
    <row r="811" spans="1:3" x14ac:dyDescent="0.35">
      <c r="A811" s="24" t="s">
        <v>1836</v>
      </c>
      <c r="B811" s="24" t="s">
        <v>107</v>
      </c>
      <c r="C811" s="26" t="s">
        <v>1837</v>
      </c>
    </row>
    <row r="812" spans="1:3" x14ac:dyDescent="0.35">
      <c r="A812" s="24" t="s">
        <v>1838</v>
      </c>
      <c r="B812" s="24" t="s">
        <v>128</v>
      </c>
      <c r="C812" s="26" t="s">
        <v>1839</v>
      </c>
    </row>
    <row r="813" spans="1:3" x14ac:dyDescent="0.35">
      <c r="A813" s="24" t="s">
        <v>1840</v>
      </c>
      <c r="B813" s="24" t="s">
        <v>149</v>
      </c>
      <c r="C813" s="26" t="s">
        <v>808</v>
      </c>
    </row>
    <row r="814" spans="1:3" x14ac:dyDescent="0.35">
      <c r="A814" s="24" t="s">
        <v>1841</v>
      </c>
      <c r="C814" s="26" t="s">
        <v>1842</v>
      </c>
    </row>
    <row r="815" spans="1:3" x14ac:dyDescent="0.35">
      <c r="A815" s="24" t="s">
        <v>1843</v>
      </c>
      <c r="B815" s="24" t="s">
        <v>63</v>
      </c>
      <c r="C815" s="26" t="s">
        <v>1844</v>
      </c>
    </row>
    <row r="816" spans="1:3" x14ac:dyDescent="0.35">
      <c r="A816" s="24" t="s">
        <v>1843</v>
      </c>
      <c r="B816" s="24" t="s">
        <v>63</v>
      </c>
      <c r="C816" s="26" t="s">
        <v>1845</v>
      </c>
    </row>
    <row r="817" spans="1:3" x14ac:dyDescent="0.35">
      <c r="A817" s="24" t="s">
        <v>1846</v>
      </c>
      <c r="B817" s="24" t="s">
        <v>85</v>
      </c>
      <c r="C817" s="26" t="s">
        <v>1847</v>
      </c>
    </row>
    <row r="818" spans="1:3" x14ac:dyDescent="0.35">
      <c r="A818" s="24" t="s">
        <v>1848</v>
      </c>
      <c r="B818" s="24" t="s">
        <v>107</v>
      </c>
      <c r="C818" s="26" t="s">
        <v>1849</v>
      </c>
    </row>
    <row r="819" spans="1:3" x14ac:dyDescent="0.35">
      <c r="A819" s="24" t="s">
        <v>1850</v>
      </c>
      <c r="B819" s="24" t="s">
        <v>128</v>
      </c>
      <c r="C819" s="26" t="s">
        <v>1851</v>
      </c>
    </row>
    <row r="820" spans="1:3" x14ac:dyDescent="0.35">
      <c r="A820" s="24" t="s">
        <v>1852</v>
      </c>
      <c r="C820" s="26" t="s">
        <v>1853</v>
      </c>
    </row>
    <row r="821" spans="1:3" x14ac:dyDescent="0.35">
      <c r="A821" s="24" t="s">
        <v>1854</v>
      </c>
      <c r="B821" s="24" t="s">
        <v>63</v>
      </c>
      <c r="C821" s="26" t="s">
        <v>1855</v>
      </c>
    </row>
    <row r="822" spans="1:3" x14ac:dyDescent="0.35">
      <c r="A822" s="24" t="s">
        <v>1854</v>
      </c>
      <c r="B822" s="24" t="s">
        <v>63</v>
      </c>
      <c r="C822" s="26" t="s">
        <v>1856</v>
      </c>
    </row>
    <row r="823" spans="1:3" ht="29" x14ac:dyDescent="0.35">
      <c r="A823" s="24" t="s">
        <v>1857</v>
      </c>
      <c r="B823" s="24" t="s">
        <v>85</v>
      </c>
      <c r="C823" s="26" t="s">
        <v>1858</v>
      </c>
    </row>
    <row r="824" spans="1:3" x14ac:dyDescent="0.35">
      <c r="A824" s="24" t="s">
        <v>1859</v>
      </c>
      <c r="C824" s="26" t="s">
        <v>1860</v>
      </c>
    </row>
    <row r="825" spans="1:3" x14ac:dyDescent="0.35">
      <c r="A825" s="24" t="s">
        <v>1861</v>
      </c>
      <c r="B825" s="24" t="s">
        <v>63</v>
      </c>
      <c r="C825" s="26" t="s">
        <v>1862</v>
      </c>
    </row>
    <row r="826" spans="1:3" x14ac:dyDescent="0.35">
      <c r="A826" s="24" t="s">
        <v>1861</v>
      </c>
      <c r="B826" s="24" t="s">
        <v>63</v>
      </c>
      <c r="C826" s="26" t="s">
        <v>1863</v>
      </c>
    </row>
    <row r="827" spans="1:3" x14ac:dyDescent="0.35">
      <c r="A827" s="24" t="s">
        <v>1864</v>
      </c>
      <c r="B827" s="24" t="s">
        <v>85</v>
      </c>
      <c r="C827" s="26" t="s">
        <v>1865</v>
      </c>
    </row>
    <row r="828" spans="1:3" x14ac:dyDescent="0.35">
      <c r="A828" s="24" t="s">
        <v>1866</v>
      </c>
      <c r="B828" s="24" t="s">
        <v>107</v>
      </c>
      <c r="C828" s="26" t="s">
        <v>1867</v>
      </c>
    </row>
    <row r="829" spans="1:3" x14ac:dyDescent="0.35">
      <c r="A829" s="24" t="s">
        <v>1868</v>
      </c>
      <c r="B829" s="24" t="s">
        <v>128</v>
      </c>
      <c r="C829" s="26" t="s">
        <v>1851</v>
      </c>
    </row>
    <row r="830" spans="1:3" x14ac:dyDescent="0.35">
      <c r="A830" s="24" t="s">
        <v>1869</v>
      </c>
      <c r="B830" s="24" t="s">
        <v>149</v>
      </c>
      <c r="C830" s="26" t="s">
        <v>808</v>
      </c>
    </row>
    <row r="831" spans="1:3" x14ac:dyDescent="0.35">
      <c r="A831" s="24" t="s">
        <v>1870</v>
      </c>
      <c r="C831" s="26" t="s">
        <v>1871</v>
      </c>
    </row>
    <row r="832" spans="1:3" x14ac:dyDescent="0.35">
      <c r="A832" s="24" t="s">
        <v>1872</v>
      </c>
      <c r="B832" s="24" t="s">
        <v>791</v>
      </c>
      <c r="C832" s="26" t="s">
        <v>1873</v>
      </c>
    </row>
    <row r="833" spans="1:3" ht="29" x14ac:dyDescent="0.35">
      <c r="A833" s="24" t="s">
        <v>1872</v>
      </c>
      <c r="B833" s="24" t="s">
        <v>791</v>
      </c>
      <c r="C833" s="26" t="s">
        <v>1874</v>
      </c>
    </row>
    <row r="834" spans="1:3" ht="29" x14ac:dyDescent="0.35">
      <c r="A834" s="24" t="s">
        <v>1875</v>
      </c>
      <c r="B834" s="24" t="s">
        <v>795</v>
      </c>
      <c r="C834" s="26" t="s">
        <v>1876</v>
      </c>
    </row>
    <row r="835" spans="1:3" ht="29" x14ac:dyDescent="0.35">
      <c r="A835" s="24" t="s">
        <v>1877</v>
      </c>
      <c r="B835" s="24" t="s">
        <v>798</v>
      </c>
      <c r="C835" s="26" t="s">
        <v>1878</v>
      </c>
    </row>
    <row r="836" spans="1:3" x14ac:dyDescent="0.35">
      <c r="A836" s="24" t="s">
        <v>1879</v>
      </c>
      <c r="C836" s="26" t="s">
        <v>1880</v>
      </c>
    </row>
    <row r="837" spans="1:3" x14ac:dyDescent="0.35">
      <c r="A837" s="24" t="s">
        <v>1881</v>
      </c>
      <c r="B837" s="24" t="s">
        <v>791</v>
      </c>
      <c r="C837" s="26" t="s">
        <v>1882</v>
      </c>
    </row>
    <row r="838" spans="1:3" ht="29" x14ac:dyDescent="0.35">
      <c r="A838" s="24" t="s">
        <v>1881</v>
      </c>
      <c r="B838" s="24" t="s">
        <v>791</v>
      </c>
      <c r="C838" s="26" t="s">
        <v>1883</v>
      </c>
    </row>
    <row r="839" spans="1:3" ht="29" x14ac:dyDescent="0.35">
      <c r="A839" s="24" t="s">
        <v>1884</v>
      </c>
      <c r="B839" s="24" t="s">
        <v>795</v>
      </c>
      <c r="C839" s="26" t="s">
        <v>1885</v>
      </c>
    </row>
    <row r="840" spans="1:3" ht="29" x14ac:dyDescent="0.35">
      <c r="A840" s="24" t="s">
        <v>1886</v>
      </c>
      <c r="B840" s="24" t="s">
        <v>791</v>
      </c>
      <c r="C840" s="26" t="s">
        <v>1887</v>
      </c>
    </row>
    <row r="841" spans="1:3" x14ac:dyDescent="0.35">
      <c r="A841" s="24" t="s">
        <v>1888</v>
      </c>
      <c r="B841" s="24" t="s">
        <v>795</v>
      </c>
      <c r="C841" s="26" t="s">
        <v>1889</v>
      </c>
    </row>
    <row r="842" spans="1:3" x14ac:dyDescent="0.35">
      <c r="A842" s="24" t="s">
        <v>1890</v>
      </c>
      <c r="B842" s="24" t="s">
        <v>798</v>
      </c>
      <c r="C842" s="26" t="s">
        <v>808</v>
      </c>
    </row>
    <row r="843" spans="1:3" x14ac:dyDescent="0.35">
      <c r="A843" s="24" t="s">
        <v>1891</v>
      </c>
      <c r="C843" s="26" t="s">
        <v>1892</v>
      </c>
    </row>
    <row r="844" spans="1:3" x14ac:dyDescent="0.35">
      <c r="A844" s="24" t="s">
        <v>1891</v>
      </c>
      <c r="C844" s="26" t="s">
        <v>1893</v>
      </c>
    </row>
    <row r="845" spans="1:3" x14ac:dyDescent="0.35">
      <c r="A845" s="24" t="s">
        <v>1894</v>
      </c>
      <c r="B845" s="24" t="s">
        <v>63</v>
      </c>
      <c r="C845" s="26" t="s">
        <v>1895</v>
      </c>
    </row>
    <row r="846" spans="1:3" x14ac:dyDescent="0.35">
      <c r="A846" s="24" t="s">
        <v>1894</v>
      </c>
      <c r="B846" s="24" t="s">
        <v>63</v>
      </c>
      <c r="C846" s="26" t="s">
        <v>1896</v>
      </c>
    </row>
    <row r="847" spans="1:3" x14ac:dyDescent="0.35">
      <c r="A847" s="24" t="s">
        <v>1897</v>
      </c>
      <c r="B847" s="24" t="s">
        <v>85</v>
      </c>
      <c r="C847" s="26" t="s">
        <v>808</v>
      </c>
    </row>
    <row r="848" spans="1:3" x14ac:dyDescent="0.35">
      <c r="A848" s="24" t="s">
        <v>1898</v>
      </c>
      <c r="C848" s="26" t="s">
        <v>775</v>
      </c>
    </row>
    <row r="849" spans="1:3" ht="58" x14ac:dyDescent="0.35">
      <c r="A849" s="24" t="s">
        <v>1899</v>
      </c>
      <c r="B849" s="24" t="s">
        <v>63</v>
      </c>
      <c r="C849" s="26" t="s">
        <v>1900</v>
      </c>
    </row>
    <row r="850" spans="1:3" x14ac:dyDescent="0.35">
      <c r="A850" s="24" t="s">
        <v>1899</v>
      </c>
      <c r="B850" s="24" t="s">
        <v>63</v>
      </c>
      <c r="C850" s="26" t="s">
        <v>1729</v>
      </c>
    </row>
    <row r="851" spans="1:3" x14ac:dyDescent="0.35">
      <c r="A851" s="24" t="s">
        <v>1901</v>
      </c>
      <c r="B851" s="24" t="s">
        <v>85</v>
      </c>
      <c r="C851" s="26" t="s">
        <v>1729</v>
      </c>
    </row>
    <row r="852" spans="1:3" x14ac:dyDescent="0.35">
      <c r="A852" s="24" t="s">
        <v>1902</v>
      </c>
      <c r="B852" s="24" t="s">
        <v>107</v>
      </c>
      <c r="C852" s="26" t="s">
        <v>1729</v>
      </c>
    </row>
    <row r="853" spans="1:3" x14ac:dyDescent="0.35">
      <c r="A853" s="24" t="s">
        <v>1903</v>
      </c>
      <c r="B853" s="24" t="s">
        <v>128</v>
      </c>
      <c r="C853" s="26" t="s">
        <v>1729</v>
      </c>
    </row>
    <row r="854" spans="1:3" x14ac:dyDescent="0.35">
      <c r="A854" s="24" t="s">
        <v>1904</v>
      </c>
      <c r="B854" s="24" t="s">
        <v>149</v>
      </c>
      <c r="C854" s="26" t="s">
        <v>1729</v>
      </c>
    </row>
    <row r="855" spans="1:3" x14ac:dyDescent="0.35">
      <c r="A855" s="24" t="s">
        <v>1905</v>
      </c>
      <c r="B855" s="24" t="s">
        <v>362</v>
      </c>
      <c r="C855" s="26" t="s">
        <v>1729</v>
      </c>
    </row>
    <row r="856" spans="1:3" x14ac:dyDescent="0.35">
      <c r="A856" s="24" t="s">
        <v>1906</v>
      </c>
      <c r="B856" s="24" t="s">
        <v>166</v>
      </c>
      <c r="C856" s="26" t="s">
        <v>1729</v>
      </c>
    </row>
    <row r="857" spans="1:3" x14ac:dyDescent="0.35">
      <c r="A857" s="24" t="s">
        <v>1907</v>
      </c>
      <c r="B857" s="24" t="s">
        <v>1908</v>
      </c>
    </row>
    <row r="858" spans="1:3" ht="29" x14ac:dyDescent="0.35">
      <c r="A858" s="24" t="s">
        <v>1907</v>
      </c>
      <c r="B858" s="24" t="s">
        <v>1770</v>
      </c>
      <c r="C858" s="26" t="s">
        <v>1770</v>
      </c>
    </row>
    <row r="859" spans="1:3" x14ac:dyDescent="0.35">
      <c r="A859" s="24" t="s">
        <v>1907</v>
      </c>
      <c r="B859" s="24" t="s">
        <v>1909</v>
      </c>
      <c r="C859" s="26" t="s">
        <v>1909</v>
      </c>
    </row>
    <row r="860" spans="1:3" ht="72.5" x14ac:dyDescent="0.35">
      <c r="A860" s="24" t="s">
        <v>1907</v>
      </c>
      <c r="C860" s="26" t="s">
        <v>1771</v>
      </c>
    </row>
    <row r="861" spans="1:3" x14ac:dyDescent="0.35">
      <c r="A861" s="24" t="s">
        <v>1907</v>
      </c>
      <c r="C861" s="26" t="s">
        <v>1910</v>
      </c>
    </row>
    <row r="862" spans="1:3" ht="29" x14ac:dyDescent="0.35">
      <c r="A862" s="24" t="s">
        <v>1911</v>
      </c>
      <c r="B862" s="24" t="s">
        <v>791</v>
      </c>
      <c r="C862" s="26" t="s">
        <v>1912</v>
      </c>
    </row>
    <row r="863" spans="1:3" x14ac:dyDescent="0.35">
      <c r="A863" s="24" t="s">
        <v>1911</v>
      </c>
      <c r="B863" s="24" t="s">
        <v>791</v>
      </c>
      <c r="C863" s="26" t="s">
        <v>1913</v>
      </c>
    </row>
    <row r="864" spans="1:3" x14ac:dyDescent="0.35">
      <c r="A864" s="24" t="s">
        <v>1914</v>
      </c>
      <c r="B864" s="24" t="s">
        <v>795</v>
      </c>
      <c r="C864" s="26" t="s">
        <v>1915</v>
      </c>
    </row>
    <row r="865" spans="1:3" x14ac:dyDescent="0.35">
      <c r="A865" s="24" t="s">
        <v>1916</v>
      </c>
      <c r="B865" s="24" t="s">
        <v>798</v>
      </c>
      <c r="C865" s="26" t="s">
        <v>1917</v>
      </c>
    </row>
    <row r="866" spans="1:3" x14ac:dyDescent="0.35">
      <c r="A866" s="24" t="s">
        <v>1918</v>
      </c>
      <c r="B866" s="24" t="s">
        <v>872</v>
      </c>
      <c r="C866" s="26" t="s">
        <v>1919</v>
      </c>
    </row>
    <row r="867" spans="1:3" x14ac:dyDescent="0.35">
      <c r="A867" s="24" t="s">
        <v>1920</v>
      </c>
      <c r="C867" s="26" t="s">
        <v>1921</v>
      </c>
    </row>
    <row r="868" spans="1:3" ht="29" x14ac:dyDescent="0.35">
      <c r="A868" s="24" t="s">
        <v>1922</v>
      </c>
      <c r="B868" s="24" t="s">
        <v>791</v>
      </c>
      <c r="C868" s="26" t="s">
        <v>1923</v>
      </c>
    </row>
    <row r="869" spans="1:3" x14ac:dyDescent="0.35">
      <c r="A869" s="24" t="s">
        <v>1922</v>
      </c>
      <c r="B869" s="24" t="s">
        <v>791</v>
      </c>
      <c r="C869" s="26" t="s">
        <v>1924</v>
      </c>
    </row>
    <row r="870" spans="1:3" x14ac:dyDescent="0.35">
      <c r="A870" s="24" t="s">
        <v>1925</v>
      </c>
      <c r="B870" s="24" t="s">
        <v>795</v>
      </c>
      <c r="C870" s="26" t="s">
        <v>1926</v>
      </c>
    </row>
    <row r="871" spans="1:3" x14ac:dyDescent="0.35">
      <c r="A871" s="24" t="s">
        <v>1927</v>
      </c>
      <c r="B871" s="24" t="s">
        <v>798</v>
      </c>
      <c r="C871" s="26" t="s">
        <v>808</v>
      </c>
    </row>
    <row r="872" spans="1:3" x14ac:dyDescent="0.35">
      <c r="A872" s="24" t="s">
        <v>1928</v>
      </c>
      <c r="C872" s="26" t="s">
        <v>1929</v>
      </c>
    </row>
    <row r="873" spans="1:3" ht="29" x14ac:dyDescent="0.35">
      <c r="A873" s="24" t="s">
        <v>1930</v>
      </c>
      <c r="B873" s="24" t="s">
        <v>791</v>
      </c>
      <c r="C873" s="26" t="s">
        <v>1931</v>
      </c>
    </row>
    <row r="874" spans="1:3" x14ac:dyDescent="0.35">
      <c r="A874" s="24" t="s">
        <v>1930</v>
      </c>
      <c r="B874" s="24" t="s">
        <v>791</v>
      </c>
      <c r="C874" s="26" t="s">
        <v>1932</v>
      </c>
    </row>
    <row r="875" spans="1:3" x14ac:dyDescent="0.35">
      <c r="A875" s="24" t="s">
        <v>1933</v>
      </c>
      <c r="B875" s="24" t="s">
        <v>795</v>
      </c>
      <c r="C875" s="26" t="s">
        <v>808</v>
      </c>
    </row>
    <row r="876" spans="1:3" x14ac:dyDescent="0.35">
      <c r="A876" s="24" t="s">
        <v>1934</v>
      </c>
      <c r="C876" s="26" t="s">
        <v>1935</v>
      </c>
    </row>
    <row r="877" spans="1:3" ht="29" x14ac:dyDescent="0.35">
      <c r="A877" s="24" t="s">
        <v>1936</v>
      </c>
      <c r="B877" s="24" t="s">
        <v>791</v>
      </c>
      <c r="C877" s="26" t="s">
        <v>1937</v>
      </c>
    </row>
    <row r="878" spans="1:3" x14ac:dyDescent="0.35">
      <c r="A878" s="24" t="s">
        <v>1936</v>
      </c>
      <c r="B878" s="24" t="s">
        <v>791</v>
      </c>
      <c r="C878" s="26" t="s">
        <v>1938</v>
      </c>
    </row>
    <row r="879" spans="1:3" x14ac:dyDescent="0.35">
      <c r="A879" s="24" t="s">
        <v>1939</v>
      </c>
      <c r="B879" s="24" t="s">
        <v>795</v>
      </c>
      <c r="C879" s="26" t="s">
        <v>1940</v>
      </c>
    </row>
    <row r="880" spans="1:3" x14ac:dyDescent="0.35">
      <c r="A880" s="24" t="s">
        <v>1941</v>
      </c>
      <c r="B880" s="24" t="s">
        <v>798</v>
      </c>
      <c r="C880" s="26" t="s">
        <v>1942</v>
      </c>
    </row>
    <row r="881" spans="1:3" x14ac:dyDescent="0.35">
      <c r="A881" s="24" t="s">
        <v>1943</v>
      </c>
      <c r="B881" s="24" t="s">
        <v>872</v>
      </c>
      <c r="C881" s="26" t="s">
        <v>1944</v>
      </c>
    </row>
    <row r="882" spans="1:3" x14ac:dyDescent="0.35">
      <c r="A882" s="24" t="s">
        <v>1945</v>
      </c>
      <c r="C882" s="26" t="s">
        <v>1946</v>
      </c>
    </row>
    <row r="883" spans="1:3" ht="29" x14ac:dyDescent="0.35">
      <c r="A883" s="24" t="s">
        <v>1947</v>
      </c>
      <c r="B883" s="24" t="s">
        <v>791</v>
      </c>
      <c r="C883" s="26" t="s">
        <v>1948</v>
      </c>
    </row>
    <row r="884" spans="1:3" x14ac:dyDescent="0.35">
      <c r="A884" s="24" t="s">
        <v>1947</v>
      </c>
      <c r="B884" s="24" t="s">
        <v>791</v>
      </c>
      <c r="C884" s="26" t="s">
        <v>1949</v>
      </c>
    </row>
    <row r="885" spans="1:3" x14ac:dyDescent="0.35">
      <c r="A885" s="24" t="s">
        <v>1950</v>
      </c>
      <c r="B885" s="24" t="s">
        <v>795</v>
      </c>
      <c r="C885" s="26" t="s">
        <v>1951</v>
      </c>
    </row>
    <row r="886" spans="1:3" x14ac:dyDescent="0.35">
      <c r="A886" s="24" t="s">
        <v>1952</v>
      </c>
      <c r="C886" s="26" t="s">
        <v>1953</v>
      </c>
    </row>
    <row r="887" spans="1:3" ht="29" x14ac:dyDescent="0.35">
      <c r="A887" s="24" t="s">
        <v>1954</v>
      </c>
      <c r="B887" s="24" t="s">
        <v>791</v>
      </c>
      <c r="C887" s="26" t="s">
        <v>1955</v>
      </c>
    </row>
    <row r="888" spans="1:3" x14ac:dyDescent="0.35">
      <c r="A888" s="24" t="s">
        <v>1954</v>
      </c>
      <c r="B888" s="24" t="s">
        <v>791</v>
      </c>
      <c r="C888" s="26" t="s">
        <v>1956</v>
      </c>
    </row>
    <row r="889" spans="1:3" x14ac:dyDescent="0.35">
      <c r="A889" s="24" t="s">
        <v>1957</v>
      </c>
      <c r="B889" s="24" t="s">
        <v>795</v>
      </c>
      <c r="C889" s="26" t="s">
        <v>1958</v>
      </c>
    </row>
    <row r="890" spans="1:3" x14ac:dyDescent="0.35">
      <c r="A890" s="24" t="s">
        <v>1959</v>
      </c>
      <c r="B890" s="24" t="s">
        <v>798</v>
      </c>
      <c r="C890" s="26" t="s">
        <v>1960</v>
      </c>
    </row>
    <row r="891" spans="1:3" x14ac:dyDescent="0.35">
      <c r="A891" s="24" t="s">
        <v>1961</v>
      </c>
      <c r="B891" s="24" t="s">
        <v>872</v>
      </c>
      <c r="C891" s="26" t="s">
        <v>1962</v>
      </c>
    </row>
    <row r="892" spans="1:3" x14ac:dyDescent="0.35">
      <c r="A892" s="24" t="s">
        <v>1963</v>
      </c>
      <c r="B892" s="24" t="s">
        <v>1261</v>
      </c>
      <c r="C892" s="26" t="s">
        <v>808</v>
      </c>
    </row>
    <row r="893" spans="1:3" x14ac:dyDescent="0.35">
      <c r="A893" s="24" t="s">
        <v>1964</v>
      </c>
      <c r="C893" s="26" t="s">
        <v>1965</v>
      </c>
    </row>
    <row r="894" spans="1:3" ht="29" x14ac:dyDescent="0.35">
      <c r="A894" s="24" t="s">
        <v>1966</v>
      </c>
      <c r="B894" s="24" t="s">
        <v>791</v>
      </c>
      <c r="C894" s="26" t="s">
        <v>1967</v>
      </c>
    </row>
    <row r="895" spans="1:3" x14ac:dyDescent="0.35">
      <c r="A895" s="24" t="s">
        <v>1966</v>
      </c>
      <c r="B895" s="24" t="s">
        <v>791</v>
      </c>
      <c r="C895" s="26" t="s">
        <v>1968</v>
      </c>
    </row>
    <row r="896" spans="1:3" x14ac:dyDescent="0.35">
      <c r="A896" s="24" t="s">
        <v>1969</v>
      </c>
      <c r="C896" s="26" t="s">
        <v>1970</v>
      </c>
    </row>
    <row r="897" spans="1:3" ht="29" x14ac:dyDescent="0.35">
      <c r="A897" s="24" t="s">
        <v>1971</v>
      </c>
      <c r="B897" s="24" t="s">
        <v>791</v>
      </c>
      <c r="C897" s="26" t="s">
        <v>1972</v>
      </c>
    </row>
    <row r="898" spans="1:3" x14ac:dyDescent="0.35">
      <c r="A898" s="24" t="s">
        <v>1971</v>
      </c>
      <c r="B898" s="24" t="s">
        <v>791</v>
      </c>
      <c r="C898" s="26" t="s">
        <v>1973</v>
      </c>
    </row>
    <row r="899" spans="1:3" x14ac:dyDescent="0.35">
      <c r="A899" s="24" t="s">
        <v>1974</v>
      </c>
      <c r="B899" s="24" t="s">
        <v>795</v>
      </c>
      <c r="C899" s="26" t="s">
        <v>1975</v>
      </c>
    </row>
    <row r="900" spans="1:3" x14ac:dyDescent="0.35">
      <c r="A900" s="24" t="s">
        <v>1976</v>
      </c>
      <c r="B900" s="24" t="s">
        <v>798</v>
      </c>
      <c r="C900" s="26" t="s">
        <v>1977</v>
      </c>
    </row>
    <row r="901" spans="1:3" x14ac:dyDescent="0.35">
      <c r="A901" s="24" t="s">
        <v>1978</v>
      </c>
      <c r="B901" s="24" t="s">
        <v>872</v>
      </c>
      <c r="C901" s="26" t="s">
        <v>808</v>
      </c>
    </row>
    <row r="902" spans="1:3" x14ac:dyDescent="0.35">
      <c r="A902" s="24" t="s">
        <v>1979</v>
      </c>
      <c r="C902" s="26" t="s">
        <v>1980</v>
      </c>
    </row>
    <row r="903" spans="1:3" ht="29" x14ac:dyDescent="0.35">
      <c r="A903" s="24" t="s">
        <v>1979</v>
      </c>
      <c r="C903" s="26" t="s">
        <v>1981</v>
      </c>
    </row>
    <row r="904" spans="1:3" x14ac:dyDescent="0.35">
      <c r="A904" s="24" t="s">
        <v>1982</v>
      </c>
      <c r="B904" s="24" t="s">
        <v>791</v>
      </c>
      <c r="C904" s="26" t="s">
        <v>1895</v>
      </c>
    </row>
    <row r="905" spans="1:3" x14ac:dyDescent="0.35">
      <c r="A905" s="24" t="s">
        <v>1982</v>
      </c>
      <c r="B905" s="24" t="s">
        <v>791</v>
      </c>
      <c r="C905" s="26" t="s">
        <v>1983</v>
      </c>
    </row>
    <row r="906" spans="1:3" x14ac:dyDescent="0.35">
      <c r="A906" s="24" t="s">
        <v>1984</v>
      </c>
      <c r="B906" s="24" t="s">
        <v>795</v>
      </c>
      <c r="C906" s="26" t="s">
        <v>1985</v>
      </c>
    </row>
    <row r="907" spans="1:3" x14ac:dyDescent="0.35">
      <c r="A907" s="24" t="s">
        <v>1986</v>
      </c>
      <c r="B907" s="24" t="s">
        <v>798</v>
      </c>
      <c r="C907" s="26" t="s">
        <v>1987</v>
      </c>
    </row>
    <row r="908" spans="1:3" x14ac:dyDescent="0.35">
      <c r="A908" s="24" t="s">
        <v>1988</v>
      </c>
      <c r="C908" s="26" t="s">
        <v>1989</v>
      </c>
    </row>
    <row r="909" spans="1:3" ht="29" x14ac:dyDescent="0.35">
      <c r="A909" s="24" t="s">
        <v>1990</v>
      </c>
      <c r="B909" s="24" t="s">
        <v>791</v>
      </c>
      <c r="C909" s="26" t="s">
        <v>1991</v>
      </c>
    </row>
    <row r="910" spans="1:3" x14ac:dyDescent="0.35">
      <c r="A910" s="24" t="s">
        <v>1990</v>
      </c>
      <c r="B910" s="24" t="s">
        <v>791</v>
      </c>
      <c r="C910" s="26" t="s">
        <v>1992</v>
      </c>
    </row>
    <row r="911" spans="1:3" x14ac:dyDescent="0.35">
      <c r="A911" s="24" t="s">
        <v>1993</v>
      </c>
      <c r="B911" s="24" t="s">
        <v>795</v>
      </c>
      <c r="C911" s="26" t="s">
        <v>1994</v>
      </c>
    </row>
    <row r="912" spans="1:3" x14ac:dyDescent="0.35">
      <c r="A912" s="24" t="s">
        <v>1995</v>
      </c>
      <c r="C912" s="26" t="s">
        <v>1996</v>
      </c>
    </row>
    <row r="913" spans="1:3" ht="29" x14ac:dyDescent="0.35">
      <c r="A913" s="24" t="s">
        <v>1995</v>
      </c>
      <c r="C913" s="26" t="s">
        <v>1997</v>
      </c>
    </row>
    <row r="914" spans="1:3" x14ac:dyDescent="0.35">
      <c r="A914" s="24" t="s">
        <v>1998</v>
      </c>
      <c r="C914" s="26" t="s">
        <v>1999</v>
      </c>
    </row>
    <row r="915" spans="1:3" ht="29" x14ac:dyDescent="0.35">
      <c r="A915" s="24" t="s">
        <v>1998</v>
      </c>
      <c r="C915" s="26" t="s">
        <v>2000</v>
      </c>
    </row>
    <row r="916" spans="1:3" x14ac:dyDescent="0.35">
      <c r="A916" s="24" t="s">
        <v>2001</v>
      </c>
      <c r="C916" s="26" t="s">
        <v>2002</v>
      </c>
    </row>
    <row r="917" spans="1:3" ht="29" x14ac:dyDescent="0.35">
      <c r="A917" s="24" t="s">
        <v>2003</v>
      </c>
      <c r="B917" s="24" t="s">
        <v>791</v>
      </c>
      <c r="C917" s="26" t="s">
        <v>2004</v>
      </c>
    </row>
    <row r="918" spans="1:3" x14ac:dyDescent="0.35">
      <c r="A918" s="24" t="s">
        <v>2003</v>
      </c>
      <c r="B918" s="24" t="s">
        <v>791</v>
      </c>
      <c r="C918" s="26" t="s">
        <v>2005</v>
      </c>
    </row>
    <row r="919" spans="1:3" x14ac:dyDescent="0.35">
      <c r="A919" s="24" t="s">
        <v>2006</v>
      </c>
      <c r="B919" s="24" t="s">
        <v>795</v>
      </c>
      <c r="C919" s="26" t="s">
        <v>2007</v>
      </c>
    </row>
    <row r="920" spans="1:3" x14ac:dyDescent="0.35">
      <c r="A920" s="24" t="s">
        <v>2008</v>
      </c>
      <c r="B920" s="24" t="s">
        <v>798</v>
      </c>
      <c r="C920" s="26" t="s">
        <v>2009</v>
      </c>
    </row>
    <row r="921" spans="1:3" x14ac:dyDescent="0.35">
      <c r="A921" s="24" t="s">
        <v>2010</v>
      </c>
      <c r="C921" s="26" t="s">
        <v>2011</v>
      </c>
    </row>
    <row r="922" spans="1:3" ht="29" x14ac:dyDescent="0.35">
      <c r="A922" s="24" t="s">
        <v>2012</v>
      </c>
      <c r="B922" s="24" t="s">
        <v>791</v>
      </c>
      <c r="C922" s="26" t="s">
        <v>2013</v>
      </c>
    </row>
    <row r="923" spans="1:3" x14ac:dyDescent="0.35">
      <c r="A923" s="24" t="s">
        <v>2012</v>
      </c>
      <c r="B923" s="24" t="s">
        <v>791</v>
      </c>
      <c r="C923" s="26" t="s">
        <v>2014</v>
      </c>
    </row>
    <row r="924" spans="1:3" x14ac:dyDescent="0.35">
      <c r="A924" s="24" t="s">
        <v>2015</v>
      </c>
      <c r="C924" s="26" t="s">
        <v>2016</v>
      </c>
    </row>
    <row r="925" spans="1:3" ht="29" x14ac:dyDescent="0.35">
      <c r="A925" s="24" t="s">
        <v>2017</v>
      </c>
      <c r="B925" s="24" t="s">
        <v>791</v>
      </c>
      <c r="C925" s="26" t="s">
        <v>2018</v>
      </c>
    </row>
    <row r="926" spans="1:3" x14ac:dyDescent="0.35">
      <c r="A926" s="24" t="s">
        <v>2017</v>
      </c>
      <c r="B926" s="24" t="s">
        <v>791</v>
      </c>
      <c r="C926" s="26" t="s">
        <v>2019</v>
      </c>
    </row>
    <row r="927" spans="1:3" x14ac:dyDescent="0.35">
      <c r="A927" s="24" t="s">
        <v>2020</v>
      </c>
      <c r="B927" s="24" t="s">
        <v>798</v>
      </c>
      <c r="C927" s="26" t="s">
        <v>2021</v>
      </c>
    </row>
    <row r="928" spans="1:3" x14ac:dyDescent="0.35">
      <c r="A928" s="24" t="s">
        <v>2022</v>
      </c>
      <c r="B928" s="24" t="s">
        <v>872</v>
      </c>
      <c r="C928" s="26" t="s">
        <v>2023</v>
      </c>
    </row>
    <row r="929" spans="1:3" x14ac:dyDescent="0.35">
      <c r="A929" s="24" t="s">
        <v>2024</v>
      </c>
      <c r="C929" s="26" t="s">
        <v>2025</v>
      </c>
    </row>
    <row r="930" spans="1:3" ht="29" x14ac:dyDescent="0.35">
      <c r="A930" s="24" t="s">
        <v>2026</v>
      </c>
      <c r="B930" s="24" t="s">
        <v>791</v>
      </c>
      <c r="C930" s="26" t="s">
        <v>2027</v>
      </c>
    </row>
    <row r="931" spans="1:3" x14ac:dyDescent="0.35">
      <c r="A931" s="24" t="s">
        <v>2026</v>
      </c>
      <c r="B931" s="24" t="s">
        <v>791</v>
      </c>
      <c r="C931" s="26" t="s">
        <v>2028</v>
      </c>
    </row>
    <row r="932" spans="1:3" x14ac:dyDescent="0.35">
      <c r="A932" s="24" t="s">
        <v>2029</v>
      </c>
      <c r="C932" s="26" t="s">
        <v>2030</v>
      </c>
    </row>
    <row r="933" spans="1:3" ht="29" x14ac:dyDescent="0.35">
      <c r="A933" s="24" t="s">
        <v>2029</v>
      </c>
      <c r="C933" s="26" t="s">
        <v>2031</v>
      </c>
    </row>
    <row r="934" spans="1:3" x14ac:dyDescent="0.35">
      <c r="A934" s="24" t="s">
        <v>2032</v>
      </c>
      <c r="B934" s="24" t="s">
        <v>791</v>
      </c>
      <c r="C934" s="26" t="s">
        <v>2033</v>
      </c>
    </row>
    <row r="935" spans="1:3" x14ac:dyDescent="0.35">
      <c r="A935" s="24" t="s">
        <v>2032</v>
      </c>
      <c r="B935" s="24" t="s">
        <v>791</v>
      </c>
      <c r="C935" s="26" t="s">
        <v>2034</v>
      </c>
    </row>
    <row r="936" spans="1:3" x14ac:dyDescent="0.35">
      <c r="A936" s="24" t="s">
        <v>2035</v>
      </c>
      <c r="B936" s="24" t="s">
        <v>795</v>
      </c>
      <c r="C936" s="26" t="s">
        <v>1834</v>
      </c>
    </row>
    <row r="937" spans="1:3" x14ac:dyDescent="0.35">
      <c r="A937" s="24" t="s">
        <v>2035</v>
      </c>
      <c r="B937" s="24" t="s">
        <v>795</v>
      </c>
      <c r="C937" s="26" t="s">
        <v>2036</v>
      </c>
    </row>
    <row r="938" spans="1:3" x14ac:dyDescent="0.35">
      <c r="A938" s="24" t="s">
        <v>2037</v>
      </c>
      <c r="B938" s="24" t="s">
        <v>798</v>
      </c>
      <c r="C938" s="26" t="s">
        <v>2038</v>
      </c>
    </row>
    <row r="939" spans="1:3" x14ac:dyDescent="0.35">
      <c r="A939" s="24" t="s">
        <v>2039</v>
      </c>
      <c r="C939" s="26" t="s">
        <v>2040</v>
      </c>
    </row>
    <row r="940" spans="1:3" ht="29" x14ac:dyDescent="0.35">
      <c r="A940" s="24" t="s">
        <v>2041</v>
      </c>
      <c r="B940" s="24" t="s">
        <v>791</v>
      </c>
      <c r="C940" s="26" t="s">
        <v>2042</v>
      </c>
    </row>
    <row r="941" spans="1:3" x14ac:dyDescent="0.35">
      <c r="A941" s="24" t="s">
        <v>2041</v>
      </c>
      <c r="B941" s="24" t="s">
        <v>791</v>
      </c>
      <c r="C941" s="26" t="s">
        <v>808</v>
      </c>
    </row>
    <row r="942" spans="1:3" x14ac:dyDescent="0.35">
      <c r="A942" s="24" t="s">
        <v>2043</v>
      </c>
      <c r="C942" s="26" t="s">
        <v>2044</v>
      </c>
    </row>
    <row r="943" spans="1:3" ht="29" x14ac:dyDescent="0.35">
      <c r="A943" s="24" t="s">
        <v>2045</v>
      </c>
      <c r="B943" s="24" t="s">
        <v>791</v>
      </c>
      <c r="C943" s="26" t="s">
        <v>2046</v>
      </c>
    </row>
    <row r="944" spans="1:3" x14ac:dyDescent="0.35">
      <c r="A944" s="24" t="s">
        <v>2045</v>
      </c>
      <c r="B944" s="24" t="s">
        <v>791</v>
      </c>
      <c r="C944" s="26" t="s">
        <v>2047</v>
      </c>
    </row>
    <row r="945" spans="1:3" x14ac:dyDescent="0.35">
      <c r="A945" s="24" t="s">
        <v>2048</v>
      </c>
      <c r="B945" s="24" t="s">
        <v>795</v>
      </c>
      <c r="C945" s="26" t="s">
        <v>2049</v>
      </c>
    </row>
    <row r="946" spans="1:3" x14ac:dyDescent="0.35">
      <c r="A946" s="24" t="s">
        <v>2050</v>
      </c>
      <c r="B946" s="24" t="s">
        <v>798</v>
      </c>
      <c r="C946" s="26" t="s">
        <v>2051</v>
      </c>
    </row>
    <row r="947" spans="1:3" x14ac:dyDescent="0.35">
      <c r="A947" s="24" t="s">
        <v>2052</v>
      </c>
      <c r="C947" s="26" t="s">
        <v>2053</v>
      </c>
    </row>
    <row r="948" spans="1:3" ht="29" x14ac:dyDescent="0.35">
      <c r="A948" s="24" t="s">
        <v>2054</v>
      </c>
      <c r="B948" s="24" t="s">
        <v>791</v>
      </c>
      <c r="C948" s="26" t="s">
        <v>2055</v>
      </c>
    </row>
    <row r="949" spans="1:3" x14ac:dyDescent="0.35">
      <c r="A949" s="24" t="s">
        <v>2054</v>
      </c>
      <c r="B949" s="24" t="s">
        <v>791</v>
      </c>
      <c r="C949" s="26" t="s">
        <v>2056</v>
      </c>
    </row>
    <row r="950" spans="1:3" x14ac:dyDescent="0.35">
      <c r="A950" s="24" t="s">
        <v>2057</v>
      </c>
      <c r="C950" s="26" t="s">
        <v>2058</v>
      </c>
    </row>
    <row r="951" spans="1:3" ht="29" x14ac:dyDescent="0.35">
      <c r="A951" s="24" t="s">
        <v>2059</v>
      </c>
      <c r="B951" s="24" t="s">
        <v>791</v>
      </c>
      <c r="C951" s="26" t="s">
        <v>2060</v>
      </c>
    </row>
    <row r="952" spans="1:3" x14ac:dyDescent="0.35">
      <c r="A952" s="24" t="s">
        <v>2059</v>
      </c>
      <c r="B952" s="24" t="s">
        <v>791</v>
      </c>
      <c r="C952" s="26" t="s">
        <v>2061</v>
      </c>
    </row>
    <row r="953" spans="1:3" x14ac:dyDescent="0.35">
      <c r="A953" s="24" t="s">
        <v>2062</v>
      </c>
      <c r="B953" s="24" t="s">
        <v>795</v>
      </c>
      <c r="C953" s="26" t="s">
        <v>1956</v>
      </c>
    </row>
    <row r="954" spans="1:3" x14ac:dyDescent="0.35">
      <c r="A954" s="24" t="s">
        <v>2063</v>
      </c>
      <c r="B954" s="24" t="s">
        <v>798</v>
      </c>
      <c r="C954" s="26" t="s">
        <v>1958</v>
      </c>
    </row>
    <row r="955" spans="1:3" x14ac:dyDescent="0.35">
      <c r="A955" s="24" t="s">
        <v>2064</v>
      </c>
      <c r="C955" s="26" t="s">
        <v>2065</v>
      </c>
    </row>
    <row r="956" spans="1:3" ht="29" x14ac:dyDescent="0.35">
      <c r="A956" s="24" t="s">
        <v>2066</v>
      </c>
      <c r="B956" s="24" t="s">
        <v>791</v>
      </c>
      <c r="C956" s="26" t="s">
        <v>2067</v>
      </c>
    </row>
    <row r="957" spans="1:3" x14ac:dyDescent="0.35">
      <c r="A957" s="24" t="s">
        <v>2066</v>
      </c>
      <c r="B957" s="24" t="s">
        <v>791</v>
      </c>
      <c r="C957" s="26" t="s">
        <v>2068</v>
      </c>
    </row>
    <row r="958" spans="1:3" x14ac:dyDescent="0.35">
      <c r="A958" s="24" t="s">
        <v>2069</v>
      </c>
      <c r="C958" s="26" t="s">
        <v>2070</v>
      </c>
    </row>
    <row r="959" spans="1:3" ht="43.5" x14ac:dyDescent="0.35">
      <c r="A959" s="24" t="s">
        <v>2071</v>
      </c>
      <c r="B959" s="24" t="s">
        <v>791</v>
      </c>
      <c r="C959" s="26" t="s">
        <v>2072</v>
      </c>
    </row>
    <row r="960" spans="1:3" x14ac:dyDescent="0.35">
      <c r="A960" s="24" t="s">
        <v>2071</v>
      </c>
      <c r="B960" s="24" t="s">
        <v>791</v>
      </c>
      <c r="C960" s="26" t="s">
        <v>2073</v>
      </c>
    </row>
    <row r="961" spans="1:3" x14ac:dyDescent="0.35">
      <c r="A961" s="24" t="s">
        <v>2074</v>
      </c>
      <c r="B961" s="24" t="s">
        <v>795</v>
      </c>
      <c r="C961" s="26" t="s">
        <v>2075</v>
      </c>
    </row>
    <row r="962" spans="1:3" x14ac:dyDescent="0.35">
      <c r="A962" s="24" t="s">
        <v>2076</v>
      </c>
      <c r="B962" s="24" t="s">
        <v>798</v>
      </c>
      <c r="C962" s="26" t="s">
        <v>2061</v>
      </c>
    </row>
    <row r="963" spans="1:3" x14ac:dyDescent="0.35">
      <c r="A963" s="24" t="s">
        <v>2077</v>
      </c>
      <c r="B963" s="24" t="s">
        <v>798</v>
      </c>
      <c r="C963" s="26" t="s">
        <v>2078</v>
      </c>
    </row>
    <row r="964" spans="1:3" ht="43.5" x14ac:dyDescent="0.35">
      <c r="A964" s="24" t="s">
        <v>2077</v>
      </c>
      <c r="B964" s="24" t="s">
        <v>798</v>
      </c>
      <c r="C964" s="26" t="s">
        <v>2079</v>
      </c>
    </row>
    <row r="965" spans="1:3" x14ac:dyDescent="0.35">
      <c r="A965" s="24" t="s">
        <v>2077</v>
      </c>
      <c r="B965" s="24" t="s">
        <v>798</v>
      </c>
      <c r="C965" s="26" t="s">
        <v>2068</v>
      </c>
    </row>
    <row r="966" spans="1:3" x14ac:dyDescent="0.35">
      <c r="A966" s="24" t="s">
        <v>2080</v>
      </c>
      <c r="C966" s="26" t="s">
        <v>2081</v>
      </c>
    </row>
    <row r="967" spans="1:3" ht="29" x14ac:dyDescent="0.35">
      <c r="A967" s="24" t="s">
        <v>2082</v>
      </c>
      <c r="B967" s="24" t="s">
        <v>791</v>
      </c>
      <c r="C967" s="26" t="s">
        <v>2083</v>
      </c>
    </row>
    <row r="968" spans="1:3" x14ac:dyDescent="0.35">
      <c r="A968" s="24" t="s">
        <v>2082</v>
      </c>
      <c r="B968" s="24" t="s">
        <v>791</v>
      </c>
      <c r="C968" s="26" t="s">
        <v>2084</v>
      </c>
    </row>
    <row r="969" spans="1:3" x14ac:dyDescent="0.35">
      <c r="A969" s="24" t="s">
        <v>2085</v>
      </c>
      <c r="B969" s="24" t="s">
        <v>795</v>
      </c>
      <c r="C969" s="26" t="s">
        <v>2086</v>
      </c>
    </row>
    <row r="970" spans="1:3" x14ac:dyDescent="0.35">
      <c r="A970" s="24" t="s">
        <v>2087</v>
      </c>
      <c r="B970" s="24" t="s">
        <v>798</v>
      </c>
      <c r="C970" s="26" t="s">
        <v>2088</v>
      </c>
    </row>
    <row r="971" spans="1:3" x14ac:dyDescent="0.35">
      <c r="A971" s="24" t="s">
        <v>2089</v>
      </c>
      <c r="C971" s="26" t="s">
        <v>2090</v>
      </c>
    </row>
    <row r="972" spans="1:3" ht="29" x14ac:dyDescent="0.35">
      <c r="A972" s="24" t="s">
        <v>2091</v>
      </c>
      <c r="B972" s="24" t="s">
        <v>791</v>
      </c>
      <c r="C972" s="26" t="s">
        <v>2092</v>
      </c>
    </row>
    <row r="973" spans="1:3" x14ac:dyDescent="0.35">
      <c r="A973" s="24" t="s">
        <v>2091</v>
      </c>
      <c r="B973" s="24" t="s">
        <v>791</v>
      </c>
      <c r="C973" s="26" t="s">
        <v>2093</v>
      </c>
    </row>
    <row r="974" spans="1:3" x14ac:dyDescent="0.35">
      <c r="A974" s="24" t="s">
        <v>2094</v>
      </c>
      <c r="B974" s="24" t="s">
        <v>795</v>
      </c>
      <c r="C974" s="26" t="s">
        <v>2095</v>
      </c>
    </row>
    <row r="975" spans="1:3" ht="29" x14ac:dyDescent="0.35">
      <c r="A975" s="24" t="s">
        <v>2094</v>
      </c>
      <c r="B975" s="24" t="s">
        <v>795</v>
      </c>
      <c r="C975" s="26" t="s">
        <v>2096</v>
      </c>
    </row>
    <row r="976" spans="1:3" x14ac:dyDescent="0.35">
      <c r="A976" s="24" t="s">
        <v>2094</v>
      </c>
      <c r="B976" s="24" t="s">
        <v>795</v>
      </c>
      <c r="C976" s="26" t="s">
        <v>2097</v>
      </c>
    </row>
    <row r="977" spans="1:3" x14ac:dyDescent="0.35">
      <c r="A977" s="24" t="s">
        <v>2098</v>
      </c>
      <c r="B977" s="24" t="s">
        <v>798</v>
      </c>
      <c r="C977" s="26" t="s">
        <v>2099</v>
      </c>
    </row>
    <row r="978" spans="1:3" x14ac:dyDescent="0.35">
      <c r="A978" s="24" t="s">
        <v>2100</v>
      </c>
      <c r="C978" s="26" t="s">
        <v>2101</v>
      </c>
    </row>
    <row r="979" spans="1:3" ht="29" x14ac:dyDescent="0.35">
      <c r="A979" s="24" t="s">
        <v>2102</v>
      </c>
      <c r="B979" s="24" t="s">
        <v>791</v>
      </c>
      <c r="C979" s="26" t="s">
        <v>2103</v>
      </c>
    </row>
    <row r="980" spans="1:3" x14ac:dyDescent="0.35">
      <c r="A980" s="24" t="s">
        <v>2102</v>
      </c>
      <c r="B980" s="24" t="s">
        <v>791</v>
      </c>
      <c r="C980" s="26" t="s">
        <v>2104</v>
      </c>
    </row>
    <row r="981" spans="1:3" x14ac:dyDescent="0.35">
      <c r="A981" s="24" t="s">
        <v>2105</v>
      </c>
      <c r="B981" s="24" t="s">
        <v>795</v>
      </c>
      <c r="C981" s="26" t="s">
        <v>2106</v>
      </c>
    </row>
    <row r="982" spans="1:3" x14ac:dyDescent="0.35">
      <c r="A982" s="24" t="s">
        <v>2107</v>
      </c>
      <c r="C982" s="26" t="s">
        <v>2108</v>
      </c>
    </row>
    <row r="983" spans="1:3" ht="29" x14ac:dyDescent="0.35">
      <c r="A983" s="24" t="s">
        <v>2109</v>
      </c>
      <c r="B983" s="24" t="s">
        <v>791</v>
      </c>
      <c r="C983" s="26" t="s">
        <v>2110</v>
      </c>
    </row>
    <row r="984" spans="1:3" x14ac:dyDescent="0.35">
      <c r="A984" s="24" t="s">
        <v>2109</v>
      </c>
      <c r="B984" s="24" t="s">
        <v>791</v>
      </c>
      <c r="C984" s="26" t="s">
        <v>2111</v>
      </c>
    </row>
    <row r="985" spans="1:3" x14ac:dyDescent="0.35">
      <c r="A985" s="24" t="s">
        <v>2112</v>
      </c>
      <c r="C985" s="26" t="s">
        <v>2113</v>
      </c>
    </row>
    <row r="986" spans="1:3" ht="29" x14ac:dyDescent="0.35">
      <c r="A986" s="24" t="s">
        <v>2114</v>
      </c>
      <c r="B986" s="24" t="s">
        <v>791</v>
      </c>
      <c r="C986" s="26" t="s">
        <v>2115</v>
      </c>
    </row>
    <row r="987" spans="1:3" x14ac:dyDescent="0.35">
      <c r="A987" s="24" t="s">
        <v>2114</v>
      </c>
      <c r="B987" s="24" t="s">
        <v>791</v>
      </c>
      <c r="C987" s="26" t="s">
        <v>2116</v>
      </c>
    </row>
    <row r="988" spans="1:3" x14ac:dyDescent="0.35">
      <c r="A988" s="24" t="s">
        <v>2117</v>
      </c>
      <c r="B988" s="24" t="s">
        <v>795</v>
      </c>
      <c r="C988" s="26" t="s">
        <v>2118</v>
      </c>
    </row>
    <row r="989" spans="1:3" x14ac:dyDescent="0.35">
      <c r="A989" s="24" t="s">
        <v>2119</v>
      </c>
      <c r="B989" s="24" t="s">
        <v>798</v>
      </c>
      <c r="C989" s="26" t="s">
        <v>2120</v>
      </c>
    </row>
    <row r="990" spans="1:3" x14ac:dyDescent="0.35">
      <c r="A990" s="24" t="s">
        <v>2121</v>
      </c>
      <c r="B990" s="24" t="s">
        <v>872</v>
      </c>
      <c r="C990" s="26" t="s">
        <v>2122</v>
      </c>
    </row>
    <row r="991" spans="1:3" x14ac:dyDescent="0.35">
      <c r="A991" s="24" t="s">
        <v>2123</v>
      </c>
      <c r="C991" s="26" t="s">
        <v>775</v>
      </c>
    </row>
    <row r="992" spans="1:3" ht="58" x14ac:dyDescent="0.35">
      <c r="A992" s="24" t="s">
        <v>2124</v>
      </c>
      <c r="B992" s="24" t="s">
        <v>63</v>
      </c>
      <c r="C992" s="26" t="s">
        <v>2125</v>
      </c>
    </row>
    <row r="993" spans="1:3" x14ac:dyDescent="0.35">
      <c r="A993" s="24" t="s">
        <v>2124</v>
      </c>
      <c r="B993" s="24" t="s">
        <v>63</v>
      </c>
      <c r="C993" s="26" t="s">
        <v>1729</v>
      </c>
    </row>
    <row r="994" spans="1:3" x14ac:dyDescent="0.35">
      <c r="A994" s="24" t="s">
        <v>2126</v>
      </c>
      <c r="B994" s="24" t="s">
        <v>85</v>
      </c>
      <c r="C994" s="26" t="s">
        <v>1729</v>
      </c>
    </row>
    <row r="995" spans="1:3" x14ac:dyDescent="0.35">
      <c r="A995" s="24" t="s">
        <v>2127</v>
      </c>
      <c r="B995" s="24" t="s">
        <v>107</v>
      </c>
      <c r="C995" s="26" t="s">
        <v>1729</v>
      </c>
    </row>
    <row r="996" spans="1:3" x14ac:dyDescent="0.35">
      <c r="A996" s="24" t="s">
        <v>2128</v>
      </c>
      <c r="B996" s="24" t="s">
        <v>128</v>
      </c>
      <c r="C996" s="26" t="s">
        <v>1729</v>
      </c>
    </row>
    <row r="997" spans="1:3" x14ac:dyDescent="0.35">
      <c r="A997" s="24" t="s">
        <v>2129</v>
      </c>
      <c r="B997" s="24" t="s">
        <v>149</v>
      </c>
      <c r="C997" s="26" t="s">
        <v>1729</v>
      </c>
    </row>
    <row r="998" spans="1:3" x14ac:dyDescent="0.35">
      <c r="A998" s="24" t="s">
        <v>2130</v>
      </c>
      <c r="B998" s="24" t="s">
        <v>362</v>
      </c>
      <c r="C998" s="26" t="s">
        <v>1729</v>
      </c>
    </row>
    <row r="999" spans="1:3" x14ac:dyDescent="0.35">
      <c r="A999" s="24" t="s">
        <v>2131</v>
      </c>
      <c r="B999" s="24" t="s">
        <v>2132</v>
      </c>
      <c r="C999" s="26" t="s">
        <v>1729</v>
      </c>
    </row>
    <row r="1000" spans="1:3" x14ac:dyDescent="0.35">
      <c r="A1000" s="24" t="s">
        <v>2133</v>
      </c>
      <c r="B1000" s="24" t="s">
        <v>2134</v>
      </c>
    </row>
    <row r="1001" spans="1:3" ht="29" x14ac:dyDescent="0.35">
      <c r="A1001" s="24" t="s">
        <v>2133</v>
      </c>
      <c r="B1001" s="24" t="s">
        <v>1770</v>
      </c>
      <c r="C1001" s="26" t="s">
        <v>1770</v>
      </c>
    </row>
    <row r="1002" spans="1:3" x14ac:dyDescent="0.35">
      <c r="A1002" s="24" t="s">
        <v>2133</v>
      </c>
      <c r="B1002" s="24" t="s">
        <v>2135</v>
      </c>
      <c r="C1002" s="26" t="s">
        <v>2135</v>
      </c>
    </row>
    <row r="1003" spans="1:3" ht="72.5" x14ac:dyDescent="0.35">
      <c r="A1003" s="24" t="s">
        <v>2133</v>
      </c>
      <c r="C1003" s="26" t="s">
        <v>687</v>
      </c>
    </row>
    <row r="1004" spans="1:3" x14ac:dyDescent="0.35">
      <c r="A1004" s="24" t="s">
        <v>2133</v>
      </c>
      <c r="C1004" s="26" t="s">
        <v>2136</v>
      </c>
    </row>
    <row r="1005" spans="1:3" ht="29" x14ac:dyDescent="0.35">
      <c r="A1005" s="24" t="s">
        <v>2133</v>
      </c>
      <c r="C1005" s="26" t="s">
        <v>2137</v>
      </c>
    </row>
    <row r="1006" spans="1:3" x14ac:dyDescent="0.35">
      <c r="A1006" s="24" t="s">
        <v>2138</v>
      </c>
      <c r="B1006" s="24" t="s">
        <v>791</v>
      </c>
      <c r="C1006" s="26" t="s">
        <v>2139</v>
      </c>
    </row>
    <row r="1007" spans="1:3" x14ac:dyDescent="0.35">
      <c r="A1007" s="24" t="s">
        <v>2138</v>
      </c>
      <c r="B1007" s="24" t="s">
        <v>791</v>
      </c>
      <c r="C1007" s="26" t="s">
        <v>2140</v>
      </c>
    </row>
    <row r="1008" spans="1:3" x14ac:dyDescent="0.35">
      <c r="A1008" s="24" t="s">
        <v>2141</v>
      </c>
      <c r="B1008" s="24" t="s">
        <v>795</v>
      </c>
      <c r="C1008" s="26" t="s">
        <v>2142</v>
      </c>
    </row>
    <row r="1009" spans="1:3" x14ac:dyDescent="0.35">
      <c r="A1009" s="24" t="s">
        <v>2143</v>
      </c>
      <c r="B1009" s="24" t="s">
        <v>798</v>
      </c>
      <c r="C1009" s="26" t="s">
        <v>2144</v>
      </c>
    </row>
    <row r="1010" spans="1:3" x14ac:dyDescent="0.35">
      <c r="A1010" s="24" t="s">
        <v>2145</v>
      </c>
      <c r="B1010" s="24" t="s">
        <v>872</v>
      </c>
      <c r="C1010" s="26" t="s">
        <v>2146</v>
      </c>
    </row>
    <row r="1011" spans="1:3" x14ac:dyDescent="0.35">
      <c r="A1011" s="24" t="s">
        <v>2147</v>
      </c>
      <c r="B1011" s="24" t="s">
        <v>1261</v>
      </c>
      <c r="C1011" s="26" t="s">
        <v>2148</v>
      </c>
    </row>
    <row r="1012" spans="1:3" x14ac:dyDescent="0.35">
      <c r="A1012" s="24" t="s">
        <v>2149</v>
      </c>
      <c r="C1012" s="26" t="s">
        <v>2150</v>
      </c>
    </row>
    <row r="1013" spans="1:3" ht="29" x14ac:dyDescent="0.35">
      <c r="A1013" s="24" t="s">
        <v>2149</v>
      </c>
      <c r="C1013" s="26" t="s">
        <v>2151</v>
      </c>
    </row>
    <row r="1014" spans="1:3" x14ac:dyDescent="0.35">
      <c r="A1014" s="24" t="s">
        <v>2152</v>
      </c>
      <c r="B1014" s="24" t="s">
        <v>791</v>
      </c>
      <c r="C1014" s="26" t="s">
        <v>2153</v>
      </c>
    </row>
    <row r="1015" spans="1:3" x14ac:dyDescent="0.35">
      <c r="A1015" s="24" t="s">
        <v>2152</v>
      </c>
      <c r="B1015" s="24" t="s">
        <v>791</v>
      </c>
      <c r="C1015" s="26" t="s">
        <v>2154</v>
      </c>
    </row>
    <row r="1016" spans="1:3" x14ac:dyDescent="0.35">
      <c r="A1016" s="24" t="s">
        <v>2155</v>
      </c>
      <c r="B1016" s="24" t="s">
        <v>795</v>
      </c>
      <c r="C1016" s="26" t="s">
        <v>2156</v>
      </c>
    </row>
    <row r="1017" spans="1:3" x14ac:dyDescent="0.35">
      <c r="A1017" s="24" t="s">
        <v>2157</v>
      </c>
      <c r="B1017" s="24" t="s">
        <v>798</v>
      </c>
      <c r="C1017" s="26" t="s">
        <v>2158</v>
      </c>
    </row>
    <row r="1018" spans="1:3" x14ac:dyDescent="0.35">
      <c r="A1018" s="24" t="s">
        <v>2159</v>
      </c>
      <c r="B1018" s="24" t="s">
        <v>872</v>
      </c>
      <c r="C1018" s="26" t="s">
        <v>2160</v>
      </c>
    </row>
    <row r="1019" spans="1:3" x14ac:dyDescent="0.35">
      <c r="A1019" s="24" t="s">
        <v>2161</v>
      </c>
      <c r="B1019" s="24" t="s">
        <v>791</v>
      </c>
      <c r="C1019" s="26" t="s">
        <v>2033</v>
      </c>
    </row>
    <row r="1020" spans="1:3" x14ac:dyDescent="0.35">
      <c r="A1020" s="24" t="s">
        <v>2161</v>
      </c>
      <c r="B1020" s="24" t="s">
        <v>791</v>
      </c>
      <c r="C1020" s="26" t="s">
        <v>2162</v>
      </c>
    </row>
    <row r="1021" spans="1:3" x14ac:dyDescent="0.35">
      <c r="A1021" s="24" t="s">
        <v>2163</v>
      </c>
      <c r="B1021" s="24" t="s">
        <v>795</v>
      </c>
      <c r="C1021" s="26" t="s">
        <v>2154</v>
      </c>
    </row>
    <row r="1022" spans="1:3" x14ac:dyDescent="0.35">
      <c r="A1022" s="24" t="s">
        <v>2164</v>
      </c>
      <c r="B1022" s="24" t="s">
        <v>798</v>
      </c>
      <c r="C1022" s="26" t="s">
        <v>2140</v>
      </c>
    </row>
    <row r="1023" spans="1:3" x14ac:dyDescent="0.35">
      <c r="A1023" s="24" t="s">
        <v>2165</v>
      </c>
      <c r="B1023" s="24" t="s">
        <v>872</v>
      </c>
      <c r="C1023" s="26" t="s">
        <v>2166</v>
      </c>
    </row>
    <row r="1024" spans="1:3" x14ac:dyDescent="0.35">
      <c r="A1024" s="24" t="s">
        <v>2167</v>
      </c>
      <c r="B1024" s="24" t="s">
        <v>1261</v>
      </c>
      <c r="C1024" s="26" t="s">
        <v>2168</v>
      </c>
    </row>
    <row r="1025" spans="1:3" x14ac:dyDescent="0.35">
      <c r="A1025" s="24" t="s">
        <v>2169</v>
      </c>
      <c r="B1025" s="24" t="s">
        <v>791</v>
      </c>
      <c r="C1025" s="26" t="s">
        <v>2170</v>
      </c>
    </row>
    <row r="1026" spans="1:3" x14ac:dyDescent="0.35">
      <c r="A1026" s="24" t="s">
        <v>2169</v>
      </c>
      <c r="B1026" s="24" t="s">
        <v>791</v>
      </c>
      <c r="C1026" s="26" t="s">
        <v>2156</v>
      </c>
    </row>
    <row r="1027" spans="1:3" x14ac:dyDescent="0.35">
      <c r="A1027" s="24" t="s">
        <v>2171</v>
      </c>
      <c r="B1027" s="24" t="s">
        <v>795</v>
      </c>
      <c r="C1027" s="26" t="s">
        <v>2148</v>
      </c>
    </row>
    <row r="1028" spans="1:3" x14ac:dyDescent="0.35">
      <c r="A1028" s="24" t="s">
        <v>2172</v>
      </c>
      <c r="B1028" s="24" t="s">
        <v>798</v>
      </c>
      <c r="C1028" s="26" t="s">
        <v>2173</v>
      </c>
    </row>
    <row r="1029" spans="1:3" x14ac:dyDescent="0.35">
      <c r="A1029" s="24" t="s">
        <v>2174</v>
      </c>
      <c r="B1029" s="24" t="s">
        <v>872</v>
      </c>
      <c r="C1029" s="26" t="s">
        <v>2175</v>
      </c>
    </row>
    <row r="1030" spans="1:3" x14ac:dyDescent="0.35">
      <c r="A1030" s="24" t="s">
        <v>2176</v>
      </c>
      <c r="B1030" s="24" t="s">
        <v>791</v>
      </c>
      <c r="C1030" s="26" t="s">
        <v>2177</v>
      </c>
    </row>
    <row r="1031" spans="1:3" x14ac:dyDescent="0.35">
      <c r="A1031" s="24" t="s">
        <v>2178</v>
      </c>
      <c r="B1031" s="24" t="s">
        <v>795</v>
      </c>
      <c r="C1031" s="26" t="s">
        <v>2179</v>
      </c>
    </row>
    <row r="1032" spans="1:3" x14ac:dyDescent="0.35">
      <c r="A1032" s="24" t="s">
        <v>2180</v>
      </c>
      <c r="B1032" s="24" t="s">
        <v>798</v>
      </c>
      <c r="C1032" s="26" t="s">
        <v>2181</v>
      </c>
    </row>
    <row r="1033" spans="1:3" x14ac:dyDescent="0.35">
      <c r="A1033" s="24" t="s">
        <v>2182</v>
      </c>
      <c r="B1033" s="24" t="s">
        <v>791</v>
      </c>
      <c r="C1033" s="26" t="s">
        <v>2183</v>
      </c>
    </row>
    <row r="1034" spans="1:3" x14ac:dyDescent="0.35">
      <c r="A1034" s="24" t="s">
        <v>2184</v>
      </c>
      <c r="B1034" s="24" t="s">
        <v>795</v>
      </c>
      <c r="C1034" s="26" t="s">
        <v>2185</v>
      </c>
    </row>
    <row r="1035" spans="1:3" x14ac:dyDescent="0.35">
      <c r="A1035" s="24" t="s">
        <v>2186</v>
      </c>
      <c r="B1035" s="24" t="s">
        <v>798</v>
      </c>
      <c r="C1035" s="26" t="s">
        <v>2187</v>
      </c>
    </row>
    <row r="1036" spans="1:3" x14ac:dyDescent="0.35">
      <c r="A1036" s="24" t="s">
        <v>2188</v>
      </c>
      <c r="B1036" s="24" t="s">
        <v>791</v>
      </c>
      <c r="C1036" s="26" t="s">
        <v>2189</v>
      </c>
    </row>
    <row r="1037" spans="1:3" x14ac:dyDescent="0.35">
      <c r="A1037" s="24" t="s">
        <v>2190</v>
      </c>
      <c r="B1037" s="24" t="s">
        <v>795</v>
      </c>
      <c r="C1037" s="26" t="s">
        <v>2191</v>
      </c>
    </row>
    <row r="1038" spans="1:3" x14ac:dyDescent="0.35">
      <c r="A1038" s="24" t="s">
        <v>2192</v>
      </c>
      <c r="B1038" s="24" t="s">
        <v>798</v>
      </c>
      <c r="C1038" s="26" t="s">
        <v>2193</v>
      </c>
    </row>
    <row r="1039" spans="1:3" x14ac:dyDescent="0.35">
      <c r="A1039" s="24" t="s">
        <v>2194</v>
      </c>
      <c r="B1039" s="24" t="s">
        <v>872</v>
      </c>
      <c r="C1039" s="26" t="s">
        <v>2142</v>
      </c>
    </row>
    <row r="1040" spans="1:3" x14ac:dyDescent="0.35">
      <c r="A1040" s="24" t="s">
        <v>2195</v>
      </c>
      <c r="B1040" s="24" t="s">
        <v>1261</v>
      </c>
      <c r="C1040" s="26" t="s">
        <v>2144</v>
      </c>
    </row>
    <row r="1041" spans="1:3" x14ac:dyDescent="0.35">
      <c r="A1041" s="24" t="s">
        <v>2196</v>
      </c>
      <c r="B1041" s="24" t="s">
        <v>791</v>
      </c>
      <c r="C1041" s="26" t="s">
        <v>2146</v>
      </c>
    </row>
    <row r="1042" spans="1:3" x14ac:dyDescent="0.35">
      <c r="A1042" s="24" t="s">
        <v>2197</v>
      </c>
      <c r="B1042" s="24" t="s">
        <v>795</v>
      </c>
      <c r="C1042" s="26" t="s">
        <v>2198</v>
      </c>
    </row>
    <row r="1043" spans="1:3" x14ac:dyDescent="0.35">
      <c r="A1043" s="24" t="s">
        <v>2199</v>
      </c>
      <c r="B1043" s="24" t="s">
        <v>798</v>
      </c>
      <c r="C1043" s="26" t="s">
        <v>2200</v>
      </c>
    </row>
    <row r="1044" spans="1:3" x14ac:dyDescent="0.35">
      <c r="A1044" s="24" t="s">
        <v>2201</v>
      </c>
      <c r="B1044" s="24" t="s">
        <v>872</v>
      </c>
      <c r="C1044" s="26" t="s">
        <v>2202</v>
      </c>
    </row>
    <row r="1045" spans="1:3" x14ac:dyDescent="0.35">
      <c r="A1045" s="24" t="s">
        <v>2203</v>
      </c>
      <c r="B1045" s="24" t="s">
        <v>1261</v>
      </c>
      <c r="C1045" s="26" t="s">
        <v>2204</v>
      </c>
    </row>
    <row r="1046" spans="1:3" x14ac:dyDescent="0.35">
      <c r="A1046" s="24" t="s">
        <v>2205</v>
      </c>
      <c r="B1046" s="24" t="s">
        <v>791</v>
      </c>
      <c r="C1046" s="26" t="s">
        <v>2206</v>
      </c>
    </row>
    <row r="1047" spans="1:3" x14ac:dyDescent="0.35">
      <c r="A1047" s="24" t="s">
        <v>2207</v>
      </c>
      <c r="B1047" s="24" t="s">
        <v>795</v>
      </c>
      <c r="C1047" s="26" t="s">
        <v>2208</v>
      </c>
    </row>
    <row r="1048" spans="1:3" x14ac:dyDescent="0.35">
      <c r="A1048" s="24" t="s">
        <v>2209</v>
      </c>
      <c r="B1048" s="24" t="s">
        <v>798</v>
      </c>
      <c r="C1048" s="26" t="s">
        <v>2210</v>
      </c>
    </row>
    <row r="1049" spans="1:3" x14ac:dyDescent="0.35">
      <c r="A1049" s="24" t="s">
        <v>2211</v>
      </c>
      <c r="B1049" s="24" t="s">
        <v>791</v>
      </c>
      <c r="C1049" s="26" t="s">
        <v>2212</v>
      </c>
    </row>
    <row r="1050" spans="1:3" x14ac:dyDescent="0.35">
      <c r="A1050" s="24" t="s">
        <v>2213</v>
      </c>
      <c r="B1050" s="24" t="s">
        <v>795</v>
      </c>
      <c r="C1050" s="26" t="s">
        <v>2214</v>
      </c>
    </row>
    <row r="1051" spans="1:3" x14ac:dyDescent="0.35">
      <c r="A1051" s="24" t="s">
        <v>2215</v>
      </c>
      <c r="B1051" s="24" t="s">
        <v>798</v>
      </c>
      <c r="C1051" s="26" t="s">
        <v>2216</v>
      </c>
    </row>
    <row r="1052" spans="1:3" x14ac:dyDescent="0.35">
      <c r="A1052" s="24" t="s">
        <v>2217</v>
      </c>
      <c r="B1052" s="24" t="s">
        <v>795</v>
      </c>
      <c r="C1052" s="26" t="s">
        <v>2218</v>
      </c>
    </row>
    <row r="1053" spans="1:3" x14ac:dyDescent="0.35">
      <c r="A1053" s="24" t="s">
        <v>2217</v>
      </c>
      <c r="B1053" s="24" t="s">
        <v>795</v>
      </c>
      <c r="C1053" s="26" t="s">
        <v>2140</v>
      </c>
    </row>
    <row r="1054" spans="1:3" x14ac:dyDescent="0.35">
      <c r="A1054" s="24" t="s">
        <v>2219</v>
      </c>
      <c r="B1054" s="24" t="s">
        <v>798</v>
      </c>
      <c r="C1054" s="26" t="s">
        <v>2208</v>
      </c>
    </row>
    <row r="1055" spans="1:3" x14ac:dyDescent="0.35">
      <c r="A1055" s="24" t="s">
        <v>2220</v>
      </c>
      <c r="B1055" s="24" t="s">
        <v>872</v>
      </c>
      <c r="C1055" s="26" t="s">
        <v>2148</v>
      </c>
    </row>
    <row r="1056" spans="1:3" x14ac:dyDescent="0.35">
      <c r="A1056" s="24" t="s">
        <v>2221</v>
      </c>
      <c r="B1056" s="24" t="s">
        <v>791</v>
      </c>
      <c r="C1056" s="26" t="s">
        <v>2222</v>
      </c>
    </row>
    <row r="1057" spans="1:3" x14ac:dyDescent="0.35">
      <c r="A1057" s="24" t="s">
        <v>2221</v>
      </c>
      <c r="B1057" s="24" t="s">
        <v>791</v>
      </c>
      <c r="C1057" s="26" t="s">
        <v>2175</v>
      </c>
    </row>
    <row r="1058" spans="1:3" x14ac:dyDescent="0.35">
      <c r="A1058" s="24" t="s">
        <v>2223</v>
      </c>
      <c r="B1058" s="24" t="s">
        <v>795</v>
      </c>
      <c r="C1058" s="26" t="s">
        <v>2189</v>
      </c>
    </row>
    <row r="1059" spans="1:3" x14ac:dyDescent="0.35">
      <c r="A1059" s="24" t="s">
        <v>2224</v>
      </c>
      <c r="B1059" s="24" t="s">
        <v>872</v>
      </c>
      <c r="C1059" s="26" t="s">
        <v>2144</v>
      </c>
    </row>
    <row r="1060" spans="1:3" x14ac:dyDescent="0.35">
      <c r="A1060" s="24" t="s">
        <v>2225</v>
      </c>
      <c r="B1060" s="24" t="s">
        <v>791</v>
      </c>
      <c r="C1060" s="26" t="s">
        <v>2226</v>
      </c>
    </row>
    <row r="1061" spans="1:3" x14ac:dyDescent="0.35">
      <c r="A1061" s="24" t="s">
        <v>2227</v>
      </c>
      <c r="B1061" s="24" t="s">
        <v>798</v>
      </c>
      <c r="C1061" s="26" t="s">
        <v>2228</v>
      </c>
    </row>
    <row r="1062" spans="1:3" x14ac:dyDescent="0.35">
      <c r="A1062" s="24" t="s">
        <v>2229</v>
      </c>
      <c r="B1062" s="24" t="s">
        <v>872</v>
      </c>
      <c r="C1062" s="26" t="s">
        <v>2230</v>
      </c>
    </row>
    <row r="1063" spans="1:3" x14ac:dyDescent="0.35">
      <c r="A1063" s="24" t="s">
        <v>2231</v>
      </c>
      <c r="B1063" s="24" t="s">
        <v>1261</v>
      </c>
      <c r="C1063" s="26" t="s">
        <v>2212</v>
      </c>
    </row>
    <row r="1064" spans="1:3" x14ac:dyDescent="0.35">
      <c r="A1064" s="24" t="s">
        <v>2232</v>
      </c>
      <c r="B1064" s="24" t="s">
        <v>795</v>
      </c>
      <c r="C1064" s="26" t="s">
        <v>1834</v>
      </c>
    </row>
    <row r="1065" spans="1:3" x14ac:dyDescent="0.35">
      <c r="A1065" s="24" t="s">
        <v>2232</v>
      </c>
      <c r="B1065" s="24" t="s">
        <v>795</v>
      </c>
      <c r="C1065" s="26" t="s">
        <v>2160</v>
      </c>
    </row>
    <row r="1066" spans="1:3" x14ac:dyDescent="0.35">
      <c r="A1066" s="24" t="s">
        <v>2233</v>
      </c>
      <c r="B1066" s="24" t="s">
        <v>798</v>
      </c>
      <c r="C1066" s="26" t="s">
        <v>2191</v>
      </c>
    </row>
    <row r="1067" spans="1:3" x14ac:dyDescent="0.35">
      <c r="A1067" s="24" t="s">
        <v>2234</v>
      </c>
      <c r="B1067" s="24" t="s">
        <v>791</v>
      </c>
      <c r="C1067" s="26" t="s">
        <v>2235</v>
      </c>
    </row>
    <row r="1068" spans="1:3" x14ac:dyDescent="0.35">
      <c r="A1068" s="24" t="s">
        <v>2234</v>
      </c>
      <c r="B1068" s="24" t="s">
        <v>791</v>
      </c>
      <c r="C1068" s="26" t="s">
        <v>2148</v>
      </c>
    </row>
    <row r="1069" spans="1:3" x14ac:dyDescent="0.35">
      <c r="A1069" s="24" t="s">
        <v>2236</v>
      </c>
      <c r="B1069" s="24" t="s">
        <v>795</v>
      </c>
      <c r="C1069" s="26" t="s">
        <v>2237</v>
      </c>
    </row>
    <row r="1070" spans="1:3" x14ac:dyDescent="0.35">
      <c r="A1070" s="24" t="s">
        <v>2238</v>
      </c>
      <c r="B1070" s="24" t="s">
        <v>798</v>
      </c>
      <c r="C1070" s="26" t="s">
        <v>2175</v>
      </c>
    </row>
    <row r="1071" spans="1:3" x14ac:dyDescent="0.35">
      <c r="A1071" s="24" t="s">
        <v>2239</v>
      </c>
      <c r="B1071" s="24" t="s">
        <v>872</v>
      </c>
      <c r="C1071" s="26" t="s">
        <v>2240</v>
      </c>
    </row>
    <row r="1072" spans="1:3" x14ac:dyDescent="0.35">
      <c r="A1072" s="24" t="s">
        <v>2241</v>
      </c>
      <c r="B1072" s="24" t="s">
        <v>798</v>
      </c>
      <c r="C1072" s="26" t="s">
        <v>2166</v>
      </c>
    </row>
    <row r="1073" spans="1:3" x14ac:dyDescent="0.35">
      <c r="A1073" s="24" t="s">
        <v>2242</v>
      </c>
      <c r="B1073" s="24" t="s">
        <v>872</v>
      </c>
      <c r="C1073" s="26" t="s">
        <v>2243</v>
      </c>
    </row>
    <row r="1074" spans="1:3" x14ac:dyDescent="0.35">
      <c r="A1074" s="24" t="s">
        <v>2244</v>
      </c>
      <c r="B1074" s="24" t="s">
        <v>791</v>
      </c>
      <c r="C1074" s="26" t="s">
        <v>2245</v>
      </c>
    </row>
    <row r="1075" spans="1:3" x14ac:dyDescent="0.35">
      <c r="A1075" s="24" t="s">
        <v>2246</v>
      </c>
      <c r="B1075" s="24" t="s">
        <v>795</v>
      </c>
      <c r="C1075" s="26" t="s">
        <v>2247</v>
      </c>
    </row>
    <row r="1076" spans="1:3" x14ac:dyDescent="0.35">
      <c r="A1076" s="24" t="s">
        <v>2248</v>
      </c>
      <c r="B1076" s="24" t="s">
        <v>798</v>
      </c>
      <c r="C1076" s="26" t="s">
        <v>2249</v>
      </c>
    </row>
    <row r="1077" spans="1:3" x14ac:dyDescent="0.35">
      <c r="A1077" s="24" t="s">
        <v>2250</v>
      </c>
      <c r="B1077" s="24" t="s">
        <v>791</v>
      </c>
      <c r="C1077" s="26" t="s">
        <v>2198</v>
      </c>
    </row>
    <row r="1078" spans="1:3" x14ac:dyDescent="0.35">
      <c r="A1078" s="24" t="s">
        <v>2251</v>
      </c>
      <c r="B1078" s="24" t="s">
        <v>795</v>
      </c>
      <c r="C1078" s="26" t="s">
        <v>2202</v>
      </c>
    </row>
    <row r="1079" spans="1:3" x14ac:dyDescent="0.35">
      <c r="A1079" s="24" t="s">
        <v>2252</v>
      </c>
      <c r="B1079" s="24" t="s">
        <v>798</v>
      </c>
      <c r="C1079" s="26" t="s">
        <v>2204</v>
      </c>
    </row>
    <row r="1080" spans="1:3" x14ac:dyDescent="0.35">
      <c r="A1080" s="24" t="s">
        <v>2253</v>
      </c>
      <c r="B1080" s="24" t="s">
        <v>791</v>
      </c>
      <c r="C1080" s="26" t="s">
        <v>2254</v>
      </c>
    </row>
    <row r="1081" spans="1:3" x14ac:dyDescent="0.35">
      <c r="A1081" s="24" t="s">
        <v>2255</v>
      </c>
      <c r="B1081" s="24" t="s">
        <v>872</v>
      </c>
      <c r="C1081" s="26" t="s">
        <v>2185</v>
      </c>
    </row>
    <row r="1082" spans="1:3" x14ac:dyDescent="0.35">
      <c r="A1082" s="24" t="s">
        <v>2256</v>
      </c>
      <c r="B1082" s="24" t="s">
        <v>791</v>
      </c>
      <c r="C1082" s="26" t="s">
        <v>2208</v>
      </c>
    </row>
    <row r="1083" spans="1:3" x14ac:dyDescent="0.35">
      <c r="A1083" s="24" t="s">
        <v>2257</v>
      </c>
      <c r="B1083" s="24" t="s">
        <v>795</v>
      </c>
      <c r="C1083" s="26" t="s">
        <v>2258</v>
      </c>
    </row>
    <row r="1084" spans="1:3" x14ac:dyDescent="0.35">
      <c r="A1084" s="24" t="s">
        <v>2259</v>
      </c>
      <c r="B1084" s="24" t="s">
        <v>872</v>
      </c>
      <c r="C1084" s="26" t="s">
        <v>2193</v>
      </c>
    </row>
    <row r="1085" spans="1:3" x14ac:dyDescent="0.35">
      <c r="A1085" s="24" t="s">
        <v>2260</v>
      </c>
      <c r="B1085" s="24" t="s">
        <v>1261</v>
      </c>
      <c r="C1085" s="26" t="s">
        <v>2261</v>
      </c>
    </row>
    <row r="1086" spans="1:3" x14ac:dyDescent="0.35">
      <c r="A1086" s="24" t="s">
        <v>2262</v>
      </c>
      <c r="B1086" s="24" t="s">
        <v>791</v>
      </c>
      <c r="C1086" s="26" t="s">
        <v>2263</v>
      </c>
    </row>
    <row r="1087" spans="1:3" x14ac:dyDescent="0.35">
      <c r="A1087" s="24" t="s">
        <v>2264</v>
      </c>
      <c r="B1087" s="24" t="s">
        <v>795</v>
      </c>
      <c r="C1087" s="26" t="s">
        <v>2265</v>
      </c>
    </row>
    <row r="1088" spans="1:3" x14ac:dyDescent="0.35">
      <c r="A1088" s="24" t="s">
        <v>2266</v>
      </c>
      <c r="B1088" s="24" t="s">
        <v>872</v>
      </c>
      <c r="C1088" s="26" t="s">
        <v>2158</v>
      </c>
    </row>
    <row r="1089" spans="1:3" x14ac:dyDescent="0.35">
      <c r="A1089" s="24" t="s">
        <v>2267</v>
      </c>
      <c r="B1089" s="24" t="s">
        <v>791</v>
      </c>
      <c r="C1089" s="26" t="s">
        <v>2268</v>
      </c>
    </row>
    <row r="1090" spans="1:3" x14ac:dyDescent="0.35">
      <c r="A1090" s="24" t="s">
        <v>2269</v>
      </c>
      <c r="B1090" s="24" t="s">
        <v>795</v>
      </c>
      <c r="C1090" s="26" t="s">
        <v>2270</v>
      </c>
    </row>
    <row r="1091" spans="1:3" x14ac:dyDescent="0.35">
      <c r="A1091" s="24" t="s">
        <v>2271</v>
      </c>
      <c r="B1091" s="24" t="s">
        <v>798</v>
      </c>
      <c r="C1091" s="26" t="s">
        <v>2272</v>
      </c>
    </row>
    <row r="1092" spans="1:3" x14ac:dyDescent="0.35">
      <c r="A1092" s="24" t="s">
        <v>2273</v>
      </c>
      <c r="B1092" s="24" t="s">
        <v>872</v>
      </c>
      <c r="C1092" s="26" t="s">
        <v>2274</v>
      </c>
    </row>
    <row r="1093" spans="1:3" x14ac:dyDescent="0.35">
      <c r="A1093" s="24" t="s">
        <v>2275</v>
      </c>
      <c r="B1093" s="24" t="s">
        <v>1261</v>
      </c>
      <c r="C1093" s="26" t="s">
        <v>2276</v>
      </c>
    </row>
    <row r="1094" spans="1:3" x14ac:dyDescent="0.35">
      <c r="A1094" s="24" t="s">
        <v>2277</v>
      </c>
      <c r="B1094" s="24" t="s">
        <v>791</v>
      </c>
      <c r="C1094" s="26" t="s">
        <v>2278</v>
      </c>
    </row>
    <row r="1095" spans="1:3" x14ac:dyDescent="0.35">
      <c r="A1095" s="24" t="s">
        <v>2279</v>
      </c>
      <c r="B1095" s="24" t="s">
        <v>795</v>
      </c>
      <c r="C1095" s="26" t="s">
        <v>2280</v>
      </c>
    </row>
    <row r="1096" spans="1:3" x14ac:dyDescent="0.35">
      <c r="A1096" s="24" t="s">
        <v>2281</v>
      </c>
      <c r="B1096" s="24" t="s">
        <v>798</v>
      </c>
      <c r="C1096" s="26" t="s">
        <v>2282</v>
      </c>
    </row>
    <row r="1097" spans="1:3" x14ac:dyDescent="0.35">
      <c r="A1097" s="24" t="s">
        <v>2283</v>
      </c>
      <c r="B1097" s="24" t="s">
        <v>791</v>
      </c>
      <c r="C1097" s="26" t="s">
        <v>2284</v>
      </c>
    </row>
    <row r="1098" spans="1:3" x14ac:dyDescent="0.35">
      <c r="A1098" s="24" t="s">
        <v>2285</v>
      </c>
      <c r="B1098" s="24" t="s">
        <v>795</v>
      </c>
      <c r="C1098" s="26" t="s">
        <v>2286</v>
      </c>
    </row>
    <row r="1099" spans="1:3" x14ac:dyDescent="0.35">
      <c r="A1099" s="24" t="s">
        <v>2287</v>
      </c>
      <c r="B1099" s="24" t="s">
        <v>798</v>
      </c>
      <c r="C1099" s="26" t="s">
        <v>2288</v>
      </c>
    </row>
    <row r="1100" spans="1:3" x14ac:dyDescent="0.35">
      <c r="A1100" s="24" t="s">
        <v>2289</v>
      </c>
      <c r="B1100" s="24" t="s">
        <v>63</v>
      </c>
      <c r="C1100" s="26" t="s">
        <v>2290</v>
      </c>
    </row>
    <row r="1101" spans="1:3" ht="43.5" x14ac:dyDescent="0.35">
      <c r="A1101" s="24" t="s">
        <v>2291</v>
      </c>
      <c r="B1101" s="24" t="s">
        <v>85</v>
      </c>
      <c r="C1101" s="26" t="s">
        <v>2292</v>
      </c>
    </row>
    <row r="1102" spans="1:3" x14ac:dyDescent="0.35">
      <c r="A1102" s="24" t="s">
        <v>2293</v>
      </c>
      <c r="C1102" s="26" t="s">
        <v>775</v>
      </c>
    </row>
    <row r="1103" spans="1:3" ht="58" x14ac:dyDescent="0.35">
      <c r="A1103" s="24" t="s">
        <v>2294</v>
      </c>
      <c r="B1103" s="24" t="s">
        <v>63</v>
      </c>
      <c r="C1103" s="26" t="s">
        <v>2295</v>
      </c>
    </row>
    <row r="1104" spans="1:3" x14ac:dyDescent="0.35">
      <c r="A1104" s="24" t="s">
        <v>2294</v>
      </c>
      <c r="B1104" s="24" t="s">
        <v>63</v>
      </c>
      <c r="C1104" s="26" t="s">
        <v>1729</v>
      </c>
    </row>
    <row r="1105" spans="1:3" x14ac:dyDescent="0.35">
      <c r="A1105" s="24" t="s">
        <v>2296</v>
      </c>
      <c r="B1105" s="24" t="s">
        <v>85</v>
      </c>
      <c r="C1105" s="26" t="s">
        <v>1729</v>
      </c>
    </row>
    <row r="1106" spans="1:3" x14ac:dyDescent="0.35">
      <c r="A1106" s="24" t="s">
        <v>2297</v>
      </c>
      <c r="B1106" s="24" t="s">
        <v>107</v>
      </c>
      <c r="C1106" s="26" t="s">
        <v>1729</v>
      </c>
    </row>
    <row r="1107" spans="1:3" x14ac:dyDescent="0.35">
      <c r="A1107" s="24" t="s">
        <v>2298</v>
      </c>
      <c r="B1107" s="24" t="s">
        <v>128</v>
      </c>
      <c r="C1107" s="26" t="s">
        <v>1729</v>
      </c>
    </row>
    <row r="1108" spans="1:3" x14ac:dyDescent="0.35">
      <c r="A1108" s="24" t="s">
        <v>2299</v>
      </c>
      <c r="B1108" s="24" t="s">
        <v>149</v>
      </c>
      <c r="C1108" s="26" t="s">
        <v>1729</v>
      </c>
    </row>
    <row r="1109" spans="1:3" x14ac:dyDescent="0.35">
      <c r="A1109" s="24" t="s">
        <v>2300</v>
      </c>
      <c r="B1109" s="24" t="s">
        <v>362</v>
      </c>
      <c r="C1109" s="26" t="s">
        <v>1729</v>
      </c>
    </row>
    <row r="1110" spans="1:3" x14ac:dyDescent="0.35">
      <c r="A1110" s="24" t="s">
        <v>2301</v>
      </c>
      <c r="B1110" s="24" t="s">
        <v>2302</v>
      </c>
    </row>
    <row r="1111" spans="1:3" ht="29" x14ac:dyDescent="0.35">
      <c r="A1111" s="24" t="s">
        <v>2301</v>
      </c>
      <c r="B1111" s="24" t="s">
        <v>1770</v>
      </c>
      <c r="C1111" s="26" t="s">
        <v>1770</v>
      </c>
    </row>
    <row r="1112" spans="1:3" x14ac:dyDescent="0.35">
      <c r="A1112" s="24" t="s">
        <v>2301</v>
      </c>
      <c r="B1112" s="24" t="s">
        <v>2135</v>
      </c>
      <c r="C1112" s="26" t="s">
        <v>2135</v>
      </c>
    </row>
    <row r="1113" spans="1:3" ht="72.5" x14ac:dyDescent="0.35">
      <c r="A1113" s="24" t="s">
        <v>2301</v>
      </c>
      <c r="C1113" s="26" t="s">
        <v>687</v>
      </c>
    </row>
    <row r="1114" spans="1:3" x14ac:dyDescent="0.35">
      <c r="A1114" s="24" t="s">
        <v>2301</v>
      </c>
      <c r="C1114" s="26" t="s">
        <v>2303</v>
      </c>
    </row>
    <row r="1115" spans="1:3" x14ac:dyDescent="0.35">
      <c r="A1115" s="24" t="s">
        <v>2304</v>
      </c>
      <c r="B1115" s="24" t="s">
        <v>791</v>
      </c>
      <c r="C1115" s="26" t="s">
        <v>2305</v>
      </c>
    </row>
    <row r="1116" spans="1:3" x14ac:dyDescent="0.35">
      <c r="A1116" s="24" t="s">
        <v>2304</v>
      </c>
      <c r="B1116" s="24" t="s">
        <v>791</v>
      </c>
      <c r="C1116" s="26" t="s">
        <v>2306</v>
      </c>
    </row>
    <row r="1117" spans="1:3" x14ac:dyDescent="0.35">
      <c r="A1117" s="24" t="s">
        <v>2307</v>
      </c>
      <c r="B1117" s="24" t="s">
        <v>795</v>
      </c>
      <c r="C1117" s="26" t="s">
        <v>2308</v>
      </c>
    </row>
    <row r="1118" spans="1:3" x14ac:dyDescent="0.35">
      <c r="A1118" s="24" t="s">
        <v>2309</v>
      </c>
      <c r="B1118" s="24" t="s">
        <v>798</v>
      </c>
      <c r="C1118" s="26" t="s">
        <v>808</v>
      </c>
    </row>
    <row r="1119" spans="1:3" x14ac:dyDescent="0.35">
      <c r="A1119" s="24" t="s">
        <v>2310</v>
      </c>
      <c r="C1119" s="26" t="s">
        <v>2311</v>
      </c>
    </row>
    <row r="1120" spans="1:3" ht="29" x14ac:dyDescent="0.35">
      <c r="A1120" s="24" t="s">
        <v>2312</v>
      </c>
      <c r="B1120" s="24" t="s">
        <v>791</v>
      </c>
      <c r="C1120" s="26" t="s">
        <v>2313</v>
      </c>
    </row>
    <row r="1121" spans="1:3" x14ac:dyDescent="0.35">
      <c r="A1121" s="24" t="s">
        <v>2312</v>
      </c>
      <c r="B1121" s="24" t="s">
        <v>791</v>
      </c>
      <c r="C1121" s="26" t="s">
        <v>2314</v>
      </c>
    </row>
    <row r="1122" spans="1:3" x14ac:dyDescent="0.35">
      <c r="A1122" s="24" t="s">
        <v>2315</v>
      </c>
      <c r="B1122" s="24" t="s">
        <v>795</v>
      </c>
      <c r="C1122" s="26" t="s">
        <v>2316</v>
      </c>
    </row>
    <row r="1123" spans="1:3" x14ac:dyDescent="0.35">
      <c r="A1123" s="24" t="s">
        <v>2317</v>
      </c>
      <c r="B1123" s="24" t="s">
        <v>798</v>
      </c>
      <c r="C1123" s="26" t="s">
        <v>2318</v>
      </c>
    </row>
    <row r="1124" spans="1:3" x14ac:dyDescent="0.35">
      <c r="A1124" s="24" t="s">
        <v>2319</v>
      </c>
      <c r="B1124" s="24" t="s">
        <v>872</v>
      </c>
      <c r="C1124" s="26" t="s">
        <v>2320</v>
      </c>
    </row>
    <row r="1125" spans="1:3" x14ac:dyDescent="0.35">
      <c r="A1125" s="24" t="s">
        <v>2321</v>
      </c>
      <c r="C1125" s="26" t="s">
        <v>2322</v>
      </c>
    </row>
    <row r="1126" spans="1:3" ht="29" x14ac:dyDescent="0.35">
      <c r="A1126" s="24" t="s">
        <v>2323</v>
      </c>
      <c r="B1126" s="24" t="s">
        <v>791</v>
      </c>
      <c r="C1126" s="26" t="s">
        <v>2324</v>
      </c>
    </row>
    <row r="1127" spans="1:3" x14ac:dyDescent="0.35">
      <c r="A1127" s="24" t="s">
        <v>2323</v>
      </c>
      <c r="B1127" s="24" t="s">
        <v>791</v>
      </c>
      <c r="C1127" s="26" t="s">
        <v>2325</v>
      </c>
    </row>
    <row r="1128" spans="1:3" x14ac:dyDescent="0.35">
      <c r="A1128" s="24" t="s">
        <v>2326</v>
      </c>
      <c r="B1128" s="24" t="s">
        <v>795</v>
      </c>
      <c r="C1128" s="26" t="s">
        <v>2327</v>
      </c>
    </row>
    <row r="1129" spans="1:3" x14ac:dyDescent="0.35">
      <c r="A1129" s="24" t="s">
        <v>2328</v>
      </c>
      <c r="C1129" s="26" t="s">
        <v>2329</v>
      </c>
    </row>
    <row r="1130" spans="1:3" ht="29" x14ac:dyDescent="0.35">
      <c r="A1130" s="24" t="s">
        <v>2330</v>
      </c>
      <c r="B1130" s="24" t="s">
        <v>791</v>
      </c>
      <c r="C1130" s="26" t="s">
        <v>2331</v>
      </c>
    </row>
    <row r="1131" spans="1:3" x14ac:dyDescent="0.35">
      <c r="A1131" s="24" t="s">
        <v>2330</v>
      </c>
      <c r="B1131" s="24" t="s">
        <v>791</v>
      </c>
      <c r="C1131" s="26" t="s">
        <v>1987</v>
      </c>
    </row>
    <row r="1132" spans="1:3" x14ac:dyDescent="0.35">
      <c r="A1132" s="24" t="s">
        <v>2332</v>
      </c>
      <c r="B1132" s="24" t="s">
        <v>795</v>
      </c>
      <c r="C1132" s="26" t="s">
        <v>1992</v>
      </c>
    </row>
    <row r="1133" spans="1:3" x14ac:dyDescent="0.35">
      <c r="A1133" s="24" t="s">
        <v>2333</v>
      </c>
      <c r="B1133" s="24" t="s">
        <v>798</v>
      </c>
      <c r="C1133" s="26" t="s">
        <v>1994</v>
      </c>
    </row>
    <row r="1134" spans="1:3" x14ac:dyDescent="0.35">
      <c r="A1134" s="24" t="s">
        <v>2334</v>
      </c>
      <c r="B1134" s="24" t="s">
        <v>872</v>
      </c>
      <c r="C1134" s="26" t="s">
        <v>808</v>
      </c>
    </row>
    <row r="1135" spans="1:3" x14ac:dyDescent="0.35">
      <c r="A1135" s="24" t="s">
        <v>2335</v>
      </c>
      <c r="C1135" s="26" t="s">
        <v>2336</v>
      </c>
    </row>
    <row r="1136" spans="1:3" ht="29" x14ac:dyDescent="0.35">
      <c r="A1136" s="24" t="s">
        <v>2337</v>
      </c>
      <c r="B1136" s="24" t="s">
        <v>791</v>
      </c>
      <c r="C1136" s="26" t="s">
        <v>2338</v>
      </c>
    </row>
    <row r="1137" spans="1:3" x14ac:dyDescent="0.35">
      <c r="A1137" s="24" t="s">
        <v>2337</v>
      </c>
      <c r="B1137" s="24" t="s">
        <v>791</v>
      </c>
      <c r="C1137" s="26" t="s">
        <v>2339</v>
      </c>
    </row>
    <row r="1138" spans="1:3" x14ac:dyDescent="0.35">
      <c r="A1138" s="24" t="s">
        <v>2340</v>
      </c>
      <c r="B1138" s="24" t="s">
        <v>795</v>
      </c>
      <c r="C1138" s="26" t="s">
        <v>2341</v>
      </c>
    </row>
    <row r="1139" spans="1:3" x14ac:dyDescent="0.35">
      <c r="A1139" s="24" t="s">
        <v>2342</v>
      </c>
      <c r="C1139" s="26" t="s">
        <v>2343</v>
      </c>
    </row>
    <row r="1140" spans="1:3" x14ac:dyDescent="0.35">
      <c r="A1140" s="24" t="s">
        <v>2344</v>
      </c>
      <c r="B1140" s="24" t="s">
        <v>791</v>
      </c>
      <c r="C1140" s="26" t="s">
        <v>2345</v>
      </c>
    </row>
    <row r="1141" spans="1:3" x14ac:dyDescent="0.35">
      <c r="A1141" s="24" t="s">
        <v>2344</v>
      </c>
      <c r="B1141" s="24" t="s">
        <v>791</v>
      </c>
      <c r="C1141" s="26" t="s">
        <v>2346</v>
      </c>
    </row>
    <row r="1142" spans="1:3" x14ac:dyDescent="0.35">
      <c r="A1142" s="24" t="s">
        <v>2347</v>
      </c>
      <c r="B1142" s="24" t="s">
        <v>795</v>
      </c>
      <c r="C1142" s="26" t="s">
        <v>2348</v>
      </c>
    </row>
    <row r="1143" spans="1:3" x14ac:dyDescent="0.35">
      <c r="A1143" s="24" t="s">
        <v>2349</v>
      </c>
      <c r="B1143" s="24" t="s">
        <v>798</v>
      </c>
      <c r="C1143" s="26" t="s">
        <v>2350</v>
      </c>
    </row>
    <row r="1144" spans="1:3" x14ac:dyDescent="0.35">
      <c r="A1144" s="24" t="s">
        <v>2351</v>
      </c>
      <c r="C1144" s="26" t="s">
        <v>775</v>
      </c>
    </row>
    <row r="1145" spans="1:3" ht="58" x14ac:dyDescent="0.35">
      <c r="A1145" s="24" t="s">
        <v>2352</v>
      </c>
      <c r="B1145" s="24" t="s">
        <v>63</v>
      </c>
      <c r="C1145" s="26" t="s">
        <v>2353</v>
      </c>
    </row>
    <row r="1146" spans="1:3" x14ac:dyDescent="0.35">
      <c r="A1146" s="24" t="s">
        <v>2352</v>
      </c>
      <c r="B1146" s="24" t="s">
        <v>63</v>
      </c>
      <c r="C1146" s="26" t="s">
        <v>1729</v>
      </c>
    </row>
    <row r="1147" spans="1:3" x14ac:dyDescent="0.35">
      <c r="A1147" s="24" t="s">
        <v>2354</v>
      </c>
      <c r="B1147" s="24" t="s">
        <v>85</v>
      </c>
      <c r="C1147" s="26" t="s">
        <v>1729</v>
      </c>
    </row>
    <row r="1148" spans="1:3" x14ac:dyDescent="0.35">
      <c r="A1148" s="24" t="s">
        <v>2355</v>
      </c>
      <c r="B1148" s="24" t="s">
        <v>107</v>
      </c>
      <c r="C1148" s="26" t="s">
        <v>1729</v>
      </c>
    </row>
    <row r="1149" spans="1:3" x14ac:dyDescent="0.35">
      <c r="A1149" s="24" t="s">
        <v>2356</v>
      </c>
      <c r="B1149" s="24" t="s">
        <v>128</v>
      </c>
      <c r="C1149" s="26" t="s">
        <v>1729</v>
      </c>
    </row>
    <row r="1150" spans="1:3" x14ac:dyDescent="0.35">
      <c r="A1150" s="24" t="s">
        <v>2357</v>
      </c>
      <c r="B1150" s="24" t="s">
        <v>149</v>
      </c>
      <c r="C1150" s="26" t="s">
        <v>1729</v>
      </c>
    </row>
    <row r="1151" spans="1:3" x14ac:dyDescent="0.35">
      <c r="A1151" s="24" t="s">
        <v>2358</v>
      </c>
      <c r="B1151" s="24" t="s">
        <v>362</v>
      </c>
      <c r="C1151" s="26" t="s">
        <v>1729</v>
      </c>
    </row>
    <row r="1152" spans="1:3" x14ac:dyDescent="0.35">
      <c r="A1152" s="24" t="s">
        <v>2359</v>
      </c>
      <c r="B1152" s="24" t="s">
        <v>2360</v>
      </c>
    </row>
    <row r="1153" spans="1:3" ht="29" x14ac:dyDescent="0.35">
      <c r="A1153" s="24" t="s">
        <v>2359</v>
      </c>
      <c r="B1153" s="24" t="s">
        <v>1770</v>
      </c>
      <c r="C1153" s="26" t="s">
        <v>1770</v>
      </c>
    </row>
    <row r="1154" spans="1:3" x14ac:dyDescent="0.35">
      <c r="A1154" s="24" t="s">
        <v>2359</v>
      </c>
      <c r="B1154" s="24" t="s">
        <v>2135</v>
      </c>
      <c r="C1154" s="26" t="s">
        <v>2135</v>
      </c>
    </row>
    <row r="1155" spans="1:3" ht="72.5" x14ac:dyDescent="0.35">
      <c r="A1155" s="24" t="s">
        <v>2359</v>
      </c>
      <c r="C1155" s="26" t="s">
        <v>687</v>
      </c>
    </row>
    <row r="1156" spans="1:3" x14ac:dyDescent="0.35">
      <c r="A1156" s="24" t="s">
        <v>2359</v>
      </c>
      <c r="C1156" s="26" t="s">
        <v>1804</v>
      </c>
    </row>
    <row r="1157" spans="1:3" x14ac:dyDescent="0.35">
      <c r="A1157" s="24" t="s">
        <v>2361</v>
      </c>
      <c r="B1157" s="24" t="s">
        <v>63</v>
      </c>
      <c r="C1157" s="26" t="s">
        <v>1806</v>
      </c>
    </row>
    <row r="1158" spans="1:3" x14ac:dyDescent="0.35">
      <c r="A1158" s="24" t="s">
        <v>2361</v>
      </c>
      <c r="B1158" s="24" t="s">
        <v>63</v>
      </c>
      <c r="C1158" s="26" t="s">
        <v>2362</v>
      </c>
    </row>
    <row r="1159" spans="1:3" x14ac:dyDescent="0.35">
      <c r="A1159" s="24" t="s">
        <v>2363</v>
      </c>
      <c r="B1159" s="24" t="s">
        <v>85</v>
      </c>
      <c r="C1159" s="26" t="s">
        <v>808</v>
      </c>
    </row>
    <row r="1160" spans="1:3" x14ac:dyDescent="0.35">
      <c r="A1160" s="24" t="s">
        <v>2364</v>
      </c>
      <c r="C1160" s="26" t="s">
        <v>1980</v>
      </c>
    </row>
    <row r="1161" spans="1:3" ht="29" x14ac:dyDescent="0.35">
      <c r="A1161" s="24" t="s">
        <v>2365</v>
      </c>
      <c r="B1161" s="24" t="s">
        <v>791</v>
      </c>
      <c r="C1161" s="26" t="s">
        <v>1981</v>
      </c>
    </row>
    <row r="1162" spans="1:3" x14ac:dyDescent="0.35">
      <c r="A1162" s="24" t="s">
        <v>2365</v>
      </c>
      <c r="B1162" s="24" t="s">
        <v>791</v>
      </c>
      <c r="C1162" s="26" t="s">
        <v>2366</v>
      </c>
    </row>
    <row r="1163" spans="1:3" x14ac:dyDescent="0.35">
      <c r="A1163" s="24" t="s">
        <v>2367</v>
      </c>
      <c r="B1163" s="24" t="s">
        <v>795</v>
      </c>
      <c r="C1163" s="26" t="s">
        <v>808</v>
      </c>
    </row>
    <row r="1164" spans="1:3" x14ac:dyDescent="0.35">
      <c r="A1164" s="24" t="s">
        <v>2368</v>
      </c>
      <c r="C1164" s="26" t="s">
        <v>2070</v>
      </c>
    </row>
    <row r="1165" spans="1:3" ht="43.5" x14ac:dyDescent="0.35">
      <c r="A1165" s="24" t="s">
        <v>2369</v>
      </c>
      <c r="B1165" s="24" t="s">
        <v>791</v>
      </c>
      <c r="C1165" s="26" t="s">
        <v>2072</v>
      </c>
    </row>
    <row r="1166" spans="1:3" x14ac:dyDescent="0.35">
      <c r="A1166" s="24" t="s">
        <v>2369</v>
      </c>
      <c r="B1166" s="24" t="s">
        <v>791</v>
      </c>
      <c r="C1166" s="26" t="s">
        <v>2370</v>
      </c>
    </row>
    <row r="1167" spans="1:3" x14ac:dyDescent="0.35">
      <c r="A1167" s="24" t="s">
        <v>2371</v>
      </c>
      <c r="C1167" s="26" t="s">
        <v>2113</v>
      </c>
    </row>
    <row r="1168" spans="1:3" ht="29" x14ac:dyDescent="0.35">
      <c r="A1168" s="24" t="s">
        <v>2372</v>
      </c>
      <c r="B1168" s="24" t="s">
        <v>791</v>
      </c>
      <c r="C1168" s="26" t="s">
        <v>2115</v>
      </c>
    </row>
    <row r="1169" spans="1:3" x14ac:dyDescent="0.35">
      <c r="A1169" s="24" t="s">
        <v>2372</v>
      </c>
      <c r="B1169" s="24" t="s">
        <v>791</v>
      </c>
      <c r="C1169" s="26" t="s">
        <v>2373</v>
      </c>
    </row>
    <row r="1170" spans="1:3" x14ac:dyDescent="0.35">
      <c r="A1170" s="24" t="s">
        <v>2374</v>
      </c>
      <c r="C1170" s="26" t="s">
        <v>2136</v>
      </c>
    </row>
    <row r="1171" spans="1:3" ht="29" x14ac:dyDescent="0.35">
      <c r="A1171" s="24" t="s">
        <v>2374</v>
      </c>
      <c r="C1171" s="26" t="s">
        <v>2137</v>
      </c>
    </row>
    <row r="1172" spans="1:3" x14ac:dyDescent="0.35">
      <c r="A1172" s="24" t="s">
        <v>2375</v>
      </c>
      <c r="B1172" s="24" t="s">
        <v>791</v>
      </c>
      <c r="C1172" s="26" t="s">
        <v>2376</v>
      </c>
    </row>
    <row r="1173" spans="1:3" x14ac:dyDescent="0.35">
      <c r="A1173" s="24" t="s">
        <v>2375</v>
      </c>
      <c r="B1173" s="24" t="s">
        <v>791</v>
      </c>
      <c r="C1173" s="26" t="s">
        <v>2377</v>
      </c>
    </row>
    <row r="1174" spans="1:3" x14ac:dyDescent="0.35">
      <c r="A1174" s="24" t="s">
        <v>2378</v>
      </c>
      <c r="B1174" s="24" t="s">
        <v>795</v>
      </c>
      <c r="C1174" s="26" t="s">
        <v>2142</v>
      </c>
    </row>
    <row r="1175" spans="1:3" x14ac:dyDescent="0.35">
      <c r="A1175" s="24" t="s">
        <v>2379</v>
      </c>
      <c r="B1175" s="24" t="s">
        <v>798</v>
      </c>
      <c r="C1175" s="26" t="s">
        <v>2290</v>
      </c>
    </row>
    <row r="1176" spans="1:3" x14ac:dyDescent="0.35">
      <c r="A1176" s="24" t="s">
        <v>2380</v>
      </c>
      <c r="C1176" s="26" t="s">
        <v>775</v>
      </c>
    </row>
    <row r="1177" spans="1:3" ht="58" x14ac:dyDescent="0.35">
      <c r="A1177" s="24" t="s">
        <v>2381</v>
      </c>
      <c r="B1177" s="24" t="s">
        <v>63</v>
      </c>
      <c r="C1177" s="26" t="s">
        <v>2382</v>
      </c>
    </row>
    <row r="1178" spans="1:3" x14ac:dyDescent="0.35">
      <c r="A1178" s="24" t="s">
        <v>2381</v>
      </c>
      <c r="B1178" s="24" t="s">
        <v>63</v>
      </c>
      <c r="C1178" s="26" t="s">
        <v>1729</v>
      </c>
    </row>
    <row r="1179" spans="1:3" x14ac:dyDescent="0.35">
      <c r="A1179" s="24" t="s">
        <v>2383</v>
      </c>
      <c r="B1179" s="24" t="s">
        <v>85</v>
      </c>
      <c r="C1179" s="26" t="s">
        <v>1729</v>
      </c>
    </row>
    <row r="1180" spans="1:3" x14ac:dyDescent="0.35">
      <c r="A1180" s="24" t="s">
        <v>2384</v>
      </c>
      <c r="B1180" s="24" t="s">
        <v>107</v>
      </c>
      <c r="C1180" s="26" t="s">
        <v>1729</v>
      </c>
    </row>
    <row r="1181" spans="1:3" x14ac:dyDescent="0.35">
      <c r="A1181" s="24" t="s">
        <v>2385</v>
      </c>
      <c r="B1181" s="24" t="s">
        <v>128</v>
      </c>
      <c r="C1181" s="26" t="s">
        <v>1729</v>
      </c>
    </row>
    <row r="1182" spans="1:3" x14ac:dyDescent="0.35">
      <c r="A1182" s="24" t="s">
        <v>2386</v>
      </c>
      <c r="B1182" s="24" t="s">
        <v>149</v>
      </c>
      <c r="C1182" s="26" t="s">
        <v>1729</v>
      </c>
    </row>
    <row r="1183" spans="1:3" x14ac:dyDescent="0.35">
      <c r="A1183" s="24" t="s">
        <v>2387</v>
      </c>
      <c r="B1183" s="24" t="s">
        <v>362</v>
      </c>
      <c r="C1183" s="26" t="s">
        <v>1729</v>
      </c>
    </row>
    <row r="1184" spans="1:3" x14ac:dyDescent="0.35">
      <c r="A1184" s="24" t="s">
        <v>2388</v>
      </c>
      <c r="B1184" s="24" t="s">
        <v>2389</v>
      </c>
    </row>
    <row r="1185" spans="1:3" ht="29" x14ac:dyDescent="0.35">
      <c r="A1185" s="24" t="s">
        <v>2388</v>
      </c>
      <c r="B1185" s="24" t="s">
        <v>1770</v>
      </c>
      <c r="C1185" s="26" t="s">
        <v>1770</v>
      </c>
    </row>
    <row r="1186" spans="1:3" x14ac:dyDescent="0.35">
      <c r="A1186" s="24" t="s">
        <v>2388</v>
      </c>
      <c r="B1186" s="24" t="s">
        <v>1229</v>
      </c>
      <c r="C1186" s="26" t="s">
        <v>1229</v>
      </c>
    </row>
    <row r="1187" spans="1:3" x14ac:dyDescent="0.35">
      <c r="A1187" s="24" t="s">
        <v>2388</v>
      </c>
      <c r="B1187" s="24">
        <v>1</v>
      </c>
      <c r="C1187" s="26" t="s">
        <v>2390</v>
      </c>
    </row>
    <row r="1188" spans="1:3" x14ac:dyDescent="0.35">
      <c r="A1188" s="24" t="s">
        <v>2388</v>
      </c>
      <c r="B1188" s="24">
        <v>2</v>
      </c>
      <c r="C1188" s="26" t="s">
        <v>2391</v>
      </c>
    </row>
    <row r="1189" spans="1:3" x14ac:dyDescent="0.35">
      <c r="A1189" s="24" t="s">
        <v>2388</v>
      </c>
      <c r="B1189" s="24">
        <v>3</v>
      </c>
      <c r="C1189" s="26" t="s">
        <v>2392</v>
      </c>
    </row>
    <row r="1190" spans="1:3" x14ac:dyDescent="0.35">
      <c r="A1190" s="24" t="s">
        <v>2388</v>
      </c>
      <c r="B1190" s="24">
        <v>4</v>
      </c>
      <c r="C1190" s="26" t="s">
        <v>2393</v>
      </c>
    </row>
    <row r="1191" spans="1:3" x14ac:dyDescent="0.35">
      <c r="A1191" s="24" t="s">
        <v>2388</v>
      </c>
      <c r="B1191" s="24">
        <v>5</v>
      </c>
      <c r="C1191" s="26" t="s">
        <v>2394</v>
      </c>
    </row>
    <row r="1192" spans="1:3" x14ac:dyDescent="0.35">
      <c r="A1192" s="24" t="s">
        <v>2388</v>
      </c>
      <c r="C1192" s="26" t="s">
        <v>2395</v>
      </c>
    </row>
    <row r="1193" spans="1:3" x14ac:dyDescent="0.35">
      <c r="A1193" s="24" t="s">
        <v>2396</v>
      </c>
      <c r="B1193" s="24" t="s">
        <v>2397</v>
      </c>
    </row>
    <row r="1194" spans="1:3" x14ac:dyDescent="0.35">
      <c r="A1194" s="24" t="s">
        <v>2396</v>
      </c>
      <c r="B1194" s="24" t="s">
        <v>2398</v>
      </c>
      <c r="C1194" s="26" t="s">
        <v>2398</v>
      </c>
    </row>
    <row r="1195" spans="1:3" ht="29" x14ac:dyDescent="0.35">
      <c r="A1195" s="24" t="s">
        <v>2396</v>
      </c>
      <c r="B1195" s="24" t="s">
        <v>2399</v>
      </c>
      <c r="C1195" s="26" t="s">
        <v>2399</v>
      </c>
    </row>
    <row r="1196" spans="1:3" ht="72.5" x14ac:dyDescent="0.35">
      <c r="A1196" s="24" t="s">
        <v>2396</v>
      </c>
      <c r="C1196" s="26" t="s">
        <v>1771</v>
      </c>
    </row>
    <row r="1197" spans="1:3" x14ac:dyDescent="0.35">
      <c r="A1197" s="24" t="s">
        <v>2396</v>
      </c>
      <c r="C1197" s="26" t="s">
        <v>2400</v>
      </c>
    </row>
    <row r="1198" spans="1:3" ht="43.5" x14ac:dyDescent="0.35">
      <c r="A1198" s="24" t="s">
        <v>2396</v>
      </c>
      <c r="C1198" s="26" t="s">
        <v>2401</v>
      </c>
    </row>
    <row r="1199" spans="1:3" x14ac:dyDescent="0.35">
      <c r="A1199" s="24" t="s">
        <v>2396</v>
      </c>
      <c r="C1199" s="26" t="s">
        <v>2402</v>
      </c>
    </row>
    <row r="1200" spans="1:3" x14ac:dyDescent="0.35">
      <c r="A1200" s="24" t="s">
        <v>2403</v>
      </c>
      <c r="B1200" s="24" t="s">
        <v>791</v>
      </c>
      <c r="C1200" s="26" t="s">
        <v>2404</v>
      </c>
    </row>
    <row r="1201" spans="1:3" x14ac:dyDescent="0.35">
      <c r="A1201" s="24" t="s">
        <v>2403</v>
      </c>
      <c r="B1201" s="24" t="s">
        <v>791</v>
      </c>
      <c r="C1201" s="26" t="s">
        <v>2405</v>
      </c>
    </row>
    <row r="1202" spans="1:3" ht="29" x14ac:dyDescent="0.35">
      <c r="A1202" s="24" t="s">
        <v>2406</v>
      </c>
      <c r="B1202" s="24" t="s">
        <v>795</v>
      </c>
      <c r="C1202" s="26" t="s">
        <v>2407</v>
      </c>
    </row>
    <row r="1203" spans="1:3" x14ac:dyDescent="0.35">
      <c r="A1203" s="24" t="s">
        <v>2408</v>
      </c>
      <c r="C1203" s="26" t="s">
        <v>2409</v>
      </c>
    </row>
    <row r="1204" spans="1:3" ht="43.5" x14ac:dyDescent="0.35">
      <c r="A1204" s="24" t="s">
        <v>2408</v>
      </c>
      <c r="C1204" s="26" t="s">
        <v>2410</v>
      </c>
    </row>
    <row r="1205" spans="1:3" x14ac:dyDescent="0.35">
      <c r="A1205" s="24" t="s">
        <v>2408</v>
      </c>
      <c r="C1205" s="26" t="s">
        <v>2411</v>
      </c>
    </row>
    <row r="1206" spans="1:3" x14ac:dyDescent="0.35">
      <c r="A1206" s="24" t="s">
        <v>2408</v>
      </c>
      <c r="C1206" s="26" t="s">
        <v>2412</v>
      </c>
    </row>
    <row r="1207" spans="1:3" x14ac:dyDescent="0.35">
      <c r="A1207" s="24" t="s">
        <v>2413</v>
      </c>
      <c r="C1207" s="26" t="s">
        <v>2414</v>
      </c>
    </row>
    <row r="1208" spans="1:3" x14ac:dyDescent="0.35">
      <c r="A1208" s="24" t="s">
        <v>2415</v>
      </c>
      <c r="C1208" s="26" t="s">
        <v>2416</v>
      </c>
    </row>
    <row r="1209" spans="1:3" x14ac:dyDescent="0.35">
      <c r="A1209" s="24" t="s">
        <v>2417</v>
      </c>
      <c r="B1209" s="24" t="s">
        <v>791</v>
      </c>
      <c r="C1209" s="26" t="s">
        <v>2418</v>
      </c>
    </row>
    <row r="1210" spans="1:3" x14ac:dyDescent="0.35">
      <c r="A1210" s="24" t="s">
        <v>2417</v>
      </c>
      <c r="B1210" s="24" t="s">
        <v>791</v>
      </c>
      <c r="C1210" s="26" t="s">
        <v>2402</v>
      </c>
    </row>
    <row r="1211" spans="1:3" x14ac:dyDescent="0.35">
      <c r="A1211" s="24" t="s">
        <v>2419</v>
      </c>
      <c r="C1211" s="26" t="s">
        <v>2420</v>
      </c>
    </row>
    <row r="1212" spans="1:3" ht="29" x14ac:dyDescent="0.35">
      <c r="A1212" s="24" t="s">
        <v>2419</v>
      </c>
      <c r="C1212" s="26" t="s">
        <v>2421</v>
      </c>
    </row>
    <row r="1213" spans="1:3" x14ac:dyDescent="0.35">
      <c r="A1213" s="24" t="s">
        <v>2422</v>
      </c>
      <c r="C1213" s="26" t="s">
        <v>2423</v>
      </c>
    </row>
    <row r="1214" spans="1:3" x14ac:dyDescent="0.35">
      <c r="A1214" s="24" t="s">
        <v>2424</v>
      </c>
      <c r="C1214" s="26" t="s">
        <v>2425</v>
      </c>
    </row>
    <row r="1215" spans="1:3" x14ac:dyDescent="0.35">
      <c r="A1215" s="24" t="s">
        <v>2426</v>
      </c>
      <c r="C1215" s="26" t="s">
        <v>2427</v>
      </c>
    </row>
    <row r="1216" spans="1:3" x14ac:dyDescent="0.35">
      <c r="A1216" s="24" t="s">
        <v>2428</v>
      </c>
      <c r="C1216" s="26" t="s">
        <v>2429</v>
      </c>
    </row>
    <row r="1217" spans="1:3" x14ac:dyDescent="0.35">
      <c r="A1217" s="24" t="s">
        <v>2430</v>
      </c>
      <c r="B1217" s="24" t="s">
        <v>791</v>
      </c>
      <c r="C1217" s="26" t="s">
        <v>2431</v>
      </c>
    </row>
    <row r="1218" spans="1:3" x14ac:dyDescent="0.35">
      <c r="A1218" s="24" t="s">
        <v>2432</v>
      </c>
      <c r="B1218" s="24" t="s">
        <v>791</v>
      </c>
      <c r="C1218" s="26" t="s">
        <v>808</v>
      </c>
    </row>
    <row r="1219" spans="1:3" x14ac:dyDescent="0.35">
      <c r="A1219" s="24" t="s">
        <v>2433</v>
      </c>
      <c r="C1219" s="26" t="s">
        <v>2434</v>
      </c>
    </row>
    <row r="1220" spans="1:3" ht="43.5" x14ac:dyDescent="0.35">
      <c r="A1220" s="24" t="s">
        <v>2435</v>
      </c>
      <c r="B1220" s="24" t="s">
        <v>791</v>
      </c>
      <c r="C1220" s="26" t="s">
        <v>2436</v>
      </c>
    </row>
    <row r="1221" spans="1:3" ht="29" x14ac:dyDescent="0.35">
      <c r="A1221" s="24" t="s">
        <v>2435</v>
      </c>
      <c r="B1221" s="24" t="s">
        <v>791</v>
      </c>
      <c r="C1221" s="26" t="s">
        <v>2437</v>
      </c>
    </row>
    <row r="1222" spans="1:3" ht="29" x14ac:dyDescent="0.35">
      <c r="A1222" s="24" t="s">
        <v>2438</v>
      </c>
      <c r="B1222" s="24" t="s">
        <v>795</v>
      </c>
      <c r="C1222" s="26" t="s">
        <v>2439</v>
      </c>
    </row>
    <row r="1223" spans="1:3" x14ac:dyDescent="0.35">
      <c r="A1223" s="24" t="s">
        <v>2440</v>
      </c>
      <c r="C1223" s="26" t="s">
        <v>2441</v>
      </c>
    </row>
    <row r="1224" spans="1:3" ht="43.5" x14ac:dyDescent="0.35">
      <c r="A1224" s="24" t="s">
        <v>2440</v>
      </c>
      <c r="C1224" s="26" t="s">
        <v>2442</v>
      </c>
    </row>
    <row r="1225" spans="1:3" x14ac:dyDescent="0.35">
      <c r="A1225" s="24" t="s">
        <v>2443</v>
      </c>
      <c r="C1225" s="26" t="s">
        <v>2444</v>
      </c>
    </row>
    <row r="1226" spans="1:3" ht="58" x14ac:dyDescent="0.35">
      <c r="A1226" s="24" t="s">
        <v>2445</v>
      </c>
      <c r="B1226" s="24" t="s">
        <v>791</v>
      </c>
      <c r="C1226" s="26" t="s">
        <v>2446</v>
      </c>
    </row>
    <row r="1227" spans="1:3" x14ac:dyDescent="0.35">
      <c r="A1227" s="24" t="s">
        <v>2445</v>
      </c>
      <c r="B1227" s="24" t="s">
        <v>791</v>
      </c>
      <c r="C1227" s="26" t="s">
        <v>2447</v>
      </c>
    </row>
    <row r="1228" spans="1:3" x14ac:dyDescent="0.35">
      <c r="A1228" s="24" t="s">
        <v>2448</v>
      </c>
      <c r="B1228" s="24" t="s">
        <v>795</v>
      </c>
      <c r="C1228" s="26" t="s">
        <v>808</v>
      </c>
    </row>
    <row r="1229" spans="1:3" x14ac:dyDescent="0.35">
      <c r="A1229" s="24" t="s">
        <v>2449</v>
      </c>
      <c r="C1229" s="26" t="s">
        <v>2450</v>
      </c>
    </row>
    <row r="1230" spans="1:3" ht="43.5" x14ac:dyDescent="0.35">
      <c r="A1230" s="24" t="s">
        <v>2449</v>
      </c>
      <c r="C1230" s="26" t="s">
        <v>2451</v>
      </c>
    </row>
    <row r="1231" spans="1:3" ht="29" x14ac:dyDescent="0.35">
      <c r="A1231" s="24" t="s">
        <v>2449</v>
      </c>
      <c r="C1231" s="26" t="s">
        <v>2452</v>
      </c>
    </row>
    <row r="1232" spans="1:3" x14ac:dyDescent="0.35">
      <c r="A1232" s="24" t="s">
        <v>2453</v>
      </c>
      <c r="C1232" s="26" t="s">
        <v>2454</v>
      </c>
    </row>
    <row r="1233" spans="1:3" ht="43.5" x14ac:dyDescent="0.35">
      <c r="A1233" s="24" t="s">
        <v>2453</v>
      </c>
      <c r="C1233" s="26" t="s">
        <v>2455</v>
      </c>
    </row>
    <row r="1234" spans="1:3" x14ac:dyDescent="0.35">
      <c r="A1234" s="24" t="s">
        <v>2453</v>
      </c>
      <c r="C1234" s="26" t="s">
        <v>2456</v>
      </c>
    </row>
    <row r="1235" spans="1:3" ht="29" x14ac:dyDescent="0.35">
      <c r="A1235" s="24" t="s">
        <v>2457</v>
      </c>
      <c r="B1235" s="24" t="s">
        <v>791</v>
      </c>
      <c r="C1235" s="26" t="s">
        <v>2458</v>
      </c>
    </row>
    <row r="1236" spans="1:3" x14ac:dyDescent="0.35">
      <c r="A1236" s="24" t="s">
        <v>2457</v>
      </c>
      <c r="B1236" s="24" t="s">
        <v>791</v>
      </c>
      <c r="C1236" s="26" t="s">
        <v>2404</v>
      </c>
    </row>
    <row r="1237" spans="1:3" x14ac:dyDescent="0.35">
      <c r="A1237" s="24" t="s">
        <v>2459</v>
      </c>
      <c r="B1237" s="24" t="s">
        <v>795</v>
      </c>
      <c r="C1237" s="26" t="s">
        <v>2414</v>
      </c>
    </row>
    <row r="1238" spans="1:3" ht="29" x14ac:dyDescent="0.35">
      <c r="A1238" s="24" t="s">
        <v>2460</v>
      </c>
      <c r="C1238" s="26" t="s">
        <v>2461</v>
      </c>
    </row>
    <row r="1239" spans="1:3" ht="29" x14ac:dyDescent="0.35">
      <c r="A1239" s="24" t="s">
        <v>2462</v>
      </c>
      <c r="C1239" s="26" t="s">
        <v>2463</v>
      </c>
    </row>
    <row r="1240" spans="1:3" x14ac:dyDescent="0.35">
      <c r="A1240" s="24" t="s">
        <v>2464</v>
      </c>
      <c r="C1240" s="26" t="s">
        <v>2465</v>
      </c>
    </row>
    <row r="1241" spans="1:3" x14ac:dyDescent="0.35">
      <c r="A1241" s="24" t="s">
        <v>2466</v>
      </c>
      <c r="C1241" s="26" t="s">
        <v>1143</v>
      </c>
    </row>
    <row r="1242" spans="1:3" x14ac:dyDescent="0.35">
      <c r="A1242" s="24" t="s">
        <v>2467</v>
      </c>
      <c r="B1242" s="24" t="s">
        <v>791</v>
      </c>
      <c r="C1242" s="26" t="s">
        <v>2468</v>
      </c>
    </row>
    <row r="1243" spans="1:3" x14ac:dyDescent="0.35">
      <c r="A1243" s="24" t="s">
        <v>2467</v>
      </c>
      <c r="B1243" s="24" t="s">
        <v>791</v>
      </c>
      <c r="C1243" s="26" t="s">
        <v>2469</v>
      </c>
    </row>
    <row r="1244" spans="1:3" x14ac:dyDescent="0.35">
      <c r="A1244" s="24" t="s">
        <v>2470</v>
      </c>
      <c r="C1244" s="26" t="s">
        <v>775</v>
      </c>
    </row>
    <row r="1245" spans="1:3" ht="58" x14ac:dyDescent="0.35">
      <c r="A1245" s="24" t="s">
        <v>2471</v>
      </c>
      <c r="B1245" s="24" t="s">
        <v>63</v>
      </c>
      <c r="C1245" s="26" t="s">
        <v>2472</v>
      </c>
    </row>
    <row r="1246" spans="1:3" x14ac:dyDescent="0.35">
      <c r="A1246" s="24" t="s">
        <v>2471</v>
      </c>
      <c r="B1246" s="24" t="s">
        <v>63</v>
      </c>
      <c r="C1246" s="26" t="s">
        <v>778</v>
      </c>
    </row>
    <row r="1247" spans="1:3" x14ac:dyDescent="0.35">
      <c r="A1247" s="24" t="s">
        <v>2473</v>
      </c>
      <c r="B1247" s="24" t="s">
        <v>85</v>
      </c>
      <c r="C1247" s="26" t="s">
        <v>778</v>
      </c>
    </row>
    <row r="1248" spans="1:3" x14ac:dyDescent="0.35">
      <c r="A1248" s="24" t="s">
        <v>2474</v>
      </c>
      <c r="B1248" s="24" t="s">
        <v>107</v>
      </c>
      <c r="C1248" s="26" t="s">
        <v>778</v>
      </c>
    </row>
    <row r="1249" spans="1:3" x14ac:dyDescent="0.35">
      <c r="A1249" s="24" t="s">
        <v>2475</v>
      </c>
      <c r="B1249" s="24" t="s">
        <v>128</v>
      </c>
      <c r="C1249" s="26" t="s">
        <v>778</v>
      </c>
    </row>
    <row r="1250" spans="1:3" x14ac:dyDescent="0.35">
      <c r="A1250" s="24" t="s">
        <v>2476</v>
      </c>
      <c r="B1250" s="24" t="s">
        <v>149</v>
      </c>
      <c r="C1250" s="26" t="s">
        <v>778</v>
      </c>
    </row>
    <row r="1251" spans="1:3" x14ac:dyDescent="0.35">
      <c r="A1251" s="24" t="s">
        <v>2477</v>
      </c>
      <c r="B1251" s="24" t="s">
        <v>362</v>
      </c>
      <c r="C1251" s="26" t="s">
        <v>778</v>
      </c>
    </row>
    <row r="1252" spans="1:3" x14ac:dyDescent="0.35">
      <c r="A1252" s="24" t="s">
        <v>2478</v>
      </c>
      <c r="B1252" s="24" t="s">
        <v>2479</v>
      </c>
    </row>
    <row r="1253" spans="1:3" x14ac:dyDescent="0.35">
      <c r="A1253" s="24" t="s">
        <v>2478</v>
      </c>
      <c r="B1253" s="24" t="s">
        <v>2398</v>
      </c>
      <c r="C1253" s="26" t="s">
        <v>2398</v>
      </c>
    </row>
    <row r="1254" spans="1:3" ht="29" x14ac:dyDescent="0.35">
      <c r="A1254" s="24" t="s">
        <v>2478</v>
      </c>
      <c r="B1254" s="24" t="s">
        <v>2480</v>
      </c>
      <c r="C1254" s="26" t="s">
        <v>2480</v>
      </c>
    </row>
    <row r="1255" spans="1:3" ht="72.5" x14ac:dyDescent="0.35">
      <c r="A1255" s="24" t="s">
        <v>2478</v>
      </c>
      <c r="C1255" s="26" t="s">
        <v>1771</v>
      </c>
    </row>
    <row r="1256" spans="1:3" x14ac:dyDescent="0.35">
      <c r="A1256" s="24" t="s">
        <v>2478</v>
      </c>
      <c r="C1256" s="26" t="s">
        <v>2481</v>
      </c>
    </row>
    <row r="1257" spans="1:3" ht="43.5" x14ac:dyDescent="0.35">
      <c r="A1257" s="24" t="s">
        <v>2478</v>
      </c>
      <c r="C1257" s="26" t="s">
        <v>2482</v>
      </c>
    </row>
    <row r="1258" spans="1:3" ht="58" x14ac:dyDescent="0.35">
      <c r="A1258" s="24" t="s">
        <v>2478</v>
      </c>
      <c r="C1258" s="26" t="s">
        <v>2483</v>
      </c>
    </row>
    <row r="1259" spans="1:3" x14ac:dyDescent="0.35">
      <c r="A1259" s="24" t="s">
        <v>2484</v>
      </c>
      <c r="B1259" s="24" t="s">
        <v>791</v>
      </c>
      <c r="C1259" s="26" t="s">
        <v>2485</v>
      </c>
    </row>
    <row r="1260" spans="1:3" x14ac:dyDescent="0.35">
      <c r="A1260" s="24" t="s">
        <v>2484</v>
      </c>
      <c r="B1260" s="24" t="s">
        <v>791</v>
      </c>
      <c r="C1260" s="26" t="s">
        <v>2402</v>
      </c>
    </row>
    <row r="1261" spans="1:3" x14ac:dyDescent="0.35">
      <c r="A1261" s="24" t="s">
        <v>2486</v>
      </c>
      <c r="C1261" s="26" t="s">
        <v>2487</v>
      </c>
    </row>
    <row r="1262" spans="1:3" ht="43.5" x14ac:dyDescent="0.35">
      <c r="A1262" s="24" t="s">
        <v>2486</v>
      </c>
      <c r="C1262" s="26" t="s">
        <v>2488</v>
      </c>
    </row>
    <row r="1263" spans="1:3" ht="43.5" x14ac:dyDescent="0.35">
      <c r="A1263" s="24" t="s">
        <v>2489</v>
      </c>
      <c r="B1263" s="24" t="s">
        <v>791</v>
      </c>
      <c r="C1263" s="26" t="s">
        <v>2490</v>
      </c>
    </row>
    <row r="1264" spans="1:3" ht="29" x14ac:dyDescent="0.35">
      <c r="A1264" s="24" t="s">
        <v>2489</v>
      </c>
      <c r="B1264" s="24" t="s">
        <v>791</v>
      </c>
      <c r="C1264" s="26" t="s">
        <v>2491</v>
      </c>
    </row>
    <row r="1265" spans="1:3" x14ac:dyDescent="0.35">
      <c r="A1265" s="24" t="s">
        <v>2492</v>
      </c>
      <c r="C1265" s="26" t="s">
        <v>775</v>
      </c>
    </row>
    <row r="1266" spans="1:3" ht="58" x14ac:dyDescent="0.35">
      <c r="A1266" s="24" t="s">
        <v>2493</v>
      </c>
      <c r="B1266" s="24" t="s">
        <v>63</v>
      </c>
      <c r="C1266" s="26" t="s">
        <v>2494</v>
      </c>
    </row>
    <row r="1267" spans="1:3" x14ac:dyDescent="0.35">
      <c r="A1267" s="24" t="s">
        <v>2493</v>
      </c>
      <c r="B1267" s="24" t="s">
        <v>63</v>
      </c>
      <c r="C1267" s="26" t="s">
        <v>778</v>
      </c>
    </row>
    <row r="1268" spans="1:3" x14ac:dyDescent="0.35">
      <c r="A1268" s="24" t="s">
        <v>2495</v>
      </c>
      <c r="B1268" s="24" t="s">
        <v>85</v>
      </c>
      <c r="C1268" s="26" t="s">
        <v>778</v>
      </c>
    </row>
    <row r="1269" spans="1:3" x14ac:dyDescent="0.35">
      <c r="A1269" s="24" t="s">
        <v>2496</v>
      </c>
      <c r="B1269" s="24" t="s">
        <v>107</v>
      </c>
      <c r="C1269" s="26" t="s">
        <v>778</v>
      </c>
    </row>
    <row r="1270" spans="1:3" x14ac:dyDescent="0.35">
      <c r="A1270" s="24" t="s">
        <v>2497</v>
      </c>
      <c r="B1270" s="24" t="s">
        <v>128</v>
      </c>
      <c r="C1270" s="26" t="s">
        <v>778</v>
      </c>
    </row>
    <row r="1271" spans="1:3" x14ac:dyDescent="0.35">
      <c r="A1271" s="24" t="s">
        <v>2498</v>
      </c>
      <c r="B1271" s="24" t="s">
        <v>149</v>
      </c>
      <c r="C1271" s="26" t="s">
        <v>778</v>
      </c>
    </row>
    <row r="1272" spans="1:3" x14ac:dyDescent="0.35">
      <c r="A1272" s="24" t="s">
        <v>2499</v>
      </c>
      <c r="B1272" s="24" t="s">
        <v>362</v>
      </c>
      <c r="C1272" s="26" t="s">
        <v>778</v>
      </c>
    </row>
    <row r="1273" spans="1:3" x14ac:dyDescent="0.35">
      <c r="A1273" s="24" t="s">
        <v>2500</v>
      </c>
      <c r="B1273" s="24" t="s">
        <v>2501</v>
      </c>
    </row>
    <row r="1274" spans="1:3" x14ac:dyDescent="0.35">
      <c r="A1274" s="24" t="s">
        <v>2500</v>
      </c>
      <c r="B1274" s="24" t="s">
        <v>2398</v>
      </c>
      <c r="C1274" s="26" t="s">
        <v>2398</v>
      </c>
    </row>
    <row r="1275" spans="1:3" ht="43.5" x14ac:dyDescent="0.35">
      <c r="A1275" s="24" t="s">
        <v>2500</v>
      </c>
      <c r="B1275" s="24" t="s">
        <v>2502</v>
      </c>
      <c r="C1275" s="26" t="s">
        <v>2502</v>
      </c>
    </row>
    <row r="1276" spans="1:3" ht="72.5" x14ac:dyDescent="0.35">
      <c r="A1276" s="24" t="s">
        <v>2500</v>
      </c>
      <c r="C1276" s="26" t="s">
        <v>1771</v>
      </c>
    </row>
    <row r="1277" spans="1:3" x14ac:dyDescent="0.35">
      <c r="A1277" s="24" t="s">
        <v>2500</v>
      </c>
      <c r="C1277" s="26" t="s">
        <v>2503</v>
      </c>
    </row>
    <row r="1278" spans="1:3" ht="29" x14ac:dyDescent="0.35">
      <c r="A1278" s="24" t="s">
        <v>2500</v>
      </c>
      <c r="C1278" s="26" t="s">
        <v>2504</v>
      </c>
    </row>
    <row r="1279" spans="1:3" ht="29" x14ac:dyDescent="0.35">
      <c r="A1279" s="24" t="s">
        <v>2505</v>
      </c>
      <c r="B1279" s="24" t="s">
        <v>791</v>
      </c>
      <c r="C1279" s="26" t="s">
        <v>2506</v>
      </c>
    </row>
    <row r="1280" spans="1:3" x14ac:dyDescent="0.35">
      <c r="A1280" s="24" t="s">
        <v>2505</v>
      </c>
      <c r="B1280" s="24" t="s">
        <v>791</v>
      </c>
      <c r="C1280" s="26" t="s">
        <v>2402</v>
      </c>
    </row>
    <row r="1281" spans="1:3" ht="29" x14ac:dyDescent="0.35">
      <c r="A1281" s="24" t="s">
        <v>2507</v>
      </c>
      <c r="B1281" s="24" t="s">
        <v>795</v>
      </c>
      <c r="C1281" s="26" t="s">
        <v>2491</v>
      </c>
    </row>
    <row r="1282" spans="1:3" x14ac:dyDescent="0.35">
      <c r="A1282" s="24" t="s">
        <v>2508</v>
      </c>
      <c r="C1282" s="26" t="s">
        <v>2509</v>
      </c>
    </row>
    <row r="1283" spans="1:3" ht="29" x14ac:dyDescent="0.35">
      <c r="A1283" s="24" t="s">
        <v>2508</v>
      </c>
      <c r="C1283" s="26" t="s">
        <v>2510</v>
      </c>
    </row>
    <row r="1284" spans="1:3" ht="29" x14ac:dyDescent="0.35">
      <c r="A1284" s="24" t="s">
        <v>2508</v>
      </c>
      <c r="C1284" s="26" t="s">
        <v>2511</v>
      </c>
    </row>
    <row r="1285" spans="1:3" ht="29" x14ac:dyDescent="0.35">
      <c r="A1285" s="24" t="s">
        <v>2512</v>
      </c>
      <c r="C1285" s="26" t="s">
        <v>2513</v>
      </c>
    </row>
    <row r="1286" spans="1:3" ht="29" x14ac:dyDescent="0.35">
      <c r="A1286" s="24" t="s">
        <v>2512</v>
      </c>
      <c r="C1286" s="26" t="s">
        <v>2514</v>
      </c>
    </row>
    <row r="1287" spans="1:3" x14ac:dyDescent="0.35">
      <c r="A1287" s="24" t="s">
        <v>2515</v>
      </c>
      <c r="C1287" s="26" t="s">
        <v>775</v>
      </c>
    </row>
    <row r="1288" spans="1:3" ht="58" x14ac:dyDescent="0.35">
      <c r="A1288" s="24" t="s">
        <v>2516</v>
      </c>
      <c r="B1288" s="24" t="s">
        <v>63</v>
      </c>
      <c r="C1288" s="26" t="s">
        <v>2517</v>
      </c>
    </row>
    <row r="1289" spans="1:3" x14ac:dyDescent="0.35">
      <c r="A1289" s="24" t="s">
        <v>2516</v>
      </c>
      <c r="B1289" s="24" t="s">
        <v>63</v>
      </c>
      <c r="C1289" s="26" t="s">
        <v>778</v>
      </c>
    </row>
    <row r="1290" spans="1:3" x14ac:dyDescent="0.35">
      <c r="A1290" s="24" t="s">
        <v>2518</v>
      </c>
      <c r="B1290" s="24" t="s">
        <v>85</v>
      </c>
      <c r="C1290" s="26" t="s">
        <v>778</v>
      </c>
    </row>
    <row r="1291" spans="1:3" x14ac:dyDescent="0.35">
      <c r="A1291" s="24" t="s">
        <v>2519</v>
      </c>
      <c r="B1291" s="24" t="s">
        <v>107</v>
      </c>
      <c r="C1291" s="26" t="s">
        <v>778</v>
      </c>
    </row>
    <row r="1292" spans="1:3" x14ac:dyDescent="0.35">
      <c r="A1292" s="24" t="s">
        <v>2520</v>
      </c>
      <c r="B1292" s="24" t="s">
        <v>128</v>
      </c>
      <c r="C1292" s="26" t="s">
        <v>778</v>
      </c>
    </row>
    <row r="1293" spans="1:3" x14ac:dyDescent="0.35">
      <c r="A1293" s="24" t="s">
        <v>2521</v>
      </c>
      <c r="B1293" s="24" t="s">
        <v>149</v>
      </c>
      <c r="C1293" s="26" t="s">
        <v>778</v>
      </c>
    </row>
    <row r="1294" spans="1:3" x14ac:dyDescent="0.35">
      <c r="A1294" s="24" t="s">
        <v>2522</v>
      </c>
      <c r="B1294" s="24" t="s">
        <v>362</v>
      </c>
      <c r="C1294" s="26" t="s">
        <v>778</v>
      </c>
    </row>
    <row r="1295" spans="1:3" x14ac:dyDescent="0.35">
      <c r="A1295" s="24" t="s">
        <v>2523</v>
      </c>
      <c r="B1295" s="24" t="s">
        <v>2524</v>
      </c>
    </row>
    <row r="1296" spans="1:3" x14ac:dyDescent="0.35">
      <c r="A1296" s="24" t="s">
        <v>2523</v>
      </c>
      <c r="B1296" s="24" t="s">
        <v>2398</v>
      </c>
      <c r="C1296" s="26" t="s">
        <v>2398</v>
      </c>
    </row>
    <row r="1297" spans="1:3" ht="29" x14ac:dyDescent="0.35">
      <c r="A1297" s="24" t="s">
        <v>2523</v>
      </c>
      <c r="B1297" s="24" t="s">
        <v>2525</v>
      </c>
      <c r="C1297" s="26" t="s">
        <v>2525</v>
      </c>
    </row>
    <row r="1298" spans="1:3" ht="72.5" x14ac:dyDescent="0.35">
      <c r="A1298" s="24" t="s">
        <v>2523</v>
      </c>
      <c r="C1298" s="26" t="s">
        <v>1771</v>
      </c>
    </row>
    <row r="1299" spans="1:3" x14ac:dyDescent="0.35">
      <c r="A1299" s="24" t="s">
        <v>2523</v>
      </c>
      <c r="C1299" s="26" t="s">
        <v>2526</v>
      </c>
    </row>
    <row r="1300" spans="1:3" ht="29" x14ac:dyDescent="0.35">
      <c r="A1300" s="24" t="s">
        <v>2523</v>
      </c>
      <c r="C1300" s="26" t="s">
        <v>2527</v>
      </c>
    </row>
    <row r="1301" spans="1:3" ht="43.5" x14ac:dyDescent="0.35">
      <c r="A1301" s="24" t="s">
        <v>2523</v>
      </c>
      <c r="C1301" s="26" t="s">
        <v>2528</v>
      </c>
    </row>
    <row r="1302" spans="1:3" x14ac:dyDescent="0.35">
      <c r="A1302" s="24" t="s">
        <v>2529</v>
      </c>
      <c r="B1302" s="24" t="s">
        <v>791</v>
      </c>
      <c r="C1302" s="26" t="s">
        <v>2530</v>
      </c>
    </row>
    <row r="1303" spans="1:3" x14ac:dyDescent="0.35">
      <c r="A1303" s="24" t="s">
        <v>2529</v>
      </c>
      <c r="B1303" s="24" t="s">
        <v>791</v>
      </c>
      <c r="C1303" s="26" t="s">
        <v>2402</v>
      </c>
    </row>
    <row r="1304" spans="1:3" x14ac:dyDescent="0.35">
      <c r="A1304" s="24" t="s">
        <v>2531</v>
      </c>
      <c r="B1304" s="24" t="s">
        <v>795</v>
      </c>
      <c r="C1304" s="26" t="s">
        <v>2532</v>
      </c>
    </row>
    <row r="1305" spans="1:3" ht="29" x14ac:dyDescent="0.35">
      <c r="A1305" s="24" t="s">
        <v>2531</v>
      </c>
      <c r="B1305" s="24" t="s">
        <v>795</v>
      </c>
      <c r="C1305" s="26" t="s">
        <v>2533</v>
      </c>
    </row>
    <row r="1306" spans="1:3" ht="43.5" x14ac:dyDescent="0.35">
      <c r="A1306" s="24" t="s">
        <v>2531</v>
      </c>
      <c r="B1306" s="24" t="s">
        <v>795</v>
      </c>
      <c r="C1306" s="26" t="s">
        <v>2534</v>
      </c>
    </row>
    <row r="1307" spans="1:3" x14ac:dyDescent="0.35">
      <c r="A1307" s="24" t="s">
        <v>2531</v>
      </c>
      <c r="B1307" s="24" t="s">
        <v>795</v>
      </c>
      <c r="C1307" s="26" t="s">
        <v>2535</v>
      </c>
    </row>
    <row r="1308" spans="1:3" ht="29" x14ac:dyDescent="0.35">
      <c r="A1308" s="24" t="s">
        <v>2531</v>
      </c>
      <c r="B1308" s="24" t="s">
        <v>795</v>
      </c>
      <c r="C1308" s="26" t="s">
        <v>2491</v>
      </c>
    </row>
    <row r="1309" spans="1:3" ht="29" x14ac:dyDescent="0.35">
      <c r="A1309" s="24" t="s">
        <v>2536</v>
      </c>
      <c r="C1309" s="26" t="s">
        <v>2537</v>
      </c>
    </row>
    <row r="1310" spans="1:3" ht="43.5" x14ac:dyDescent="0.35">
      <c r="A1310" s="24" t="s">
        <v>2538</v>
      </c>
      <c r="C1310" s="26" t="s">
        <v>2539</v>
      </c>
    </row>
    <row r="1311" spans="1:3" ht="43.5" x14ac:dyDescent="0.35">
      <c r="A1311" s="24" t="s">
        <v>2540</v>
      </c>
      <c r="C1311" s="26" t="s">
        <v>2541</v>
      </c>
    </row>
    <row r="1312" spans="1:3" ht="43.5" x14ac:dyDescent="0.35">
      <c r="A1312" s="24" t="s">
        <v>2542</v>
      </c>
      <c r="C1312" s="26" t="s">
        <v>2543</v>
      </c>
    </row>
    <row r="1313" spans="1:3" ht="43.5" x14ac:dyDescent="0.35">
      <c r="A1313" s="24" t="s">
        <v>2544</v>
      </c>
      <c r="C1313" s="26" t="s">
        <v>2545</v>
      </c>
    </row>
    <row r="1314" spans="1:3" ht="29" x14ac:dyDescent="0.35">
      <c r="A1314" s="24" t="s">
        <v>2546</v>
      </c>
      <c r="C1314" s="26" t="s">
        <v>2547</v>
      </c>
    </row>
    <row r="1315" spans="1:3" ht="29" x14ac:dyDescent="0.35">
      <c r="A1315" s="24" t="s">
        <v>2548</v>
      </c>
      <c r="C1315" s="26" t="s">
        <v>2549</v>
      </c>
    </row>
    <row r="1316" spans="1:3" x14ac:dyDescent="0.35">
      <c r="A1316" s="24" t="s">
        <v>2550</v>
      </c>
      <c r="C1316" s="26" t="s">
        <v>775</v>
      </c>
    </row>
    <row r="1317" spans="1:3" ht="58" x14ac:dyDescent="0.35">
      <c r="A1317" s="24" t="s">
        <v>2551</v>
      </c>
      <c r="B1317" s="24" t="s">
        <v>63</v>
      </c>
      <c r="C1317" s="26" t="s">
        <v>2552</v>
      </c>
    </row>
    <row r="1318" spans="1:3" x14ac:dyDescent="0.35">
      <c r="A1318" s="24" t="s">
        <v>2551</v>
      </c>
      <c r="B1318" s="24" t="s">
        <v>63</v>
      </c>
      <c r="C1318" s="26" t="s">
        <v>778</v>
      </c>
    </row>
    <row r="1319" spans="1:3" x14ac:dyDescent="0.35">
      <c r="A1319" s="24" t="s">
        <v>2553</v>
      </c>
      <c r="B1319" s="24" t="s">
        <v>85</v>
      </c>
      <c r="C1319" s="26" t="s">
        <v>778</v>
      </c>
    </row>
    <row r="1320" spans="1:3" x14ac:dyDescent="0.35">
      <c r="A1320" s="24" t="s">
        <v>2554</v>
      </c>
      <c r="B1320" s="24" t="s">
        <v>107</v>
      </c>
      <c r="C1320" s="26" t="s">
        <v>778</v>
      </c>
    </row>
    <row r="1321" spans="1:3" x14ac:dyDescent="0.35">
      <c r="A1321" s="24" t="s">
        <v>2555</v>
      </c>
      <c r="B1321" s="24" t="s">
        <v>128</v>
      </c>
      <c r="C1321" s="26" t="s">
        <v>778</v>
      </c>
    </row>
    <row r="1322" spans="1:3" x14ac:dyDescent="0.35">
      <c r="A1322" s="24" t="s">
        <v>2556</v>
      </c>
      <c r="B1322" s="24" t="s">
        <v>149</v>
      </c>
      <c r="C1322" s="26" t="s">
        <v>778</v>
      </c>
    </row>
    <row r="1323" spans="1:3" x14ac:dyDescent="0.35">
      <c r="A1323" s="24" t="s">
        <v>2557</v>
      </c>
      <c r="B1323" s="24" t="s">
        <v>362</v>
      </c>
      <c r="C1323" s="26" t="s">
        <v>778</v>
      </c>
    </row>
    <row r="1324" spans="1:3" x14ac:dyDescent="0.35">
      <c r="A1324" s="24" t="s">
        <v>2558</v>
      </c>
      <c r="B1324" s="24" t="s">
        <v>2559</v>
      </c>
    </row>
    <row r="1325" spans="1:3" x14ac:dyDescent="0.35">
      <c r="A1325" s="24" t="s">
        <v>2558</v>
      </c>
      <c r="B1325" s="24" t="s">
        <v>2398</v>
      </c>
      <c r="C1325" s="26" t="s">
        <v>2398</v>
      </c>
    </row>
    <row r="1326" spans="1:3" x14ac:dyDescent="0.35">
      <c r="A1326" s="24" t="s">
        <v>2558</v>
      </c>
      <c r="B1326" s="24" t="s">
        <v>2560</v>
      </c>
      <c r="C1326" s="26" t="s">
        <v>2560</v>
      </c>
    </row>
    <row r="1327" spans="1:3" ht="72.5" x14ac:dyDescent="0.35">
      <c r="A1327" s="24" t="s">
        <v>2558</v>
      </c>
      <c r="C1327" s="26" t="s">
        <v>1771</v>
      </c>
    </row>
    <row r="1328" spans="1:3" x14ac:dyDescent="0.35">
      <c r="A1328" s="24" t="s">
        <v>2558</v>
      </c>
      <c r="C1328" s="26" t="s">
        <v>2561</v>
      </c>
    </row>
    <row r="1329" spans="1:3" ht="29" x14ac:dyDescent="0.35">
      <c r="A1329" s="24" t="s">
        <v>2558</v>
      </c>
      <c r="C1329" s="26" t="s">
        <v>2562</v>
      </c>
    </row>
    <row r="1330" spans="1:3" ht="29" x14ac:dyDescent="0.35">
      <c r="A1330" s="24" t="s">
        <v>2563</v>
      </c>
      <c r="B1330" s="24" t="s">
        <v>791</v>
      </c>
      <c r="C1330" s="26" t="s">
        <v>2564</v>
      </c>
    </row>
    <row r="1331" spans="1:3" x14ac:dyDescent="0.35">
      <c r="A1331" s="24" t="s">
        <v>2563</v>
      </c>
      <c r="B1331" s="24" t="s">
        <v>791</v>
      </c>
      <c r="C1331" s="26" t="s">
        <v>2402</v>
      </c>
    </row>
    <row r="1332" spans="1:3" ht="29" x14ac:dyDescent="0.35">
      <c r="A1332" s="24" t="s">
        <v>2565</v>
      </c>
      <c r="B1332" s="24" t="s">
        <v>795</v>
      </c>
      <c r="C1332" s="26" t="s">
        <v>2491</v>
      </c>
    </row>
    <row r="1333" spans="1:3" x14ac:dyDescent="0.35">
      <c r="A1333" s="24" t="s">
        <v>2566</v>
      </c>
      <c r="C1333" s="26" t="s">
        <v>775</v>
      </c>
    </row>
    <row r="1334" spans="1:3" ht="58" x14ac:dyDescent="0.35">
      <c r="A1334" s="24" t="s">
        <v>2567</v>
      </c>
      <c r="B1334" s="24" t="s">
        <v>63</v>
      </c>
      <c r="C1334" s="26" t="s">
        <v>2568</v>
      </c>
    </row>
    <row r="1335" spans="1:3" x14ac:dyDescent="0.35">
      <c r="A1335" s="24" t="s">
        <v>2567</v>
      </c>
      <c r="B1335" s="24" t="s">
        <v>63</v>
      </c>
      <c r="C1335" s="26" t="s">
        <v>778</v>
      </c>
    </row>
    <row r="1336" spans="1:3" x14ac:dyDescent="0.35">
      <c r="A1336" s="24" t="s">
        <v>2569</v>
      </c>
      <c r="B1336" s="24" t="s">
        <v>85</v>
      </c>
      <c r="C1336" s="26" t="s">
        <v>778</v>
      </c>
    </row>
    <row r="1337" spans="1:3" x14ac:dyDescent="0.35">
      <c r="A1337" s="24" t="s">
        <v>2570</v>
      </c>
      <c r="B1337" s="24" t="s">
        <v>107</v>
      </c>
      <c r="C1337" s="26" t="s">
        <v>778</v>
      </c>
    </row>
    <row r="1338" spans="1:3" x14ac:dyDescent="0.35">
      <c r="A1338" s="24" t="s">
        <v>2571</v>
      </c>
      <c r="B1338" s="24" t="s">
        <v>128</v>
      </c>
      <c r="C1338" s="26" t="s">
        <v>778</v>
      </c>
    </row>
    <row r="1339" spans="1:3" x14ac:dyDescent="0.35">
      <c r="A1339" s="24" t="s">
        <v>2572</v>
      </c>
      <c r="B1339" s="24" t="s">
        <v>149</v>
      </c>
      <c r="C1339" s="26" t="s">
        <v>778</v>
      </c>
    </row>
    <row r="1340" spans="1:3" x14ac:dyDescent="0.35">
      <c r="A1340" s="24" t="s">
        <v>2573</v>
      </c>
      <c r="B1340" s="24" t="s">
        <v>362</v>
      </c>
      <c r="C1340" s="26" t="s">
        <v>778</v>
      </c>
    </row>
    <row r="1341" spans="1:3" x14ac:dyDescent="0.35">
      <c r="A1341" s="24" t="s">
        <v>2574</v>
      </c>
      <c r="B1341" s="24" t="s">
        <v>2575</v>
      </c>
    </row>
    <row r="1342" spans="1:3" x14ac:dyDescent="0.35">
      <c r="A1342" s="24" t="s">
        <v>2574</v>
      </c>
      <c r="B1342" s="24" t="s">
        <v>2398</v>
      </c>
      <c r="C1342" s="26" t="s">
        <v>2398</v>
      </c>
    </row>
    <row r="1343" spans="1:3" ht="29" x14ac:dyDescent="0.35">
      <c r="A1343" s="24" t="s">
        <v>2574</v>
      </c>
      <c r="B1343" s="24" t="s">
        <v>2576</v>
      </c>
      <c r="C1343" s="26" t="s">
        <v>2576</v>
      </c>
    </row>
    <row r="1344" spans="1:3" ht="72.5" x14ac:dyDescent="0.35">
      <c r="A1344" s="24" t="s">
        <v>2574</v>
      </c>
      <c r="C1344" s="26" t="s">
        <v>1771</v>
      </c>
    </row>
    <row r="1345" spans="1:3" x14ac:dyDescent="0.35">
      <c r="A1345" s="24" t="s">
        <v>2574</v>
      </c>
      <c r="C1345" s="26" t="s">
        <v>2577</v>
      </c>
    </row>
    <row r="1346" spans="1:3" ht="43.5" x14ac:dyDescent="0.35">
      <c r="A1346" s="24" t="s">
        <v>2578</v>
      </c>
      <c r="B1346" s="24" t="s">
        <v>791</v>
      </c>
      <c r="C1346" s="26" t="s">
        <v>2579</v>
      </c>
    </row>
    <row r="1347" spans="1:3" x14ac:dyDescent="0.35">
      <c r="A1347" s="24" t="s">
        <v>2578</v>
      </c>
      <c r="B1347" s="24" t="s">
        <v>791</v>
      </c>
      <c r="C1347" s="26" t="s">
        <v>2580</v>
      </c>
    </row>
    <row r="1348" spans="1:3" ht="29" x14ac:dyDescent="0.35">
      <c r="A1348" s="24" t="s">
        <v>2581</v>
      </c>
      <c r="B1348" s="24" t="s">
        <v>795</v>
      </c>
      <c r="C1348" s="26" t="s">
        <v>2491</v>
      </c>
    </row>
    <row r="1349" spans="1:3" x14ac:dyDescent="0.35">
      <c r="A1349" s="24" t="s">
        <v>2582</v>
      </c>
      <c r="C1349" s="26" t="s">
        <v>775</v>
      </c>
    </row>
    <row r="1350" spans="1:3" ht="58" x14ac:dyDescent="0.35">
      <c r="A1350" s="24" t="s">
        <v>2583</v>
      </c>
      <c r="B1350" s="24" t="s">
        <v>63</v>
      </c>
      <c r="C1350" s="26" t="s">
        <v>2584</v>
      </c>
    </row>
    <row r="1351" spans="1:3" x14ac:dyDescent="0.35">
      <c r="A1351" s="24" t="s">
        <v>2583</v>
      </c>
      <c r="B1351" s="24" t="s">
        <v>63</v>
      </c>
      <c r="C1351" s="26" t="s">
        <v>778</v>
      </c>
    </row>
    <row r="1352" spans="1:3" x14ac:dyDescent="0.35">
      <c r="A1352" s="24" t="s">
        <v>2585</v>
      </c>
      <c r="B1352" s="24" t="s">
        <v>85</v>
      </c>
      <c r="C1352" s="26" t="s">
        <v>778</v>
      </c>
    </row>
    <row r="1353" spans="1:3" x14ac:dyDescent="0.35">
      <c r="A1353" s="24" t="s">
        <v>2586</v>
      </c>
      <c r="B1353" s="24" t="s">
        <v>107</v>
      </c>
      <c r="C1353" s="26" t="s">
        <v>778</v>
      </c>
    </row>
    <row r="1354" spans="1:3" x14ac:dyDescent="0.35">
      <c r="A1354" s="24" t="s">
        <v>2587</v>
      </c>
      <c r="B1354" s="24" t="s">
        <v>128</v>
      </c>
      <c r="C1354" s="26" t="s">
        <v>778</v>
      </c>
    </row>
    <row r="1355" spans="1:3" x14ac:dyDescent="0.35">
      <c r="A1355" s="24" t="s">
        <v>2588</v>
      </c>
      <c r="B1355" s="24" t="s">
        <v>149</v>
      </c>
      <c r="C1355" s="26" t="s">
        <v>778</v>
      </c>
    </row>
    <row r="1356" spans="1:3" x14ac:dyDescent="0.35">
      <c r="A1356" s="24" t="s">
        <v>2589</v>
      </c>
      <c r="B1356" s="24" t="s">
        <v>362</v>
      </c>
      <c r="C1356" s="26" t="s">
        <v>778</v>
      </c>
    </row>
    <row r="1357" spans="1:3" x14ac:dyDescent="0.35">
      <c r="A1357" s="24" t="s">
        <v>2590</v>
      </c>
      <c r="B1357" s="24" t="s">
        <v>2591</v>
      </c>
    </row>
    <row r="1358" spans="1:3" x14ac:dyDescent="0.35">
      <c r="A1358" s="24" t="s">
        <v>2590</v>
      </c>
      <c r="B1358" s="24" t="s">
        <v>2398</v>
      </c>
      <c r="C1358" s="26" t="s">
        <v>2398</v>
      </c>
    </row>
    <row r="1359" spans="1:3" x14ac:dyDescent="0.35">
      <c r="A1359" s="24" t="s">
        <v>2590</v>
      </c>
      <c r="B1359" s="24" t="s">
        <v>1229</v>
      </c>
      <c r="C1359" s="26" t="s">
        <v>1229</v>
      </c>
    </row>
    <row r="1360" spans="1:3" x14ac:dyDescent="0.35">
      <c r="A1360" s="24" t="s">
        <v>2590</v>
      </c>
      <c r="B1360" s="24">
        <v>1</v>
      </c>
      <c r="C1360" s="26" t="s">
        <v>2592</v>
      </c>
    </row>
    <row r="1361" spans="1:3" x14ac:dyDescent="0.35">
      <c r="A1361" s="24" t="s">
        <v>2590</v>
      </c>
      <c r="B1361" s="24">
        <v>2</v>
      </c>
      <c r="C1361" s="26" t="s">
        <v>2481</v>
      </c>
    </row>
    <row r="1362" spans="1:3" x14ac:dyDescent="0.35">
      <c r="A1362" s="24" t="s">
        <v>2590</v>
      </c>
      <c r="B1362" s="24">
        <v>3</v>
      </c>
      <c r="C1362" s="26" t="s">
        <v>2593</v>
      </c>
    </row>
    <row r="1363" spans="1:3" x14ac:dyDescent="0.35">
      <c r="A1363" s="24" t="s">
        <v>2590</v>
      </c>
      <c r="B1363" s="24">
        <v>4</v>
      </c>
      <c r="C1363" s="26" t="s">
        <v>2526</v>
      </c>
    </row>
    <row r="1364" spans="1:3" x14ac:dyDescent="0.35">
      <c r="A1364" s="24" t="s">
        <v>2590</v>
      </c>
      <c r="B1364" s="24">
        <v>5</v>
      </c>
      <c r="C1364" s="26" t="s">
        <v>2561</v>
      </c>
    </row>
    <row r="1365" spans="1:3" x14ac:dyDescent="0.35">
      <c r="A1365" s="24" t="s">
        <v>2590</v>
      </c>
      <c r="B1365" s="24">
        <v>6</v>
      </c>
      <c r="C1365" s="26" t="s">
        <v>2577</v>
      </c>
    </row>
    <row r="1366" spans="1:3" x14ac:dyDescent="0.35">
      <c r="A1366" s="24" t="s">
        <v>2590</v>
      </c>
      <c r="C1366" s="26" t="s">
        <v>2594</v>
      </c>
    </row>
    <row r="1367" spans="1:3" x14ac:dyDescent="0.35">
      <c r="A1367" s="24" t="s">
        <v>2595</v>
      </c>
      <c r="B1367" s="24" t="s">
        <v>2596</v>
      </c>
    </row>
    <row r="1368" spans="1:3" x14ac:dyDescent="0.35">
      <c r="A1368" s="24" t="s">
        <v>2595</v>
      </c>
      <c r="B1368" s="24" t="s">
        <v>2597</v>
      </c>
      <c r="C1368" s="26" t="s">
        <v>2597</v>
      </c>
    </row>
    <row r="1369" spans="1:3" ht="58" x14ac:dyDescent="0.35">
      <c r="A1369" s="24" t="s">
        <v>2595</v>
      </c>
      <c r="C1369" s="26" t="s">
        <v>2598</v>
      </c>
    </row>
    <row r="1370" spans="1:3" x14ac:dyDescent="0.35">
      <c r="A1370" s="24" t="s">
        <v>2599</v>
      </c>
      <c r="B1370" s="24" t="s">
        <v>63</v>
      </c>
      <c r="C1370" s="26" t="s">
        <v>2600</v>
      </c>
    </row>
    <row r="1371" spans="1:3" ht="29" x14ac:dyDescent="0.35">
      <c r="A1371" s="24" t="s">
        <v>2599</v>
      </c>
      <c r="B1371" s="24" t="s">
        <v>63</v>
      </c>
      <c r="C1371" s="26" t="s">
        <v>2601</v>
      </c>
    </row>
    <row r="1372" spans="1:3" x14ac:dyDescent="0.35">
      <c r="A1372" s="24" t="s">
        <v>2602</v>
      </c>
      <c r="B1372" s="24" t="s">
        <v>85</v>
      </c>
      <c r="C1372" s="26" t="s">
        <v>2603</v>
      </c>
    </row>
    <row r="1373" spans="1:3" x14ac:dyDescent="0.35">
      <c r="A1373" s="24" t="s">
        <v>2604</v>
      </c>
      <c r="B1373" s="24" t="s">
        <v>63</v>
      </c>
      <c r="C1373" s="26" t="s">
        <v>2605</v>
      </c>
    </row>
    <row r="1374" spans="1:3" ht="29" x14ac:dyDescent="0.35">
      <c r="A1374" s="24" t="s">
        <v>2604</v>
      </c>
      <c r="B1374" s="24" t="s">
        <v>63</v>
      </c>
      <c r="C1374" s="26" t="s">
        <v>2601</v>
      </c>
    </row>
    <row r="1375" spans="1:3" x14ac:dyDescent="0.35">
      <c r="A1375" s="24" t="s">
        <v>2606</v>
      </c>
      <c r="B1375" s="24" t="s">
        <v>85</v>
      </c>
      <c r="C1375" s="26" t="s">
        <v>2603</v>
      </c>
    </row>
    <row r="1376" spans="1:3" x14ac:dyDescent="0.35">
      <c r="A1376" s="24" t="s">
        <v>2607</v>
      </c>
      <c r="B1376" s="24" t="s">
        <v>63</v>
      </c>
      <c r="C1376" s="26" t="s">
        <v>2608</v>
      </c>
    </row>
    <row r="1377" spans="1:3" ht="29" x14ac:dyDescent="0.35">
      <c r="A1377" s="24" t="s">
        <v>2607</v>
      </c>
      <c r="B1377" s="24" t="s">
        <v>63</v>
      </c>
      <c r="C1377" s="26" t="s">
        <v>2601</v>
      </c>
    </row>
    <row r="1378" spans="1:3" x14ac:dyDescent="0.35">
      <c r="A1378" s="24" t="s">
        <v>2609</v>
      </c>
      <c r="B1378" s="24" t="s">
        <v>85</v>
      </c>
      <c r="C1378" s="26" t="s">
        <v>2603</v>
      </c>
    </row>
    <row r="1379" spans="1:3" x14ac:dyDescent="0.35">
      <c r="A1379" s="24" t="s">
        <v>2610</v>
      </c>
      <c r="B1379" s="24" t="s">
        <v>63</v>
      </c>
      <c r="C1379" s="26" t="s">
        <v>2611</v>
      </c>
    </row>
    <row r="1380" spans="1:3" ht="29" x14ac:dyDescent="0.35">
      <c r="A1380" s="24" t="s">
        <v>2610</v>
      </c>
      <c r="B1380" s="24" t="s">
        <v>63</v>
      </c>
      <c r="C1380" s="26" t="s">
        <v>2601</v>
      </c>
    </row>
    <row r="1381" spans="1:3" x14ac:dyDescent="0.35">
      <c r="A1381" s="24" t="s">
        <v>2612</v>
      </c>
      <c r="B1381" s="24" t="s">
        <v>85</v>
      </c>
      <c r="C1381" s="26" t="s">
        <v>2603</v>
      </c>
    </row>
    <row r="1382" spans="1:3" x14ac:dyDescent="0.35">
      <c r="A1382" s="24" t="s">
        <v>2613</v>
      </c>
      <c r="B1382" s="24" t="s">
        <v>63</v>
      </c>
      <c r="C1382" s="26" t="s">
        <v>2614</v>
      </c>
    </row>
    <row r="1383" spans="1:3" ht="29" x14ac:dyDescent="0.35">
      <c r="A1383" s="24" t="s">
        <v>2613</v>
      </c>
      <c r="B1383" s="24" t="s">
        <v>63</v>
      </c>
      <c r="C1383" s="26" t="s">
        <v>2601</v>
      </c>
    </row>
    <row r="1384" spans="1:3" x14ac:dyDescent="0.35">
      <c r="A1384" s="24" t="s">
        <v>2615</v>
      </c>
      <c r="B1384" s="24" t="s">
        <v>85</v>
      </c>
      <c r="C1384" s="26" t="s">
        <v>2603</v>
      </c>
    </row>
    <row r="1385" spans="1:3" x14ac:dyDescent="0.35">
      <c r="A1385" s="24" t="s">
        <v>2616</v>
      </c>
      <c r="B1385" s="24" t="s">
        <v>63</v>
      </c>
      <c r="C1385" s="26" t="s">
        <v>2617</v>
      </c>
    </row>
    <row r="1386" spans="1:3" ht="29" x14ac:dyDescent="0.35">
      <c r="A1386" s="24" t="s">
        <v>2616</v>
      </c>
      <c r="B1386" s="24" t="s">
        <v>63</v>
      </c>
      <c r="C1386" s="26" t="s">
        <v>2601</v>
      </c>
    </row>
    <row r="1387" spans="1:3" x14ac:dyDescent="0.35">
      <c r="A1387" s="24" t="s">
        <v>2618</v>
      </c>
      <c r="B1387" s="24" t="s">
        <v>85</v>
      </c>
      <c r="C1387" s="26" t="s">
        <v>2603</v>
      </c>
    </row>
    <row r="1388" spans="1:3" x14ac:dyDescent="0.35">
      <c r="A1388" s="24" t="s">
        <v>2619</v>
      </c>
      <c r="C1388" s="26" t="s">
        <v>775</v>
      </c>
    </row>
    <row r="1389" spans="1:3" ht="58" x14ac:dyDescent="0.35">
      <c r="A1389" s="24" t="s">
        <v>2620</v>
      </c>
      <c r="B1389" s="24" t="s">
        <v>63</v>
      </c>
      <c r="C1389" s="26" t="s">
        <v>2621</v>
      </c>
    </row>
    <row r="1390" spans="1:3" x14ac:dyDescent="0.35">
      <c r="A1390" s="24" t="s">
        <v>2620</v>
      </c>
      <c r="B1390" s="24" t="s">
        <v>63</v>
      </c>
      <c r="C1390" s="26" t="s">
        <v>778</v>
      </c>
    </row>
    <row r="1391" spans="1:3" x14ac:dyDescent="0.35">
      <c r="A1391" s="24" t="s">
        <v>2622</v>
      </c>
      <c r="B1391" s="24" t="s">
        <v>85</v>
      </c>
      <c r="C1391" s="26" t="s">
        <v>778</v>
      </c>
    </row>
    <row r="1392" spans="1:3" x14ac:dyDescent="0.35">
      <c r="A1392" s="24" t="s">
        <v>2623</v>
      </c>
      <c r="B1392" s="24" t="s">
        <v>107</v>
      </c>
      <c r="C1392" s="26" t="s">
        <v>778</v>
      </c>
    </row>
    <row r="1393" spans="1:3" x14ac:dyDescent="0.35">
      <c r="A1393" s="24" t="s">
        <v>2624</v>
      </c>
      <c r="B1393" s="24" t="s">
        <v>128</v>
      </c>
      <c r="C1393" s="26" t="s">
        <v>778</v>
      </c>
    </row>
    <row r="1394" spans="1:3" x14ac:dyDescent="0.35">
      <c r="A1394" s="24" t="s">
        <v>2625</v>
      </c>
      <c r="B1394" s="24" t="s">
        <v>149</v>
      </c>
      <c r="C1394" s="26" t="s">
        <v>778</v>
      </c>
    </row>
    <row r="1395" spans="1:3" x14ac:dyDescent="0.35">
      <c r="A1395" s="24" t="s">
        <v>2626</v>
      </c>
      <c r="B1395" s="24" t="s">
        <v>362</v>
      </c>
      <c r="C1395" s="26" t="s">
        <v>778</v>
      </c>
    </row>
    <row r="1396" spans="1:3" x14ac:dyDescent="0.35">
      <c r="A1396" s="24" t="s">
        <v>2627</v>
      </c>
      <c r="B1396" s="24" t="s">
        <v>166</v>
      </c>
      <c r="C1396" s="26" t="s">
        <v>778</v>
      </c>
    </row>
    <row r="1397" spans="1:3" x14ac:dyDescent="0.35">
      <c r="A1397" s="24" t="s">
        <v>2628</v>
      </c>
      <c r="B1397" s="24" t="s">
        <v>2132</v>
      </c>
      <c r="C1397" s="26" t="s">
        <v>778</v>
      </c>
    </row>
    <row r="1398" spans="1:3" x14ac:dyDescent="0.35">
      <c r="A1398" s="24" t="s">
        <v>2629</v>
      </c>
      <c r="B1398" s="24" t="s">
        <v>2630</v>
      </c>
    </row>
    <row r="1399" spans="1:3" ht="29" x14ac:dyDescent="0.35">
      <c r="A1399" s="24" t="s">
        <v>2629</v>
      </c>
      <c r="B1399" s="24" t="s">
        <v>2631</v>
      </c>
      <c r="C1399" s="26" t="s">
        <v>2631</v>
      </c>
    </row>
    <row r="1400" spans="1:3" x14ac:dyDescent="0.35">
      <c r="A1400" s="24" t="s">
        <v>2629</v>
      </c>
      <c r="C1400" s="26" t="s">
        <v>2632</v>
      </c>
    </row>
    <row r="1401" spans="1:3" ht="29" x14ac:dyDescent="0.35">
      <c r="A1401" s="24" t="s">
        <v>2629</v>
      </c>
      <c r="C1401" s="26" t="s">
        <v>2633</v>
      </c>
    </row>
    <row r="1402" spans="1:3" x14ac:dyDescent="0.35">
      <c r="A1402" s="24" t="s">
        <v>2629</v>
      </c>
      <c r="C1402" s="26" t="s">
        <v>789</v>
      </c>
    </row>
    <row r="1403" spans="1:3" x14ac:dyDescent="0.35">
      <c r="A1403" s="24" t="s">
        <v>2634</v>
      </c>
      <c r="B1403" s="24" t="s">
        <v>63</v>
      </c>
      <c r="C1403" s="26" t="s">
        <v>2635</v>
      </c>
    </row>
    <row r="1404" spans="1:3" x14ac:dyDescent="0.35">
      <c r="A1404" s="24" t="s">
        <v>2634</v>
      </c>
      <c r="B1404" s="24" t="s">
        <v>63</v>
      </c>
      <c r="C1404" s="26" t="s">
        <v>2636</v>
      </c>
    </row>
    <row r="1405" spans="1:3" x14ac:dyDescent="0.35">
      <c r="A1405" s="24" t="s">
        <v>2637</v>
      </c>
      <c r="C1405" s="26" t="s">
        <v>810</v>
      </c>
    </row>
    <row r="1406" spans="1:3" x14ac:dyDescent="0.35">
      <c r="A1406" s="24" t="s">
        <v>2637</v>
      </c>
      <c r="C1406" s="26" t="s">
        <v>2638</v>
      </c>
    </row>
    <row r="1407" spans="1:3" x14ac:dyDescent="0.35">
      <c r="A1407" s="24" t="s">
        <v>2639</v>
      </c>
      <c r="B1407" s="24" t="s">
        <v>63</v>
      </c>
      <c r="C1407" s="26" t="s">
        <v>2640</v>
      </c>
    </row>
    <row r="1408" spans="1:3" x14ac:dyDescent="0.35">
      <c r="A1408" s="24" t="s">
        <v>2639</v>
      </c>
      <c r="B1408" s="24" t="s">
        <v>63</v>
      </c>
      <c r="C1408" s="26" t="s">
        <v>2641</v>
      </c>
    </row>
    <row r="1409" spans="1:3" x14ac:dyDescent="0.35">
      <c r="A1409" s="24" t="s">
        <v>2642</v>
      </c>
      <c r="B1409" s="24" t="s">
        <v>85</v>
      </c>
      <c r="C1409" s="26" t="s">
        <v>2643</v>
      </c>
    </row>
    <row r="1410" spans="1:3" x14ac:dyDescent="0.35">
      <c r="A1410" s="24" t="s">
        <v>2644</v>
      </c>
      <c r="B1410" s="24" t="s">
        <v>107</v>
      </c>
      <c r="C1410" s="26" t="s">
        <v>2645</v>
      </c>
    </row>
    <row r="1411" spans="1:3" x14ac:dyDescent="0.35">
      <c r="A1411" s="24" t="s">
        <v>2646</v>
      </c>
      <c r="C1411" s="26" t="s">
        <v>817</v>
      </c>
    </row>
    <row r="1412" spans="1:3" x14ac:dyDescent="0.35">
      <c r="A1412" s="24" t="s">
        <v>2647</v>
      </c>
      <c r="B1412" s="24" t="s">
        <v>63</v>
      </c>
      <c r="C1412" s="26" t="s">
        <v>2648</v>
      </c>
    </row>
    <row r="1413" spans="1:3" x14ac:dyDescent="0.35">
      <c r="A1413" s="24" t="s">
        <v>2647</v>
      </c>
      <c r="B1413" s="24" t="s">
        <v>63</v>
      </c>
      <c r="C1413" s="26" t="s">
        <v>2641</v>
      </c>
    </row>
    <row r="1414" spans="1:3" x14ac:dyDescent="0.35">
      <c r="A1414" s="24" t="s">
        <v>2649</v>
      </c>
      <c r="B1414" s="24" t="s">
        <v>85</v>
      </c>
      <c r="C1414" s="26" t="s">
        <v>2643</v>
      </c>
    </row>
    <row r="1415" spans="1:3" x14ac:dyDescent="0.35">
      <c r="A1415" s="24" t="s">
        <v>2650</v>
      </c>
      <c r="B1415" s="24" t="s">
        <v>107</v>
      </c>
      <c r="C1415" s="26" t="s">
        <v>2645</v>
      </c>
    </row>
    <row r="1416" spans="1:3" x14ac:dyDescent="0.35">
      <c r="A1416" s="24" t="s">
        <v>2651</v>
      </c>
      <c r="B1416" s="24" t="s">
        <v>63</v>
      </c>
      <c r="C1416" s="26" t="s">
        <v>2652</v>
      </c>
    </row>
    <row r="1417" spans="1:3" x14ac:dyDescent="0.35">
      <c r="A1417" s="24" t="s">
        <v>2651</v>
      </c>
      <c r="B1417" s="24" t="s">
        <v>63</v>
      </c>
      <c r="C1417" s="26" t="s">
        <v>2641</v>
      </c>
    </row>
    <row r="1418" spans="1:3" x14ac:dyDescent="0.35">
      <c r="A1418" s="24" t="s">
        <v>2653</v>
      </c>
      <c r="B1418" s="24" t="s">
        <v>85</v>
      </c>
      <c r="C1418" s="26" t="s">
        <v>2643</v>
      </c>
    </row>
    <row r="1419" spans="1:3" x14ac:dyDescent="0.35">
      <c r="A1419" s="24" t="s">
        <v>2654</v>
      </c>
      <c r="B1419" s="24" t="s">
        <v>107</v>
      </c>
      <c r="C1419" s="26" t="s">
        <v>2645</v>
      </c>
    </row>
    <row r="1420" spans="1:3" x14ac:dyDescent="0.35">
      <c r="A1420" s="24" t="s">
        <v>2655</v>
      </c>
      <c r="B1420" s="24" t="s">
        <v>63</v>
      </c>
      <c r="C1420" s="26" t="s">
        <v>2656</v>
      </c>
    </row>
    <row r="1421" spans="1:3" x14ac:dyDescent="0.35">
      <c r="A1421" s="24" t="s">
        <v>2655</v>
      </c>
      <c r="B1421" s="24" t="s">
        <v>63</v>
      </c>
      <c r="C1421" s="26" t="s">
        <v>2657</v>
      </c>
    </row>
    <row r="1422" spans="1:3" x14ac:dyDescent="0.35">
      <c r="A1422" s="24" t="s">
        <v>2658</v>
      </c>
      <c r="B1422" s="24" t="s">
        <v>85</v>
      </c>
      <c r="C1422" s="26" t="s">
        <v>2659</v>
      </c>
    </row>
    <row r="1423" spans="1:3" x14ac:dyDescent="0.35">
      <c r="A1423" s="24" t="s">
        <v>2660</v>
      </c>
      <c r="B1423" s="24" t="s">
        <v>63</v>
      </c>
      <c r="C1423" s="26" t="s">
        <v>2661</v>
      </c>
    </row>
    <row r="1424" spans="1:3" x14ac:dyDescent="0.35">
      <c r="A1424" s="24" t="s">
        <v>2660</v>
      </c>
      <c r="B1424" s="24" t="s">
        <v>63</v>
      </c>
      <c r="C1424" s="26" t="s">
        <v>2657</v>
      </c>
    </row>
    <row r="1425" spans="1:3" x14ac:dyDescent="0.35">
      <c r="A1425" s="24" t="s">
        <v>2662</v>
      </c>
      <c r="B1425" s="24" t="s">
        <v>85</v>
      </c>
      <c r="C1425" s="26" t="s">
        <v>2659</v>
      </c>
    </row>
    <row r="1426" spans="1:3" x14ac:dyDescent="0.35">
      <c r="A1426" s="24" t="s">
        <v>2663</v>
      </c>
      <c r="B1426" s="24" t="s">
        <v>63</v>
      </c>
      <c r="C1426" s="26" t="s">
        <v>2664</v>
      </c>
    </row>
    <row r="1427" spans="1:3" x14ac:dyDescent="0.35">
      <c r="A1427" s="24" t="s">
        <v>2663</v>
      </c>
      <c r="B1427" s="24" t="s">
        <v>63</v>
      </c>
      <c r="C1427" s="26" t="s">
        <v>2641</v>
      </c>
    </row>
    <row r="1428" spans="1:3" x14ac:dyDescent="0.35">
      <c r="A1428" s="24" t="s">
        <v>2665</v>
      </c>
      <c r="B1428" s="24" t="s">
        <v>85</v>
      </c>
      <c r="C1428" s="26" t="s">
        <v>2643</v>
      </c>
    </row>
    <row r="1429" spans="1:3" x14ac:dyDescent="0.35">
      <c r="A1429" s="24" t="s">
        <v>2666</v>
      </c>
      <c r="B1429" s="24" t="s">
        <v>107</v>
      </c>
      <c r="C1429" s="26" t="s">
        <v>2645</v>
      </c>
    </row>
    <row r="1430" spans="1:3" x14ac:dyDescent="0.35">
      <c r="A1430" s="24" t="s">
        <v>2667</v>
      </c>
      <c r="B1430" s="24" t="s">
        <v>63</v>
      </c>
      <c r="C1430" s="26" t="s">
        <v>2668</v>
      </c>
    </row>
    <row r="1431" spans="1:3" x14ac:dyDescent="0.35">
      <c r="A1431" s="24" t="s">
        <v>2667</v>
      </c>
      <c r="B1431" s="24" t="s">
        <v>63</v>
      </c>
      <c r="C1431" s="26" t="s">
        <v>2657</v>
      </c>
    </row>
    <row r="1432" spans="1:3" x14ac:dyDescent="0.35">
      <c r="A1432" s="24" t="s">
        <v>2669</v>
      </c>
      <c r="B1432" s="24" t="s">
        <v>85</v>
      </c>
      <c r="C1432" s="26" t="s">
        <v>2659</v>
      </c>
    </row>
    <row r="1433" spans="1:3" x14ac:dyDescent="0.35">
      <c r="A1433" s="24" t="s">
        <v>2670</v>
      </c>
      <c r="B1433" s="24" t="s">
        <v>63</v>
      </c>
      <c r="C1433" s="26" t="s">
        <v>2671</v>
      </c>
    </row>
    <row r="1434" spans="1:3" x14ac:dyDescent="0.35">
      <c r="A1434" s="24" t="s">
        <v>2670</v>
      </c>
      <c r="B1434" s="24" t="s">
        <v>63</v>
      </c>
      <c r="C1434" s="26" t="s">
        <v>2657</v>
      </c>
    </row>
    <row r="1435" spans="1:3" x14ac:dyDescent="0.35">
      <c r="A1435" s="24" t="s">
        <v>2672</v>
      </c>
      <c r="B1435" s="24" t="s">
        <v>85</v>
      </c>
      <c r="C1435" s="26" t="s">
        <v>2659</v>
      </c>
    </row>
    <row r="1436" spans="1:3" ht="58" x14ac:dyDescent="0.35">
      <c r="A1436" s="24" t="s">
        <v>2673</v>
      </c>
      <c r="B1436" s="24" t="s">
        <v>63</v>
      </c>
      <c r="C1436" s="26" t="s">
        <v>2674</v>
      </c>
    </row>
    <row r="1437" spans="1:3" x14ac:dyDescent="0.35">
      <c r="A1437" s="24" t="s">
        <v>2673</v>
      </c>
      <c r="B1437" s="24" t="s">
        <v>63</v>
      </c>
      <c r="C1437" s="26" t="s">
        <v>2675</v>
      </c>
    </row>
    <row r="1438" spans="1:3" x14ac:dyDescent="0.35">
      <c r="A1438" s="24" t="s">
        <v>2676</v>
      </c>
      <c r="B1438" s="24" t="s">
        <v>85</v>
      </c>
      <c r="C1438" s="26" t="s">
        <v>2675</v>
      </c>
    </row>
    <row r="1439" spans="1:3" x14ac:dyDescent="0.35">
      <c r="A1439" s="24" t="s">
        <v>2677</v>
      </c>
      <c r="B1439" s="24" t="s">
        <v>107</v>
      </c>
      <c r="C1439" s="26" t="s">
        <v>2675</v>
      </c>
    </row>
    <row r="1440" spans="1:3" x14ac:dyDescent="0.35">
      <c r="A1440" s="24" t="s">
        <v>2678</v>
      </c>
      <c r="B1440" s="24" t="s">
        <v>128</v>
      </c>
      <c r="C1440" s="26" t="s">
        <v>2675</v>
      </c>
    </row>
    <row r="1441" spans="1:3" ht="58" x14ac:dyDescent="0.35">
      <c r="A1441" s="24" t="s">
        <v>2679</v>
      </c>
      <c r="B1441" s="24" t="s">
        <v>63</v>
      </c>
      <c r="C1441" s="26" t="s">
        <v>2680</v>
      </c>
    </row>
    <row r="1442" spans="1:3" x14ac:dyDescent="0.35">
      <c r="A1442" s="24" t="s">
        <v>2679</v>
      </c>
      <c r="B1442" s="24" t="s">
        <v>63</v>
      </c>
      <c r="C1442" s="26" t="s">
        <v>2675</v>
      </c>
    </row>
    <row r="1443" spans="1:3" x14ac:dyDescent="0.35">
      <c r="A1443" s="24" t="s">
        <v>2681</v>
      </c>
      <c r="B1443" s="24" t="s">
        <v>85</v>
      </c>
      <c r="C1443" s="26" t="s">
        <v>2675</v>
      </c>
    </row>
    <row r="1444" spans="1:3" ht="29" x14ac:dyDescent="0.35">
      <c r="A1444" s="24" t="s">
        <v>2682</v>
      </c>
      <c r="B1444" s="24" t="s">
        <v>107</v>
      </c>
      <c r="C1444" s="26" t="s">
        <v>2683</v>
      </c>
    </row>
    <row r="1445" spans="1:3" ht="72.5" x14ac:dyDescent="0.35">
      <c r="A1445" s="24" t="s">
        <v>2684</v>
      </c>
      <c r="B1445" s="24" t="s">
        <v>63</v>
      </c>
      <c r="C1445" s="26" t="s">
        <v>2685</v>
      </c>
    </row>
    <row r="1446" spans="1:3" x14ac:dyDescent="0.35">
      <c r="A1446" s="24" t="s">
        <v>2684</v>
      </c>
      <c r="B1446" s="24" t="s">
        <v>63</v>
      </c>
      <c r="C1446" s="26" t="s">
        <v>2675</v>
      </c>
    </row>
    <row r="1447" spans="1:3" x14ac:dyDescent="0.35">
      <c r="A1447" s="24" t="s">
        <v>2686</v>
      </c>
      <c r="B1447" s="24" t="s">
        <v>85</v>
      </c>
      <c r="C1447" s="26" t="s">
        <v>2675</v>
      </c>
    </row>
    <row r="1448" spans="1:3" x14ac:dyDescent="0.35">
      <c r="A1448" s="24" t="s">
        <v>2687</v>
      </c>
      <c r="B1448" s="24" t="s">
        <v>107</v>
      </c>
      <c r="C1448" s="26" t="s">
        <v>2675</v>
      </c>
    </row>
    <row r="1449" spans="1:3" x14ac:dyDescent="0.35">
      <c r="A1449" s="24" t="s">
        <v>2688</v>
      </c>
      <c r="B1449" s="24" t="s">
        <v>128</v>
      </c>
      <c r="C1449" s="26" t="s">
        <v>2675</v>
      </c>
    </row>
    <row r="1450" spans="1:3" ht="72.5" x14ac:dyDescent="0.35">
      <c r="A1450" s="24" t="s">
        <v>2689</v>
      </c>
      <c r="B1450" s="24" t="s">
        <v>63</v>
      </c>
      <c r="C1450" s="26" t="s">
        <v>2690</v>
      </c>
    </row>
    <row r="1451" spans="1:3" x14ac:dyDescent="0.35">
      <c r="A1451" s="24" t="s">
        <v>2689</v>
      </c>
      <c r="B1451" s="24" t="s">
        <v>63</v>
      </c>
      <c r="C1451" s="26" t="s">
        <v>2675</v>
      </c>
    </row>
    <row r="1452" spans="1:3" x14ac:dyDescent="0.35">
      <c r="A1452" s="24" t="s">
        <v>2691</v>
      </c>
      <c r="B1452" s="24" t="s">
        <v>85</v>
      </c>
      <c r="C1452" s="26" t="s">
        <v>2675</v>
      </c>
    </row>
    <row r="1453" spans="1:3" ht="29" x14ac:dyDescent="0.35">
      <c r="A1453" s="24" t="s">
        <v>2692</v>
      </c>
      <c r="B1453" s="24" t="s">
        <v>107</v>
      </c>
      <c r="C1453" s="26" t="s">
        <v>2693</v>
      </c>
    </row>
    <row r="1454" spans="1:3" x14ac:dyDescent="0.35">
      <c r="A1454" s="24" t="s">
        <v>2694</v>
      </c>
      <c r="C1454" s="26" t="s">
        <v>834</v>
      </c>
    </row>
    <row r="1455" spans="1:3" x14ac:dyDescent="0.35">
      <c r="A1455" s="24" t="s">
        <v>2694</v>
      </c>
      <c r="C1455" s="26" t="s">
        <v>2695</v>
      </c>
    </row>
    <row r="1456" spans="1:3" x14ac:dyDescent="0.35">
      <c r="A1456" s="24" t="s">
        <v>2696</v>
      </c>
      <c r="B1456" s="24" t="s">
        <v>63</v>
      </c>
      <c r="C1456" s="26" t="s">
        <v>2697</v>
      </c>
    </row>
    <row r="1457" spans="1:3" x14ac:dyDescent="0.35">
      <c r="A1457" s="24" t="s">
        <v>2696</v>
      </c>
      <c r="B1457" s="24" t="s">
        <v>63</v>
      </c>
      <c r="C1457" s="26" t="s">
        <v>2698</v>
      </c>
    </row>
    <row r="1458" spans="1:3" x14ac:dyDescent="0.35">
      <c r="A1458" s="24" t="s">
        <v>2699</v>
      </c>
      <c r="B1458" s="24" t="s">
        <v>85</v>
      </c>
      <c r="C1458" s="26" t="s">
        <v>2657</v>
      </c>
    </row>
    <row r="1459" spans="1:3" x14ac:dyDescent="0.35">
      <c r="A1459" s="24" t="s">
        <v>2700</v>
      </c>
      <c r="C1459" s="26" t="s">
        <v>841</v>
      </c>
    </row>
    <row r="1460" spans="1:3" x14ac:dyDescent="0.35">
      <c r="A1460" s="24" t="s">
        <v>2701</v>
      </c>
      <c r="B1460" s="24" t="s">
        <v>63</v>
      </c>
      <c r="C1460" s="26" t="s">
        <v>2702</v>
      </c>
    </row>
    <row r="1461" spans="1:3" x14ac:dyDescent="0.35">
      <c r="A1461" s="24" t="s">
        <v>2701</v>
      </c>
      <c r="B1461" s="24" t="s">
        <v>63</v>
      </c>
      <c r="C1461" s="26" t="s">
        <v>2703</v>
      </c>
    </row>
    <row r="1462" spans="1:3" x14ac:dyDescent="0.35">
      <c r="A1462" s="24" t="s">
        <v>2704</v>
      </c>
      <c r="B1462" s="24" t="s">
        <v>85</v>
      </c>
      <c r="C1462" s="26" t="s">
        <v>2705</v>
      </c>
    </row>
    <row r="1463" spans="1:3" x14ac:dyDescent="0.35">
      <c r="A1463" s="24" t="s">
        <v>2706</v>
      </c>
      <c r="B1463" s="24" t="s">
        <v>107</v>
      </c>
      <c r="C1463" s="26" t="s">
        <v>2707</v>
      </c>
    </row>
    <row r="1464" spans="1:3" x14ac:dyDescent="0.35">
      <c r="A1464" s="24" t="s">
        <v>2708</v>
      </c>
      <c r="C1464" s="26" t="s">
        <v>2709</v>
      </c>
    </row>
    <row r="1465" spans="1:3" ht="58" x14ac:dyDescent="0.35">
      <c r="A1465" s="24" t="s">
        <v>2710</v>
      </c>
      <c r="B1465" s="24" t="s">
        <v>63</v>
      </c>
      <c r="C1465" s="26" t="s">
        <v>2711</v>
      </c>
    </row>
    <row r="1466" spans="1:3" x14ac:dyDescent="0.35">
      <c r="A1466" s="24" t="s">
        <v>2710</v>
      </c>
      <c r="B1466" s="24" t="s">
        <v>63</v>
      </c>
      <c r="C1466" s="26" t="s">
        <v>2675</v>
      </c>
    </row>
    <row r="1467" spans="1:3" x14ac:dyDescent="0.35">
      <c r="A1467" s="24" t="s">
        <v>2712</v>
      </c>
      <c r="B1467" s="24" t="s">
        <v>85</v>
      </c>
      <c r="C1467" s="26" t="s">
        <v>2675</v>
      </c>
    </row>
    <row r="1468" spans="1:3" x14ac:dyDescent="0.35">
      <c r="A1468" s="24" t="s">
        <v>2713</v>
      </c>
      <c r="B1468" s="24" t="s">
        <v>107</v>
      </c>
      <c r="C1468" s="26" t="s">
        <v>2675</v>
      </c>
    </row>
    <row r="1469" spans="1:3" x14ac:dyDescent="0.35">
      <c r="A1469" s="24" t="s">
        <v>2714</v>
      </c>
      <c r="B1469" s="24" t="s">
        <v>128</v>
      </c>
      <c r="C1469" s="26" t="s">
        <v>2675</v>
      </c>
    </row>
    <row r="1470" spans="1:3" x14ac:dyDescent="0.35">
      <c r="A1470" s="24" t="s">
        <v>2715</v>
      </c>
      <c r="C1470" s="26" t="s">
        <v>2716</v>
      </c>
    </row>
    <row r="1471" spans="1:3" ht="58" x14ac:dyDescent="0.35">
      <c r="A1471" s="24" t="s">
        <v>2717</v>
      </c>
      <c r="B1471" s="24" t="s">
        <v>63</v>
      </c>
      <c r="C1471" s="26" t="s">
        <v>2718</v>
      </c>
    </row>
    <row r="1472" spans="1:3" x14ac:dyDescent="0.35">
      <c r="A1472" s="24" t="s">
        <v>2717</v>
      </c>
      <c r="B1472" s="24" t="s">
        <v>63</v>
      </c>
      <c r="C1472" s="26" t="s">
        <v>2675</v>
      </c>
    </row>
    <row r="1473" spans="1:3" x14ac:dyDescent="0.35">
      <c r="A1473" s="24" t="s">
        <v>2719</v>
      </c>
      <c r="B1473" s="24" t="s">
        <v>85</v>
      </c>
      <c r="C1473" s="26" t="s">
        <v>2675</v>
      </c>
    </row>
    <row r="1474" spans="1:3" ht="29" x14ac:dyDescent="0.35">
      <c r="A1474" s="24" t="s">
        <v>2720</v>
      </c>
      <c r="B1474" s="24" t="s">
        <v>107</v>
      </c>
      <c r="C1474" s="26" t="s">
        <v>2683</v>
      </c>
    </row>
    <row r="1475" spans="1:3" x14ac:dyDescent="0.35">
      <c r="A1475" s="24" t="s">
        <v>2721</v>
      </c>
      <c r="C1475" s="26" t="s">
        <v>2722</v>
      </c>
    </row>
    <row r="1476" spans="1:3" ht="72.5" x14ac:dyDescent="0.35">
      <c r="A1476" s="24" t="s">
        <v>2723</v>
      </c>
      <c r="B1476" s="24" t="s">
        <v>63</v>
      </c>
      <c r="C1476" s="26" t="s">
        <v>2724</v>
      </c>
    </row>
    <row r="1477" spans="1:3" x14ac:dyDescent="0.35">
      <c r="A1477" s="24" t="s">
        <v>2723</v>
      </c>
      <c r="B1477" s="24" t="s">
        <v>63</v>
      </c>
      <c r="C1477" s="26" t="s">
        <v>2675</v>
      </c>
    </row>
    <row r="1478" spans="1:3" x14ac:dyDescent="0.35">
      <c r="A1478" s="24" t="s">
        <v>2725</v>
      </c>
      <c r="B1478" s="24" t="s">
        <v>85</v>
      </c>
      <c r="C1478" s="26" t="s">
        <v>2675</v>
      </c>
    </row>
    <row r="1479" spans="1:3" x14ac:dyDescent="0.35">
      <c r="A1479" s="24" t="s">
        <v>2726</v>
      </c>
      <c r="B1479" s="24" t="s">
        <v>107</v>
      </c>
      <c r="C1479" s="26" t="s">
        <v>2675</v>
      </c>
    </row>
    <row r="1480" spans="1:3" x14ac:dyDescent="0.35">
      <c r="A1480" s="24" t="s">
        <v>2727</v>
      </c>
      <c r="B1480" s="24" t="s">
        <v>128</v>
      </c>
      <c r="C1480" s="26" t="s">
        <v>2675</v>
      </c>
    </row>
    <row r="1481" spans="1:3" x14ac:dyDescent="0.35">
      <c r="A1481" s="24" t="s">
        <v>2728</v>
      </c>
      <c r="C1481" s="26" t="s">
        <v>2729</v>
      </c>
    </row>
    <row r="1482" spans="1:3" ht="72.5" x14ac:dyDescent="0.35">
      <c r="A1482" s="24" t="s">
        <v>2730</v>
      </c>
      <c r="B1482" s="24" t="s">
        <v>63</v>
      </c>
      <c r="C1482" s="26" t="s">
        <v>2731</v>
      </c>
    </row>
    <row r="1483" spans="1:3" x14ac:dyDescent="0.35">
      <c r="A1483" s="24" t="s">
        <v>2730</v>
      </c>
      <c r="B1483" s="24" t="s">
        <v>63</v>
      </c>
      <c r="C1483" s="26" t="s">
        <v>2675</v>
      </c>
    </row>
    <row r="1484" spans="1:3" x14ac:dyDescent="0.35">
      <c r="A1484" s="24" t="s">
        <v>2732</v>
      </c>
      <c r="B1484" s="24" t="s">
        <v>85</v>
      </c>
      <c r="C1484" s="26" t="s">
        <v>2675</v>
      </c>
    </row>
    <row r="1485" spans="1:3" ht="29" x14ac:dyDescent="0.35">
      <c r="A1485" s="24" t="s">
        <v>2733</v>
      </c>
      <c r="B1485" s="24" t="s">
        <v>107</v>
      </c>
      <c r="C1485" s="26" t="s">
        <v>2683</v>
      </c>
    </row>
    <row r="1486" spans="1:3" x14ac:dyDescent="0.35">
      <c r="A1486" s="24" t="s">
        <v>2734</v>
      </c>
      <c r="C1486" s="26" t="s">
        <v>2735</v>
      </c>
    </row>
    <row r="1487" spans="1:3" x14ac:dyDescent="0.35">
      <c r="A1487" s="24" t="s">
        <v>2736</v>
      </c>
      <c r="B1487" s="24" t="s">
        <v>63</v>
      </c>
      <c r="C1487" s="26" t="s">
        <v>2737</v>
      </c>
    </row>
    <row r="1488" spans="1:3" x14ac:dyDescent="0.35">
      <c r="A1488" s="24" t="s">
        <v>2736</v>
      </c>
      <c r="B1488" s="24" t="s">
        <v>63</v>
      </c>
      <c r="C1488" s="26" t="s">
        <v>2738</v>
      </c>
    </row>
    <row r="1489" spans="1:3" x14ac:dyDescent="0.35">
      <c r="A1489" s="24" t="s">
        <v>2739</v>
      </c>
      <c r="B1489" s="24" t="s">
        <v>85</v>
      </c>
      <c r="C1489" s="26" t="s">
        <v>2740</v>
      </c>
    </row>
    <row r="1490" spans="1:3" x14ac:dyDescent="0.35">
      <c r="A1490" s="24" t="s">
        <v>2741</v>
      </c>
      <c r="B1490" s="24" t="s">
        <v>107</v>
      </c>
      <c r="C1490" s="26" t="s">
        <v>2742</v>
      </c>
    </row>
    <row r="1491" spans="1:3" x14ac:dyDescent="0.35">
      <c r="A1491" s="24" t="s">
        <v>2743</v>
      </c>
      <c r="B1491" s="24" t="s">
        <v>128</v>
      </c>
      <c r="C1491" s="26" t="s">
        <v>2744</v>
      </c>
    </row>
    <row r="1492" spans="1:3" x14ac:dyDescent="0.35">
      <c r="A1492" s="24" t="s">
        <v>2745</v>
      </c>
      <c r="C1492" s="26" t="s">
        <v>2746</v>
      </c>
    </row>
    <row r="1493" spans="1:3" x14ac:dyDescent="0.35">
      <c r="A1493" s="24" t="s">
        <v>2747</v>
      </c>
      <c r="B1493" s="24" t="s">
        <v>63</v>
      </c>
      <c r="C1493" s="26" t="s">
        <v>2748</v>
      </c>
    </row>
    <row r="1494" spans="1:3" x14ac:dyDescent="0.35">
      <c r="A1494" s="24" t="s">
        <v>2747</v>
      </c>
      <c r="B1494" s="24" t="s">
        <v>63</v>
      </c>
      <c r="C1494" s="26" t="s">
        <v>2749</v>
      </c>
    </row>
    <row r="1495" spans="1:3" x14ac:dyDescent="0.35">
      <c r="A1495" s="24" t="s">
        <v>2750</v>
      </c>
      <c r="B1495" s="24" t="s">
        <v>85</v>
      </c>
      <c r="C1495" s="26" t="s">
        <v>2738</v>
      </c>
    </row>
    <row r="1496" spans="1:3" x14ac:dyDescent="0.35">
      <c r="A1496" s="24" t="s">
        <v>2751</v>
      </c>
      <c r="B1496" s="24" t="s">
        <v>107</v>
      </c>
      <c r="C1496" s="26" t="s">
        <v>2740</v>
      </c>
    </row>
    <row r="1497" spans="1:3" x14ac:dyDescent="0.35">
      <c r="A1497" s="24" t="s">
        <v>2752</v>
      </c>
      <c r="B1497" s="24" t="s">
        <v>128</v>
      </c>
      <c r="C1497" s="26" t="s">
        <v>2742</v>
      </c>
    </row>
    <row r="1498" spans="1:3" x14ac:dyDescent="0.35">
      <c r="A1498" s="24" t="s">
        <v>2753</v>
      </c>
      <c r="B1498" s="24" t="s">
        <v>149</v>
      </c>
      <c r="C1498" s="26" t="s">
        <v>2744</v>
      </c>
    </row>
    <row r="1499" spans="1:3" x14ac:dyDescent="0.35">
      <c r="A1499" s="24" t="s">
        <v>2754</v>
      </c>
      <c r="B1499" s="24" t="s">
        <v>362</v>
      </c>
      <c r="C1499" s="26" t="s">
        <v>2755</v>
      </c>
    </row>
    <row r="1500" spans="1:3" x14ac:dyDescent="0.35">
      <c r="A1500" s="24" t="s">
        <v>2756</v>
      </c>
      <c r="B1500" s="24" t="s">
        <v>63</v>
      </c>
      <c r="C1500" s="26" t="s">
        <v>2757</v>
      </c>
    </row>
    <row r="1501" spans="1:3" x14ac:dyDescent="0.35">
      <c r="A1501" s="24" t="s">
        <v>2756</v>
      </c>
      <c r="B1501" s="24" t="s">
        <v>63</v>
      </c>
      <c r="C1501" s="26" t="s">
        <v>2657</v>
      </c>
    </row>
    <row r="1502" spans="1:3" x14ac:dyDescent="0.35">
      <c r="A1502" s="24" t="s">
        <v>2758</v>
      </c>
      <c r="B1502" s="24" t="s">
        <v>85</v>
      </c>
      <c r="C1502" s="26" t="s">
        <v>2659</v>
      </c>
    </row>
    <row r="1503" spans="1:3" x14ac:dyDescent="0.35">
      <c r="A1503" s="24" t="s">
        <v>2759</v>
      </c>
      <c r="B1503" s="24" t="s">
        <v>63</v>
      </c>
      <c r="C1503" s="26" t="s">
        <v>2760</v>
      </c>
    </row>
    <row r="1504" spans="1:3" x14ac:dyDescent="0.35">
      <c r="A1504" s="24" t="s">
        <v>2759</v>
      </c>
      <c r="B1504" s="24" t="s">
        <v>63</v>
      </c>
      <c r="C1504" s="26" t="s">
        <v>2761</v>
      </c>
    </row>
    <row r="1505" spans="1:3" x14ac:dyDescent="0.35">
      <c r="A1505" s="24" t="s">
        <v>2762</v>
      </c>
      <c r="B1505" s="24" t="s">
        <v>85</v>
      </c>
      <c r="C1505" s="26" t="s">
        <v>2643</v>
      </c>
    </row>
    <row r="1506" spans="1:3" x14ac:dyDescent="0.35">
      <c r="A1506" s="24" t="s">
        <v>2763</v>
      </c>
      <c r="B1506" s="24" t="s">
        <v>107</v>
      </c>
      <c r="C1506" s="26" t="s">
        <v>2645</v>
      </c>
    </row>
    <row r="1507" spans="1:3" x14ac:dyDescent="0.35">
      <c r="A1507" s="24" t="s">
        <v>2764</v>
      </c>
      <c r="B1507" s="24" t="s">
        <v>63</v>
      </c>
      <c r="C1507" s="26" t="s">
        <v>2765</v>
      </c>
    </row>
    <row r="1508" spans="1:3" x14ac:dyDescent="0.35">
      <c r="A1508" s="24" t="s">
        <v>2764</v>
      </c>
      <c r="B1508" s="24" t="s">
        <v>63</v>
      </c>
      <c r="C1508" s="26" t="s">
        <v>2766</v>
      </c>
    </row>
    <row r="1509" spans="1:3" ht="58" x14ac:dyDescent="0.35">
      <c r="A1509" s="24" t="s">
        <v>2767</v>
      </c>
      <c r="B1509" s="24" t="s">
        <v>63</v>
      </c>
      <c r="C1509" s="26" t="s">
        <v>2768</v>
      </c>
    </row>
    <row r="1510" spans="1:3" x14ac:dyDescent="0.35">
      <c r="A1510" s="24" t="s">
        <v>2767</v>
      </c>
      <c r="B1510" s="24" t="s">
        <v>63</v>
      </c>
      <c r="C1510" s="26" t="s">
        <v>2675</v>
      </c>
    </row>
    <row r="1511" spans="1:3" x14ac:dyDescent="0.35">
      <c r="A1511" s="24" t="s">
        <v>2769</v>
      </c>
      <c r="B1511" s="24" t="s">
        <v>85</v>
      </c>
      <c r="C1511" s="26" t="s">
        <v>2675</v>
      </c>
    </row>
    <row r="1512" spans="1:3" x14ac:dyDescent="0.35">
      <c r="A1512" s="24" t="s">
        <v>2770</v>
      </c>
      <c r="B1512" s="24" t="s">
        <v>107</v>
      </c>
      <c r="C1512" s="26" t="s">
        <v>2675</v>
      </c>
    </row>
    <row r="1513" spans="1:3" x14ac:dyDescent="0.35">
      <c r="A1513" s="24" t="s">
        <v>2771</v>
      </c>
      <c r="B1513" s="24" t="s">
        <v>128</v>
      </c>
      <c r="C1513" s="26" t="s">
        <v>2675</v>
      </c>
    </row>
    <row r="1514" spans="1:3" ht="58" x14ac:dyDescent="0.35">
      <c r="A1514" s="24" t="s">
        <v>2772</v>
      </c>
      <c r="B1514" s="24" t="s">
        <v>63</v>
      </c>
      <c r="C1514" s="26" t="s">
        <v>2773</v>
      </c>
    </row>
    <row r="1515" spans="1:3" x14ac:dyDescent="0.35">
      <c r="A1515" s="24" t="s">
        <v>2772</v>
      </c>
      <c r="B1515" s="24" t="s">
        <v>63</v>
      </c>
      <c r="C1515" s="26" t="s">
        <v>2675</v>
      </c>
    </row>
    <row r="1516" spans="1:3" x14ac:dyDescent="0.35">
      <c r="A1516" s="24" t="s">
        <v>2774</v>
      </c>
      <c r="B1516" s="24" t="s">
        <v>85</v>
      </c>
      <c r="C1516" s="26" t="s">
        <v>2675</v>
      </c>
    </row>
    <row r="1517" spans="1:3" ht="29" x14ac:dyDescent="0.35">
      <c r="A1517" s="24" t="s">
        <v>2775</v>
      </c>
      <c r="B1517" s="24" t="s">
        <v>107</v>
      </c>
      <c r="C1517" s="26" t="s">
        <v>2683</v>
      </c>
    </row>
    <row r="1518" spans="1:3" ht="43.5" x14ac:dyDescent="0.35">
      <c r="A1518" s="24" t="s">
        <v>2776</v>
      </c>
      <c r="B1518" s="24" t="s">
        <v>63</v>
      </c>
      <c r="C1518" s="26" t="s">
        <v>2777</v>
      </c>
    </row>
    <row r="1519" spans="1:3" x14ac:dyDescent="0.35">
      <c r="A1519" s="24" t="s">
        <v>2776</v>
      </c>
      <c r="B1519" s="24" t="s">
        <v>63</v>
      </c>
      <c r="C1519" s="26" t="s">
        <v>2675</v>
      </c>
    </row>
    <row r="1520" spans="1:3" x14ac:dyDescent="0.35">
      <c r="A1520" s="24" t="s">
        <v>2778</v>
      </c>
      <c r="B1520" s="24" t="s">
        <v>85</v>
      </c>
      <c r="C1520" s="26" t="s">
        <v>2675</v>
      </c>
    </row>
    <row r="1521" spans="1:3" x14ac:dyDescent="0.35">
      <c r="A1521" s="24" t="s">
        <v>2779</v>
      </c>
      <c r="B1521" s="24" t="s">
        <v>107</v>
      </c>
      <c r="C1521" s="26" t="s">
        <v>2675</v>
      </c>
    </row>
    <row r="1522" spans="1:3" x14ac:dyDescent="0.35">
      <c r="A1522" s="24" t="s">
        <v>2780</v>
      </c>
      <c r="B1522" s="24" t="s">
        <v>128</v>
      </c>
      <c r="C1522" s="26" t="s">
        <v>2675</v>
      </c>
    </row>
    <row r="1523" spans="1:3" ht="43.5" x14ac:dyDescent="0.35">
      <c r="A1523" s="24" t="s">
        <v>2781</v>
      </c>
      <c r="B1523" s="24" t="s">
        <v>63</v>
      </c>
      <c r="C1523" s="26" t="s">
        <v>2782</v>
      </c>
    </row>
    <row r="1524" spans="1:3" x14ac:dyDescent="0.35">
      <c r="A1524" s="24" t="s">
        <v>2781</v>
      </c>
      <c r="B1524" s="24" t="s">
        <v>63</v>
      </c>
      <c r="C1524" s="26" t="s">
        <v>2675</v>
      </c>
    </row>
    <row r="1525" spans="1:3" x14ac:dyDescent="0.35">
      <c r="A1525" s="24" t="s">
        <v>2783</v>
      </c>
      <c r="B1525" s="24" t="s">
        <v>85</v>
      </c>
      <c r="C1525" s="26" t="s">
        <v>2675</v>
      </c>
    </row>
    <row r="1526" spans="1:3" ht="29" x14ac:dyDescent="0.35">
      <c r="A1526" s="24" t="s">
        <v>2784</v>
      </c>
      <c r="B1526" s="24" t="s">
        <v>107</v>
      </c>
      <c r="C1526" s="26" t="s">
        <v>2693</v>
      </c>
    </row>
    <row r="1527" spans="1:3" x14ac:dyDescent="0.35">
      <c r="A1527" s="24" t="s">
        <v>2785</v>
      </c>
      <c r="C1527" s="26" t="s">
        <v>882</v>
      </c>
    </row>
    <row r="1528" spans="1:3" x14ac:dyDescent="0.35">
      <c r="A1528" s="24" t="s">
        <v>2786</v>
      </c>
      <c r="B1528" s="24" t="s">
        <v>63</v>
      </c>
      <c r="C1528" s="26" t="s">
        <v>2787</v>
      </c>
    </row>
    <row r="1529" spans="1:3" x14ac:dyDescent="0.35">
      <c r="A1529" s="24" t="s">
        <v>2786</v>
      </c>
      <c r="B1529" s="24" t="s">
        <v>63</v>
      </c>
      <c r="C1529" s="26" t="s">
        <v>2788</v>
      </c>
    </row>
    <row r="1530" spans="1:3" x14ac:dyDescent="0.35">
      <c r="A1530" s="24" t="s">
        <v>2789</v>
      </c>
      <c r="B1530" s="24" t="s">
        <v>85</v>
      </c>
      <c r="C1530" s="26" t="s">
        <v>2738</v>
      </c>
    </row>
    <row r="1531" spans="1:3" x14ac:dyDescent="0.35">
      <c r="A1531" s="24" t="s">
        <v>2790</v>
      </c>
      <c r="B1531" s="24" t="s">
        <v>107</v>
      </c>
      <c r="C1531" s="26" t="s">
        <v>2740</v>
      </c>
    </row>
    <row r="1532" spans="1:3" x14ac:dyDescent="0.35">
      <c r="A1532" s="24" t="s">
        <v>2791</v>
      </c>
      <c r="B1532" s="24" t="s">
        <v>128</v>
      </c>
      <c r="C1532" s="26" t="s">
        <v>2742</v>
      </c>
    </row>
    <row r="1533" spans="1:3" x14ac:dyDescent="0.35">
      <c r="A1533" s="24" t="s">
        <v>2792</v>
      </c>
      <c r="B1533" s="24" t="s">
        <v>149</v>
      </c>
      <c r="C1533" s="26" t="s">
        <v>2744</v>
      </c>
    </row>
    <row r="1534" spans="1:3" x14ac:dyDescent="0.35">
      <c r="A1534" s="24" t="s">
        <v>2793</v>
      </c>
      <c r="C1534" s="26" t="s">
        <v>890</v>
      </c>
    </row>
    <row r="1535" spans="1:3" x14ac:dyDescent="0.35">
      <c r="A1535" s="24" t="s">
        <v>2794</v>
      </c>
      <c r="B1535" s="24" t="s">
        <v>63</v>
      </c>
      <c r="C1535" s="26" t="s">
        <v>2795</v>
      </c>
    </row>
    <row r="1536" spans="1:3" x14ac:dyDescent="0.35">
      <c r="A1536" s="24" t="s">
        <v>2794</v>
      </c>
      <c r="B1536" s="24" t="s">
        <v>63</v>
      </c>
      <c r="C1536" s="26" t="s">
        <v>2796</v>
      </c>
    </row>
    <row r="1537" spans="1:3" x14ac:dyDescent="0.35">
      <c r="A1537" s="24" t="s">
        <v>2797</v>
      </c>
      <c r="B1537" s="24" t="s">
        <v>63</v>
      </c>
      <c r="C1537" s="26" t="s">
        <v>2798</v>
      </c>
    </row>
    <row r="1538" spans="1:3" x14ac:dyDescent="0.35">
      <c r="A1538" s="24" t="s">
        <v>2797</v>
      </c>
      <c r="B1538" s="24" t="s">
        <v>63</v>
      </c>
      <c r="C1538" s="26" t="s">
        <v>2738</v>
      </c>
    </row>
    <row r="1539" spans="1:3" x14ac:dyDescent="0.35">
      <c r="A1539" s="24" t="s">
        <v>2799</v>
      </c>
      <c r="B1539" s="24" t="s">
        <v>85</v>
      </c>
      <c r="C1539" s="26" t="s">
        <v>2740</v>
      </c>
    </row>
    <row r="1540" spans="1:3" x14ac:dyDescent="0.35">
      <c r="A1540" s="24" t="s">
        <v>2800</v>
      </c>
      <c r="B1540" s="24" t="s">
        <v>107</v>
      </c>
      <c r="C1540" s="26" t="s">
        <v>2742</v>
      </c>
    </row>
    <row r="1541" spans="1:3" x14ac:dyDescent="0.35">
      <c r="A1541" s="24" t="s">
        <v>2801</v>
      </c>
      <c r="B1541" s="24" t="s">
        <v>128</v>
      </c>
      <c r="C1541" s="26" t="s">
        <v>2744</v>
      </c>
    </row>
    <row r="1542" spans="1:3" x14ac:dyDescent="0.35">
      <c r="A1542" s="24" t="s">
        <v>2802</v>
      </c>
      <c r="B1542" s="24" t="s">
        <v>63</v>
      </c>
      <c r="C1542" s="26" t="s">
        <v>2803</v>
      </c>
    </row>
    <row r="1543" spans="1:3" x14ac:dyDescent="0.35">
      <c r="A1543" s="24" t="s">
        <v>2802</v>
      </c>
      <c r="B1543" s="24" t="s">
        <v>63</v>
      </c>
      <c r="C1543" s="26" t="s">
        <v>2804</v>
      </c>
    </row>
    <row r="1544" spans="1:3" x14ac:dyDescent="0.35">
      <c r="A1544" s="24" t="s">
        <v>2805</v>
      </c>
      <c r="B1544" s="24" t="s">
        <v>85</v>
      </c>
      <c r="C1544" s="26" t="s">
        <v>2738</v>
      </c>
    </row>
    <row r="1545" spans="1:3" x14ac:dyDescent="0.35">
      <c r="A1545" s="24" t="s">
        <v>2806</v>
      </c>
      <c r="B1545" s="24" t="s">
        <v>107</v>
      </c>
      <c r="C1545" s="26" t="s">
        <v>2740</v>
      </c>
    </row>
    <row r="1546" spans="1:3" x14ac:dyDescent="0.35">
      <c r="A1546" s="24" t="s">
        <v>2807</v>
      </c>
      <c r="B1546" s="24" t="s">
        <v>128</v>
      </c>
      <c r="C1546" s="26" t="s">
        <v>2742</v>
      </c>
    </row>
    <row r="1547" spans="1:3" x14ac:dyDescent="0.35">
      <c r="A1547" s="24" t="s">
        <v>2808</v>
      </c>
      <c r="B1547" s="24" t="s">
        <v>149</v>
      </c>
      <c r="C1547" s="26" t="s">
        <v>2744</v>
      </c>
    </row>
    <row r="1548" spans="1:3" x14ac:dyDescent="0.35">
      <c r="A1548" s="24" t="s">
        <v>2809</v>
      </c>
      <c r="B1548" s="24" t="s">
        <v>362</v>
      </c>
      <c r="C1548" s="26" t="s">
        <v>2810</v>
      </c>
    </row>
    <row r="1549" spans="1:3" ht="58" x14ac:dyDescent="0.35">
      <c r="A1549" s="24" t="s">
        <v>2811</v>
      </c>
      <c r="B1549" s="24" t="s">
        <v>63</v>
      </c>
      <c r="C1549" s="26" t="s">
        <v>2812</v>
      </c>
    </row>
    <row r="1550" spans="1:3" x14ac:dyDescent="0.35">
      <c r="A1550" s="24" t="s">
        <v>2811</v>
      </c>
      <c r="B1550" s="24" t="s">
        <v>63</v>
      </c>
      <c r="C1550" s="26" t="s">
        <v>2675</v>
      </c>
    </row>
    <row r="1551" spans="1:3" x14ac:dyDescent="0.35">
      <c r="A1551" s="24" t="s">
        <v>2813</v>
      </c>
      <c r="B1551" s="24" t="s">
        <v>85</v>
      </c>
      <c r="C1551" s="26" t="s">
        <v>2675</v>
      </c>
    </row>
    <row r="1552" spans="1:3" x14ac:dyDescent="0.35">
      <c r="A1552" s="24" t="s">
        <v>2814</v>
      </c>
      <c r="B1552" s="24" t="s">
        <v>107</v>
      </c>
      <c r="C1552" s="26" t="s">
        <v>2675</v>
      </c>
    </row>
    <row r="1553" spans="1:3" x14ac:dyDescent="0.35">
      <c r="A1553" s="24" t="s">
        <v>2815</v>
      </c>
      <c r="B1553" s="24" t="s">
        <v>128</v>
      </c>
      <c r="C1553" s="26" t="s">
        <v>2675</v>
      </c>
    </row>
    <row r="1554" spans="1:3" ht="58" x14ac:dyDescent="0.35">
      <c r="A1554" s="24" t="s">
        <v>2816</v>
      </c>
      <c r="B1554" s="24" t="s">
        <v>63</v>
      </c>
      <c r="C1554" s="26" t="s">
        <v>2817</v>
      </c>
    </row>
    <row r="1555" spans="1:3" x14ac:dyDescent="0.35">
      <c r="A1555" s="24" t="s">
        <v>2816</v>
      </c>
      <c r="B1555" s="24" t="s">
        <v>63</v>
      </c>
      <c r="C1555" s="26" t="s">
        <v>2675</v>
      </c>
    </row>
    <row r="1556" spans="1:3" x14ac:dyDescent="0.35">
      <c r="A1556" s="24" t="s">
        <v>2818</v>
      </c>
      <c r="B1556" s="24" t="s">
        <v>85</v>
      </c>
      <c r="C1556" s="26" t="s">
        <v>2675</v>
      </c>
    </row>
    <row r="1557" spans="1:3" ht="29" x14ac:dyDescent="0.35">
      <c r="A1557" s="24" t="s">
        <v>2819</v>
      </c>
      <c r="B1557" s="24" t="s">
        <v>107</v>
      </c>
      <c r="C1557" s="26" t="s">
        <v>2683</v>
      </c>
    </row>
    <row r="1558" spans="1:3" ht="58" x14ac:dyDescent="0.35">
      <c r="A1558" s="24" t="s">
        <v>2820</v>
      </c>
      <c r="B1558" s="24" t="s">
        <v>63</v>
      </c>
      <c r="C1558" s="26" t="s">
        <v>2821</v>
      </c>
    </row>
    <row r="1559" spans="1:3" x14ac:dyDescent="0.35">
      <c r="A1559" s="24" t="s">
        <v>2820</v>
      </c>
      <c r="B1559" s="24" t="s">
        <v>63</v>
      </c>
      <c r="C1559" s="26" t="s">
        <v>2675</v>
      </c>
    </row>
    <row r="1560" spans="1:3" x14ac:dyDescent="0.35">
      <c r="A1560" s="24" t="s">
        <v>2822</v>
      </c>
      <c r="B1560" s="24" t="s">
        <v>85</v>
      </c>
      <c r="C1560" s="26" t="s">
        <v>2675</v>
      </c>
    </row>
    <row r="1561" spans="1:3" x14ac:dyDescent="0.35">
      <c r="A1561" s="24" t="s">
        <v>2823</v>
      </c>
      <c r="B1561" s="24" t="s">
        <v>107</v>
      </c>
      <c r="C1561" s="26" t="s">
        <v>2675</v>
      </c>
    </row>
    <row r="1562" spans="1:3" x14ac:dyDescent="0.35">
      <c r="A1562" s="24" t="s">
        <v>2824</v>
      </c>
      <c r="B1562" s="24" t="s">
        <v>128</v>
      </c>
      <c r="C1562" s="26" t="s">
        <v>2675</v>
      </c>
    </row>
    <row r="1563" spans="1:3" ht="58" x14ac:dyDescent="0.35">
      <c r="A1563" s="24" t="s">
        <v>2825</v>
      </c>
      <c r="B1563" s="24" t="s">
        <v>63</v>
      </c>
      <c r="C1563" s="26" t="s">
        <v>2826</v>
      </c>
    </row>
    <row r="1564" spans="1:3" x14ac:dyDescent="0.35">
      <c r="A1564" s="24" t="s">
        <v>2825</v>
      </c>
      <c r="B1564" s="24" t="s">
        <v>63</v>
      </c>
      <c r="C1564" s="26" t="s">
        <v>2675</v>
      </c>
    </row>
    <row r="1565" spans="1:3" x14ac:dyDescent="0.35">
      <c r="A1565" s="24" t="s">
        <v>2827</v>
      </c>
      <c r="B1565" s="24" t="s">
        <v>85</v>
      </c>
      <c r="C1565" s="26" t="s">
        <v>2675</v>
      </c>
    </row>
    <row r="1566" spans="1:3" ht="29" x14ac:dyDescent="0.35">
      <c r="A1566" s="24" t="s">
        <v>2828</v>
      </c>
      <c r="B1566" s="24" t="s">
        <v>107</v>
      </c>
      <c r="C1566" s="26" t="s">
        <v>2693</v>
      </c>
    </row>
    <row r="1567" spans="1:3" x14ac:dyDescent="0.35">
      <c r="A1567" s="24" t="s">
        <v>2829</v>
      </c>
      <c r="C1567" s="26" t="s">
        <v>907</v>
      </c>
    </row>
    <row r="1568" spans="1:3" x14ac:dyDescent="0.35">
      <c r="A1568" s="24" t="s">
        <v>2830</v>
      </c>
      <c r="B1568" s="24" t="s">
        <v>63</v>
      </c>
      <c r="C1568" s="26" t="s">
        <v>2831</v>
      </c>
    </row>
    <row r="1569" spans="1:3" x14ac:dyDescent="0.35">
      <c r="A1569" s="24" t="s">
        <v>2830</v>
      </c>
      <c r="B1569" s="24" t="s">
        <v>63</v>
      </c>
      <c r="C1569" s="26" t="s">
        <v>2641</v>
      </c>
    </row>
    <row r="1570" spans="1:3" x14ac:dyDescent="0.35">
      <c r="A1570" s="24" t="s">
        <v>2832</v>
      </c>
      <c r="B1570" s="24" t="s">
        <v>85</v>
      </c>
      <c r="C1570" s="26" t="s">
        <v>2643</v>
      </c>
    </row>
    <row r="1571" spans="1:3" x14ac:dyDescent="0.35">
      <c r="A1571" s="24" t="s">
        <v>2833</v>
      </c>
      <c r="B1571" s="24" t="s">
        <v>107</v>
      </c>
      <c r="C1571" s="26" t="s">
        <v>2645</v>
      </c>
    </row>
    <row r="1572" spans="1:3" x14ac:dyDescent="0.35">
      <c r="A1572" s="24" t="s">
        <v>2834</v>
      </c>
      <c r="C1572" s="26" t="s">
        <v>916</v>
      </c>
    </row>
    <row r="1573" spans="1:3" x14ac:dyDescent="0.35">
      <c r="A1573" s="24" t="s">
        <v>2835</v>
      </c>
      <c r="B1573" s="24" t="s">
        <v>63</v>
      </c>
      <c r="C1573" s="26" t="s">
        <v>2836</v>
      </c>
    </row>
    <row r="1574" spans="1:3" x14ac:dyDescent="0.35">
      <c r="A1574" s="24" t="s">
        <v>2835</v>
      </c>
      <c r="B1574" s="24" t="s">
        <v>63</v>
      </c>
      <c r="C1574" s="26" t="s">
        <v>2641</v>
      </c>
    </row>
    <row r="1575" spans="1:3" x14ac:dyDescent="0.35">
      <c r="A1575" s="24" t="s">
        <v>2837</v>
      </c>
      <c r="B1575" s="24" t="s">
        <v>85</v>
      </c>
      <c r="C1575" s="26" t="s">
        <v>2643</v>
      </c>
    </row>
    <row r="1576" spans="1:3" x14ac:dyDescent="0.35">
      <c r="A1576" s="24" t="s">
        <v>2838</v>
      </c>
      <c r="B1576" s="24" t="s">
        <v>107</v>
      </c>
      <c r="C1576" s="26" t="s">
        <v>2645</v>
      </c>
    </row>
    <row r="1577" spans="1:3" ht="58" x14ac:dyDescent="0.35">
      <c r="A1577" s="24" t="s">
        <v>2839</v>
      </c>
      <c r="B1577" s="24" t="s">
        <v>63</v>
      </c>
      <c r="C1577" s="26" t="s">
        <v>2840</v>
      </c>
    </row>
    <row r="1578" spans="1:3" x14ac:dyDescent="0.35">
      <c r="A1578" s="24" t="s">
        <v>2839</v>
      </c>
      <c r="B1578" s="24" t="s">
        <v>63</v>
      </c>
      <c r="C1578" s="26" t="s">
        <v>2675</v>
      </c>
    </row>
    <row r="1579" spans="1:3" x14ac:dyDescent="0.35">
      <c r="A1579" s="24" t="s">
        <v>2841</v>
      </c>
      <c r="B1579" s="24" t="s">
        <v>85</v>
      </c>
      <c r="C1579" s="26" t="s">
        <v>2675</v>
      </c>
    </row>
    <row r="1580" spans="1:3" x14ac:dyDescent="0.35">
      <c r="A1580" s="24" t="s">
        <v>2842</v>
      </c>
      <c r="B1580" s="24" t="s">
        <v>107</v>
      </c>
      <c r="C1580" s="26" t="s">
        <v>2675</v>
      </c>
    </row>
    <row r="1581" spans="1:3" x14ac:dyDescent="0.35">
      <c r="A1581" s="24" t="s">
        <v>2843</v>
      </c>
      <c r="B1581" s="24" t="s">
        <v>128</v>
      </c>
      <c r="C1581" s="26" t="s">
        <v>2675</v>
      </c>
    </row>
    <row r="1582" spans="1:3" ht="58" x14ac:dyDescent="0.35">
      <c r="A1582" s="24" t="s">
        <v>2844</v>
      </c>
      <c r="B1582" s="24" t="s">
        <v>63</v>
      </c>
      <c r="C1582" s="26" t="s">
        <v>2845</v>
      </c>
    </row>
    <row r="1583" spans="1:3" x14ac:dyDescent="0.35">
      <c r="A1583" s="24" t="s">
        <v>2844</v>
      </c>
      <c r="B1583" s="24" t="s">
        <v>63</v>
      </c>
      <c r="C1583" s="26" t="s">
        <v>2675</v>
      </c>
    </row>
    <row r="1584" spans="1:3" x14ac:dyDescent="0.35">
      <c r="A1584" s="24" t="s">
        <v>2846</v>
      </c>
      <c r="B1584" s="24" t="s">
        <v>85</v>
      </c>
      <c r="C1584" s="26" t="s">
        <v>2675</v>
      </c>
    </row>
    <row r="1585" spans="1:3" ht="29" x14ac:dyDescent="0.35">
      <c r="A1585" s="24" t="s">
        <v>2847</v>
      </c>
      <c r="B1585" s="24" t="s">
        <v>107</v>
      </c>
      <c r="C1585" s="26" t="s">
        <v>2683</v>
      </c>
    </row>
    <row r="1586" spans="1:3" ht="72.5" x14ac:dyDescent="0.35">
      <c r="A1586" s="24" t="s">
        <v>2848</v>
      </c>
      <c r="B1586" s="24" t="s">
        <v>63</v>
      </c>
      <c r="C1586" s="26" t="s">
        <v>2849</v>
      </c>
    </row>
    <row r="1587" spans="1:3" x14ac:dyDescent="0.35">
      <c r="A1587" s="24" t="s">
        <v>2848</v>
      </c>
      <c r="B1587" s="24" t="s">
        <v>63</v>
      </c>
      <c r="C1587" s="26" t="s">
        <v>2675</v>
      </c>
    </row>
    <row r="1588" spans="1:3" x14ac:dyDescent="0.35">
      <c r="A1588" s="24" t="s">
        <v>2850</v>
      </c>
      <c r="B1588" s="24" t="s">
        <v>85</v>
      </c>
      <c r="C1588" s="26" t="s">
        <v>2675</v>
      </c>
    </row>
    <row r="1589" spans="1:3" x14ac:dyDescent="0.35">
      <c r="A1589" s="24" t="s">
        <v>2851</v>
      </c>
      <c r="B1589" s="24" t="s">
        <v>107</v>
      </c>
      <c r="C1589" s="26" t="s">
        <v>2675</v>
      </c>
    </row>
    <row r="1590" spans="1:3" x14ac:dyDescent="0.35">
      <c r="A1590" s="24" t="s">
        <v>2852</v>
      </c>
      <c r="B1590" s="24" t="s">
        <v>128</v>
      </c>
      <c r="C1590" s="26" t="s">
        <v>2675</v>
      </c>
    </row>
    <row r="1591" spans="1:3" ht="72.5" x14ac:dyDescent="0.35">
      <c r="A1591" s="24" t="s">
        <v>2853</v>
      </c>
      <c r="B1591" s="24" t="s">
        <v>63</v>
      </c>
      <c r="C1591" s="26" t="s">
        <v>2854</v>
      </c>
    </row>
    <row r="1592" spans="1:3" x14ac:dyDescent="0.35">
      <c r="A1592" s="24" t="s">
        <v>2853</v>
      </c>
      <c r="B1592" s="24" t="s">
        <v>63</v>
      </c>
      <c r="C1592" s="26" t="s">
        <v>2675</v>
      </c>
    </row>
    <row r="1593" spans="1:3" x14ac:dyDescent="0.35">
      <c r="A1593" s="24" t="s">
        <v>2855</v>
      </c>
      <c r="B1593" s="24" t="s">
        <v>85</v>
      </c>
      <c r="C1593" s="26" t="s">
        <v>2675</v>
      </c>
    </row>
    <row r="1594" spans="1:3" ht="29" x14ac:dyDescent="0.35">
      <c r="A1594" s="24" t="s">
        <v>2856</v>
      </c>
      <c r="B1594" s="24" t="s">
        <v>107</v>
      </c>
      <c r="C1594" s="26" t="s">
        <v>2693</v>
      </c>
    </row>
    <row r="1595" spans="1:3" x14ac:dyDescent="0.35">
      <c r="A1595" s="24" t="s">
        <v>2857</v>
      </c>
      <c r="C1595" s="26" t="s">
        <v>2858</v>
      </c>
    </row>
    <row r="1596" spans="1:3" x14ac:dyDescent="0.35">
      <c r="A1596" s="24" t="s">
        <v>2857</v>
      </c>
      <c r="C1596" s="26" t="s">
        <v>2859</v>
      </c>
    </row>
    <row r="1597" spans="1:3" x14ac:dyDescent="0.35">
      <c r="A1597" s="24" t="s">
        <v>2860</v>
      </c>
      <c r="B1597" s="24" t="s">
        <v>63</v>
      </c>
      <c r="C1597" s="26" t="s">
        <v>2861</v>
      </c>
    </row>
    <row r="1598" spans="1:3" x14ac:dyDescent="0.35">
      <c r="A1598" s="24" t="s">
        <v>2860</v>
      </c>
      <c r="B1598" s="24" t="s">
        <v>63</v>
      </c>
      <c r="C1598" s="26" t="s">
        <v>2641</v>
      </c>
    </row>
    <row r="1599" spans="1:3" x14ac:dyDescent="0.35">
      <c r="A1599" s="24" t="s">
        <v>2862</v>
      </c>
      <c r="B1599" s="24" t="s">
        <v>85</v>
      </c>
      <c r="C1599" s="26" t="s">
        <v>2643</v>
      </c>
    </row>
    <row r="1600" spans="1:3" x14ac:dyDescent="0.35">
      <c r="A1600" s="24" t="s">
        <v>2863</v>
      </c>
      <c r="B1600" s="24" t="s">
        <v>107</v>
      </c>
      <c r="C1600" s="26" t="s">
        <v>2645</v>
      </c>
    </row>
    <row r="1601" spans="1:3" x14ac:dyDescent="0.35">
      <c r="A1601" s="24" t="s">
        <v>2864</v>
      </c>
      <c r="C1601" s="26" t="s">
        <v>2865</v>
      </c>
    </row>
    <row r="1602" spans="1:3" x14ac:dyDescent="0.35">
      <c r="A1602" s="24" t="s">
        <v>2864</v>
      </c>
      <c r="C1602" s="26" t="s">
        <v>2866</v>
      </c>
    </row>
    <row r="1603" spans="1:3" ht="58" x14ac:dyDescent="0.35">
      <c r="A1603" s="24" t="s">
        <v>2867</v>
      </c>
      <c r="B1603" s="24" t="s">
        <v>63</v>
      </c>
      <c r="C1603" s="26" t="s">
        <v>2868</v>
      </c>
    </row>
    <row r="1604" spans="1:3" x14ac:dyDescent="0.35">
      <c r="A1604" s="24" t="s">
        <v>2867</v>
      </c>
      <c r="B1604" s="24" t="s">
        <v>63</v>
      </c>
      <c r="C1604" s="26" t="s">
        <v>2675</v>
      </c>
    </row>
    <row r="1605" spans="1:3" x14ac:dyDescent="0.35">
      <c r="A1605" s="24" t="s">
        <v>2869</v>
      </c>
      <c r="B1605" s="24" t="s">
        <v>85</v>
      </c>
      <c r="C1605" s="26" t="s">
        <v>2675</v>
      </c>
    </row>
    <row r="1606" spans="1:3" x14ac:dyDescent="0.35">
      <c r="A1606" s="24" t="s">
        <v>2870</v>
      </c>
      <c r="B1606" s="24" t="s">
        <v>107</v>
      </c>
      <c r="C1606" s="26" t="s">
        <v>2675</v>
      </c>
    </row>
    <row r="1607" spans="1:3" x14ac:dyDescent="0.35">
      <c r="A1607" s="24" t="s">
        <v>2871</v>
      </c>
      <c r="B1607" s="24" t="s">
        <v>128</v>
      </c>
      <c r="C1607" s="26" t="s">
        <v>2675</v>
      </c>
    </row>
    <row r="1608" spans="1:3" x14ac:dyDescent="0.35">
      <c r="A1608" s="24" t="s">
        <v>2872</v>
      </c>
      <c r="C1608" s="26" t="s">
        <v>2873</v>
      </c>
    </row>
    <row r="1609" spans="1:3" ht="58" x14ac:dyDescent="0.35">
      <c r="A1609" s="24" t="s">
        <v>2874</v>
      </c>
      <c r="B1609" s="24" t="s">
        <v>63</v>
      </c>
      <c r="C1609" s="26" t="s">
        <v>2875</v>
      </c>
    </row>
    <row r="1610" spans="1:3" x14ac:dyDescent="0.35">
      <c r="A1610" s="24" t="s">
        <v>2874</v>
      </c>
      <c r="B1610" s="24" t="s">
        <v>63</v>
      </c>
      <c r="C1610" s="26" t="s">
        <v>2675</v>
      </c>
    </row>
    <row r="1611" spans="1:3" x14ac:dyDescent="0.35">
      <c r="A1611" s="24" t="s">
        <v>2876</v>
      </c>
      <c r="B1611" s="24" t="s">
        <v>85</v>
      </c>
      <c r="C1611" s="26" t="s">
        <v>2675</v>
      </c>
    </row>
    <row r="1612" spans="1:3" ht="29" x14ac:dyDescent="0.35">
      <c r="A1612" s="24" t="s">
        <v>2877</v>
      </c>
      <c r="B1612" s="24" t="s">
        <v>107</v>
      </c>
      <c r="C1612" s="26" t="s">
        <v>2683</v>
      </c>
    </row>
    <row r="1613" spans="1:3" x14ac:dyDescent="0.35">
      <c r="A1613" s="24" t="s">
        <v>2878</v>
      </c>
      <c r="B1613" s="24" t="s">
        <v>63</v>
      </c>
      <c r="C1613" s="26" t="s">
        <v>2879</v>
      </c>
    </row>
    <row r="1614" spans="1:3" x14ac:dyDescent="0.35">
      <c r="A1614" s="24" t="s">
        <v>2878</v>
      </c>
      <c r="B1614" s="24" t="s">
        <v>63</v>
      </c>
      <c r="C1614" s="26" t="s">
        <v>2880</v>
      </c>
    </row>
    <row r="1615" spans="1:3" x14ac:dyDescent="0.35">
      <c r="A1615" s="24" t="s">
        <v>2881</v>
      </c>
      <c r="B1615" s="24" t="s">
        <v>85</v>
      </c>
      <c r="C1615" s="26" t="s">
        <v>2882</v>
      </c>
    </row>
    <row r="1616" spans="1:3" x14ac:dyDescent="0.35">
      <c r="A1616" s="24" t="s">
        <v>2883</v>
      </c>
      <c r="B1616" s="24" t="s">
        <v>107</v>
      </c>
      <c r="C1616" s="26" t="s">
        <v>2705</v>
      </c>
    </row>
    <row r="1617" spans="1:3" x14ac:dyDescent="0.35">
      <c r="A1617" s="24" t="s">
        <v>2884</v>
      </c>
      <c r="B1617" s="24" t="s">
        <v>128</v>
      </c>
      <c r="C1617" s="26" t="s">
        <v>2707</v>
      </c>
    </row>
    <row r="1618" spans="1:3" x14ac:dyDescent="0.35">
      <c r="A1618" s="24" t="s">
        <v>2885</v>
      </c>
      <c r="C1618" s="26" t="s">
        <v>2886</v>
      </c>
    </row>
    <row r="1619" spans="1:3" x14ac:dyDescent="0.35">
      <c r="A1619" s="24" t="s">
        <v>2887</v>
      </c>
      <c r="B1619" s="24" t="s">
        <v>63</v>
      </c>
      <c r="C1619" s="26" t="s">
        <v>2888</v>
      </c>
    </row>
    <row r="1620" spans="1:3" x14ac:dyDescent="0.35">
      <c r="A1620" s="24" t="s">
        <v>2887</v>
      </c>
      <c r="B1620" s="24" t="s">
        <v>63</v>
      </c>
      <c r="C1620" s="26" t="s">
        <v>2889</v>
      </c>
    </row>
    <row r="1621" spans="1:3" x14ac:dyDescent="0.35">
      <c r="A1621" s="24" t="s">
        <v>2890</v>
      </c>
      <c r="B1621" s="24" t="s">
        <v>63</v>
      </c>
      <c r="C1621" s="26" t="s">
        <v>2891</v>
      </c>
    </row>
    <row r="1622" spans="1:3" x14ac:dyDescent="0.35">
      <c r="A1622" s="24" t="s">
        <v>2890</v>
      </c>
      <c r="B1622" s="24" t="s">
        <v>63</v>
      </c>
      <c r="C1622" s="26" t="s">
        <v>2804</v>
      </c>
    </row>
    <row r="1623" spans="1:3" x14ac:dyDescent="0.35">
      <c r="A1623" s="24" t="s">
        <v>2892</v>
      </c>
      <c r="B1623" s="24" t="s">
        <v>85</v>
      </c>
      <c r="C1623" s="26" t="s">
        <v>2738</v>
      </c>
    </row>
    <row r="1624" spans="1:3" x14ac:dyDescent="0.35">
      <c r="A1624" s="24" t="s">
        <v>2893</v>
      </c>
      <c r="B1624" s="24" t="s">
        <v>107</v>
      </c>
      <c r="C1624" s="26" t="s">
        <v>2740</v>
      </c>
    </row>
    <row r="1625" spans="1:3" x14ac:dyDescent="0.35">
      <c r="A1625" s="24" t="s">
        <v>2894</v>
      </c>
      <c r="B1625" s="24" t="s">
        <v>128</v>
      </c>
      <c r="C1625" s="26" t="s">
        <v>2742</v>
      </c>
    </row>
    <row r="1626" spans="1:3" x14ac:dyDescent="0.35">
      <c r="A1626" s="24" t="s">
        <v>2895</v>
      </c>
      <c r="B1626" s="24" t="s">
        <v>149</v>
      </c>
      <c r="C1626" s="26" t="s">
        <v>2744</v>
      </c>
    </row>
    <row r="1627" spans="1:3" x14ac:dyDescent="0.35">
      <c r="A1627" s="24" t="s">
        <v>2896</v>
      </c>
      <c r="B1627" s="24" t="s">
        <v>63</v>
      </c>
      <c r="C1627" s="26" t="s">
        <v>2897</v>
      </c>
    </row>
    <row r="1628" spans="1:3" x14ac:dyDescent="0.35">
      <c r="A1628" s="24" t="s">
        <v>2896</v>
      </c>
      <c r="B1628" s="24" t="s">
        <v>63</v>
      </c>
      <c r="C1628" s="26" t="s">
        <v>2804</v>
      </c>
    </row>
    <row r="1629" spans="1:3" x14ac:dyDescent="0.35">
      <c r="A1629" s="24" t="s">
        <v>2898</v>
      </c>
      <c r="B1629" s="24" t="s">
        <v>85</v>
      </c>
      <c r="C1629" s="26" t="s">
        <v>2738</v>
      </c>
    </row>
    <row r="1630" spans="1:3" x14ac:dyDescent="0.35">
      <c r="A1630" s="24" t="s">
        <v>2899</v>
      </c>
      <c r="B1630" s="24" t="s">
        <v>107</v>
      </c>
      <c r="C1630" s="26" t="s">
        <v>2740</v>
      </c>
    </row>
    <row r="1631" spans="1:3" x14ac:dyDescent="0.35">
      <c r="A1631" s="24" t="s">
        <v>2900</v>
      </c>
      <c r="B1631" s="24" t="s">
        <v>128</v>
      </c>
      <c r="C1631" s="26" t="s">
        <v>2742</v>
      </c>
    </row>
    <row r="1632" spans="1:3" x14ac:dyDescent="0.35">
      <c r="A1632" s="24" t="s">
        <v>2901</v>
      </c>
      <c r="B1632" s="24" t="s">
        <v>149</v>
      </c>
      <c r="C1632" s="26" t="s">
        <v>2744</v>
      </c>
    </row>
    <row r="1633" spans="1:3" ht="58" x14ac:dyDescent="0.35">
      <c r="A1633" s="24" t="s">
        <v>2902</v>
      </c>
      <c r="B1633" s="24" t="s">
        <v>63</v>
      </c>
      <c r="C1633" s="26" t="s">
        <v>2903</v>
      </c>
    </row>
    <row r="1634" spans="1:3" x14ac:dyDescent="0.35">
      <c r="A1634" s="24" t="s">
        <v>2902</v>
      </c>
      <c r="B1634" s="24" t="s">
        <v>63</v>
      </c>
      <c r="C1634" s="26" t="s">
        <v>2675</v>
      </c>
    </row>
    <row r="1635" spans="1:3" x14ac:dyDescent="0.35">
      <c r="A1635" s="24" t="s">
        <v>2904</v>
      </c>
      <c r="B1635" s="24" t="s">
        <v>85</v>
      </c>
      <c r="C1635" s="26" t="s">
        <v>2675</v>
      </c>
    </row>
    <row r="1636" spans="1:3" x14ac:dyDescent="0.35">
      <c r="A1636" s="24" t="s">
        <v>2905</v>
      </c>
      <c r="B1636" s="24" t="s">
        <v>107</v>
      </c>
      <c r="C1636" s="26" t="s">
        <v>2675</v>
      </c>
    </row>
    <row r="1637" spans="1:3" x14ac:dyDescent="0.35">
      <c r="A1637" s="24" t="s">
        <v>2906</v>
      </c>
      <c r="B1637" s="24" t="s">
        <v>128</v>
      </c>
      <c r="C1637" s="26" t="s">
        <v>2675</v>
      </c>
    </row>
    <row r="1638" spans="1:3" ht="58" x14ac:dyDescent="0.35">
      <c r="A1638" s="24" t="s">
        <v>2907</v>
      </c>
      <c r="B1638" s="24" t="s">
        <v>63</v>
      </c>
      <c r="C1638" s="26" t="s">
        <v>2908</v>
      </c>
    </row>
    <row r="1639" spans="1:3" x14ac:dyDescent="0.35">
      <c r="A1639" s="24" t="s">
        <v>2907</v>
      </c>
      <c r="B1639" s="24" t="s">
        <v>63</v>
      </c>
      <c r="C1639" s="26" t="s">
        <v>2675</v>
      </c>
    </row>
    <row r="1640" spans="1:3" x14ac:dyDescent="0.35">
      <c r="A1640" s="24" t="s">
        <v>2909</v>
      </c>
      <c r="B1640" s="24" t="s">
        <v>85</v>
      </c>
      <c r="C1640" s="26" t="s">
        <v>2675</v>
      </c>
    </row>
    <row r="1641" spans="1:3" ht="29" x14ac:dyDescent="0.35">
      <c r="A1641" s="24" t="s">
        <v>2910</v>
      </c>
      <c r="B1641" s="24" t="s">
        <v>107</v>
      </c>
      <c r="C1641" s="26" t="s">
        <v>2683</v>
      </c>
    </row>
    <row r="1642" spans="1:3" ht="58" x14ac:dyDescent="0.35">
      <c r="A1642" s="24" t="s">
        <v>2911</v>
      </c>
      <c r="B1642" s="24" t="s">
        <v>63</v>
      </c>
      <c r="C1642" s="26" t="s">
        <v>2912</v>
      </c>
    </row>
    <row r="1643" spans="1:3" x14ac:dyDescent="0.35">
      <c r="A1643" s="24" t="s">
        <v>2911</v>
      </c>
      <c r="B1643" s="24" t="s">
        <v>63</v>
      </c>
      <c r="C1643" s="26" t="s">
        <v>2675</v>
      </c>
    </row>
    <row r="1644" spans="1:3" x14ac:dyDescent="0.35">
      <c r="A1644" s="24" t="s">
        <v>2913</v>
      </c>
      <c r="B1644" s="24" t="s">
        <v>85</v>
      </c>
      <c r="C1644" s="26" t="s">
        <v>2675</v>
      </c>
    </row>
    <row r="1645" spans="1:3" x14ac:dyDescent="0.35">
      <c r="A1645" s="24" t="s">
        <v>2914</v>
      </c>
      <c r="B1645" s="24" t="s">
        <v>107</v>
      </c>
      <c r="C1645" s="26" t="s">
        <v>2675</v>
      </c>
    </row>
    <row r="1646" spans="1:3" x14ac:dyDescent="0.35">
      <c r="A1646" s="24" t="s">
        <v>2915</v>
      </c>
      <c r="B1646" s="24" t="s">
        <v>128</v>
      </c>
      <c r="C1646" s="26" t="s">
        <v>2675</v>
      </c>
    </row>
    <row r="1647" spans="1:3" ht="58" x14ac:dyDescent="0.35">
      <c r="A1647" s="24" t="s">
        <v>2916</v>
      </c>
      <c r="B1647" s="24" t="s">
        <v>63</v>
      </c>
      <c r="C1647" s="26" t="s">
        <v>2917</v>
      </c>
    </row>
    <row r="1648" spans="1:3" x14ac:dyDescent="0.35">
      <c r="A1648" s="24" t="s">
        <v>2916</v>
      </c>
      <c r="B1648" s="24" t="s">
        <v>63</v>
      </c>
      <c r="C1648" s="26" t="s">
        <v>2675</v>
      </c>
    </row>
    <row r="1649" spans="1:3" x14ac:dyDescent="0.35">
      <c r="A1649" s="24" t="s">
        <v>2918</v>
      </c>
      <c r="B1649" s="24" t="s">
        <v>85</v>
      </c>
      <c r="C1649" s="26" t="s">
        <v>2675</v>
      </c>
    </row>
    <row r="1650" spans="1:3" ht="29" x14ac:dyDescent="0.35">
      <c r="A1650" s="24" t="s">
        <v>2919</v>
      </c>
      <c r="B1650" s="24" t="s">
        <v>107</v>
      </c>
      <c r="C1650" s="26" t="s">
        <v>2693</v>
      </c>
    </row>
    <row r="1651" spans="1:3" x14ac:dyDescent="0.35">
      <c r="A1651" s="24" t="s">
        <v>2920</v>
      </c>
      <c r="C1651" s="26" t="s">
        <v>960</v>
      </c>
    </row>
    <row r="1652" spans="1:3" x14ac:dyDescent="0.35">
      <c r="A1652" s="24" t="s">
        <v>2921</v>
      </c>
      <c r="B1652" s="24" t="s">
        <v>63</v>
      </c>
      <c r="C1652" s="26" t="s">
        <v>2922</v>
      </c>
    </row>
    <row r="1653" spans="1:3" x14ac:dyDescent="0.35">
      <c r="A1653" s="24" t="s">
        <v>2921</v>
      </c>
      <c r="B1653" s="24" t="s">
        <v>63</v>
      </c>
      <c r="C1653" s="26" t="s">
        <v>2804</v>
      </c>
    </row>
    <row r="1654" spans="1:3" x14ac:dyDescent="0.35">
      <c r="A1654" s="24" t="s">
        <v>2923</v>
      </c>
      <c r="B1654" s="24" t="s">
        <v>85</v>
      </c>
      <c r="C1654" s="26" t="s">
        <v>2738</v>
      </c>
    </row>
    <row r="1655" spans="1:3" x14ac:dyDescent="0.35">
      <c r="A1655" s="24" t="s">
        <v>2924</v>
      </c>
      <c r="B1655" s="24" t="s">
        <v>107</v>
      </c>
      <c r="C1655" s="26" t="s">
        <v>2740</v>
      </c>
    </row>
    <row r="1656" spans="1:3" x14ac:dyDescent="0.35">
      <c r="A1656" s="24" t="s">
        <v>2925</v>
      </c>
      <c r="B1656" s="24" t="s">
        <v>128</v>
      </c>
      <c r="C1656" s="26" t="s">
        <v>2742</v>
      </c>
    </row>
    <row r="1657" spans="1:3" x14ac:dyDescent="0.35">
      <c r="A1657" s="24" t="s">
        <v>2926</v>
      </c>
      <c r="B1657" s="24" t="s">
        <v>149</v>
      </c>
      <c r="C1657" s="26" t="s">
        <v>2744</v>
      </c>
    </row>
    <row r="1658" spans="1:3" x14ac:dyDescent="0.35">
      <c r="A1658" s="24" t="s">
        <v>2927</v>
      </c>
      <c r="C1658" s="26" t="s">
        <v>968</v>
      </c>
    </row>
    <row r="1659" spans="1:3" x14ac:dyDescent="0.35">
      <c r="A1659" s="24" t="s">
        <v>2928</v>
      </c>
      <c r="B1659" s="24" t="s">
        <v>63</v>
      </c>
      <c r="C1659" s="26" t="s">
        <v>2929</v>
      </c>
    </row>
    <row r="1660" spans="1:3" x14ac:dyDescent="0.35">
      <c r="A1660" s="24" t="s">
        <v>2928</v>
      </c>
      <c r="B1660" s="24" t="s">
        <v>63</v>
      </c>
      <c r="C1660" s="26" t="s">
        <v>2804</v>
      </c>
    </row>
    <row r="1661" spans="1:3" x14ac:dyDescent="0.35">
      <c r="A1661" s="24" t="s">
        <v>2930</v>
      </c>
      <c r="B1661" s="24" t="s">
        <v>85</v>
      </c>
      <c r="C1661" s="26" t="s">
        <v>2738</v>
      </c>
    </row>
    <row r="1662" spans="1:3" x14ac:dyDescent="0.35">
      <c r="A1662" s="24" t="s">
        <v>2931</v>
      </c>
      <c r="B1662" s="24" t="s">
        <v>107</v>
      </c>
      <c r="C1662" s="26" t="s">
        <v>2740</v>
      </c>
    </row>
    <row r="1663" spans="1:3" x14ac:dyDescent="0.35">
      <c r="A1663" s="24" t="s">
        <v>2932</v>
      </c>
      <c r="B1663" s="24" t="s">
        <v>128</v>
      </c>
      <c r="C1663" s="26" t="s">
        <v>2742</v>
      </c>
    </row>
    <row r="1664" spans="1:3" x14ac:dyDescent="0.35">
      <c r="A1664" s="24" t="s">
        <v>2933</v>
      </c>
      <c r="B1664" s="24" t="s">
        <v>149</v>
      </c>
      <c r="C1664" s="26" t="s">
        <v>2744</v>
      </c>
    </row>
    <row r="1665" spans="1:3" x14ac:dyDescent="0.35">
      <c r="A1665" s="24" t="s">
        <v>2934</v>
      </c>
      <c r="B1665" s="24" t="s">
        <v>63</v>
      </c>
      <c r="C1665" s="26" t="s">
        <v>2935</v>
      </c>
    </row>
    <row r="1666" spans="1:3" x14ac:dyDescent="0.35">
      <c r="A1666" s="24" t="s">
        <v>2934</v>
      </c>
      <c r="B1666" s="24" t="s">
        <v>63</v>
      </c>
      <c r="C1666" s="26" t="s">
        <v>2804</v>
      </c>
    </row>
    <row r="1667" spans="1:3" x14ac:dyDescent="0.35">
      <c r="A1667" s="24" t="s">
        <v>2936</v>
      </c>
      <c r="B1667" s="24" t="s">
        <v>85</v>
      </c>
      <c r="C1667" s="26" t="s">
        <v>2738</v>
      </c>
    </row>
    <row r="1668" spans="1:3" x14ac:dyDescent="0.35">
      <c r="A1668" s="24" t="s">
        <v>2937</v>
      </c>
      <c r="B1668" s="24" t="s">
        <v>107</v>
      </c>
      <c r="C1668" s="26" t="s">
        <v>2740</v>
      </c>
    </row>
    <row r="1669" spans="1:3" x14ac:dyDescent="0.35">
      <c r="A1669" s="24" t="s">
        <v>2938</v>
      </c>
      <c r="B1669" s="24" t="s">
        <v>128</v>
      </c>
      <c r="C1669" s="26" t="s">
        <v>2742</v>
      </c>
    </row>
    <row r="1670" spans="1:3" x14ac:dyDescent="0.35">
      <c r="A1670" s="24" t="s">
        <v>2939</v>
      </c>
      <c r="B1670" s="24" t="s">
        <v>149</v>
      </c>
      <c r="C1670" s="26" t="s">
        <v>2744</v>
      </c>
    </row>
    <row r="1671" spans="1:3" x14ac:dyDescent="0.35">
      <c r="A1671" s="24" t="s">
        <v>2940</v>
      </c>
      <c r="C1671" s="26" t="s">
        <v>2941</v>
      </c>
    </row>
    <row r="1672" spans="1:3" ht="58" x14ac:dyDescent="0.35">
      <c r="A1672" s="24" t="s">
        <v>2942</v>
      </c>
      <c r="B1672" s="24" t="s">
        <v>63</v>
      </c>
      <c r="C1672" s="26" t="s">
        <v>2943</v>
      </c>
    </row>
    <row r="1673" spans="1:3" x14ac:dyDescent="0.35">
      <c r="A1673" s="24" t="s">
        <v>2942</v>
      </c>
      <c r="B1673" s="24" t="s">
        <v>63</v>
      </c>
      <c r="C1673" s="26" t="s">
        <v>2675</v>
      </c>
    </row>
    <row r="1674" spans="1:3" x14ac:dyDescent="0.35">
      <c r="A1674" s="24" t="s">
        <v>2944</v>
      </c>
      <c r="B1674" s="24" t="s">
        <v>85</v>
      </c>
      <c r="C1674" s="26" t="s">
        <v>2675</v>
      </c>
    </row>
    <row r="1675" spans="1:3" x14ac:dyDescent="0.35">
      <c r="A1675" s="24" t="s">
        <v>2945</v>
      </c>
      <c r="B1675" s="24" t="s">
        <v>107</v>
      </c>
      <c r="C1675" s="26" t="s">
        <v>2675</v>
      </c>
    </row>
    <row r="1676" spans="1:3" x14ac:dyDescent="0.35">
      <c r="A1676" s="24" t="s">
        <v>2946</v>
      </c>
      <c r="B1676" s="24" t="s">
        <v>128</v>
      </c>
      <c r="C1676" s="26" t="s">
        <v>2675</v>
      </c>
    </row>
    <row r="1677" spans="1:3" x14ac:dyDescent="0.35">
      <c r="A1677" s="24" t="s">
        <v>2947</v>
      </c>
      <c r="C1677" s="26" t="s">
        <v>2948</v>
      </c>
    </row>
    <row r="1678" spans="1:3" ht="58" x14ac:dyDescent="0.35">
      <c r="A1678" s="24" t="s">
        <v>2949</v>
      </c>
      <c r="B1678" s="24" t="s">
        <v>63</v>
      </c>
      <c r="C1678" s="26" t="s">
        <v>2950</v>
      </c>
    </row>
    <row r="1679" spans="1:3" x14ac:dyDescent="0.35">
      <c r="A1679" s="24" t="s">
        <v>2949</v>
      </c>
      <c r="B1679" s="24" t="s">
        <v>63</v>
      </c>
      <c r="C1679" s="26" t="s">
        <v>2675</v>
      </c>
    </row>
    <row r="1680" spans="1:3" x14ac:dyDescent="0.35">
      <c r="A1680" s="24" t="s">
        <v>2951</v>
      </c>
      <c r="B1680" s="24" t="s">
        <v>85</v>
      </c>
      <c r="C1680" s="26" t="s">
        <v>2675</v>
      </c>
    </row>
    <row r="1681" spans="1:3" ht="29" x14ac:dyDescent="0.35">
      <c r="A1681" s="24" t="s">
        <v>2952</v>
      </c>
      <c r="B1681" s="24" t="s">
        <v>107</v>
      </c>
      <c r="C1681" s="26" t="s">
        <v>2683</v>
      </c>
    </row>
    <row r="1682" spans="1:3" ht="58" x14ac:dyDescent="0.35">
      <c r="A1682" s="24" t="s">
        <v>2953</v>
      </c>
      <c r="B1682" s="24" t="s">
        <v>63</v>
      </c>
      <c r="C1682" s="26" t="s">
        <v>2954</v>
      </c>
    </row>
    <row r="1683" spans="1:3" x14ac:dyDescent="0.35">
      <c r="A1683" s="24" t="s">
        <v>2953</v>
      </c>
      <c r="B1683" s="24" t="s">
        <v>63</v>
      </c>
      <c r="C1683" s="26" t="s">
        <v>2675</v>
      </c>
    </row>
    <row r="1684" spans="1:3" x14ac:dyDescent="0.35">
      <c r="A1684" s="24" t="s">
        <v>2955</v>
      </c>
      <c r="B1684" s="24" t="s">
        <v>85</v>
      </c>
      <c r="C1684" s="26" t="s">
        <v>2675</v>
      </c>
    </row>
    <row r="1685" spans="1:3" x14ac:dyDescent="0.35">
      <c r="A1685" s="24" t="s">
        <v>2956</v>
      </c>
      <c r="B1685" s="24" t="s">
        <v>107</v>
      </c>
      <c r="C1685" s="26" t="s">
        <v>2675</v>
      </c>
    </row>
    <row r="1686" spans="1:3" x14ac:dyDescent="0.35">
      <c r="A1686" s="24" t="s">
        <v>2957</v>
      </c>
      <c r="B1686" s="24" t="s">
        <v>128</v>
      </c>
      <c r="C1686" s="26" t="s">
        <v>2675</v>
      </c>
    </row>
    <row r="1687" spans="1:3" ht="58" x14ac:dyDescent="0.35">
      <c r="A1687" s="24" t="s">
        <v>2958</v>
      </c>
      <c r="B1687" s="24" t="s">
        <v>63</v>
      </c>
      <c r="C1687" s="26" t="s">
        <v>2959</v>
      </c>
    </row>
    <row r="1688" spans="1:3" x14ac:dyDescent="0.35">
      <c r="A1688" s="24" t="s">
        <v>2958</v>
      </c>
      <c r="B1688" s="24" t="s">
        <v>63</v>
      </c>
      <c r="C1688" s="26" t="s">
        <v>2675</v>
      </c>
    </row>
    <row r="1689" spans="1:3" x14ac:dyDescent="0.35">
      <c r="A1689" s="24" t="s">
        <v>2960</v>
      </c>
      <c r="B1689" s="24" t="s">
        <v>85</v>
      </c>
      <c r="C1689" s="26" t="s">
        <v>2675</v>
      </c>
    </row>
    <row r="1690" spans="1:3" ht="29" x14ac:dyDescent="0.35">
      <c r="A1690" s="24" t="s">
        <v>2961</v>
      </c>
      <c r="B1690" s="24" t="s">
        <v>107</v>
      </c>
      <c r="C1690" s="26" t="s">
        <v>2683</v>
      </c>
    </row>
    <row r="1691" spans="1:3" ht="58" x14ac:dyDescent="0.35">
      <c r="A1691" s="24" t="s">
        <v>2962</v>
      </c>
      <c r="B1691" s="24" t="s">
        <v>63</v>
      </c>
      <c r="C1691" s="26" t="s">
        <v>2963</v>
      </c>
    </row>
    <row r="1692" spans="1:3" x14ac:dyDescent="0.35">
      <c r="A1692" s="24" t="s">
        <v>2962</v>
      </c>
      <c r="B1692" s="24" t="s">
        <v>63</v>
      </c>
      <c r="C1692" s="26" t="s">
        <v>2675</v>
      </c>
    </row>
    <row r="1693" spans="1:3" x14ac:dyDescent="0.35">
      <c r="A1693" s="24" t="s">
        <v>2964</v>
      </c>
      <c r="B1693" s="24" t="s">
        <v>85</v>
      </c>
      <c r="C1693" s="26" t="s">
        <v>2675</v>
      </c>
    </row>
    <row r="1694" spans="1:3" x14ac:dyDescent="0.35">
      <c r="A1694" s="24" t="s">
        <v>2965</v>
      </c>
      <c r="B1694" s="24" t="s">
        <v>107</v>
      </c>
      <c r="C1694" s="26" t="s">
        <v>2675</v>
      </c>
    </row>
    <row r="1695" spans="1:3" x14ac:dyDescent="0.35">
      <c r="A1695" s="24" t="s">
        <v>2966</v>
      </c>
      <c r="B1695" s="24" t="s">
        <v>128</v>
      </c>
      <c r="C1695" s="26" t="s">
        <v>2675</v>
      </c>
    </row>
    <row r="1696" spans="1:3" ht="58" x14ac:dyDescent="0.35">
      <c r="A1696" s="24" t="s">
        <v>2967</v>
      </c>
      <c r="B1696" s="24" t="s">
        <v>63</v>
      </c>
      <c r="C1696" s="26" t="s">
        <v>2968</v>
      </c>
    </row>
    <row r="1697" spans="1:3" x14ac:dyDescent="0.35">
      <c r="A1697" s="24" t="s">
        <v>2967</v>
      </c>
      <c r="B1697" s="24" t="s">
        <v>63</v>
      </c>
      <c r="C1697" s="26" t="s">
        <v>2675</v>
      </c>
    </row>
    <row r="1698" spans="1:3" x14ac:dyDescent="0.35">
      <c r="A1698" s="24" t="s">
        <v>2969</v>
      </c>
      <c r="B1698" s="24" t="s">
        <v>85</v>
      </c>
      <c r="C1698" s="26" t="s">
        <v>2675</v>
      </c>
    </row>
    <row r="1699" spans="1:3" ht="29" x14ac:dyDescent="0.35">
      <c r="A1699" s="24" t="s">
        <v>2970</v>
      </c>
      <c r="B1699" s="24" t="s">
        <v>107</v>
      </c>
      <c r="C1699" s="26" t="s">
        <v>2693</v>
      </c>
    </row>
    <row r="1700" spans="1:3" x14ac:dyDescent="0.35">
      <c r="A1700" s="24" t="s">
        <v>2971</v>
      </c>
      <c r="C1700" s="26" t="s">
        <v>1008</v>
      </c>
    </row>
    <row r="1701" spans="1:3" x14ac:dyDescent="0.35">
      <c r="A1701" s="24" t="s">
        <v>2972</v>
      </c>
      <c r="B1701" s="24" t="s">
        <v>63</v>
      </c>
      <c r="C1701" s="26" t="s">
        <v>2973</v>
      </c>
    </row>
    <row r="1702" spans="1:3" x14ac:dyDescent="0.35">
      <c r="A1702" s="24" t="s">
        <v>2972</v>
      </c>
      <c r="B1702" s="24" t="s">
        <v>63</v>
      </c>
      <c r="C1702" s="26" t="s">
        <v>2738</v>
      </c>
    </row>
    <row r="1703" spans="1:3" x14ac:dyDescent="0.35">
      <c r="A1703" s="24" t="s">
        <v>2974</v>
      </c>
      <c r="B1703" s="24" t="s">
        <v>85</v>
      </c>
      <c r="C1703" s="26" t="s">
        <v>2740</v>
      </c>
    </row>
    <row r="1704" spans="1:3" x14ac:dyDescent="0.35">
      <c r="A1704" s="24" t="s">
        <v>2975</v>
      </c>
      <c r="B1704" s="24" t="s">
        <v>107</v>
      </c>
      <c r="C1704" s="26" t="s">
        <v>2742</v>
      </c>
    </row>
    <row r="1705" spans="1:3" x14ac:dyDescent="0.35">
      <c r="A1705" s="24" t="s">
        <v>2976</v>
      </c>
      <c r="B1705" s="24" t="s">
        <v>128</v>
      </c>
      <c r="C1705" s="26" t="s">
        <v>2744</v>
      </c>
    </row>
    <row r="1706" spans="1:3" x14ac:dyDescent="0.35">
      <c r="A1706" s="24" t="s">
        <v>2977</v>
      </c>
      <c r="C1706" s="26" t="s">
        <v>1017</v>
      </c>
    </row>
    <row r="1707" spans="1:3" ht="58" x14ac:dyDescent="0.35">
      <c r="A1707" s="24" t="s">
        <v>2978</v>
      </c>
      <c r="B1707" s="24" t="s">
        <v>63</v>
      </c>
      <c r="C1707" s="26" t="s">
        <v>2979</v>
      </c>
    </row>
    <row r="1708" spans="1:3" x14ac:dyDescent="0.35">
      <c r="A1708" s="24" t="s">
        <v>2978</v>
      </c>
      <c r="B1708" s="24" t="s">
        <v>63</v>
      </c>
      <c r="C1708" s="26" t="s">
        <v>2675</v>
      </c>
    </row>
    <row r="1709" spans="1:3" x14ac:dyDescent="0.35">
      <c r="A1709" s="24" t="s">
        <v>2980</v>
      </c>
      <c r="B1709" s="24" t="s">
        <v>85</v>
      </c>
      <c r="C1709" s="26" t="s">
        <v>2675</v>
      </c>
    </row>
    <row r="1710" spans="1:3" x14ac:dyDescent="0.35">
      <c r="A1710" s="24" t="s">
        <v>2981</v>
      </c>
      <c r="B1710" s="24" t="s">
        <v>107</v>
      </c>
      <c r="C1710" s="26" t="s">
        <v>2675</v>
      </c>
    </row>
    <row r="1711" spans="1:3" x14ac:dyDescent="0.35">
      <c r="A1711" s="24" t="s">
        <v>2982</v>
      </c>
      <c r="B1711" s="24" t="s">
        <v>128</v>
      </c>
      <c r="C1711" s="26" t="s">
        <v>2675</v>
      </c>
    </row>
    <row r="1712" spans="1:3" ht="58" x14ac:dyDescent="0.35">
      <c r="A1712" s="24" t="s">
        <v>2983</v>
      </c>
      <c r="B1712" s="24" t="s">
        <v>63</v>
      </c>
      <c r="C1712" s="26" t="s">
        <v>2984</v>
      </c>
    </row>
    <row r="1713" spans="1:3" x14ac:dyDescent="0.35">
      <c r="A1713" s="24" t="s">
        <v>2983</v>
      </c>
      <c r="B1713" s="24" t="s">
        <v>63</v>
      </c>
      <c r="C1713" s="26" t="s">
        <v>2675</v>
      </c>
    </row>
    <row r="1714" spans="1:3" x14ac:dyDescent="0.35">
      <c r="A1714" s="24" t="s">
        <v>2985</v>
      </c>
      <c r="B1714" s="24" t="s">
        <v>85</v>
      </c>
      <c r="C1714" s="26" t="s">
        <v>2675</v>
      </c>
    </row>
    <row r="1715" spans="1:3" ht="29" x14ac:dyDescent="0.35">
      <c r="A1715" s="24" t="s">
        <v>2986</v>
      </c>
      <c r="B1715" s="24" t="s">
        <v>107</v>
      </c>
      <c r="C1715" s="26" t="s">
        <v>2683</v>
      </c>
    </row>
    <row r="1716" spans="1:3" ht="58" x14ac:dyDescent="0.35">
      <c r="A1716" s="24" t="s">
        <v>2987</v>
      </c>
      <c r="B1716" s="24" t="s">
        <v>63</v>
      </c>
      <c r="C1716" s="26" t="s">
        <v>2988</v>
      </c>
    </row>
    <row r="1717" spans="1:3" x14ac:dyDescent="0.35">
      <c r="A1717" s="24" t="s">
        <v>2987</v>
      </c>
      <c r="B1717" s="24" t="s">
        <v>63</v>
      </c>
      <c r="C1717" s="26" t="s">
        <v>2675</v>
      </c>
    </row>
    <row r="1718" spans="1:3" x14ac:dyDescent="0.35">
      <c r="A1718" s="24" t="s">
        <v>2989</v>
      </c>
      <c r="B1718" s="24" t="s">
        <v>85</v>
      </c>
      <c r="C1718" s="26" t="s">
        <v>2675</v>
      </c>
    </row>
    <row r="1719" spans="1:3" x14ac:dyDescent="0.35">
      <c r="A1719" s="24" t="s">
        <v>2990</v>
      </c>
      <c r="B1719" s="24" t="s">
        <v>107</v>
      </c>
      <c r="C1719" s="26" t="s">
        <v>2675</v>
      </c>
    </row>
    <row r="1720" spans="1:3" x14ac:dyDescent="0.35">
      <c r="A1720" s="24" t="s">
        <v>2991</v>
      </c>
      <c r="B1720" s="24" t="s">
        <v>128</v>
      </c>
      <c r="C1720" s="26" t="s">
        <v>2675</v>
      </c>
    </row>
    <row r="1721" spans="1:3" ht="58" x14ac:dyDescent="0.35">
      <c r="A1721" s="24" t="s">
        <v>2992</v>
      </c>
      <c r="B1721" s="24" t="s">
        <v>63</v>
      </c>
      <c r="C1721" s="26" t="s">
        <v>2993</v>
      </c>
    </row>
    <row r="1722" spans="1:3" x14ac:dyDescent="0.35">
      <c r="A1722" s="24" t="s">
        <v>2992</v>
      </c>
      <c r="B1722" s="24" t="s">
        <v>63</v>
      </c>
      <c r="C1722" s="26" t="s">
        <v>2675</v>
      </c>
    </row>
    <row r="1723" spans="1:3" x14ac:dyDescent="0.35">
      <c r="A1723" s="24" t="s">
        <v>2994</v>
      </c>
      <c r="B1723" s="24" t="s">
        <v>85</v>
      </c>
      <c r="C1723" s="26" t="s">
        <v>2675</v>
      </c>
    </row>
    <row r="1724" spans="1:3" ht="29" x14ac:dyDescent="0.35">
      <c r="A1724" s="24" t="s">
        <v>2995</v>
      </c>
      <c r="B1724" s="24" t="s">
        <v>107</v>
      </c>
      <c r="C1724" s="26" t="s">
        <v>2693</v>
      </c>
    </row>
    <row r="1725" spans="1:3" x14ac:dyDescent="0.35">
      <c r="A1725" s="24" t="s">
        <v>2996</v>
      </c>
      <c r="C1725" s="26" t="s">
        <v>1022</v>
      </c>
    </row>
    <row r="1726" spans="1:3" x14ac:dyDescent="0.35">
      <c r="A1726" s="24" t="s">
        <v>2997</v>
      </c>
      <c r="B1726" s="24" t="s">
        <v>63</v>
      </c>
      <c r="C1726" s="26" t="s">
        <v>2998</v>
      </c>
    </row>
    <row r="1727" spans="1:3" x14ac:dyDescent="0.35">
      <c r="A1727" s="24" t="s">
        <v>2997</v>
      </c>
      <c r="B1727" s="24" t="s">
        <v>63</v>
      </c>
      <c r="C1727" s="26" t="s">
        <v>2999</v>
      </c>
    </row>
    <row r="1728" spans="1:3" x14ac:dyDescent="0.35">
      <c r="A1728" s="24" t="s">
        <v>3000</v>
      </c>
      <c r="C1728" s="26" t="s">
        <v>1029</v>
      </c>
    </row>
    <row r="1729" spans="1:3" x14ac:dyDescent="0.35">
      <c r="A1729" s="24" t="s">
        <v>3001</v>
      </c>
      <c r="B1729" s="24" t="s">
        <v>63</v>
      </c>
      <c r="C1729" s="26" t="s">
        <v>3002</v>
      </c>
    </row>
    <row r="1730" spans="1:3" x14ac:dyDescent="0.35">
      <c r="A1730" s="24" t="s">
        <v>3001</v>
      </c>
      <c r="B1730" s="24" t="s">
        <v>63</v>
      </c>
      <c r="C1730" s="26" t="s">
        <v>3003</v>
      </c>
    </row>
    <row r="1731" spans="1:3" ht="58" x14ac:dyDescent="0.35">
      <c r="A1731" s="24" t="s">
        <v>3004</v>
      </c>
      <c r="B1731" s="24" t="s">
        <v>63</v>
      </c>
      <c r="C1731" s="26" t="s">
        <v>3005</v>
      </c>
    </row>
    <row r="1732" spans="1:3" x14ac:dyDescent="0.35">
      <c r="A1732" s="24" t="s">
        <v>3004</v>
      </c>
      <c r="B1732" s="24" t="s">
        <v>63</v>
      </c>
      <c r="C1732" s="26" t="s">
        <v>2675</v>
      </c>
    </row>
    <row r="1733" spans="1:3" x14ac:dyDescent="0.35">
      <c r="A1733" s="24" t="s">
        <v>3006</v>
      </c>
      <c r="B1733" s="24" t="s">
        <v>85</v>
      </c>
      <c r="C1733" s="26" t="s">
        <v>2675</v>
      </c>
    </row>
    <row r="1734" spans="1:3" x14ac:dyDescent="0.35">
      <c r="A1734" s="24" t="s">
        <v>3007</v>
      </c>
      <c r="B1734" s="24" t="s">
        <v>107</v>
      </c>
      <c r="C1734" s="26" t="s">
        <v>2675</v>
      </c>
    </row>
    <row r="1735" spans="1:3" x14ac:dyDescent="0.35">
      <c r="A1735" s="24" t="s">
        <v>3008</v>
      </c>
      <c r="B1735" s="24" t="s">
        <v>128</v>
      </c>
      <c r="C1735" s="26" t="s">
        <v>2675</v>
      </c>
    </row>
    <row r="1736" spans="1:3" ht="58" x14ac:dyDescent="0.35">
      <c r="A1736" s="24" t="s">
        <v>3009</v>
      </c>
      <c r="B1736" s="24" t="s">
        <v>63</v>
      </c>
      <c r="C1736" s="26" t="s">
        <v>3010</v>
      </c>
    </row>
    <row r="1737" spans="1:3" x14ac:dyDescent="0.35">
      <c r="A1737" s="24" t="s">
        <v>3009</v>
      </c>
      <c r="B1737" s="24" t="s">
        <v>63</v>
      </c>
      <c r="C1737" s="26" t="s">
        <v>2675</v>
      </c>
    </row>
    <row r="1738" spans="1:3" x14ac:dyDescent="0.35">
      <c r="A1738" s="24" t="s">
        <v>3011</v>
      </c>
      <c r="B1738" s="24" t="s">
        <v>85</v>
      </c>
      <c r="C1738" s="26" t="s">
        <v>2675</v>
      </c>
    </row>
    <row r="1739" spans="1:3" ht="29" x14ac:dyDescent="0.35">
      <c r="A1739" s="24" t="s">
        <v>3012</v>
      </c>
      <c r="B1739" s="24" t="s">
        <v>107</v>
      </c>
      <c r="C1739" s="26" t="s">
        <v>2683</v>
      </c>
    </row>
    <row r="1740" spans="1:3" ht="58" x14ac:dyDescent="0.35">
      <c r="A1740" s="24" t="s">
        <v>3013</v>
      </c>
      <c r="B1740" s="24" t="s">
        <v>63</v>
      </c>
      <c r="C1740" s="26" t="s">
        <v>3014</v>
      </c>
    </row>
    <row r="1741" spans="1:3" x14ac:dyDescent="0.35">
      <c r="A1741" s="24" t="s">
        <v>3013</v>
      </c>
      <c r="B1741" s="24" t="s">
        <v>63</v>
      </c>
      <c r="C1741" s="26" t="s">
        <v>2675</v>
      </c>
    </row>
    <row r="1742" spans="1:3" x14ac:dyDescent="0.35">
      <c r="A1742" s="24" t="s">
        <v>3015</v>
      </c>
      <c r="B1742" s="24" t="s">
        <v>85</v>
      </c>
      <c r="C1742" s="26" t="s">
        <v>2675</v>
      </c>
    </row>
    <row r="1743" spans="1:3" x14ac:dyDescent="0.35">
      <c r="A1743" s="24" t="s">
        <v>3016</v>
      </c>
      <c r="B1743" s="24" t="s">
        <v>107</v>
      </c>
      <c r="C1743" s="26" t="s">
        <v>2675</v>
      </c>
    </row>
    <row r="1744" spans="1:3" x14ac:dyDescent="0.35">
      <c r="A1744" s="24" t="s">
        <v>3017</v>
      </c>
      <c r="B1744" s="24" t="s">
        <v>128</v>
      </c>
      <c r="C1744" s="26" t="s">
        <v>2675</v>
      </c>
    </row>
    <row r="1745" spans="1:3" ht="58" x14ac:dyDescent="0.35">
      <c r="A1745" s="24" t="s">
        <v>3018</v>
      </c>
      <c r="B1745" s="24" t="s">
        <v>63</v>
      </c>
      <c r="C1745" s="26" t="s">
        <v>3019</v>
      </c>
    </row>
    <row r="1746" spans="1:3" x14ac:dyDescent="0.35">
      <c r="A1746" s="24" t="s">
        <v>3018</v>
      </c>
      <c r="B1746" s="24" t="s">
        <v>63</v>
      </c>
      <c r="C1746" s="26" t="s">
        <v>2675</v>
      </c>
    </row>
    <row r="1747" spans="1:3" x14ac:dyDescent="0.35">
      <c r="A1747" s="24" t="s">
        <v>3020</v>
      </c>
      <c r="B1747" s="24" t="s">
        <v>85</v>
      </c>
      <c r="C1747" s="26" t="s">
        <v>2675</v>
      </c>
    </row>
    <row r="1748" spans="1:3" ht="29" x14ac:dyDescent="0.35">
      <c r="A1748" s="24" t="s">
        <v>3021</v>
      </c>
      <c r="B1748" s="24" t="s">
        <v>107</v>
      </c>
      <c r="C1748" s="26" t="s">
        <v>2693</v>
      </c>
    </row>
    <row r="1749" spans="1:3" x14ac:dyDescent="0.35">
      <c r="A1749" s="24" t="s">
        <v>3022</v>
      </c>
      <c r="C1749" s="26" t="s">
        <v>1061</v>
      </c>
    </row>
    <row r="1750" spans="1:3" ht="58" x14ac:dyDescent="0.35">
      <c r="A1750" s="24" t="s">
        <v>3023</v>
      </c>
      <c r="B1750" s="24" t="s">
        <v>63</v>
      </c>
      <c r="C1750" s="26" t="s">
        <v>3024</v>
      </c>
    </row>
    <row r="1751" spans="1:3" x14ac:dyDescent="0.35">
      <c r="A1751" s="24" t="s">
        <v>3023</v>
      </c>
      <c r="B1751" s="24" t="s">
        <v>63</v>
      </c>
      <c r="C1751" s="26" t="s">
        <v>2675</v>
      </c>
    </row>
    <row r="1752" spans="1:3" x14ac:dyDescent="0.35">
      <c r="A1752" s="24" t="s">
        <v>3025</v>
      </c>
      <c r="B1752" s="24" t="s">
        <v>85</v>
      </c>
      <c r="C1752" s="26" t="s">
        <v>2675</v>
      </c>
    </row>
    <row r="1753" spans="1:3" x14ac:dyDescent="0.35">
      <c r="A1753" s="24" t="s">
        <v>3026</v>
      </c>
      <c r="B1753" s="24" t="s">
        <v>107</v>
      </c>
      <c r="C1753" s="26" t="s">
        <v>2675</v>
      </c>
    </row>
    <row r="1754" spans="1:3" x14ac:dyDescent="0.35">
      <c r="A1754" s="24" t="s">
        <v>3027</v>
      </c>
      <c r="B1754" s="24" t="s">
        <v>128</v>
      </c>
      <c r="C1754" s="26" t="s">
        <v>2675</v>
      </c>
    </row>
    <row r="1755" spans="1:3" x14ac:dyDescent="0.35">
      <c r="A1755" s="24" t="s">
        <v>3028</v>
      </c>
      <c r="C1755" s="26" t="s">
        <v>1068</v>
      </c>
    </row>
    <row r="1756" spans="1:3" ht="58" x14ac:dyDescent="0.35">
      <c r="A1756" s="24" t="s">
        <v>3029</v>
      </c>
      <c r="B1756" s="24" t="s">
        <v>63</v>
      </c>
      <c r="C1756" s="26" t="s">
        <v>3030</v>
      </c>
    </row>
    <row r="1757" spans="1:3" x14ac:dyDescent="0.35">
      <c r="A1757" s="24" t="s">
        <v>3029</v>
      </c>
      <c r="B1757" s="24" t="s">
        <v>63</v>
      </c>
      <c r="C1757" s="26" t="s">
        <v>2675</v>
      </c>
    </row>
    <row r="1758" spans="1:3" x14ac:dyDescent="0.35">
      <c r="A1758" s="24" t="s">
        <v>3031</v>
      </c>
      <c r="B1758" s="24" t="s">
        <v>85</v>
      </c>
      <c r="C1758" s="26" t="s">
        <v>2675</v>
      </c>
    </row>
    <row r="1759" spans="1:3" ht="29" x14ac:dyDescent="0.35">
      <c r="A1759" s="24" t="s">
        <v>3032</v>
      </c>
      <c r="B1759" s="24" t="s">
        <v>107</v>
      </c>
      <c r="C1759" s="26" t="s">
        <v>2683</v>
      </c>
    </row>
    <row r="1760" spans="1:3" ht="58" x14ac:dyDescent="0.35">
      <c r="A1760" s="24" t="s">
        <v>3033</v>
      </c>
      <c r="B1760" s="24" t="s">
        <v>63</v>
      </c>
      <c r="C1760" s="26" t="s">
        <v>3034</v>
      </c>
    </row>
    <row r="1761" spans="1:3" x14ac:dyDescent="0.35">
      <c r="A1761" s="24" t="s">
        <v>3033</v>
      </c>
      <c r="B1761" s="24" t="s">
        <v>63</v>
      </c>
      <c r="C1761" s="26" t="s">
        <v>2675</v>
      </c>
    </row>
    <row r="1762" spans="1:3" x14ac:dyDescent="0.35">
      <c r="A1762" s="24" t="s">
        <v>3035</v>
      </c>
      <c r="B1762" s="24" t="s">
        <v>85</v>
      </c>
      <c r="C1762" s="26" t="s">
        <v>2675</v>
      </c>
    </row>
    <row r="1763" spans="1:3" x14ac:dyDescent="0.35">
      <c r="A1763" s="24" t="s">
        <v>3036</v>
      </c>
      <c r="B1763" s="24" t="s">
        <v>107</v>
      </c>
      <c r="C1763" s="26" t="s">
        <v>2675</v>
      </c>
    </row>
    <row r="1764" spans="1:3" x14ac:dyDescent="0.35">
      <c r="A1764" s="24" t="s">
        <v>3037</v>
      </c>
      <c r="B1764" s="24" t="s">
        <v>128</v>
      </c>
      <c r="C1764" s="26" t="s">
        <v>2675</v>
      </c>
    </row>
    <row r="1765" spans="1:3" ht="58" x14ac:dyDescent="0.35">
      <c r="A1765" s="24" t="s">
        <v>3038</v>
      </c>
      <c r="B1765" s="24" t="s">
        <v>63</v>
      </c>
      <c r="C1765" s="26" t="s">
        <v>3039</v>
      </c>
    </row>
    <row r="1766" spans="1:3" x14ac:dyDescent="0.35">
      <c r="A1766" s="24" t="s">
        <v>3038</v>
      </c>
      <c r="B1766" s="24" t="s">
        <v>63</v>
      </c>
      <c r="C1766" s="26" t="s">
        <v>2675</v>
      </c>
    </row>
    <row r="1767" spans="1:3" x14ac:dyDescent="0.35">
      <c r="A1767" s="24" t="s">
        <v>3040</v>
      </c>
      <c r="B1767" s="24" t="s">
        <v>85</v>
      </c>
      <c r="C1767" s="26" t="s">
        <v>2675</v>
      </c>
    </row>
    <row r="1768" spans="1:3" ht="29" x14ac:dyDescent="0.35">
      <c r="A1768" s="24" t="s">
        <v>3041</v>
      </c>
      <c r="B1768" s="24" t="s">
        <v>107</v>
      </c>
      <c r="C1768" s="26" t="s">
        <v>3042</v>
      </c>
    </row>
    <row r="1769" spans="1:3" x14ac:dyDescent="0.35">
      <c r="A1769" s="24" t="s">
        <v>3043</v>
      </c>
      <c r="C1769" s="26" t="s">
        <v>3044</v>
      </c>
    </row>
    <row r="1770" spans="1:3" x14ac:dyDescent="0.35">
      <c r="A1770" s="24" t="s">
        <v>3045</v>
      </c>
      <c r="B1770" s="24" t="s">
        <v>63</v>
      </c>
      <c r="C1770" s="26" t="s">
        <v>3046</v>
      </c>
    </row>
    <row r="1771" spans="1:3" x14ac:dyDescent="0.35">
      <c r="A1771" s="24" t="s">
        <v>3045</v>
      </c>
      <c r="B1771" s="24" t="s">
        <v>63</v>
      </c>
      <c r="C1771" s="26" t="s">
        <v>3047</v>
      </c>
    </row>
    <row r="1772" spans="1:3" x14ac:dyDescent="0.35">
      <c r="A1772" s="24" t="s">
        <v>3048</v>
      </c>
      <c r="C1772" s="26" t="s">
        <v>3049</v>
      </c>
    </row>
    <row r="1773" spans="1:3" x14ac:dyDescent="0.35">
      <c r="A1773" s="24" t="s">
        <v>3050</v>
      </c>
      <c r="B1773" s="24" t="s">
        <v>63</v>
      </c>
      <c r="C1773" s="26" t="s">
        <v>3051</v>
      </c>
    </row>
    <row r="1774" spans="1:3" x14ac:dyDescent="0.35">
      <c r="A1774" s="24" t="s">
        <v>3050</v>
      </c>
      <c r="B1774" s="24" t="s">
        <v>63</v>
      </c>
      <c r="C1774" s="26" t="s">
        <v>3047</v>
      </c>
    </row>
    <row r="1775" spans="1:3" ht="58" x14ac:dyDescent="0.35">
      <c r="A1775" s="24" t="s">
        <v>3052</v>
      </c>
      <c r="B1775" s="24" t="s">
        <v>63</v>
      </c>
      <c r="C1775" s="26" t="s">
        <v>3053</v>
      </c>
    </row>
    <row r="1776" spans="1:3" x14ac:dyDescent="0.35">
      <c r="A1776" s="24" t="s">
        <v>3052</v>
      </c>
      <c r="B1776" s="24" t="s">
        <v>63</v>
      </c>
      <c r="C1776" s="26" t="s">
        <v>2675</v>
      </c>
    </row>
    <row r="1777" spans="1:3" x14ac:dyDescent="0.35">
      <c r="A1777" s="24" t="s">
        <v>3054</v>
      </c>
      <c r="B1777" s="24" t="s">
        <v>85</v>
      </c>
      <c r="C1777" s="26" t="s">
        <v>2675</v>
      </c>
    </row>
    <row r="1778" spans="1:3" x14ac:dyDescent="0.35">
      <c r="A1778" s="24" t="s">
        <v>3055</v>
      </c>
      <c r="B1778" s="24" t="s">
        <v>107</v>
      </c>
      <c r="C1778" s="26" t="s">
        <v>2675</v>
      </c>
    </row>
    <row r="1779" spans="1:3" x14ac:dyDescent="0.35">
      <c r="A1779" s="24" t="s">
        <v>3056</v>
      </c>
      <c r="B1779" s="24" t="s">
        <v>128</v>
      </c>
      <c r="C1779" s="26" t="s">
        <v>2675</v>
      </c>
    </row>
    <row r="1780" spans="1:3" ht="58" x14ac:dyDescent="0.35">
      <c r="A1780" s="24" t="s">
        <v>3057</v>
      </c>
      <c r="B1780" s="24" t="s">
        <v>63</v>
      </c>
      <c r="C1780" s="26" t="s">
        <v>3058</v>
      </c>
    </row>
    <row r="1781" spans="1:3" x14ac:dyDescent="0.35">
      <c r="A1781" s="24" t="s">
        <v>3057</v>
      </c>
      <c r="B1781" s="24" t="s">
        <v>63</v>
      </c>
      <c r="C1781" s="26" t="s">
        <v>2675</v>
      </c>
    </row>
    <row r="1782" spans="1:3" x14ac:dyDescent="0.35">
      <c r="A1782" s="24" t="s">
        <v>3059</v>
      </c>
      <c r="B1782" s="24" t="s">
        <v>85</v>
      </c>
      <c r="C1782" s="26" t="s">
        <v>2675</v>
      </c>
    </row>
    <row r="1783" spans="1:3" ht="29" x14ac:dyDescent="0.35">
      <c r="A1783" s="24" t="s">
        <v>3060</v>
      </c>
      <c r="B1783" s="24" t="s">
        <v>107</v>
      </c>
      <c r="C1783" s="26" t="s">
        <v>2683</v>
      </c>
    </row>
    <row r="1784" spans="1:3" ht="58" x14ac:dyDescent="0.35">
      <c r="A1784" s="24" t="s">
        <v>3061</v>
      </c>
      <c r="B1784" s="24" t="s">
        <v>63</v>
      </c>
      <c r="C1784" s="26" t="s">
        <v>3062</v>
      </c>
    </row>
    <row r="1785" spans="1:3" x14ac:dyDescent="0.35">
      <c r="A1785" s="24" t="s">
        <v>3061</v>
      </c>
      <c r="B1785" s="24" t="s">
        <v>63</v>
      </c>
      <c r="C1785" s="26" t="s">
        <v>2675</v>
      </c>
    </row>
    <row r="1786" spans="1:3" x14ac:dyDescent="0.35">
      <c r="A1786" s="24" t="s">
        <v>3063</v>
      </c>
      <c r="B1786" s="24" t="s">
        <v>85</v>
      </c>
      <c r="C1786" s="26" t="s">
        <v>2675</v>
      </c>
    </row>
    <row r="1787" spans="1:3" x14ac:dyDescent="0.35">
      <c r="A1787" s="24" t="s">
        <v>3064</v>
      </c>
      <c r="B1787" s="24" t="s">
        <v>107</v>
      </c>
      <c r="C1787" s="26" t="s">
        <v>2675</v>
      </c>
    </row>
    <row r="1788" spans="1:3" x14ac:dyDescent="0.35">
      <c r="A1788" s="24" t="s">
        <v>3065</v>
      </c>
      <c r="B1788" s="24" t="s">
        <v>128</v>
      </c>
      <c r="C1788" s="26" t="s">
        <v>2675</v>
      </c>
    </row>
    <row r="1789" spans="1:3" ht="58" x14ac:dyDescent="0.35">
      <c r="A1789" s="24" t="s">
        <v>3066</v>
      </c>
      <c r="B1789" s="24" t="s">
        <v>63</v>
      </c>
      <c r="C1789" s="26" t="s">
        <v>3067</v>
      </c>
    </row>
    <row r="1790" spans="1:3" x14ac:dyDescent="0.35">
      <c r="A1790" s="24" t="s">
        <v>3066</v>
      </c>
      <c r="B1790" s="24" t="s">
        <v>63</v>
      </c>
      <c r="C1790" s="26" t="s">
        <v>2675</v>
      </c>
    </row>
    <row r="1791" spans="1:3" x14ac:dyDescent="0.35">
      <c r="A1791" s="24" t="s">
        <v>3068</v>
      </c>
      <c r="B1791" s="24" t="s">
        <v>85</v>
      </c>
      <c r="C1791" s="26" t="s">
        <v>2675</v>
      </c>
    </row>
    <row r="1792" spans="1:3" ht="29" x14ac:dyDescent="0.35">
      <c r="A1792" s="24" t="s">
        <v>3069</v>
      </c>
      <c r="B1792" s="24" t="s">
        <v>107</v>
      </c>
      <c r="C1792" s="26" t="s">
        <v>3042</v>
      </c>
    </row>
    <row r="1793" spans="1:3" x14ac:dyDescent="0.35">
      <c r="A1793" s="24" t="s">
        <v>3070</v>
      </c>
      <c r="C1793" s="26" t="s">
        <v>3071</v>
      </c>
    </row>
    <row r="1794" spans="1:3" x14ac:dyDescent="0.35">
      <c r="A1794" s="24" t="s">
        <v>3072</v>
      </c>
      <c r="B1794" s="24" t="s">
        <v>63</v>
      </c>
      <c r="C1794" s="26" t="s">
        <v>3073</v>
      </c>
    </row>
    <row r="1795" spans="1:3" x14ac:dyDescent="0.35">
      <c r="A1795" s="24" t="s">
        <v>3072</v>
      </c>
      <c r="B1795" s="24" t="s">
        <v>63</v>
      </c>
      <c r="C1795" s="26" t="s">
        <v>3074</v>
      </c>
    </row>
    <row r="1796" spans="1:3" x14ac:dyDescent="0.35">
      <c r="A1796" s="24" t="s">
        <v>3075</v>
      </c>
      <c r="C1796" s="26" t="s">
        <v>3076</v>
      </c>
    </row>
    <row r="1797" spans="1:3" ht="58" x14ac:dyDescent="0.35">
      <c r="A1797" s="24" t="s">
        <v>3077</v>
      </c>
      <c r="B1797" s="24" t="s">
        <v>63</v>
      </c>
      <c r="C1797" s="26" t="s">
        <v>3078</v>
      </c>
    </row>
    <row r="1798" spans="1:3" x14ac:dyDescent="0.35">
      <c r="A1798" s="24" t="s">
        <v>3077</v>
      </c>
      <c r="B1798" s="24" t="s">
        <v>63</v>
      </c>
      <c r="C1798" s="26" t="s">
        <v>2675</v>
      </c>
    </row>
    <row r="1799" spans="1:3" x14ac:dyDescent="0.35">
      <c r="A1799" s="24" t="s">
        <v>3079</v>
      </c>
      <c r="B1799" s="24" t="s">
        <v>85</v>
      </c>
      <c r="C1799" s="26" t="s">
        <v>2675</v>
      </c>
    </row>
    <row r="1800" spans="1:3" x14ac:dyDescent="0.35">
      <c r="A1800" s="24" t="s">
        <v>3080</v>
      </c>
      <c r="B1800" s="24" t="s">
        <v>107</v>
      </c>
      <c r="C1800" s="26" t="s">
        <v>2675</v>
      </c>
    </row>
    <row r="1801" spans="1:3" x14ac:dyDescent="0.35">
      <c r="A1801" s="24" t="s">
        <v>3081</v>
      </c>
      <c r="B1801" s="24" t="s">
        <v>128</v>
      </c>
      <c r="C1801" s="26" t="s">
        <v>2675</v>
      </c>
    </row>
    <row r="1802" spans="1:3" ht="58" x14ac:dyDescent="0.35">
      <c r="A1802" s="24" t="s">
        <v>3082</v>
      </c>
      <c r="B1802" s="24" t="s">
        <v>63</v>
      </c>
      <c r="C1802" s="26" t="s">
        <v>3083</v>
      </c>
    </row>
    <row r="1803" spans="1:3" x14ac:dyDescent="0.35">
      <c r="A1803" s="24" t="s">
        <v>3082</v>
      </c>
      <c r="B1803" s="24" t="s">
        <v>63</v>
      </c>
      <c r="C1803" s="26" t="s">
        <v>2675</v>
      </c>
    </row>
    <row r="1804" spans="1:3" x14ac:dyDescent="0.35">
      <c r="A1804" s="24" t="s">
        <v>3084</v>
      </c>
      <c r="B1804" s="24" t="s">
        <v>85</v>
      </c>
      <c r="C1804" s="26" t="s">
        <v>2675</v>
      </c>
    </row>
    <row r="1805" spans="1:3" ht="29" x14ac:dyDescent="0.35">
      <c r="A1805" s="24" t="s">
        <v>3085</v>
      </c>
      <c r="B1805" s="24" t="s">
        <v>107</v>
      </c>
      <c r="C1805" s="26" t="s">
        <v>2683</v>
      </c>
    </row>
    <row r="1806" spans="1:3" ht="58" x14ac:dyDescent="0.35">
      <c r="A1806" s="24" t="s">
        <v>3086</v>
      </c>
      <c r="B1806" s="24" t="s">
        <v>63</v>
      </c>
      <c r="C1806" s="26" t="s">
        <v>3087</v>
      </c>
    </row>
    <row r="1807" spans="1:3" x14ac:dyDescent="0.35">
      <c r="A1807" s="24" t="s">
        <v>3086</v>
      </c>
      <c r="B1807" s="24" t="s">
        <v>63</v>
      </c>
      <c r="C1807" s="26" t="s">
        <v>2675</v>
      </c>
    </row>
    <row r="1808" spans="1:3" x14ac:dyDescent="0.35">
      <c r="A1808" s="24" t="s">
        <v>3088</v>
      </c>
      <c r="B1808" s="24" t="s">
        <v>85</v>
      </c>
      <c r="C1808" s="26" t="s">
        <v>2675</v>
      </c>
    </row>
    <row r="1809" spans="1:3" x14ac:dyDescent="0.35">
      <c r="A1809" s="24" t="s">
        <v>3089</v>
      </c>
      <c r="B1809" s="24" t="s">
        <v>107</v>
      </c>
      <c r="C1809" s="26" t="s">
        <v>2675</v>
      </c>
    </row>
    <row r="1810" spans="1:3" x14ac:dyDescent="0.35">
      <c r="A1810" s="24" t="s">
        <v>3090</v>
      </c>
      <c r="B1810" s="24" t="s">
        <v>128</v>
      </c>
      <c r="C1810" s="26" t="s">
        <v>2675</v>
      </c>
    </row>
    <row r="1811" spans="1:3" ht="58" x14ac:dyDescent="0.35">
      <c r="A1811" s="24" t="s">
        <v>3091</v>
      </c>
      <c r="B1811" s="24" t="s">
        <v>63</v>
      </c>
      <c r="C1811" s="26" t="s">
        <v>3092</v>
      </c>
    </row>
    <row r="1812" spans="1:3" x14ac:dyDescent="0.35">
      <c r="A1812" s="24" t="s">
        <v>3091</v>
      </c>
      <c r="B1812" s="24" t="s">
        <v>63</v>
      </c>
      <c r="C1812" s="26" t="s">
        <v>2675</v>
      </c>
    </row>
    <row r="1813" spans="1:3" x14ac:dyDescent="0.35">
      <c r="A1813" s="24" t="s">
        <v>3093</v>
      </c>
      <c r="B1813" s="24" t="s">
        <v>85</v>
      </c>
      <c r="C1813" s="26" t="s">
        <v>2675</v>
      </c>
    </row>
    <row r="1814" spans="1:3" ht="29" x14ac:dyDescent="0.35">
      <c r="A1814" s="24" t="s">
        <v>3094</v>
      </c>
      <c r="B1814" s="24" t="s">
        <v>107</v>
      </c>
      <c r="C1814" s="26" t="s">
        <v>3042</v>
      </c>
    </row>
    <row r="1815" spans="1:3" x14ac:dyDescent="0.35">
      <c r="A1815" s="24" t="s">
        <v>3095</v>
      </c>
      <c r="C1815" s="26" t="s">
        <v>1086</v>
      </c>
    </row>
    <row r="1816" spans="1:3" x14ac:dyDescent="0.35">
      <c r="A1816" s="24" t="s">
        <v>3096</v>
      </c>
      <c r="B1816" s="24" t="s">
        <v>63</v>
      </c>
      <c r="C1816" s="26" t="s">
        <v>3097</v>
      </c>
    </row>
    <row r="1817" spans="1:3" x14ac:dyDescent="0.35">
      <c r="A1817" s="24" t="s">
        <v>3096</v>
      </c>
      <c r="B1817" s="24" t="s">
        <v>63</v>
      </c>
      <c r="C1817" s="26" t="s">
        <v>2804</v>
      </c>
    </row>
    <row r="1818" spans="1:3" x14ac:dyDescent="0.35">
      <c r="A1818" s="24" t="s">
        <v>3098</v>
      </c>
      <c r="B1818" s="24" t="s">
        <v>85</v>
      </c>
      <c r="C1818" s="26" t="s">
        <v>2738</v>
      </c>
    </row>
    <row r="1819" spans="1:3" x14ac:dyDescent="0.35">
      <c r="A1819" s="24" t="s">
        <v>3099</v>
      </c>
      <c r="B1819" s="24" t="s">
        <v>107</v>
      </c>
      <c r="C1819" s="26" t="s">
        <v>2740</v>
      </c>
    </row>
    <row r="1820" spans="1:3" x14ac:dyDescent="0.35">
      <c r="A1820" s="24" t="s">
        <v>3100</v>
      </c>
      <c r="B1820" s="24" t="s">
        <v>128</v>
      </c>
      <c r="C1820" s="26" t="s">
        <v>2742</v>
      </c>
    </row>
    <row r="1821" spans="1:3" x14ac:dyDescent="0.35">
      <c r="A1821" s="24" t="s">
        <v>3101</v>
      </c>
      <c r="B1821" s="24" t="s">
        <v>149</v>
      </c>
      <c r="C1821" s="26" t="s">
        <v>2744</v>
      </c>
    </row>
    <row r="1822" spans="1:3" x14ac:dyDescent="0.35">
      <c r="A1822" s="24" t="s">
        <v>3102</v>
      </c>
      <c r="C1822" s="26" t="s">
        <v>1094</v>
      </c>
    </row>
    <row r="1823" spans="1:3" x14ac:dyDescent="0.35">
      <c r="A1823" s="24" t="s">
        <v>3103</v>
      </c>
      <c r="B1823" s="24" t="s">
        <v>63</v>
      </c>
      <c r="C1823" s="26" t="s">
        <v>3104</v>
      </c>
    </row>
    <row r="1824" spans="1:3" x14ac:dyDescent="0.35">
      <c r="A1824" s="24" t="s">
        <v>3103</v>
      </c>
      <c r="B1824" s="24" t="s">
        <v>63</v>
      </c>
      <c r="C1824" s="26" t="s">
        <v>2804</v>
      </c>
    </row>
    <row r="1825" spans="1:3" x14ac:dyDescent="0.35">
      <c r="A1825" s="24" t="s">
        <v>3105</v>
      </c>
      <c r="B1825" s="24" t="s">
        <v>85</v>
      </c>
      <c r="C1825" s="26" t="s">
        <v>2738</v>
      </c>
    </row>
    <row r="1826" spans="1:3" x14ac:dyDescent="0.35">
      <c r="A1826" s="24" t="s">
        <v>3106</v>
      </c>
      <c r="B1826" s="24" t="s">
        <v>107</v>
      </c>
      <c r="C1826" s="26" t="s">
        <v>2740</v>
      </c>
    </row>
    <row r="1827" spans="1:3" x14ac:dyDescent="0.35">
      <c r="A1827" s="24" t="s">
        <v>3107</v>
      </c>
      <c r="B1827" s="24" t="s">
        <v>128</v>
      </c>
      <c r="C1827" s="26" t="s">
        <v>2742</v>
      </c>
    </row>
    <row r="1828" spans="1:3" x14ac:dyDescent="0.35">
      <c r="A1828" s="24" t="s">
        <v>3108</v>
      </c>
      <c r="B1828" s="24" t="s">
        <v>149</v>
      </c>
      <c r="C1828" s="26" t="s">
        <v>2744</v>
      </c>
    </row>
    <row r="1829" spans="1:3" ht="58" x14ac:dyDescent="0.35">
      <c r="A1829" s="24" t="s">
        <v>3109</v>
      </c>
      <c r="B1829" s="24" t="s">
        <v>63</v>
      </c>
      <c r="C1829" s="26" t="s">
        <v>3110</v>
      </c>
    </row>
    <row r="1830" spans="1:3" x14ac:dyDescent="0.35">
      <c r="A1830" s="24" t="s">
        <v>3109</v>
      </c>
      <c r="B1830" s="24" t="s">
        <v>63</v>
      </c>
      <c r="C1830" s="26" t="s">
        <v>2675</v>
      </c>
    </row>
    <row r="1831" spans="1:3" x14ac:dyDescent="0.35">
      <c r="A1831" s="24" t="s">
        <v>3111</v>
      </c>
      <c r="B1831" s="24" t="s">
        <v>85</v>
      </c>
      <c r="C1831" s="26" t="s">
        <v>2675</v>
      </c>
    </row>
    <row r="1832" spans="1:3" x14ac:dyDescent="0.35">
      <c r="A1832" s="24" t="s">
        <v>3112</v>
      </c>
      <c r="B1832" s="24" t="s">
        <v>107</v>
      </c>
      <c r="C1832" s="26" t="s">
        <v>2675</v>
      </c>
    </row>
    <row r="1833" spans="1:3" x14ac:dyDescent="0.35">
      <c r="A1833" s="24" t="s">
        <v>3113</v>
      </c>
      <c r="B1833" s="24" t="s">
        <v>128</v>
      </c>
      <c r="C1833" s="26" t="s">
        <v>2675</v>
      </c>
    </row>
    <row r="1834" spans="1:3" ht="58" x14ac:dyDescent="0.35">
      <c r="A1834" s="24" t="s">
        <v>3114</v>
      </c>
      <c r="B1834" s="24" t="s">
        <v>63</v>
      </c>
      <c r="C1834" s="26" t="s">
        <v>3115</v>
      </c>
    </row>
    <row r="1835" spans="1:3" x14ac:dyDescent="0.35">
      <c r="A1835" s="24" t="s">
        <v>3114</v>
      </c>
      <c r="B1835" s="24" t="s">
        <v>63</v>
      </c>
      <c r="C1835" s="26" t="s">
        <v>2675</v>
      </c>
    </row>
    <row r="1836" spans="1:3" x14ac:dyDescent="0.35">
      <c r="A1836" s="24" t="s">
        <v>3116</v>
      </c>
      <c r="B1836" s="24" t="s">
        <v>85</v>
      </c>
      <c r="C1836" s="26" t="s">
        <v>2675</v>
      </c>
    </row>
    <row r="1837" spans="1:3" ht="29" x14ac:dyDescent="0.35">
      <c r="A1837" s="24" t="s">
        <v>3117</v>
      </c>
      <c r="B1837" s="24" t="s">
        <v>107</v>
      </c>
      <c r="C1837" s="26" t="s">
        <v>2683</v>
      </c>
    </row>
    <row r="1838" spans="1:3" ht="58" x14ac:dyDescent="0.35">
      <c r="A1838" s="24" t="s">
        <v>3118</v>
      </c>
      <c r="B1838" s="24" t="s">
        <v>63</v>
      </c>
      <c r="C1838" s="26" t="s">
        <v>3119</v>
      </c>
    </row>
    <row r="1839" spans="1:3" x14ac:dyDescent="0.35">
      <c r="A1839" s="24" t="s">
        <v>3118</v>
      </c>
      <c r="B1839" s="24" t="s">
        <v>63</v>
      </c>
      <c r="C1839" s="26" t="s">
        <v>2675</v>
      </c>
    </row>
    <row r="1840" spans="1:3" x14ac:dyDescent="0.35">
      <c r="A1840" s="24" t="s">
        <v>3120</v>
      </c>
      <c r="B1840" s="24" t="s">
        <v>85</v>
      </c>
      <c r="C1840" s="26" t="s">
        <v>2675</v>
      </c>
    </row>
    <row r="1841" spans="1:3" x14ac:dyDescent="0.35">
      <c r="A1841" s="24" t="s">
        <v>3121</v>
      </c>
      <c r="B1841" s="24" t="s">
        <v>107</v>
      </c>
      <c r="C1841" s="26" t="s">
        <v>2675</v>
      </c>
    </row>
    <row r="1842" spans="1:3" x14ac:dyDescent="0.35">
      <c r="A1842" s="24" t="s">
        <v>3122</v>
      </c>
      <c r="B1842" s="24" t="s">
        <v>128</v>
      </c>
      <c r="C1842" s="26" t="s">
        <v>2675</v>
      </c>
    </row>
    <row r="1843" spans="1:3" ht="58" x14ac:dyDescent="0.35">
      <c r="A1843" s="24" t="s">
        <v>3123</v>
      </c>
      <c r="B1843" s="24" t="s">
        <v>63</v>
      </c>
      <c r="C1843" s="26" t="s">
        <v>3124</v>
      </c>
    </row>
    <row r="1844" spans="1:3" x14ac:dyDescent="0.35">
      <c r="A1844" s="24" t="s">
        <v>3123</v>
      </c>
      <c r="B1844" s="24" t="s">
        <v>63</v>
      </c>
      <c r="C1844" s="26" t="s">
        <v>2675</v>
      </c>
    </row>
    <row r="1845" spans="1:3" x14ac:dyDescent="0.35">
      <c r="A1845" s="24" t="s">
        <v>3125</v>
      </c>
      <c r="B1845" s="24" t="s">
        <v>85</v>
      </c>
      <c r="C1845" s="26" t="s">
        <v>2675</v>
      </c>
    </row>
    <row r="1846" spans="1:3" ht="29" x14ac:dyDescent="0.35">
      <c r="A1846" s="24" t="s">
        <v>3126</v>
      </c>
      <c r="B1846" s="24" t="s">
        <v>107</v>
      </c>
      <c r="C1846" s="26" t="s">
        <v>3042</v>
      </c>
    </row>
    <row r="1847" spans="1:3" x14ac:dyDescent="0.35">
      <c r="A1847" s="24" t="s">
        <v>3127</v>
      </c>
      <c r="C1847" s="26" t="s">
        <v>1143</v>
      </c>
    </row>
    <row r="1848" spans="1:3" ht="58" x14ac:dyDescent="0.35">
      <c r="A1848" s="24" t="s">
        <v>3128</v>
      </c>
      <c r="B1848" s="24" t="s">
        <v>63</v>
      </c>
      <c r="C1848" s="26" t="s">
        <v>3129</v>
      </c>
    </row>
    <row r="1849" spans="1:3" x14ac:dyDescent="0.35">
      <c r="A1849" s="24" t="s">
        <v>3128</v>
      </c>
      <c r="B1849" s="24" t="s">
        <v>63</v>
      </c>
      <c r="C1849" s="26" t="s">
        <v>2675</v>
      </c>
    </row>
    <row r="1850" spans="1:3" x14ac:dyDescent="0.35">
      <c r="A1850" s="24" t="s">
        <v>3130</v>
      </c>
      <c r="B1850" s="24" t="s">
        <v>85</v>
      </c>
      <c r="C1850" s="26" t="s">
        <v>2675</v>
      </c>
    </row>
    <row r="1851" spans="1:3" x14ac:dyDescent="0.35">
      <c r="A1851" s="24" t="s">
        <v>3131</v>
      </c>
      <c r="B1851" s="24" t="s">
        <v>107</v>
      </c>
      <c r="C1851" s="26" t="s">
        <v>2675</v>
      </c>
    </row>
    <row r="1852" spans="1:3" x14ac:dyDescent="0.35">
      <c r="A1852" s="24" t="s">
        <v>3132</v>
      </c>
      <c r="B1852" s="24" t="s">
        <v>128</v>
      </c>
      <c r="C1852" s="26" t="s">
        <v>2675</v>
      </c>
    </row>
    <row r="1853" spans="1:3" x14ac:dyDescent="0.35">
      <c r="A1853" s="24" t="s">
        <v>3133</v>
      </c>
      <c r="C1853" s="26" t="s">
        <v>3134</v>
      </c>
    </row>
    <row r="1854" spans="1:3" ht="58" x14ac:dyDescent="0.35">
      <c r="A1854" s="24" t="s">
        <v>3135</v>
      </c>
      <c r="B1854" s="24" t="s">
        <v>63</v>
      </c>
      <c r="C1854" s="26" t="s">
        <v>3136</v>
      </c>
    </row>
    <row r="1855" spans="1:3" x14ac:dyDescent="0.35">
      <c r="A1855" s="24" t="s">
        <v>3135</v>
      </c>
      <c r="B1855" s="24" t="s">
        <v>63</v>
      </c>
      <c r="C1855" s="26" t="s">
        <v>2675</v>
      </c>
    </row>
    <row r="1856" spans="1:3" x14ac:dyDescent="0.35">
      <c r="A1856" s="24" t="s">
        <v>3137</v>
      </c>
      <c r="B1856" s="24" t="s">
        <v>85</v>
      </c>
      <c r="C1856" s="26" t="s">
        <v>2675</v>
      </c>
    </row>
    <row r="1857" spans="1:3" ht="29" x14ac:dyDescent="0.35">
      <c r="A1857" s="24" t="s">
        <v>3138</v>
      </c>
      <c r="B1857" s="24" t="s">
        <v>107</v>
      </c>
      <c r="C1857" s="26" t="s">
        <v>2683</v>
      </c>
    </row>
    <row r="1858" spans="1:3" x14ac:dyDescent="0.35">
      <c r="A1858" s="24" t="s">
        <v>3139</v>
      </c>
      <c r="B1858" s="24" t="s">
        <v>63</v>
      </c>
      <c r="C1858" s="26" t="s">
        <v>3140</v>
      </c>
    </row>
    <row r="1859" spans="1:3" x14ac:dyDescent="0.35">
      <c r="A1859" s="24" t="s">
        <v>3139</v>
      </c>
      <c r="B1859" s="24" t="s">
        <v>63</v>
      </c>
      <c r="C1859" s="26" t="s">
        <v>2675</v>
      </c>
    </row>
    <row r="1860" spans="1:3" x14ac:dyDescent="0.35">
      <c r="A1860" s="24" t="s">
        <v>3141</v>
      </c>
      <c r="B1860" s="24" t="s">
        <v>85</v>
      </c>
      <c r="C1860" s="26" t="s">
        <v>2675</v>
      </c>
    </row>
    <row r="1861" spans="1:3" x14ac:dyDescent="0.35">
      <c r="A1861" s="24" t="s">
        <v>3142</v>
      </c>
      <c r="B1861" s="24" t="s">
        <v>107</v>
      </c>
      <c r="C1861" s="26" t="s">
        <v>2675</v>
      </c>
    </row>
    <row r="1862" spans="1:3" x14ac:dyDescent="0.35">
      <c r="A1862" s="24" t="s">
        <v>3143</v>
      </c>
      <c r="B1862" s="24" t="s">
        <v>128</v>
      </c>
      <c r="C1862" s="26" t="s">
        <v>2675</v>
      </c>
    </row>
    <row r="1863" spans="1:3" x14ac:dyDescent="0.35">
      <c r="A1863" s="24" t="s">
        <v>3144</v>
      </c>
      <c r="B1863" s="24" t="s">
        <v>63</v>
      </c>
      <c r="C1863" s="26" t="s">
        <v>3145</v>
      </c>
    </row>
    <row r="1864" spans="1:3" x14ac:dyDescent="0.35">
      <c r="A1864" s="24" t="s">
        <v>3144</v>
      </c>
      <c r="B1864" s="24" t="s">
        <v>63</v>
      </c>
      <c r="C1864" s="26" t="s">
        <v>2675</v>
      </c>
    </row>
    <row r="1865" spans="1:3" x14ac:dyDescent="0.35">
      <c r="A1865" s="24" t="s">
        <v>3146</v>
      </c>
      <c r="B1865" s="24" t="s">
        <v>85</v>
      </c>
      <c r="C1865" s="26" t="s">
        <v>2675</v>
      </c>
    </row>
    <row r="1866" spans="1:3" ht="29" x14ac:dyDescent="0.35">
      <c r="A1866" s="24" t="s">
        <v>3147</v>
      </c>
      <c r="B1866" s="24" t="s">
        <v>107</v>
      </c>
      <c r="C1866" s="26" t="s">
        <v>3042</v>
      </c>
    </row>
    <row r="1867" spans="1:3" x14ac:dyDescent="0.35">
      <c r="A1867" s="24" t="s">
        <v>3148</v>
      </c>
      <c r="C1867" s="26" t="s">
        <v>3149</v>
      </c>
    </row>
    <row r="1868" spans="1:3" ht="58" x14ac:dyDescent="0.35">
      <c r="A1868" s="24" t="s">
        <v>3150</v>
      </c>
      <c r="B1868" s="24" t="s">
        <v>63</v>
      </c>
      <c r="C1868" s="26" t="s">
        <v>3151</v>
      </c>
    </row>
    <row r="1869" spans="1:3" x14ac:dyDescent="0.35">
      <c r="A1869" s="24" t="s">
        <v>3150</v>
      </c>
      <c r="B1869" s="24" t="s">
        <v>63</v>
      </c>
      <c r="C1869" s="26" t="s">
        <v>3152</v>
      </c>
    </row>
    <row r="1870" spans="1:3" x14ac:dyDescent="0.35">
      <c r="A1870" s="24" t="s">
        <v>3153</v>
      </c>
      <c r="B1870" s="24" t="s">
        <v>85</v>
      </c>
      <c r="C1870" s="26" t="s">
        <v>3152</v>
      </c>
    </row>
    <row r="1871" spans="1:3" x14ac:dyDescent="0.35">
      <c r="A1871" s="24" t="s">
        <v>3154</v>
      </c>
      <c r="B1871" s="24" t="s">
        <v>107</v>
      </c>
      <c r="C1871" s="26" t="s">
        <v>3152</v>
      </c>
    </row>
    <row r="1872" spans="1:3" x14ac:dyDescent="0.35">
      <c r="A1872" s="24" t="s">
        <v>3155</v>
      </c>
      <c r="B1872" s="24" t="s">
        <v>128</v>
      </c>
      <c r="C1872" s="26" t="s">
        <v>3152</v>
      </c>
    </row>
    <row r="1873" spans="1:3" x14ac:dyDescent="0.35">
      <c r="A1873" s="24" t="s">
        <v>3156</v>
      </c>
      <c r="B1873" s="24" t="s">
        <v>149</v>
      </c>
      <c r="C1873" s="26" t="s">
        <v>3152</v>
      </c>
    </row>
    <row r="1874" spans="1:3" x14ac:dyDescent="0.35">
      <c r="A1874" s="24" t="s">
        <v>3157</v>
      </c>
      <c r="B1874" s="24" t="s">
        <v>362</v>
      </c>
      <c r="C1874" s="26" t="s">
        <v>3152</v>
      </c>
    </row>
    <row r="1875" spans="1:3" ht="29" x14ac:dyDescent="0.35">
      <c r="A1875" s="24" t="s">
        <v>3158</v>
      </c>
      <c r="B1875" s="24" t="s">
        <v>166</v>
      </c>
      <c r="C1875" s="26" t="s">
        <v>3159</v>
      </c>
    </row>
    <row r="1876" spans="1:3" x14ac:dyDescent="0.35">
      <c r="A1876" s="24" t="s">
        <v>3160</v>
      </c>
      <c r="C1876" s="26" t="s">
        <v>3161</v>
      </c>
    </row>
    <row r="1877" spans="1:3" ht="58" x14ac:dyDescent="0.35">
      <c r="A1877" s="24" t="s">
        <v>3162</v>
      </c>
      <c r="B1877" s="24" t="s">
        <v>63</v>
      </c>
      <c r="C1877" s="26" t="s">
        <v>3163</v>
      </c>
    </row>
    <row r="1878" spans="1:3" x14ac:dyDescent="0.35">
      <c r="A1878" s="24" t="s">
        <v>3162</v>
      </c>
      <c r="B1878" s="24" t="s">
        <v>63</v>
      </c>
      <c r="C1878" s="26" t="s">
        <v>3152</v>
      </c>
    </row>
    <row r="1879" spans="1:3" x14ac:dyDescent="0.35">
      <c r="A1879" s="24" t="s">
        <v>3164</v>
      </c>
      <c r="B1879" s="24" t="s">
        <v>85</v>
      </c>
      <c r="C1879" s="26" t="s">
        <v>3152</v>
      </c>
    </row>
    <row r="1880" spans="1:3" x14ac:dyDescent="0.35">
      <c r="A1880" s="24" t="s">
        <v>3165</v>
      </c>
      <c r="B1880" s="24" t="s">
        <v>107</v>
      </c>
      <c r="C1880" s="26" t="s">
        <v>3152</v>
      </c>
    </row>
    <row r="1881" spans="1:3" x14ac:dyDescent="0.35">
      <c r="A1881" s="24" t="s">
        <v>3166</v>
      </c>
      <c r="B1881" s="24" t="s">
        <v>128</v>
      </c>
      <c r="C1881" s="26" t="s">
        <v>3152</v>
      </c>
    </row>
    <row r="1882" spans="1:3" x14ac:dyDescent="0.35">
      <c r="A1882" s="24" t="s">
        <v>3167</v>
      </c>
      <c r="B1882" s="24" t="s">
        <v>149</v>
      </c>
      <c r="C1882" s="26" t="s">
        <v>3152</v>
      </c>
    </row>
    <row r="1883" spans="1:3" x14ac:dyDescent="0.35">
      <c r="A1883" s="24" t="s">
        <v>3168</v>
      </c>
      <c r="B1883" s="24" t="s">
        <v>362</v>
      </c>
      <c r="C1883" s="26" t="s">
        <v>3152</v>
      </c>
    </row>
    <row r="1884" spans="1:3" ht="29" x14ac:dyDescent="0.35">
      <c r="A1884" s="24" t="s">
        <v>3169</v>
      </c>
      <c r="B1884" s="24" t="s">
        <v>166</v>
      </c>
      <c r="C1884" s="26" t="s">
        <v>3170</v>
      </c>
    </row>
    <row r="1885" spans="1:3" x14ac:dyDescent="0.35">
      <c r="A1885" s="24" t="s">
        <v>3171</v>
      </c>
      <c r="C1885" s="26" t="s">
        <v>2398</v>
      </c>
    </row>
    <row r="1886" spans="1:3" x14ac:dyDescent="0.35">
      <c r="A1886" s="24" t="s">
        <v>3171</v>
      </c>
      <c r="C1886" s="26" t="s">
        <v>3172</v>
      </c>
    </row>
    <row r="1887" spans="1:3" x14ac:dyDescent="0.35">
      <c r="A1887" s="24" t="s">
        <v>3173</v>
      </c>
      <c r="B1887" s="24" t="s">
        <v>63</v>
      </c>
      <c r="C1887" s="26" t="s">
        <v>3174</v>
      </c>
    </row>
    <row r="1888" spans="1:3" ht="29" x14ac:dyDescent="0.35">
      <c r="A1888" s="24" t="s">
        <v>3173</v>
      </c>
      <c r="B1888" s="24" t="s">
        <v>63</v>
      </c>
      <c r="C1888" s="26" t="s">
        <v>3175</v>
      </c>
    </row>
    <row r="1889" spans="1:3" ht="29" x14ac:dyDescent="0.35">
      <c r="A1889" s="24" t="s">
        <v>3176</v>
      </c>
      <c r="B1889" s="24" t="s">
        <v>85</v>
      </c>
      <c r="C1889" s="26" t="s">
        <v>3177</v>
      </c>
    </row>
    <row r="1890" spans="1:3" x14ac:dyDescent="0.35">
      <c r="A1890" s="24" t="s">
        <v>3178</v>
      </c>
      <c r="B1890" s="24" t="s">
        <v>107</v>
      </c>
      <c r="C1890" s="26" t="s">
        <v>3179</v>
      </c>
    </row>
    <row r="1891" spans="1:3" x14ac:dyDescent="0.35">
      <c r="A1891" s="24" t="s">
        <v>3180</v>
      </c>
      <c r="C1891" s="26" t="s">
        <v>3181</v>
      </c>
    </row>
    <row r="1892" spans="1:3" x14ac:dyDescent="0.35">
      <c r="A1892" s="24" t="s">
        <v>3182</v>
      </c>
      <c r="B1892" s="24" t="s">
        <v>63</v>
      </c>
      <c r="C1892" s="26" t="s">
        <v>3183</v>
      </c>
    </row>
    <row r="1893" spans="1:3" x14ac:dyDescent="0.35">
      <c r="A1893" s="24" t="s">
        <v>3182</v>
      </c>
      <c r="B1893" s="24" t="s">
        <v>63</v>
      </c>
      <c r="C1893" s="26" t="s">
        <v>3184</v>
      </c>
    </row>
    <row r="1894" spans="1:3" x14ac:dyDescent="0.35">
      <c r="A1894" s="24" t="s">
        <v>3185</v>
      </c>
      <c r="B1894" s="24" t="s">
        <v>85</v>
      </c>
      <c r="C1894" s="26" t="s">
        <v>3186</v>
      </c>
    </row>
    <row r="1895" spans="1:3" ht="29" x14ac:dyDescent="0.35">
      <c r="A1895" s="24" t="s">
        <v>3185</v>
      </c>
      <c r="B1895" s="24" t="s">
        <v>85</v>
      </c>
      <c r="C1895" s="26" t="s">
        <v>3187</v>
      </c>
    </row>
    <row r="1896" spans="1:3" x14ac:dyDescent="0.35">
      <c r="A1896" s="24" t="s">
        <v>3188</v>
      </c>
      <c r="C1896" s="26" t="s">
        <v>3189</v>
      </c>
    </row>
    <row r="1897" spans="1:3" x14ac:dyDescent="0.35">
      <c r="A1897" s="24" t="s">
        <v>3190</v>
      </c>
      <c r="B1897" s="24" t="s">
        <v>63</v>
      </c>
      <c r="C1897" s="26" t="s">
        <v>3191</v>
      </c>
    </row>
    <row r="1898" spans="1:3" x14ac:dyDescent="0.35">
      <c r="A1898" s="24" t="s">
        <v>3190</v>
      </c>
      <c r="B1898" s="24" t="s">
        <v>63</v>
      </c>
      <c r="C1898" s="26" t="s">
        <v>2675</v>
      </c>
    </row>
    <row r="1899" spans="1:3" x14ac:dyDescent="0.35">
      <c r="A1899" s="24" t="s">
        <v>3192</v>
      </c>
      <c r="B1899" s="24" t="s">
        <v>85</v>
      </c>
      <c r="C1899" s="26" t="s">
        <v>2675</v>
      </c>
    </row>
    <row r="1900" spans="1:3" x14ac:dyDescent="0.35">
      <c r="A1900" s="24" t="s">
        <v>3193</v>
      </c>
      <c r="B1900" s="24" t="s">
        <v>107</v>
      </c>
      <c r="C1900" s="26" t="s">
        <v>2675</v>
      </c>
    </row>
    <row r="1901" spans="1:3" x14ac:dyDescent="0.35">
      <c r="A1901" s="24" t="s">
        <v>3194</v>
      </c>
      <c r="B1901" s="24" t="s">
        <v>128</v>
      </c>
      <c r="C1901" s="26" t="s">
        <v>2675</v>
      </c>
    </row>
    <row r="1902" spans="1:3" x14ac:dyDescent="0.35">
      <c r="A1902" s="24" t="s">
        <v>3195</v>
      </c>
      <c r="B1902" s="24" t="s">
        <v>149</v>
      </c>
      <c r="C1902" s="26" t="s">
        <v>2675</v>
      </c>
    </row>
    <row r="1903" spans="1:3" x14ac:dyDescent="0.35">
      <c r="A1903" s="24" t="s">
        <v>3196</v>
      </c>
      <c r="B1903" s="24" t="s">
        <v>362</v>
      </c>
      <c r="C1903" s="26" t="s">
        <v>2675</v>
      </c>
    </row>
    <row r="1904" spans="1:3" x14ac:dyDescent="0.35">
      <c r="A1904" s="24" t="s">
        <v>3197</v>
      </c>
      <c r="B1904" s="24" t="s">
        <v>63</v>
      </c>
      <c r="C1904" s="26" t="s">
        <v>3198</v>
      </c>
    </row>
    <row r="1905" spans="1:3" x14ac:dyDescent="0.35">
      <c r="A1905" s="24" t="s">
        <v>3197</v>
      </c>
      <c r="B1905" s="24" t="s">
        <v>63</v>
      </c>
      <c r="C1905" s="26" t="s">
        <v>3199</v>
      </c>
    </row>
    <row r="1906" spans="1:3" x14ac:dyDescent="0.35">
      <c r="A1906" s="24" t="s">
        <v>3200</v>
      </c>
      <c r="B1906" s="24" t="s">
        <v>85</v>
      </c>
      <c r="C1906" s="26" t="s">
        <v>3201</v>
      </c>
    </row>
    <row r="1907" spans="1:3" x14ac:dyDescent="0.35">
      <c r="A1907" s="24" t="s">
        <v>3202</v>
      </c>
      <c r="C1907" s="26" t="s">
        <v>3203</v>
      </c>
    </row>
    <row r="1908" spans="1:3" x14ac:dyDescent="0.35">
      <c r="A1908" s="24" t="s">
        <v>3204</v>
      </c>
      <c r="B1908" s="24" t="s">
        <v>63</v>
      </c>
      <c r="C1908" s="26" t="s">
        <v>3205</v>
      </c>
    </row>
    <row r="1909" spans="1:3" x14ac:dyDescent="0.35">
      <c r="A1909" s="24" t="s">
        <v>3204</v>
      </c>
      <c r="B1909" s="24" t="s">
        <v>63</v>
      </c>
      <c r="C1909" s="26" t="s">
        <v>2675</v>
      </c>
    </row>
    <row r="1910" spans="1:3" x14ac:dyDescent="0.35">
      <c r="A1910" s="24" t="s">
        <v>3206</v>
      </c>
      <c r="B1910" s="24" t="s">
        <v>85</v>
      </c>
      <c r="C1910" s="26" t="s">
        <v>2675</v>
      </c>
    </row>
    <row r="1911" spans="1:3" x14ac:dyDescent="0.35">
      <c r="A1911" s="24" t="s">
        <v>3207</v>
      </c>
      <c r="B1911" s="24" t="s">
        <v>107</v>
      </c>
      <c r="C1911" s="26" t="s">
        <v>2675</v>
      </c>
    </row>
    <row r="1912" spans="1:3" x14ac:dyDescent="0.35">
      <c r="A1912" s="24" t="s">
        <v>3208</v>
      </c>
      <c r="B1912" s="24" t="s">
        <v>128</v>
      </c>
      <c r="C1912" s="26" t="s">
        <v>2675</v>
      </c>
    </row>
    <row r="1913" spans="1:3" x14ac:dyDescent="0.35">
      <c r="A1913" s="24" t="s">
        <v>3209</v>
      </c>
      <c r="B1913" s="24" t="s">
        <v>149</v>
      </c>
      <c r="C1913" s="26" t="s">
        <v>2675</v>
      </c>
    </row>
    <row r="1914" spans="1:3" x14ac:dyDescent="0.35">
      <c r="A1914" s="24" t="s">
        <v>3210</v>
      </c>
      <c r="B1914" s="24" t="s">
        <v>362</v>
      </c>
      <c r="C1914" s="26" t="s">
        <v>2675</v>
      </c>
    </row>
    <row r="1915" spans="1:3" x14ac:dyDescent="0.35">
      <c r="A1915" s="24" t="s">
        <v>3211</v>
      </c>
      <c r="B1915" s="24" t="s">
        <v>63</v>
      </c>
      <c r="C1915" s="26" t="s">
        <v>3212</v>
      </c>
    </row>
    <row r="1916" spans="1:3" x14ac:dyDescent="0.35">
      <c r="A1916" s="24" t="s">
        <v>3211</v>
      </c>
      <c r="B1916" s="24" t="s">
        <v>63</v>
      </c>
      <c r="C1916" s="26" t="s">
        <v>3213</v>
      </c>
    </row>
    <row r="1917" spans="1:3" x14ac:dyDescent="0.35">
      <c r="A1917" s="24" t="s">
        <v>3214</v>
      </c>
      <c r="B1917" s="24" t="s">
        <v>85</v>
      </c>
      <c r="C1917" s="26" t="s">
        <v>3215</v>
      </c>
    </row>
    <row r="1918" spans="1:3" x14ac:dyDescent="0.35">
      <c r="A1918" s="24" t="s">
        <v>3216</v>
      </c>
      <c r="B1918" s="24" t="s">
        <v>107</v>
      </c>
      <c r="C1918" s="26" t="s">
        <v>3217</v>
      </c>
    </row>
    <row r="1919" spans="1:3" x14ac:dyDescent="0.35">
      <c r="A1919" s="24" t="s">
        <v>3218</v>
      </c>
      <c r="C1919" s="26" t="s">
        <v>3219</v>
      </c>
    </row>
    <row r="1920" spans="1:3" ht="29" x14ac:dyDescent="0.35">
      <c r="A1920" s="24" t="s">
        <v>3220</v>
      </c>
      <c r="B1920" s="24" t="s">
        <v>63</v>
      </c>
      <c r="C1920" s="26" t="s">
        <v>3221</v>
      </c>
    </row>
    <row r="1921" spans="1:3" x14ac:dyDescent="0.35">
      <c r="A1921" s="24" t="s">
        <v>3220</v>
      </c>
      <c r="B1921" s="24" t="s">
        <v>63</v>
      </c>
      <c r="C1921" s="26" t="s">
        <v>3152</v>
      </c>
    </row>
    <row r="1922" spans="1:3" x14ac:dyDescent="0.35">
      <c r="A1922" s="24" t="s">
        <v>3222</v>
      </c>
      <c r="B1922" s="24" t="s">
        <v>85</v>
      </c>
      <c r="C1922" s="26" t="s">
        <v>3152</v>
      </c>
    </row>
    <row r="1923" spans="1:3" x14ac:dyDescent="0.35">
      <c r="A1923" s="24" t="s">
        <v>3223</v>
      </c>
      <c r="B1923" s="24" t="s">
        <v>107</v>
      </c>
      <c r="C1923" s="26" t="s">
        <v>3152</v>
      </c>
    </row>
    <row r="1924" spans="1:3" x14ac:dyDescent="0.35">
      <c r="A1924" s="24" t="s">
        <v>3224</v>
      </c>
      <c r="B1924" s="24" t="s">
        <v>128</v>
      </c>
      <c r="C1924" s="26" t="s">
        <v>3152</v>
      </c>
    </row>
    <row r="1925" spans="1:3" x14ac:dyDescent="0.35">
      <c r="A1925" s="24" t="s">
        <v>3225</v>
      </c>
      <c r="B1925" s="24" t="s">
        <v>149</v>
      </c>
      <c r="C1925" s="26" t="s">
        <v>3152</v>
      </c>
    </row>
    <row r="1926" spans="1:3" x14ac:dyDescent="0.35">
      <c r="A1926" s="24" t="s">
        <v>3226</v>
      </c>
      <c r="B1926" s="24" t="s">
        <v>362</v>
      </c>
      <c r="C1926" s="26" t="s">
        <v>3152</v>
      </c>
    </row>
    <row r="1927" spans="1:3" x14ac:dyDescent="0.35">
      <c r="A1927" s="24" t="s">
        <v>3227</v>
      </c>
      <c r="B1927" s="24" t="s">
        <v>166</v>
      </c>
      <c r="C1927" s="26" t="s">
        <v>3152</v>
      </c>
    </row>
    <row r="1928" spans="1:3" x14ac:dyDescent="0.35">
      <c r="A1928" s="24" t="s">
        <v>3228</v>
      </c>
      <c r="B1928" s="24" t="s">
        <v>63</v>
      </c>
      <c r="C1928" s="26" t="s">
        <v>3229</v>
      </c>
    </row>
    <row r="1929" spans="1:3" x14ac:dyDescent="0.35">
      <c r="A1929" s="24" t="s">
        <v>3228</v>
      </c>
      <c r="B1929" s="24" t="s">
        <v>63</v>
      </c>
      <c r="C1929" s="26" t="s">
        <v>3230</v>
      </c>
    </row>
    <row r="1930" spans="1:3" x14ac:dyDescent="0.35">
      <c r="A1930" s="24" t="s">
        <v>3231</v>
      </c>
      <c r="B1930" s="24" t="s">
        <v>85</v>
      </c>
      <c r="C1930" s="26" t="s">
        <v>3232</v>
      </c>
    </row>
    <row r="1931" spans="1:3" x14ac:dyDescent="0.35">
      <c r="A1931" s="24" t="s">
        <v>3231</v>
      </c>
      <c r="B1931" s="24" t="s">
        <v>85</v>
      </c>
      <c r="C1931" s="26" t="s">
        <v>3233</v>
      </c>
    </row>
    <row r="1932" spans="1:3" x14ac:dyDescent="0.35">
      <c r="A1932" s="24" t="s">
        <v>3231</v>
      </c>
      <c r="B1932" s="24" t="s">
        <v>85</v>
      </c>
      <c r="C1932" s="26" t="s">
        <v>2675</v>
      </c>
    </row>
    <row r="1933" spans="1:3" x14ac:dyDescent="0.35">
      <c r="A1933" s="24" t="s">
        <v>3234</v>
      </c>
      <c r="B1933" s="24" t="s">
        <v>107</v>
      </c>
      <c r="C1933" s="26" t="s">
        <v>2675</v>
      </c>
    </row>
    <row r="1934" spans="1:3" x14ac:dyDescent="0.35">
      <c r="A1934" s="24" t="s">
        <v>3235</v>
      </c>
      <c r="B1934" s="24" t="s">
        <v>128</v>
      </c>
      <c r="C1934" s="26" t="s">
        <v>2675</v>
      </c>
    </row>
    <row r="1935" spans="1:3" x14ac:dyDescent="0.35">
      <c r="A1935" s="24" t="s">
        <v>3236</v>
      </c>
      <c r="B1935" s="24" t="s">
        <v>149</v>
      </c>
      <c r="C1935" s="26" t="s">
        <v>2675</v>
      </c>
    </row>
    <row r="1936" spans="1:3" x14ac:dyDescent="0.35">
      <c r="A1936" s="24" t="s">
        <v>3237</v>
      </c>
      <c r="B1936" s="24" t="s">
        <v>362</v>
      </c>
      <c r="C1936" s="26" t="s">
        <v>2675</v>
      </c>
    </row>
    <row r="1937" spans="1:3" x14ac:dyDescent="0.35">
      <c r="A1937" s="24" t="s">
        <v>3238</v>
      </c>
      <c r="B1937" s="24" t="s">
        <v>166</v>
      </c>
      <c r="C1937" s="26" t="s">
        <v>2675</v>
      </c>
    </row>
    <row r="1938" spans="1:3" x14ac:dyDescent="0.35">
      <c r="A1938" s="24" t="s">
        <v>3239</v>
      </c>
      <c r="C1938" s="26" t="s">
        <v>3240</v>
      </c>
    </row>
    <row r="1939" spans="1:3" x14ac:dyDescent="0.35">
      <c r="A1939" s="24" t="s">
        <v>3241</v>
      </c>
      <c r="B1939" s="24" t="s">
        <v>63</v>
      </c>
      <c r="C1939" s="26" t="s">
        <v>3242</v>
      </c>
    </row>
    <row r="1940" spans="1:3" x14ac:dyDescent="0.35">
      <c r="A1940" s="24" t="s">
        <v>3241</v>
      </c>
      <c r="B1940" s="24" t="s">
        <v>63</v>
      </c>
      <c r="C1940" s="26" t="s">
        <v>3243</v>
      </c>
    </row>
    <row r="1941" spans="1:3" x14ac:dyDescent="0.35">
      <c r="A1941" s="24" t="s">
        <v>3244</v>
      </c>
      <c r="B1941" s="24" t="s">
        <v>85</v>
      </c>
      <c r="C1941" s="26" t="s">
        <v>3245</v>
      </c>
    </row>
    <row r="1942" spans="1:3" x14ac:dyDescent="0.35">
      <c r="A1942" s="24" t="s">
        <v>3246</v>
      </c>
      <c r="B1942" s="24" t="s">
        <v>107</v>
      </c>
      <c r="C1942" s="26" t="s">
        <v>3247</v>
      </c>
    </row>
    <row r="1943" spans="1:3" x14ac:dyDescent="0.35">
      <c r="A1943" s="24" t="s">
        <v>3248</v>
      </c>
      <c r="B1943" s="24" t="s">
        <v>128</v>
      </c>
      <c r="C1943" s="26" t="s">
        <v>3249</v>
      </c>
    </row>
    <row r="1944" spans="1:3" x14ac:dyDescent="0.35">
      <c r="A1944" s="24" t="s">
        <v>3250</v>
      </c>
      <c r="B1944" s="24" t="s">
        <v>149</v>
      </c>
      <c r="C1944" s="26" t="s">
        <v>3251</v>
      </c>
    </row>
    <row r="1945" spans="1:3" x14ac:dyDescent="0.35">
      <c r="A1945" s="24" t="s">
        <v>3252</v>
      </c>
      <c r="B1945" s="24" t="s">
        <v>362</v>
      </c>
      <c r="C1945" s="26" t="s">
        <v>3253</v>
      </c>
    </row>
    <row r="1946" spans="1:3" x14ac:dyDescent="0.35">
      <c r="A1946" s="24" t="s">
        <v>3254</v>
      </c>
      <c r="C1946" s="26" t="s">
        <v>3255</v>
      </c>
    </row>
    <row r="1947" spans="1:3" x14ac:dyDescent="0.35">
      <c r="A1947" s="24" t="s">
        <v>3256</v>
      </c>
      <c r="B1947" s="24" t="s">
        <v>63</v>
      </c>
      <c r="C1947" s="26" t="s">
        <v>3257</v>
      </c>
    </row>
    <row r="1948" spans="1:3" x14ac:dyDescent="0.35">
      <c r="A1948" s="24" t="s">
        <v>3256</v>
      </c>
      <c r="B1948" s="24" t="s">
        <v>63</v>
      </c>
      <c r="C1948" s="26" t="s">
        <v>3258</v>
      </c>
    </row>
    <row r="1949" spans="1:3" x14ac:dyDescent="0.35">
      <c r="A1949" s="24" t="s">
        <v>3259</v>
      </c>
      <c r="B1949" s="24" t="s">
        <v>85</v>
      </c>
      <c r="C1949" s="26" t="s">
        <v>3260</v>
      </c>
    </row>
    <row r="1950" spans="1:3" x14ac:dyDescent="0.35">
      <c r="A1950" s="24" t="s">
        <v>3261</v>
      </c>
      <c r="B1950" s="24" t="s">
        <v>107</v>
      </c>
      <c r="C1950" s="26" t="s">
        <v>3262</v>
      </c>
    </row>
    <row r="1951" spans="1:3" x14ac:dyDescent="0.35">
      <c r="A1951" s="24" t="s">
        <v>3263</v>
      </c>
      <c r="B1951" s="24" t="s">
        <v>128</v>
      </c>
      <c r="C1951" s="26" t="s">
        <v>3264</v>
      </c>
    </row>
    <row r="1952" spans="1:3" x14ac:dyDescent="0.35">
      <c r="A1952" s="24" t="s">
        <v>3265</v>
      </c>
      <c r="B1952" s="24" t="s">
        <v>149</v>
      </c>
      <c r="C1952" s="26" t="s">
        <v>3266</v>
      </c>
    </row>
    <row r="1953" spans="1:3" ht="29" x14ac:dyDescent="0.35">
      <c r="A1953" s="24" t="s">
        <v>3267</v>
      </c>
      <c r="B1953" s="24" t="s">
        <v>63</v>
      </c>
      <c r="C1953" s="26" t="s">
        <v>3268</v>
      </c>
    </row>
    <row r="1954" spans="1:3" x14ac:dyDescent="0.35">
      <c r="A1954" s="24" t="s">
        <v>3267</v>
      </c>
      <c r="B1954" s="24" t="s">
        <v>63</v>
      </c>
      <c r="C1954" s="26" t="s">
        <v>3152</v>
      </c>
    </row>
    <row r="1955" spans="1:3" x14ac:dyDescent="0.35">
      <c r="A1955" s="24" t="s">
        <v>3269</v>
      </c>
      <c r="B1955" s="24" t="s">
        <v>85</v>
      </c>
      <c r="C1955" s="26" t="s">
        <v>3152</v>
      </c>
    </row>
    <row r="1956" spans="1:3" x14ac:dyDescent="0.35">
      <c r="A1956" s="24" t="s">
        <v>3270</v>
      </c>
      <c r="B1956" s="24" t="s">
        <v>107</v>
      </c>
      <c r="C1956" s="26" t="s">
        <v>3152</v>
      </c>
    </row>
    <row r="1957" spans="1:3" x14ac:dyDescent="0.35">
      <c r="A1957" s="24" t="s">
        <v>3271</v>
      </c>
      <c r="B1957" s="24" t="s">
        <v>128</v>
      </c>
      <c r="C1957" s="26" t="s">
        <v>3152</v>
      </c>
    </row>
    <row r="1958" spans="1:3" x14ac:dyDescent="0.35">
      <c r="A1958" s="24" t="s">
        <v>3272</v>
      </c>
      <c r="B1958" s="24" t="s">
        <v>149</v>
      </c>
      <c r="C1958" s="26" t="s">
        <v>3152</v>
      </c>
    </row>
    <row r="1959" spans="1:3" x14ac:dyDescent="0.35">
      <c r="A1959" s="24" t="s">
        <v>3273</v>
      </c>
      <c r="B1959" s="24" t="s">
        <v>362</v>
      </c>
      <c r="C1959" s="26" t="s">
        <v>3152</v>
      </c>
    </row>
    <row r="1960" spans="1:3" x14ac:dyDescent="0.35">
      <c r="A1960" s="24" t="s">
        <v>3274</v>
      </c>
      <c r="B1960" s="24" t="s">
        <v>166</v>
      </c>
      <c r="C1960" s="26" t="s">
        <v>3152</v>
      </c>
    </row>
    <row r="1961" spans="1:3" ht="29" x14ac:dyDescent="0.35">
      <c r="A1961" s="24" t="s">
        <v>3275</v>
      </c>
      <c r="B1961" s="24" t="s">
        <v>63</v>
      </c>
      <c r="C1961" s="26" t="s">
        <v>3276</v>
      </c>
    </row>
    <row r="1962" spans="1:3" x14ac:dyDescent="0.35">
      <c r="A1962" s="24" t="s">
        <v>3275</v>
      </c>
      <c r="B1962" s="24" t="s">
        <v>63</v>
      </c>
      <c r="C1962" s="26" t="s">
        <v>3152</v>
      </c>
    </row>
    <row r="1963" spans="1:3" x14ac:dyDescent="0.35">
      <c r="A1963" s="24" t="s">
        <v>3277</v>
      </c>
      <c r="B1963" s="24" t="s">
        <v>85</v>
      </c>
      <c r="C1963" s="26" t="s">
        <v>3152</v>
      </c>
    </row>
    <row r="1964" spans="1:3" x14ac:dyDescent="0.35">
      <c r="A1964" s="24" t="s">
        <v>3278</v>
      </c>
      <c r="B1964" s="24" t="s">
        <v>107</v>
      </c>
      <c r="C1964" s="26" t="s">
        <v>3152</v>
      </c>
    </row>
    <row r="1965" spans="1:3" x14ac:dyDescent="0.35">
      <c r="A1965" s="24" t="s">
        <v>3279</v>
      </c>
      <c r="C1965" s="26" t="s">
        <v>3280</v>
      </c>
    </row>
    <row r="1966" spans="1:3" x14ac:dyDescent="0.35">
      <c r="A1966" s="24" t="s">
        <v>3281</v>
      </c>
      <c r="B1966" s="24" t="s">
        <v>63</v>
      </c>
      <c r="C1966" s="26" t="s">
        <v>3282</v>
      </c>
    </row>
    <row r="1967" spans="1:3" x14ac:dyDescent="0.35">
      <c r="A1967" s="24" t="s">
        <v>3281</v>
      </c>
      <c r="B1967" s="24" t="s">
        <v>63</v>
      </c>
      <c r="C1967" s="26" t="s">
        <v>3243</v>
      </c>
    </row>
    <row r="1968" spans="1:3" x14ac:dyDescent="0.35">
      <c r="A1968" s="24" t="s">
        <v>3283</v>
      </c>
      <c r="B1968" s="24" t="s">
        <v>85</v>
      </c>
      <c r="C1968" s="26" t="s">
        <v>3245</v>
      </c>
    </row>
    <row r="1969" spans="1:3" x14ac:dyDescent="0.35">
      <c r="A1969" s="24" t="s">
        <v>3284</v>
      </c>
      <c r="B1969" s="24" t="s">
        <v>107</v>
      </c>
      <c r="C1969" s="26" t="s">
        <v>3247</v>
      </c>
    </row>
    <row r="1970" spans="1:3" x14ac:dyDescent="0.35">
      <c r="A1970" s="24" t="s">
        <v>3285</v>
      </c>
      <c r="B1970" s="24" t="s">
        <v>128</v>
      </c>
      <c r="C1970" s="26" t="s">
        <v>3249</v>
      </c>
    </row>
    <row r="1971" spans="1:3" x14ac:dyDescent="0.35">
      <c r="A1971" s="24" t="s">
        <v>3286</v>
      </c>
      <c r="B1971" s="24" t="s">
        <v>149</v>
      </c>
      <c r="C1971" s="26" t="s">
        <v>3251</v>
      </c>
    </row>
    <row r="1972" spans="1:3" x14ac:dyDescent="0.35">
      <c r="A1972" s="24" t="s">
        <v>3287</v>
      </c>
      <c r="B1972" s="24" t="s">
        <v>362</v>
      </c>
      <c r="C1972" s="26" t="s">
        <v>3253</v>
      </c>
    </row>
    <row r="1973" spans="1:3" x14ac:dyDescent="0.35">
      <c r="A1973" s="24" t="s">
        <v>3288</v>
      </c>
      <c r="C1973" s="26" t="s">
        <v>3289</v>
      </c>
    </row>
    <row r="1974" spans="1:3" x14ac:dyDescent="0.35">
      <c r="A1974" s="24" t="s">
        <v>3290</v>
      </c>
      <c r="B1974" s="24" t="s">
        <v>63</v>
      </c>
      <c r="C1974" s="26" t="s">
        <v>3291</v>
      </c>
    </row>
    <row r="1975" spans="1:3" x14ac:dyDescent="0.35">
      <c r="A1975" s="24" t="s">
        <v>3290</v>
      </c>
      <c r="B1975" s="24" t="s">
        <v>63</v>
      </c>
      <c r="C1975" s="26" t="s">
        <v>3243</v>
      </c>
    </row>
    <row r="1976" spans="1:3" x14ac:dyDescent="0.35">
      <c r="A1976" s="24" t="s">
        <v>3292</v>
      </c>
      <c r="B1976" s="24" t="s">
        <v>85</v>
      </c>
      <c r="C1976" s="26" t="s">
        <v>3245</v>
      </c>
    </row>
    <row r="1977" spans="1:3" x14ac:dyDescent="0.35">
      <c r="A1977" s="24" t="s">
        <v>3293</v>
      </c>
      <c r="B1977" s="24" t="s">
        <v>107</v>
      </c>
      <c r="C1977" s="26" t="s">
        <v>3247</v>
      </c>
    </row>
    <row r="1978" spans="1:3" x14ac:dyDescent="0.35">
      <c r="A1978" s="24" t="s">
        <v>3294</v>
      </c>
      <c r="B1978" s="24" t="s">
        <v>128</v>
      </c>
      <c r="C1978" s="26" t="s">
        <v>3249</v>
      </c>
    </row>
    <row r="1979" spans="1:3" x14ac:dyDescent="0.35">
      <c r="A1979" s="24" t="s">
        <v>3295</v>
      </c>
      <c r="B1979" s="24" t="s">
        <v>149</v>
      </c>
      <c r="C1979" s="26" t="s">
        <v>3251</v>
      </c>
    </row>
    <row r="1980" spans="1:3" x14ac:dyDescent="0.35">
      <c r="A1980" s="24" t="s">
        <v>3296</v>
      </c>
      <c r="B1980" s="24" t="s">
        <v>362</v>
      </c>
      <c r="C1980" s="26" t="s">
        <v>3253</v>
      </c>
    </row>
    <row r="1981" spans="1:3" x14ac:dyDescent="0.35">
      <c r="A1981" s="24" t="s">
        <v>3297</v>
      </c>
      <c r="B1981" s="24" t="s">
        <v>63</v>
      </c>
      <c r="C1981" s="26" t="s">
        <v>3298</v>
      </c>
    </row>
    <row r="1982" spans="1:3" x14ac:dyDescent="0.35">
      <c r="A1982" s="24" t="s">
        <v>3297</v>
      </c>
      <c r="B1982" s="24" t="s">
        <v>63</v>
      </c>
      <c r="C1982" s="26" t="s">
        <v>3243</v>
      </c>
    </row>
    <row r="1983" spans="1:3" x14ac:dyDescent="0.35">
      <c r="A1983" s="24" t="s">
        <v>3299</v>
      </c>
      <c r="B1983" s="24" t="s">
        <v>85</v>
      </c>
      <c r="C1983" s="26" t="s">
        <v>3245</v>
      </c>
    </row>
    <row r="1984" spans="1:3" x14ac:dyDescent="0.35">
      <c r="A1984" s="24" t="s">
        <v>3300</v>
      </c>
      <c r="B1984" s="24" t="s">
        <v>107</v>
      </c>
      <c r="C1984" s="26" t="s">
        <v>3301</v>
      </c>
    </row>
    <row r="1985" spans="1:3" x14ac:dyDescent="0.35">
      <c r="A1985" s="24" t="s">
        <v>3302</v>
      </c>
      <c r="B1985" s="24" t="s">
        <v>128</v>
      </c>
      <c r="C1985" s="26" t="s">
        <v>3249</v>
      </c>
    </row>
    <row r="1986" spans="1:3" x14ac:dyDescent="0.35">
      <c r="A1986" s="24" t="s">
        <v>3303</v>
      </c>
      <c r="B1986" s="24" t="s">
        <v>149</v>
      </c>
      <c r="C1986" s="26" t="s">
        <v>3251</v>
      </c>
    </row>
    <row r="1987" spans="1:3" x14ac:dyDescent="0.35">
      <c r="A1987" s="24" t="s">
        <v>3304</v>
      </c>
      <c r="B1987" s="24" t="s">
        <v>362</v>
      </c>
      <c r="C1987" s="26" t="s">
        <v>3253</v>
      </c>
    </row>
    <row r="1988" spans="1:3" x14ac:dyDescent="0.35">
      <c r="A1988" s="24" t="s">
        <v>3305</v>
      </c>
      <c r="B1988" s="24" t="s">
        <v>63</v>
      </c>
      <c r="C1988" s="26" t="s">
        <v>3306</v>
      </c>
    </row>
    <row r="1989" spans="1:3" x14ac:dyDescent="0.35">
      <c r="A1989" s="24" t="s">
        <v>3305</v>
      </c>
      <c r="B1989" s="24" t="s">
        <v>63</v>
      </c>
      <c r="C1989" s="26" t="s">
        <v>3243</v>
      </c>
    </row>
    <row r="1990" spans="1:3" x14ac:dyDescent="0.35">
      <c r="A1990" s="24" t="s">
        <v>3307</v>
      </c>
      <c r="B1990" s="24" t="s">
        <v>85</v>
      </c>
      <c r="C1990" s="26" t="s">
        <v>3245</v>
      </c>
    </row>
    <row r="1991" spans="1:3" x14ac:dyDescent="0.35">
      <c r="A1991" s="24" t="s">
        <v>3308</v>
      </c>
      <c r="B1991" s="24" t="s">
        <v>107</v>
      </c>
      <c r="C1991" s="26" t="s">
        <v>3301</v>
      </c>
    </row>
    <row r="1992" spans="1:3" x14ac:dyDescent="0.35">
      <c r="A1992" s="24" t="s">
        <v>3309</v>
      </c>
      <c r="B1992" s="24" t="s">
        <v>128</v>
      </c>
      <c r="C1992" s="26" t="s">
        <v>3249</v>
      </c>
    </row>
    <row r="1993" spans="1:3" x14ac:dyDescent="0.35">
      <c r="A1993" s="24" t="s">
        <v>3310</v>
      </c>
      <c r="B1993" s="24" t="s">
        <v>149</v>
      </c>
      <c r="C1993" s="26" t="s">
        <v>3251</v>
      </c>
    </row>
    <row r="1994" spans="1:3" x14ac:dyDescent="0.35">
      <c r="A1994" s="24" t="s">
        <v>3311</v>
      </c>
      <c r="B1994" s="24" t="s">
        <v>362</v>
      </c>
      <c r="C1994" s="26" t="s">
        <v>3253</v>
      </c>
    </row>
    <row r="1995" spans="1:3" x14ac:dyDescent="0.35">
      <c r="A1995" s="24" t="s">
        <v>3312</v>
      </c>
      <c r="B1995" s="24" t="s">
        <v>63</v>
      </c>
      <c r="C1995" s="26" t="s">
        <v>3313</v>
      </c>
    </row>
    <row r="1996" spans="1:3" x14ac:dyDescent="0.35">
      <c r="A1996" s="24" t="s">
        <v>3312</v>
      </c>
      <c r="B1996" s="24" t="s">
        <v>63</v>
      </c>
      <c r="C1996" s="26" t="s">
        <v>3243</v>
      </c>
    </row>
    <row r="1997" spans="1:3" x14ac:dyDescent="0.35">
      <c r="A1997" s="24" t="s">
        <v>3314</v>
      </c>
      <c r="B1997" s="24" t="s">
        <v>85</v>
      </c>
      <c r="C1997" s="26" t="s">
        <v>3245</v>
      </c>
    </row>
    <row r="1998" spans="1:3" x14ac:dyDescent="0.35">
      <c r="A1998" s="24" t="s">
        <v>3315</v>
      </c>
      <c r="B1998" s="24" t="s">
        <v>107</v>
      </c>
      <c r="C1998" s="26" t="s">
        <v>3301</v>
      </c>
    </row>
    <row r="1999" spans="1:3" x14ac:dyDescent="0.35">
      <c r="A1999" s="24" t="s">
        <v>3316</v>
      </c>
      <c r="B1999" s="24" t="s">
        <v>128</v>
      </c>
      <c r="C1999" s="26" t="s">
        <v>3249</v>
      </c>
    </row>
    <row r="2000" spans="1:3" x14ac:dyDescent="0.35">
      <c r="A2000" s="24" t="s">
        <v>3317</v>
      </c>
      <c r="B2000" s="24" t="s">
        <v>149</v>
      </c>
      <c r="C2000" s="26" t="s">
        <v>3251</v>
      </c>
    </row>
    <row r="2001" spans="1:3" x14ac:dyDescent="0.35">
      <c r="A2001" s="24" t="s">
        <v>3318</v>
      </c>
      <c r="B2001" s="24" t="s">
        <v>362</v>
      </c>
      <c r="C2001" s="26" t="s">
        <v>3253</v>
      </c>
    </row>
    <row r="2002" spans="1:3" x14ac:dyDescent="0.35">
      <c r="A2002" s="24" t="s">
        <v>3319</v>
      </c>
      <c r="B2002" s="24" t="s">
        <v>63</v>
      </c>
      <c r="C2002" s="26" t="s">
        <v>3320</v>
      </c>
    </row>
    <row r="2003" spans="1:3" x14ac:dyDescent="0.35">
      <c r="A2003" s="24" t="s">
        <v>3319</v>
      </c>
      <c r="B2003" s="24" t="s">
        <v>63</v>
      </c>
      <c r="C2003" s="26" t="s">
        <v>3243</v>
      </c>
    </row>
    <row r="2004" spans="1:3" x14ac:dyDescent="0.35">
      <c r="A2004" s="24" t="s">
        <v>3321</v>
      </c>
      <c r="B2004" s="24" t="s">
        <v>85</v>
      </c>
      <c r="C2004" s="26" t="s">
        <v>3245</v>
      </c>
    </row>
    <row r="2005" spans="1:3" x14ac:dyDescent="0.35">
      <c r="A2005" s="24" t="s">
        <v>3322</v>
      </c>
      <c r="B2005" s="24" t="s">
        <v>107</v>
      </c>
      <c r="C2005" s="26" t="s">
        <v>3301</v>
      </c>
    </row>
    <row r="2006" spans="1:3" x14ac:dyDescent="0.35">
      <c r="A2006" s="24" t="s">
        <v>3323</v>
      </c>
      <c r="B2006" s="24" t="s">
        <v>128</v>
      </c>
      <c r="C2006" s="26" t="s">
        <v>3249</v>
      </c>
    </row>
    <row r="2007" spans="1:3" x14ac:dyDescent="0.35">
      <c r="A2007" s="24" t="s">
        <v>3324</v>
      </c>
      <c r="B2007" s="24" t="s">
        <v>149</v>
      </c>
      <c r="C2007" s="26" t="s">
        <v>3251</v>
      </c>
    </row>
    <row r="2008" spans="1:3" x14ac:dyDescent="0.35">
      <c r="A2008" s="24" t="s">
        <v>3325</v>
      </c>
      <c r="B2008" s="24" t="s">
        <v>362</v>
      </c>
      <c r="C2008" s="26" t="s">
        <v>3253</v>
      </c>
    </row>
    <row r="2009" spans="1:3" x14ac:dyDescent="0.35">
      <c r="A2009" s="24" t="s">
        <v>3326</v>
      </c>
      <c r="B2009" s="24" t="s">
        <v>63</v>
      </c>
      <c r="C2009" s="26" t="s">
        <v>3327</v>
      </c>
    </row>
    <row r="2010" spans="1:3" x14ac:dyDescent="0.35">
      <c r="A2010" s="24" t="s">
        <v>3326</v>
      </c>
      <c r="B2010" s="24" t="s">
        <v>63</v>
      </c>
      <c r="C2010" s="26" t="s">
        <v>3328</v>
      </c>
    </row>
    <row r="2011" spans="1:3" x14ac:dyDescent="0.35">
      <c r="A2011" s="24" t="s">
        <v>3329</v>
      </c>
      <c r="B2011" s="24" t="s">
        <v>85</v>
      </c>
      <c r="C2011" s="26" t="s">
        <v>3330</v>
      </c>
    </row>
    <row r="2012" spans="1:3" x14ac:dyDescent="0.35">
      <c r="A2012" s="24" t="s">
        <v>3331</v>
      </c>
      <c r="B2012" s="24" t="s">
        <v>107</v>
      </c>
      <c r="C2012" s="26" t="s">
        <v>3332</v>
      </c>
    </row>
    <row r="2013" spans="1:3" x14ac:dyDescent="0.35">
      <c r="A2013" s="24" t="s">
        <v>3333</v>
      </c>
      <c r="B2013" s="24" t="s">
        <v>128</v>
      </c>
      <c r="C2013" s="26" t="s">
        <v>3264</v>
      </c>
    </row>
    <row r="2014" spans="1:3" x14ac:dyDescent="0.35">
      <c r="A2014" s="24" t="s">
        <v>3334</v>
      </c>
      <c r="B2014" s="24" t="s">
        <v>149</v>
      </c>
      <c r="C2014" s="26" t="s">
        <v>3266</v>
      </c>
    </row>
    <row r="2015" spans="1:3" ht="58" x14ac:dyDescent="0.35">
      <c r="A2015" s="24" t="s">
        <v>3335</v>
      </c>
      <c r="B2015" s="24" t="s">
        <v>63</v>
      </c>
      <c r="C2015" s="26" t="s">
        <v>3336</v>
      </c>
    </row>
    <row r="2016" spans="1:3" x14ac:dyDescent="0.35">
      <c r="A2016" s="24" t="s">
        <v>3335</v>
      </c>
      <c r="B2016" s="24" t="s">
        <v>63</v>
      </c>
      <c r="C2016" s="26" t="s">
        <v>3152</v>
      </c>
    </row>
    <row r="2017" spans="1:3" x14ac:dyDescent="0.35">
      <c r="A2017" s="24" t="s">
        <v>3337</v>
      </c>
      <c r="B2017" s="24" t="s">
        <v>85</v>
      </c>
      <c r="C2017" s="26" t="s">
        <v>3152</v>
      </c>
    </row>
    <row r="2018" spans="1:3" x14ac:dyDescent="0.35">
      <c r="A2018" s="24" t="s">
        <v>3338</v>
      </c>
      <c r="B2018" s="24" t="s">
        <v>107</v>
      </c>
      <c r="C2018" s="26" t="s">
        <v>3152</v>
      </c>
    </row>
    <row r="2019" spans="1:3" x14ac:dyDescent="0.35">
      <c r="A2019" s="24" t="s">
        <v>3339</v>
      </c>
      <c r="B2019" s="24" t="s">
        <v>128</v>
      </c>
      <c r="C2019" s="26" t="s">
        <v>3152</v>
      </c>
    </row>
    <row r="2020" spans="1:3" ht="58" x14ac:dyDescent="0.35">
      <c r="A2020" s="24" t="s">
        <v>3340</v>
      </c>
      <c r="B2020" s="24" t="s">
        <v>63</v>
      </c>
      <c r="C2020" s="26" t="s">
        <v>3341</v>
      </c>
    </row>
    <row r="2021" spans="1:3" x14ac:dyDescent="0.35">
      <c r="A2021" s="24" t="s">
        <v>3340</v>
      </c>
      <c r="B2021" s="24" t="s">
        <v>63</v>
      </c>
      <c r="C2021" s="26" t="s">
        <v>3152</v>
      </c>
    </row>
    <row r="2022" spans="1:3" x14ac:dyDescent="0.35">
      <c r="A2022" s="24" t="s">
        <v>3342</v>
      </c>
      <c r="B2022" s="24" t="s">
        <v>85</v>
      </c>
      <c r="C2022" s="26" t="s">
        <v>3152</v>
      </c>
    </row>
    <row r="2023" spans="1:3" ht="29" x14ac:dyDescent="0.35">
      <c r="A2023" s="24" t="s">
        <v>3343</v>
      </c>
      <c r="B2023" s="24" t="s">
        <v>107</v>
      </c>
      <c r="C2023" s="26" t="s">
        <v>3159</v>
      </c>
    </row>
    <row r="2024" spans="1:3" ht="58" x14ac:dyDescent="0.35">
      <c r="A2024" s="24" t="s">
        <v>3344</v>
      </c>
      <c r="B2024" s="24" t="s">
        <v>63</v>
      </c>
      <c r="C2024" s="26" t="s">
        <v>3345</v>
      </c>
    </row>
    <row r="2025" spans="1:3" x14ac:dyDescent="0.35">
      <c r="A2025" s="24" t="s">
        <v>3344</v>
      </c>
      <c r="B2025" s="24" t="s">
        <v>63</v>
      </c>
      <c r="C2025" s="26" t="s">
        <v>3152</v>
      </c>
    </row>
    <row r="2026" spans="1:3" x14ac:dyDescent="0.35">
      <c r="A2026" s="24" t="s">
        <v>3346</v>
      </c>
      <c r="B2026" s="24" t="s">
        <v>85</v>
      </c>
      <c r="C2026" s="26" t="s">
        <v>3152</v>
      </c>
    </row>
    <row r="2027" spans="1:3" x14ac:dyDescent="0.35">
      <c r="A2027" s="24" t="s">
        <v>3347</v>
      </c>
      <c r="B2027" s="24" t="s">
        <v>107</v>
      </c>
      <c r="C2027" s="26" t="s">
        <v>3152</v>
      </c>
    </row>
    <row r="2028" spans="1:3" x14ac:dyDescent="0.35">
      <c r="A2028" s="24" t="s">
        <v>3348</v>
      </c>
      <c r="B2028" s="24" t="s">
        <v>128</v>
      </c>
      <c r="C2028" s="26" t="s">
        <v>3152</v>
      </c>
    </row>
    <row r="2029" spans="1:3" ht="58" x14ac:dyDescent="0.35">
      <c r="A2029" s="24" t="s">
        <v>3349</v>
      </c>
      <c r="B2029" s="24" t="s">
        <v>63</v>
      </c>
      <c r="C2029" s="26" t="s">
        <v>3350</v>
      </c>
    </row>
    <row r="2030" spans="1:3" x14ac:dyDescent="0.35">
      <c r="A2030" s="24" t="s">
        <v>3349</v>
      </c>
      <c r="B2030" s="24" t="s">
        <v>63</v>
      </c>
      <c r="C2030" s="26" t="s">
        <v>3152</v>
      </c>
    </row>
    <row r="2031" spans="1:3" x14ac:dyDescent="0.35">
      <c r="A2031" s="24" t="s">
        <v>3351</v>
      </c>
      <c r="B2031" s="24" t="s">
        <v>85</v>
      </c>
      <c r="C2031" s="26" t="s">
        <v>3152</v>
      </c>
    </row>
    <row r="2032" spans="1:3" ht="29" x14ac:dyDescent="0.35">
      <c r="A2032" s="24" t="s">
        <v>3352</v>
      </c>
      <c r="B2032" s="24" t="s">
        <v>107</v>
      </c>
      <c r="C2032" s="26" t="s">
        <v>3170</v>
      </c>
    </row>
    <row r="2033" spans="1:3" x14ac:dyDescent="0.35">
      <c r="A2033" s="24" t="s">
        <v>3353</v>
      </c>
      <c r="C2033" s="26" t="s">
        <v>775</v>
      </c>
    </row>
    <row r="2034" spans="1:3" ht="58" x14ac:dyDescent="0.35">
      <c r="A2034" s="24" t="s">
        <v>3354</v>
      </c>
      <c r="B2034" s="24" t="s">
        <v>63</v>
      </c>
      <c r="C2034" s="26" t="s">
        <v>3355</v>
      </c>
    </row>
    <row r="2035" spans="1:3" x14ac:dyDescent="0.35">
      <c r="A2035" s="24" t="s">
        <v>3354</v>
      </c>
      <c r="B2035" s="24" t="s">
        <v>63</v>
      </c>
      <c r="C2035" s="26" t="s">
        <v>3356</v>
      </c>
    </row>
    <row r="2036" spans="1:3" x14ac:dyDescent="0.35">
      <c r="A2036" s="24" t="s">
        <v>3357</v>
      </c>
      <c r="B2036" s="24" t="s">
        <v>85</v>
      </c>
      <c r="C2036" s="26" t="s">
        <v>3356</v>
      </c>
    </row>
    <row r="2037" spans="1:3" x14ac:dyDescent="0.35">
      <c r="A2037" s="24" t="s">
        <v>3358</v>
      </c>
      <c r="B2037" s="24" t="s">
        <v>107</v>
      </c>
      <c r="C2037" s="26" t="s">
        <v>3356</v>
      </c>
    </row>
    <row r="2038" spans="1:3" x14ac:dyDescent="0.35">
      <c r="A2038" s="24" t="s">
        <v>3359</v>
      </c>
      <c r="B2038" s="24" t="s">
        <v>128</v>
      </c>
      <c r="C2038" s="26" t="s">
        <v>3356</v>
      </c>
    </row>
    <row r="2039" spans="1:3" x14ac:dyDescent="0.35">
      <c r="A2039" s="24" t="s">
        <v>3360</v>
      </c>
      <c r="B2039" s="24" t="s">
        <v>149</v>
      </c>
      <c r="C2039" s="26" t="s">
        <v>3356</v>
      </c>
    </row>
    <row r="2040" spans="1:3" x14ac:dyDescent="0.35">
      <c r="A2040" s="24" t="s">
        <v>3361</v>
      </c>
      <c r="B2040" s="24" t="s">
        <v>362</v>
      </c>
      <c r="C2040" s="26" t="s">
        <v>3356</v>
      </c>
    </row>
    <row r="2041" spans="1:3" x14ac:dyDescent="0.35">
      <c r="A2041" s="24" t="s">
        <v>3362</v>
      </c>
      <c r="B2041" s="24" t="s">
        <v>3363</v>
      </c>
    </row>
    <row r="2042" spans="1:3" x14ac:dyDescent="0.35">
      <c r="A2042" s="24" t="s">
        <v>3362</v>
      </c>
      <c r="B2042" s="24" t="s">
        <v>3364</v>
      </c>
      <c r="C2042" s="26" t="s">
        <v>3364</v>
      </c>
    </row>
    <row r="2043" spans="1:3" x14ac:dyDescent="0.35">
      <c r="A2043" s="24" t="s">
        <v>3362</v>
      </c>
      <c r="C2043" s="26" t="s">
        <v>3365</v>
      </c>
    </row>
    <row r="2044" spans="1:3" ht="159.5" x14ac:dyDescent="0.35">
      <c r="A2044" s="24" t="s">
        <v>3366</v>
      </c>
      <c r="B2044" s="24" t="s">
        <v>63</v>
      </c>
      <c r="C2044" s="26" t="s">
        <v>3367</v>
      </c>
    </row>
    <row r="2045" spans="1:3" ht="29" x14ac:dyDescent="0.35">
      <c r="A2045" s="24" t="s">
        <v>3366</v>
      </c>
      <c r="B2045" s="24" t="s">
        <v>63</v>
      </c>
      <c r="C2045" s="26" t="s">
        <v>3368</v>
      </c>
    </row>
    <row r="2046" spans="1:3" x14ac:dyDescent="0.35">
      <c r="A2046" s="24" t="s">
        <v>3369</v>
      </c>
      <c r="B2046" s="24" t="s">
        <v>63</v>
      </c>
      <c r="C2046" s="26" t="s">
        <v>3370</v>
      </c>
    </row>
    <row r="2047" spans="1:3" x14ac:dyDescent="0.35">
      <c r="A2047" s="24" t="s">
        <v>3369</v>
      </c>
      <c r="B2047" s="24" t="s">
        <v>63</v>
      </c>
      <c r="C2047" s="26" t="s">
        <v>3371</v>
      </c>
    </row>
    <row r="2048" spans="1:3" x14ac:dyDescent="0.35">
      <c r="A2048" s="24" t="s">
        <v>3372</v>
      </c>
      <c r="B2048" s="24" t="s">
        <v>85</v>
      </c>
      <c r="C2048" s="26" t="s">
        <v>3373</v>
      </c>
    </row>
    <row r="2049" spans="1:3" x14ac:dyDescent="0.35">
      <c r="A2049" s="24" t="s">
        <v>3372</v>
      </c>
      <c r="B2049" s="24" t="s">
        <v>85</v>
      </c>
      <c r="C2049" s="26" t="s">
        <v>3374</v>
      </c>
    </row>
    <row r="2050" spans="1:3" x14ac:dyDescent="0.35">
      <c r="A2050" s="24" t="s">
        <v>3372</v>
      </c>
      <c r="B2050" s="24" t="s">
        <v>85</v>
      </c>
      <c r="C2050" s="26" t="s">
        <v>3375</v>
      </c>
    </row>
    <row r="2051" spans="1:3" x14ac:dyDescent="0.35">
      <c r="A2051" s="24" t="s">
        <v>3376</v>
      </c>
      <c r="C2051" s="26" t="s">
        <v>3377</v>
      </c>
    </row>
    <row r="2052" spans="1:3" x14ac:dyDescent="0.35">
      <c r="A2052" s="24" t="s">
        <v>3369</v>
      </c>
      <c r="B2052" s="24" t="s">
        <v>63</v>
      </c>
      <c r="C2052" s="26" t="s">
        <v>3378</v>
      </c>
    </row>
    <row r="2053" spans="1:3" ht="29" x14ac:dyDescent="0.35">
      <c r="A2053" s="24" t="s">
        <v>3379</v>
      </c>
      <c r="B2053" s="24" t="s">
        <v>63</v>
      </c>
      <c r="C2053" s="26" t="s">
        <v>3380</v>
      </c>
    </row>
    <row r="2054" spans="1:3" ht="43.5" x14ac:dyDescent="0.35">
      <c r="A2054" s="24" t="s">
        <v>3381</v>
      </c>
      <c r="B2054" s="24" t="s">
        <v>63</v>
      </c>
      <c r="C2054" s="26" t="s">
        <v>3382</v>
      </c>
    </row>
    <row r="2055" spans="1:3" ht="43.5" x14ac:dyDescent="0.35">
      <c r="A2055" s="24" t="s">
        <v>3381</v>
      </c>
      <c r="B2055" s="24" t="s">
        <v>63</v>
      </c>
      <c r="C2055" s="26" t="s">
        <v>3383</v>
      </c>
    </row>
    <row r="2056" spans="1:3" x14ac:dyDescent="0.35">
      <c r="A2056" s="24" t="s">
        <v>3384</v>
      </c>
      <c r="B2056" s="24" t="s">
        <v>3385</v>
      </c>
    </row>
    <row r="2057" spans="1:3" ht="29" x14ac:dyDescent="0.35">
      <c r="A2057" s="24" t="s">
        <v>3384</v>
      </c>
      <c r="B2057" s="24" t="s">
        <v>3386</v>
      </c>
      <c r="C2057" s="26" t="s">
        <v>3386</v>
      </c>
    </row>
    <row r="2058" spans="1:3" x14ac:dyDescent="0.35">
      <c r="A2058" s="24" t="s">
        <v>3384</v>
      </c>
      <c r="C2058" s="26" t="s">
        <v>466</v>
      </c>
    </row>
    <row r="2059" spans="1:3" ht="159.5" x14ac:dyDescent="0.35">
      <c r="A2059" s="24" t="s">
        <v>3384</v>
      </c>
      <c r="C2059" s="26" t="s">
        <v>3387</v>
      </c>
    </row>
    <row r="2060" spans="1:3" x14ac:dyDescent="0.35">
      <c r="A2060" s="24" t="s">
        <v>3384</v>
      </c>
      <c r="C2060" s="26" t="s">
        <v>3388</v>
      </c>
    </row>
    <row r="2061" spans="1:3" x14ac:dyDescent="0.35">
      <c r="A2061" s="24" t="s">
        <v>3384</v>
      </c>
      <c r="C2061" s="26" t="s">
        <v>3389</v>
      </c>
    </row>
    <row r="2062" spans="1:3" x14ac:dyDescent="0.35">
      <c r="A2062" s="24" t="s">
        <v>3390</v>
      </c>
      <c r="B2062" s="24" t="s">
        <v>63</v>
      </c>
      <c r="C2062" s="26" t="s">
        <v>3391</v>
      </c>
    </row>
    <row r="2063" spans="1:3" x14ac:dyDescent="0.35">
      <c r="A2063" s="24" t="s">
        <v>3390</v>
      </c>
      <c r="B2063" s="24" t="s">
        <v>63</v>
      </c>
      <c r="C2063" s="26" t="s">
        <v>3392</v>
      </c>
    </row>
    <row r="2064" spans="1:3" x14ac:dyDescent="0.35">
      <c r="A2064" s="24" t="s">
        <v>3393</v>
      </c>
      <c r="B2064" s="24" t="s">
        <v>85</v>
      </c>
      <c r="C2064" s="26" t="s">
        <v>3394</v>
      </c>
    </row>
    <row r="2065" spans="1:3" ht="29" x14ac:dyDescent="0.35">
      <c r="A2065" s="24" t="s">
        <v>3395</v>
      </c>
      <c r="B2065" s="24" t="s">
        <v>107</v>
      </c>
      <c r="C2065" s="26" t="s">
        <v>3396</v>
      </c>
    </row>
    <row r="2066" spans="1:3" x14ac:dyDescent="0.35">
      <c r="A2066" s="24" t="s">
        <v>3397</v>
      </c>
      <c r="B2066" s="24" t="s">
        <v>63</v>
      </c>
      <c r="C2066" s="26" t="s">
        <v>3398</v>
      </c>
    </row>
    <row r="2067" spans="1:3" x14ac:dyDescent="0.35">
      <c r="A2067" s="24" t="s">
        <v>3397</v>
      </c>
      <c r="B2067" s="24" t="s">
        <v>63</v>
      </c>
      <c r="C2067" s="26" t="s">
        <v>658</v>
      </c>
    </row>
    <row r="2068" spans="1:3" x14ac:dyDescent="0.35">
      <c r="A2068" s="24" t="s">
        <v>3399</v>
      </c>
      <c r="B2068" s="24" t="s">
        <v>85</v>
      </c>
      <c r="C2068" s="26" t="s">
        <v>3400</v>
      </c>
    </row>
    <row r="2069" spans="1:3" x14ac:dyDescent="0.35">
      <c r="A2069" s="24" t="s">
        <v>3399</v>
      </c>
      <c r="B2069" s="24" t="s">
        <v>85</v>
      </c>
      <c r="C2069" s="26" t="s">
        <v>3401</v>
      </c>
    </row>
    <row r="2070" spans="1:3" x14ac:dyDescent="0.35">
      <c r="A2070" s="24" t="s">
        <v>3402</v>
      </c>
      <c r="C2070" s="26" t="s">
        <v>3386</v>
      </c>
    </row>
    <row r="2071" spans="1:3" x14ac:dyDescent="0.35">
      <c r="A2071" s="24" t="s">
        <v>3402</v>
      </c>
      <c r="C2071" s="26" t="s">
        <v>3403</v>
      </c>
    </row>
    <row r="2072" spans="1:3" ht="29" x14ac:dyDescent="0.35">
      <c r="A2072" s="24" t="s">
        <v>3402</v>
      </c>
      <c r="C2072" s="26" t="s">
        <v>3404</v>
      </c>
    </row>
    <row r="2073" spans="1:3" x14ac:dyDescent="0.35">
      <c r="A2073" s="24" t="s">
        <v>3405</v>
      </c>
      <c r="B2073" s="24" t="s">
        <v>63</v>
      </c>
      <c r="C2073" s="26" t="s">
        <v>3406</v>
      </c>
    </row>
    <row r="2074" spans="1:3" x14ac:dyDescent="0.35">
      <c r="A2074" s="24" t="s">
        <v>3405</v>
      </c>
      <c r="B2074" s="24" t="s">
        <v>63</v>
      </c>
      <c r="C2074" s="26" t="s">
        <v>3407</v>
      </c>
    </row>
    <row r="2075" spans="1:3" x14ac:dyDescent="0.35">
      <c r="A2075" s="24" t="s">
        <v>3408</v>
      </c>
      <c r="B2075" s="24" t="s">
        <v>85</v>
      </c>
      <c r="C2075" s="26" t="s">
        <v>3409</v>
      </c>
    </row>
    <row r="2076" spans="1:3" x14ac:dyDescent="0.35">
      <c r="A2076" s="24" t="s">
        <v>3410</v>
      </c>
      <c r="B2076" s="24" t="s">
        <v>107</v>
      </c>
      <c r="C2076" s="26" t="s">
        <v>3411</v>
      </c>
    </row>
    <row r="2077" spans="1:3" x14ac:dyDescent="0.35">
      <c r="A2077" s="24" t="s">
        <v>3412</v>
      </c>
      <c r="B2077" s="24" t="s">
        <v>128</v>
      </c>
      <c r="C2077" s="26" t="s">
        <v>3413</v>
      </c>
    </row>
    <row r="2078" spans="1:3" x14ac:dyDescent="0.35">
      <c r="A2078" s="24" t="s">
        <v>3414</v>
      </c>
      <c r="B2078" s="24" t="s">
        <v>149</v>
      </c>
      <c r="C2078" s="26" t="s">
        <v>3415</v>
      </c>
    </row>
    <row r="2079" spans="1:3" x14ac:dyDescent="0.35">
      <c r="A2079" s="24" t="s">
        <v>3416</v>
      </c>
      <c r="C2079" s="26" t="s">
        <v>3417</v>
      </c>
    </row>
    <row r="2080" spans="1:3" x14ac:dyDescent="0.35">
      <c r="A2080" s="24" t="s">
        <v>3418</v>
      </c>
      <c r="B2080" s="24" t="s">
        <v>63</v>
      </c>
      <c r="C2080" s="26" t="s">
        <v>3419</v>
      </c>
    </row>
    <row r="2081" spans="1:3" x14ac:dyDescent="0.35">
      <c r="A2081" s="24" t="s">
        <v>3418</v>
      </c>
      <c r="B2081" s="24" t="s">
        <v>63</v>
      </c>
      <c r="C2081" s="26" t="s">
        <v>3420</v>
      </c>
    </row>
    <row r="2082" spans="1:3" x14ac:dyDescent="0.35">
      <c r="A2082" s="24" t="s">
        <v>3421</v>
      </c>
      <c r="B2082" s="24" t="s">
        <v>85</v>
      </c>
      <c r="C2082" s="26" t="s">
        <v>3422</v>
      </c>
    </row>
    <row r="2083" spans="1:3" x14ac:dyDescent="0.35">
      <c r="A2083" s="24" t="s">
        <v>3421</v>
      </c>
      <c r="B2083" s="24" t="s">
        <v>85</v>
      </c>
      <c r="C2083" s="26" t="s">
        <v>3423</v>
      </c>
    </row>
    <row r="2084" spans="1:3" x14ac:dyDescent="0.35">
      <c r="A2084" s="24" t="s">
        <v>3424</v>
      </c>
      <c r="B2084" s="24" t="s">
        <v>107</v>
      </c>
      <c r="C2084" s="26" t="s">
        <v>3425</v>
      </c>
    </row>
    <row r="2085" spans="1:3" x14ac:dyDescent="0.35">
      <c r="A2085" s="24" t="s">
        <v>3426</v>
      </c>
      <c r="B2085" s="24" t="s">
        <v>63</v>
      </c>
      <c r="C2085" s="26" t="s">
        <v>3427</v>
      </c>
    </row>
    <row r="2086" spans="1:3" x14ac:dyDescent="0.35">
      <c r="A2086" s="24" t="s">
        <v>3426</v>
      </c>
      <c r="B2086" s="24" t="s">
        <v>63</v>
      </c>
      <c r="C2086" s="26" t="s">
        <v>3428</v>
      </c>
    </row>
    <row r="2087" spans="1:3" x14ac:dyDescent="0.35">
      <c r="A2087" s="24" t="s">
        <v>3429</v>
      </c>
      <c r="B2087" s="24" t="s">
        <v>85</v>
      </c>
      <c r="C2087" s="26" t="s">
        <v>3430</v>
      </c>
    </row>
    <row r="2088" spans="1:3" x14ac:dyDescent="0.35">
      <c r="A2088" s="24" t="s">
        <v>3431</v>
      </c>
      <c r="B2088" s="24" t="s">
        <v>107</v>
      </c>
      <c r="C2088" s="26" t="s">
        <v>3432</v>
      </c>
    </row>
    <row r="2089" spans="1:3" x14ac:dyDescent="0.35">
      <c r="A2089" s="24" t="s">
        <v>3433</v>
      </c>
      <c r="C2089" s="26" t="s">
        <v>3434</v>
      </c>
    </row>
    <row r="2090" spans="1:3" x14ac:dyDescent="0.35">
      <c r="A2090" s="24" t="s">
        <v>3433</v>
      </c>
      <c r="C2090" s="26" t="s">
        <v>3435</v>
      </c>
    </row>
    <row r="2091" spans="1:3" x14ac:dyDescent="0.35">
      <c r="A2091" s="24" t="s">
        <v>3436</v>
      </c>
      <c r="B2091" s="24" t="s">
        <v>63</v>
      </c>
      <c r="C2091" s="26" t="s">
        <v>3437</v>
      </c>
    </row>
    <row r="2092" spans="1:3" x14ac:dyDescent="0.35">
      <c r="A2092" s="24" t="s">
        <v>3436</v>
      </c>
      <c r="B2092" s="24" t="s">
        <v>63</v>
      </c>
      <c r="C2092" s="26" t="s">
        <v>3406</v>
      </c>
    </row>
    <row r="2093" spans="1:3" x14ac:dyDescent="0.35">
      <c r="A2093" s="24" t="s">
        <v>3438</v>
      </c>
      <c r="B2093" s="24" t="s">
        <v>63</v>
      </c>
      <c r="C2093" s="26" t="s">
        <v>3327</v>
      </c>
    </row>
    <row r="2094" spans="1:3" x14ac:dyDescent="0.35">
      <c r="A2094" s="24" t="s">
        <v>3438</v>
      </c>
      <c r="B2094" s="24" t="s">
        <v>63</v>
      </c>
      <c r="C2094" s="26" t="s">
        <v>3439</v>
      </c>
    </row>
    <row r="2095" spans="1:3" x14ac:dyDescent="0.35">
      <c r="A2095" s="24" t="s">
        <v>3440</v>
      </c>
      <c r="B2095" s="24" t="s">
        <v>85</v>
      </c>
      <c r="C2095" s="26" t="s">
        <v>3441</v>
      </c>
    </row>
    <row r="2096" spans="1:3" x14ac:dyDescent="0.35">
      <c r="A2096" s="24" t="s">
        <v>3442</v>
      </c>
      <c r="C2096" s="26" t="s">
        <v>3443</v>
      </c>
    </row>
    <row r="2097" spans="1:3" x14ac:dyDescent="0.35">
      <c r="A2097" s="24" t="s">
        <v>3444</v>
      </c>
      <c r="B2097" s="24" t="s">
        <v>63</v>
      </c>
      <c r="C2097" s="26" t="s">
        <v>3445</v>
      </c>
    </row>
    <row r="2098" spans="1:3" x14ac:dyDescent="0.35">
      <c r="A2098" s="24" t="s">
        <v>3444</v>
      </c>
      <c r="B2098" s="24" t="s">
        <v>63</v>
      </c>
      <c r="C2098" s="26" t="s">
        <v>3406</v>
      </c>
    </row>
    <row r="2099" spans="1:3" x14ac:dyDescent="0.35">
      <c r="A2099" s="24" t="s">
        <v>3446</v>
      </c>
      <c r="B2099" s="24" t="s">
        <v>63</v>
      </c>
      <c r="C2099" s="26" t="s">
        <v>625</v>
      </c>
    </row>
    <row r="2100" spans="1:3" x14ac:dyDescent="0.35">
      <c r="A2100" s="24" t="s">
        <v>3446</v>
      </c>
      <c r="B2100" s="24" t="s">
        <v>63</v>
      </c>
      <c r="C2100" s="26" t="s">
        <v>3447</v>
      </c>
    </row>
    <row r="2101" spans="1:3" x14ac:dyDescent="0.35">
      <c r="A2101" s="24" t="s">
        <v>3448</v>
      </c>
      <c r="B2101" s="24" t="s">
        <v>85</v>
      </c>
      <c r="C2101" s="26" t="s">
        <v>3449</v>
      </c>
    </row>
    <row r="2102" spans="1:3" x14ac:dyDescent="0.35">
      <c r="A2102" s="24" t="s">
        <v>3450</v>
      </c>
      <c r="C2102" s="26" t="s">
        <v>775</v>
      </c>
    </row>
    <row r="2103" spans="1:3" ht="58" x14ac:dyDescent="0.35">
      <c r="A2103" s="24" t="s">
        <v>3451</v>
      </c>
      <c r="B2103" s="24" t="s">
        <v>63</v>
      </c>
      <c r="C2103" s="26" t="s">
        <v>3452</v>
      </c>
    </row>
    <row r="2104" spans="1:3" x14ac:dyDescent="0.35">
      <c r="A2104" s="24" t="s">
        <v>3451</v>
      </c>
      <c r="B2104" s="24" t="s">
        <v>63</v>
      </c>
      <c r="C2104" s="26" t="s">
        <v>1052</v>
      </c>
    </row>
    <row r="2105" spans="1:3" x14ac:dyDescent="0.35">
      <c r="A2105" s="24" t="s">
        <v>3453</v>
      </c>
      <c r="B2105" s="24" t="s">
        <v>85</v>
      </c>
      <c r="C2105" s="26" t="s">
        <v>1052</v>
      </c>
    </row>
    <row r="2106" spans="1:3" x14ac:dyDescent="0.35">
      <c r="A2106" s="24" t="s">
        <v>3454</v>
      </c>
      <c r="B2106" s="24" t="s">
        <v>107</v>
      </c>
      <c r="C2106" s="26" t="s">
        <v>1052</v>
      </c>
    </row>
    <row r="2107" spans="1:3" x14ac:dyDescent="0.35">
      <c r="A2107" s="24" t="s">
        <v>3455</v>
      </c>
      <c r="B2107" s="24" t="s">
        <v>128</v>
      </c>
      <c r="C2107" s="26" t="s">
        <v>1052</v>
      </c>
    </row>
    <row r="2108" spans="1:3" x14ac:dyDescent="0.35">
      <c r="A2108" s="24" t="s">
        <v>3456</v>
      </c>
      <c r="B2108" s="24" t="s">
        <v>149</v>
      </c>
      <c r="C2108" s="26" t="s">
        <v>1052</v>
      </c>
    </row>
    <row r="2109" spans="1:3" x14ac:dyDescent="0.35">
      <c r="A2109" s="24" t="s">
        <v>3457</v>
      </c>
      <c r="B2109" s="24" t="s">
        <v>362</v>
      </c>
      <c r="C2109" s="26" t="s">
        <v>1052</v>
      </c>
    </row>
    <row r="2110" spans="1:3" x14ac:dyDescent="0.35">
      <c r="A2110" s="24" t="s">
        <v>3458</v>
      </c>
      <c r="B2110" s="24" t="s">
        <v>3459</v>
      </c>
    </row>
    <row r="2111" spans="1:3" x14ac:dyDescent="0.35">
      <c r="A2111" s="24" t="s">
        <v>3458</v>
      </c>
      <c r="B2111" s="24" t="s">
        <v>3460</v>
      </c>
      <c r="C2111" s="26" t="s">
        <v>3460</v>
      </c>
    </row>
    <row r="2112" spans="1:3" x14ac:dyDescent="0.35">
      <c r="A2112" s="24" t="s">
        <v>3458</v>
      </c>
      <c r="C2112" s="26" t="s">
        <v>3461</v>
      </c>
    </row>
    <row r="2113" spans="1:3" ht="159.5" x14ac:dyDescent="0.35">
      <c r="A2113" s="24" t="s">
        <v>3458</v>
      </c>
      <c r="C2113" s="26" t="s">
        <v>3367</v>
      </c>
    </row>
    <row r="2114" spans="1:3" x14ac:dyDescent="0.35">
      <c r="A2114" s="24" t="s">
        <v>3462</v>
      </c>
      <c r="B2114" s="24" t="s">
        <v>63</v>
      </c>
      <c r="C2114" s="26" t="s">
        <v>3463</v>
      </c>
    </row>
    <row r="2115" spans="1:3" x14ac:dyDescent="0.35">
      <c r="A2115" s="24" t="s">
        <v>3462</v>
      </c>
      <c r="B2115" s="24" t="s">
        <v>63</v>
      </c>
      <c r="C2115" s="26" t="s">
        <v>3464</v>
      </c>
    </row>
    <row r="2116" spans="1:3" x14ac:dyDescent="0.35">
      <c r="A2116" s="24" t="s">
        <v>3458</v>
      </c>
      <c r="C2116" s="26" t="s">
        <v>3373</v>
      </c>
    </row>
    <row r="2117" spans="1:3" x14ac:dyDescent="0.35">
      <c r="A2117" s="24" t="s">
        <v>3458</v>
      </c>
      <c r="C2117" s="26" t="s">
        <v>3374</v>
      </c>
    </row>
  </sheetData>
  <autoFilter ref="A1:C2117" xr:uid="{107C68A9-88A7-4B8E-9C69-8602A05ED97C}"/>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CD534-5358-41D3-B02F-D5DB87FA3FFE}">
  <sheetPr>
    <tabColor rgb="FFFF0000"/>
  </sheetPr>
  <dimension ref="A1:I449"/>
  <sheetViews>
    <sheetView workbookViewId="0">
      <pane ySplit="8" topLeftCell="A45" activePane="bottomLeft" state="frozen"/>
      <selection pane="bottomLeft" activeCell="I56" sqref="I56"/>
    </sheetView>
  </sheetViews>
  <sheetFormatPr defaultColWidth="8.7265625" defaultRowHeight="14.5" x14ac:dyDescent="0.35"/>
  <cols>
    <col min="1" max="1" width="18.1796875" style="52" customWidth="1"/>
    <col min="2" max="2" width="12.54296875" style="52" bestFit="1" customWidth="1"/>
    <col min="3" max="3" width="8.54296875" style="52" bestFit="1" customWidth="1"/>
    <col min="4" max="4" width="9.26953125" style="52" bestFit="1" customWidth="1"/>
    <col min="5" max="5" width="7.81640625" style="52" bestFit="1" customWidth="1"/>
    <col min="6" max="7" width="7.453125" style="52" bestFit="1" customWidth="1"/>
    <col min="8" max="8" width="23.1796875" style="53" bestFit="1" customWidth="1"/>
    <col min="9" max="9" width="113.1796875" style="53" bestFit="1" customWidth="1"/>
    <col min="10" max="16384" width="8.7265625" style="53"/>
  </cols>
  <sheetData>
    <row r="1" spans="1:9" ht="14.5" customHeight="1" x14ac:dyDescent="0.35">
      <c r="A1" s="58" t="s">
        <v>75</v>
      </c>
      <c r="B1" s="59">
        <v>131236</v>
      </c>
      <c r="C1" s="66" t="s">
        <v>3465</v>
      </c>
      <c r="D1" s="66"/>
      <c r="E1" s="66"/>
      <c r="F1" s="66"/>
      <c r="G1" s="66"/>
      <c r="H1" s="66"/>
      <c r="I1" s="66"/>
    </row>
    <row r="2" spans="1:9" x14ac:dyDescent="0.35">
      <c r="A2" s="58" t="s">
        <v>303</v>
      </c>
      <c r="B2" s="59"/>
      <c r="C2" s="66"/>
      <c r="D2" s="66"/>
      <c r="E2" s="66"/>
      <c r="F2" s="66"/>
      <c r="G2" s="66"/>
      <c r="H2" s="66"/>
      <c r="I2" s="66"/>
    </row>
    <row r="3" spans="1:9" x14ac:dyDescent="0.35">
      <c r="A3" s="58" t="s">
        <v>315</v>
      </c>
      <c r="B3" s="59"/>
      <c r="C3" s="66"/>
      <c r="D3" s="66"/>
      <c r="E3" s="66"/>
      <c r="F3" s="66"/>
      <c r="G3" s="66"/>
      <c r="H3" s="66"/>
      <c r="I3" s="66"/>
    </row>
    <row r="4" spans="1:9" x14ac:dyDescent="0.35">
      <c r="A4" s="58" t="s">
        <v>327</v>
      </c>
      <c r="B4" s="59"/>
      <c r="C4" s="66"/>
      <c r="D4" s="66"/>
      <c r="E4" s="66"/>
      <c r="F4" s="66"/>
      <c r="G4" s="66"/>
      <c r="H4" s="66"/>
      <c r="I4" s="66"/>
    </row>
    <row r="5" spans="1:9" x14ac:dyDescent="0.35">
      <c r="A5" s="60" t="s">
        <v>334</v>
      </c>
      <c r="B5" s="59"/>
      <c r="C5" s="66"/>
      <c r="D5" s="66"/>
      <c r="E5" s="66"/>
      <c r="F5" s="66"/>
      <c r="G5" s="66"/>
      <c r="H5" s="66"/>
      <c r="I5" s="66"/>
    </row>
    <row r="6" spans="1:9" x14ac:dyDescent="0.35">
      <c r="A6" s="60" t="s">
        <v>237</v>
      </c>
      <c r="B6" s="61"/>
      <c r="C6" s="66"/>
      <c r="D6" s="66"/>
      <c r="E6" s="66"/>
      <c r="F6" s="66"/>
      <c r="G6" s="66"/>
      <c r="H6" s="66"/>
      <c r="I6" s="66"/>
    </row>
    <row r="7" spans="1:9" x14ac:dyDescent="0.35">
      <c r="A7" s="54"/>
      <c r="B7" s="54"/>
      <c r="C7" s="54"/>
      <c r="D7" s="54"/>
      <c r="E7" s="55"/>
      <c r="F7" s="54"/>
      <c r="G7" s="54"/>
      <c r="H7" s="54"/>
    </row>
    <row r="8" spans="1:9" x14ac:dyDescent="0.35">
      <c r="A8" s="14" t="s">
        <v>237</v>
      </c>
      <c r="B8" s="56" t="s">
        <v>75</v>
      </c>
      <c r="C8" s="56" t="s">
        <v>303</v>
      </c>
      <c r="D8" s="56" t="s">
        <v>315</v>
      </c>
      <c r="E8" s="56" t="s">
        <v>327</v>
      </c>
      <c r="F8" s="57" t="s">
        <v>334</v>
      </c>
      <c r="G8" s="56" t="s">
        <v>340</v>
      </c>
      <c r="H8" s="56" t="s">
        <v>346</v>
      </c>
      <c r="I8" s="56" t="s">
        <v>352</v>
      </c>
    </row>
    <row r="9" spans="1:9" x14ac:dyDescent="0.35">
      <c r="A9" s="52" t="str" cm="1">
        <f t="array" ref="A9:I449">_xlfn.LET(
    _xlpm.RawData,
    _xlfn.VSTACK(
        Project!A1:Y5000,
        QAQC!A2:Y5000,
        Process!A2:Y5000,
        Mech!A2:Y5000,
        Electrical!A2:Y5000,
        ICA!A2:Y5000,
        BS!A2:Y5000,
        CSA!A2:Y5000
    ),
    _xlpm.Data,
    _xlfn.CHOOSECOLS(_xlpm.RawData,2,7,8,9,10,11,12,13,14),
    _xlpm.Result,
    _xlfn._xlws.FILTER(
        _xlpm.Data,
        (INDEX(_xlpm.Data,,1)&lt;&gt;"") *
        IF($B$1="",1,INDEX(_xlpm.Data,,2)=$B$1) *
        IF($B$2="",1,INDEX(_xlpm.Data,,3)=$B$2) *
        IF($B$3="",1,INDEX(_xlpm.Data,,4)=$B$3) *
        IF($B$4="",1,INDEX(_xlpm.Data,,5)=$B$4) *
        IF($B$5="",1,INDEX(_xlpm.Data,,6)=$B$5) *
        IF($B$6="",1,INDEX(_xlpm.Data,,1)=$B$6),
        "No matching documents"
    ),
    IF(_xlpm.Result="","&lt;Blank&gt;",_xlpm.Result)
)</f>
        <v>NA</v>
      </c>
      <c r="B9" s="52">
        <v>131236</v>
      </c>
      <c r="C9" s="52" t="str">
        <v>WIL21</v>
      </c>
      <c r="D9" s="52" t="str">
        <v>SN</v>
      </c>
      <c r="E9" s="52" t="str">
        <v>IM</v>
      </c>
      <c r="F9" s="52" t="str">
        <v>xxxx</v>
      </c>
      <c r="G9" s="52" t="str">
        <v>&lt;Blank&gt;</v>
      </c>
      <c r="H9" s="53" t="str">
        <v>131236-WIL21-SN-IM-xxxx</v>
      </c>
      <c r="I9" s="53" t="str">
        <v>&lt;Blank&gt;</v>
      </c>
    </row>
    <row r="10" spans="1:9" x14ac:dyDescent="0.35">
      <c r="A10" s="52" t="str">
        <v>NA</v>
      </c>
      <c r="B10" s="52">
        <v>131236</v>
      </c>
      <c r="C10" s="52" t="str">
        <v>WIL21</v>
      </c>
      <c r="D10" s="52" t="str">
        <v>SN</v>
      </c>
      <c r="E10" s="52" t="str">
        <v>IM</v>
      </c>
      <c r="F10" s="52" t="str">
        <v>xxxx</v>
      </c>
      <c r="G10" s="52" t="str">
        <v>&lt;Blank&gt;</v>
      </c>
      <c r="H10" s="53" t="str">
        <v>131236-WIL21-SN-IM-xxxx</v>
      </c>
      <c r="I10" s="53" t="str">
        <v>&lt;Blank&gt;</v>
      </c>
    </row>
    <row r="11" spans="1:9" x14ac:dyDescent="0.35">
      <c r="A11" s="52" t="str">
        <v>NA</v>
      </c>
      <c r="B11" s="52">
        <v>131236</v>
      </c>
      <c r="C11" s="52" t="str">
        <v>WIL21</v>
      </c>
      <c r="D11" s="52" t="str">
        <v>SN</v>
      </c>
      <c r="E11" s="52" t="str">
        <v>IM</v>
      </c>
      <c r="F11" s="52" t="str">
        <v>xxxx</v>
      </c>
      <c r="G11" s="52" t="str">
        <v>&lt;Blank&gt;</v>
      </c>
      <c r="H11" s="53" t="str">
        <v>131236-WIL21-SN-IM-xxxx</v>
      </c>
      <c r="I11" s="53" t="str">
        <v>&lt;Blank&gt;</v>
      </c>
    </row>
    <row r="12" spans="1:9" x14ac:dyDescent="0.35">
      <c r="A12" s="52" t="str">
        <v>NA</v>
      </c>
      <c r="B12" s="52">
        <v>131236</v>
      </c>
      <c r="C12" s="52" t="str">
        <v>WIL21</v>
      </c>
      <c r="D12" s="52" t="str">
        <v>SN</v>
      </c>
      <c r="E12" s="52" t="str">
        <v>IM</v>
      </c>
      <c r="F12" s="52" t="str">
        <v>xxxx</v>
      </c>
      <c r="G12" s="52" t="str">
        <v>&lt;Blank&gt;</v>
      </c>
      <c r="H12" s="53" t="str">
        <v>131236-WIL21-SN-IM-xxxx</v>
      </c>
      <c r="I12" s="53" t="str">
        <v>&lt;Blank&gt;</v>
      </c>
    </row>
    <row r="13" spans="1:9" x14ac:dyDescent="0.35">
      <c r="A13" s="52" t="str">
        <v>NA</v>
      </c>
      <c r="B13" s="52">
        <v>131236</v>
      </c>
      <c r="C13" s="52" t="str">
        <v>WIL21</v>
      </c>
      <c r="D13" s="52" t="str">
        <v>SN</v>
      </c>
      <c r="E13" s="52" t="str">
        <v>IM</v>
      </c>
      <c r="F13" s="52" t="str">
        <v>xxxx</v>
      </c>
      <c r="G13" s="52" t="str">
        <v>&lt;Blank&gt;</v>
      </c>
      <c r="H13" s="53" t="str">
        <v>131236-WIL21-SN-IM-xxxx</v>
      </c>
      <c r="I13" s="53" t="str">
        <v>&lt;Blank&gt;</v>
      </c>
    </row>
    <row r="14" spans="1:9" x14ac:dyDescent="0.35">
      <c r="A14" s="52" t="str">
        <v>NA</v>
      </c>
      <c r="B14" s="52">
        <v>131236</v>
      </c>
      <c r="C14" s="52" t="str">
        <v>WIL21</v>
      </c>
      <c r="D14" s="52" t="str">
        <v>SN</v>
      </c>
      <c r="E14" s="52" t="str">
        <v>IM</v>
      </c>
      <c r="F14" s="52" t="str">
        <v>xxxx</v>
      </c>
      <c r="G14" s="52" t="str">
        <v>&lt;Blank&gt;</v>
      </c>
      <c r="H14" s="53" t="str">
        <v>131236-WIL21-SN-IM-xxxx</v>
      </c>
      <c r="I14" s="53" t="str">
        <v>&lt;Blank&gt;</v>
      </c>
    </row>
    <row r="15" spans="1:9" x14ac:dyDescent="0.35">
      <c r="A15" s="52" t="str">
        <v>NA</v>
      </c>
      <c r="B15" s="52">
        <v>131236</v>
      </c>
      <c r="C15" s="52" t="str">
        <v>WIL21</v>
      </c>
      <c r="D15" s="52" t="str">
        <v>SN</v>
      </c>
      <c r="E15" s="52" t="str">
        <v>IM</v>
      </c>
      <c r="F15" s="52" t="str">
        <v>xxxx</v>
      </c>
      <c r="G15" s="52" t="str">
        <v>&lt;Blank&gt;</v>
      </c>
      <c r="H15" s="53" t="str">
        <v>131236-WIL21-SN-IM-xxxx</v>
      </c>
      <c r="I15" s="53" t="str">
        <v>&lt;Blank&gt;</v>
      </c>
    </row>
    <row r="16" spans="1:9" x14ac:dyDescent="0.35">
      <c r="A16" s="52" t="str">
        <v>NA</v>
      </c>
      <c r="B16" s="52">
        <v>131236</v>
      </c>
      <c r="C16" s="52" t="str">
        <v>WIL21</v>
      </c>
      <c r="D16" s="52" t="str">
        <v>SN</v>
      </c>
      <c r="E16" s="52" t="str">
        <v>IM</v>
      </c>
      <c r="F16" s="52" t="str">
        <v>xxxx</v>
      </c>
      <c r="G16" s="52" t="str">
        <v>&lt;Blank&gt;</v>
      </c>
      <c r="H16" s="53" t="str">
        <v>131236-WIL21-SN-IM-xxxx</v>
      </c>
      <c r="I16" s="53" t="str">
        <v>&lt;Blank&gt;</v>
      </c>
    </row>
    <row r="17" spans="1:9" x14ac:dyDescent="0.35">
      <c r="A17" s="52" t="str">
        <v>NA</v>
      </c>
      <c r="B17" s="52">
        <v>131236</v>
      </c>
      <c r="C17" s="52" t="str">
        <v>WIL21</v>
      </c>
      <c r="D17" s="52" t="str">
        <v>SN</v>
      </c>
      <c r="E17" s="52" t="str">
        <v>IM</v>
      </c>
      <c r="F17" s="52" t="str">
        <v>xxxx</v>
      </c>
      <c r="G17" s="52" t="str">
        <v>&lt;Blank&gt;</v>
      </c>
      <c r="H17" s="53" t="str">
        <v>131236-WIL21-SN-IM-xxxx</v>
      </c>
      <c r="I17" s="53" t="str">
        <v>&lt;Blank&gt;</v>
      </c>
    </row>
    <row r="18" spans="1:9" x14ac:dyDescent="0.35">
      <c r="A18" s="52" t="str">
        <v>NA</v>
      </c>
      <c r="B18" s="52">
        <v>131236</v>
      </c>
      <c r="C18" s="52" t="str">
        <v>WIL21</v>
      </c>
      <c r="D18" s="52" t="str">
        <v>SN</v>
      </c>
      <c r="E18" s="52" t="str">
        <v>IM</v>
      </c>
      <c r="F18" s="52" t="str">
        <v>xxxx</v>
      </c>
      <c r="G18" s="52" t="str">
        <v>&lt;Blank&gt;</v>
      </c>
      <c r="H18" s="53" t="str">
        <v>131236-WIL21-SN-IM-xxxx</v>
      </c>
      <c r="I18" s="53" t="str">
        <v>&lt;Blank&gt;</v>
      </c>
    </row>
    <row r="19" spans="1:9" x14ac:dyDescent="0.35">
      <c r="A19" s="52" t="str">
        <v>NA</v>
      </c>
      <c r="B19" s="52">
        <v>131236</v>
      </c>
      <c r="C19" s="52" t="str">
        <v>WIL21</v>
      </c>
      <c r="D19" s="52" t="str">
        <v>SN</v>
      </c>
      <c r="E19" s="52" t="str">
        <v>IM</v>
      </c>
      <c r="F19" s="52" t="str">
        <v>xxxx</v>
      </c>
      <c r="G19" s="52" t="str">
        <v>&lt;Blank&gt;</v>
      </c>
      <c r="H19" s="53" t="str">
        <v>131236-WIL21-SN-IM-xxxx</v>
      </c>
      <c r="I19" s="53" t="str">
        <v>&lt;Blank&gt;</v>
      </c>
    </row>
    <row r="20" spans="1:9" x14ac:dyDescent="0.35">
      <c r="A20" s="52" t="str">
        <v>NA</v>
      </c>
      <c r="B20" s="52">
        <v>131236</v>
      </c>
      <c r="C20" s="52" t="str">
        <v>WIL21</v>
      </c>
      <c r="D20" s="52" t="str">
        <v>SN</v>
      </c>
      <c r="E20" s="52" t="str">
        <v>IM</v>
      </c>
      <c r="F20" s="52" t="str">
        <v>xxxx</v>
      </c>
      <c r="G20" s="52" t="str">
        <v>&lt;Blank&gt;</v>
      </c>
      <c r="H20" s="53" t="str">
        <v>131236-WIL21-SN-IM-xxxx</v>
      </c>
      <c r="I20" s="53" t="str">
        <v>&lt;Blank&gt;</v>
      </c>
    </row>
    <row r="21" spans="1:9" x14ac:dyDescent="0.35">
      <c r="A21" s="52" t="str">
        <v>NA</v>
      </c>
      <c r="B21" s="52">
        <v>131236</v>
      </c>
      <c r="C21" s="52" t="str">
        <v>WIL21</v>
      </c>
      <c r="D21" s="52" t="str">
        <v>SN</v>
      </c>
      <c r="E21" s="52" t="str">
        <v>IM</v>
      </c>
      <c r="F21" s="52" t="str">
        <v>xxxx</v>
      </c>
      <c r="G21" s="52" t="str">
        <v>&lt;Blank&gt;</v>
      </c>
      <c r="H21" s="53" t="str">
        <v>131236-WIL21-SN-IM-xxxx</v>
      </c>
      <c r="I21" s="53" t="str">
        <v>&lt;Blank&gt;</v>
      </c>
    </row>
    <row r="22" spans="1:9" x14ac:dyDescent="0.35">
      <c r="A22" s="52" t="str">
        <v>NA</v>
      </c>
      <c r="B22" s="52">
        <v>131236</v>
      </c>
      <c r="C22" s="52" t="str">
        <v>WIL21</v>
      </c>
      <c r="D22" s="52" t="str">
        <v>SN</v>
      </c>
      <c r="E22" s="52" t="str">
        <v>IM</v>
      </c>
      <c r="F22" s="52" t="str">
        <v>xxxx</v>
      </c>
      <c r="G22" s="52" t="str">
        <v>&lt;Blank&gt;</v>
      </c>
      <c r="H22" s="53" t="str">
        <v>131236-WIL21-SN-IM-xxxx</v>
      </c>
      <c r="I22" s="53" t="str">
        <v>&lt;Blank&gt;</v>
      </c>
    </row>
    <row r="23" spans="1:9" x14ac:dyDescent="0.35">
      <c r="A23" s="52" t="str">
        <v>NA</v>
      </c>
      <c r="B23" s="52">
        <v>131236</v>
      </c>
      <c r="C23" s="52" t="str">
        <v>WIL21</v>
      </c>
      <c r="D23" s="52" t="str">
        <v>SN</v>
      </c>
      <c r="E23" s="52" t="str">
        <v>IM</v>
      </c>
      <c r="F23" s="52" t="str">
        <v>xxxx</v>
      </c>
      <c r="G23" s="52" t="str">
        <v>&lt;Blank&gt;</v>
      </c>
      <c r="H23" s="53" t="str">
        <v>131236-WIL21-SN-IM-xxxx</v>
      </c>
      <c r="I23" s="53" t="str">
        <v>&lt;Blank&gt;</v>
      </c>
    </row>
    <row r="24" spans="1:9" x14ac:dyDescent="0.35">
      <c r="A24" s="52" t="str">
        <v>NA</v>
      </c>
      <c r="B24" s="52">
        <v>131236</v>
      </c>
      <c r="C24" s="52" t="str">
        <v>WIL21</v>
      </c>
      <c r="D24" s="52" t="str">
        <v>SN</v>
      </c>
      <c r="E24" s="52" t="str">
        <v>IM</v>
      </c>
      <c r="F24" s="52" t="str">
        <v>xxxx</v>
      </c>
      <c r="G24" s="52" t="str">
        <v>&lt;Blank&gt;</v>
      </c>
      <c r="H24" s="53" t="str">
        <v>131236-WIL21-SN-IM-xxxx</v>
      </c>
      <c r="I24" s="53" t="str">
        <v>&lt;Blank&gt;</v>
      </c>
    </row>
    <row r="25" spans="1:9" x14ac:dyDescent="0.35">
      <c r="A25" s="52" t="str">
        <v>NA</v>
      </c>
      <c r="B25" s="52">
        <v>131236</v>
      </c>
      <c r="C25" s="52" t="str">
        <v>WIL21</v>
      </c>
      <c r="D25" s="52" t="str">
        <v>SN</v>
      </c>
      <c r="E25" s="52" t="str">
        <v>IM</v>
      </c>
      <c r="F25" s="52" t="str">
        <v>xxxx</v>
      </c>
      <c r="G25" s="52" t="str">
        <v>&lt;Blank&gt;</v>
      </c>
      <c r="H25" s="53" t="str">
        <v>131236-WIL21-SN-IM-xxxx</v>
      </c>
      <c r="I25" s="53" t="str">
        <v>&lt;Blank&gt;</v>
      </c>
    </row>
    <row r="26" spans="1:9" x14ac:dyDescent="0.35">
      <c r="A26" s="52" t="str">
        <v>NA</v>
      </c>
      <c r="B26" s="52">
        <v>131236</v>
      </c>
      <c r="C26" s="52" t="str">
        <v>WIL21</v>
      </c>
      <c r="D26" s="52" t="str">
        <v>SN</v>
      </c>
      <c r="E26" s="52" t="str">
        <v>IM</v>
      </c>
      <c r="F26" s="52" t="str">
        <v>xxxx</v>
      </c>
      <c r="G26" s="52" t="str">
        <v>&lt;Blank&gt;</v>
      </c>
      <c r="H26" s="53" t="str">
        <v>131236-WIL21-SN-IM-xxxx</v>
      </c>
      <c r="I26" s="53" t="str">
        <v>&lt;Blank&gt;</v>
      </c>
    </row>
    <row r="27" spans="1:9" x14ac:dyDescent="0.35">
      <c r="A27" s="52" t="str">
        <v>NA</v>
      </c>
      <c r="B27" s="52">
        <v>131236</v>
      </c>
      <c r="C27" s="52" t="str">
        <v>WIL21</v>
      </c>
      <c r="D27" s="52" t="str">
        <v>SN</v>
      </c>
      <c r="E27" s="52" t="str">
        <v>IM</v>
      </c>
      <c r="F27" s="52" t="str">
        <v>xxxx</v>
      </c>
      <c r="G27" s="52" t="str">
        <v>&lt;Blank&gt;</v>
      </c>
      <c r="H27" s="53" t="str">
        <v>131236-WIL21-SN-IM-xxxx</v>
      </c>
      <c r="I27" s="53" t="str">
        <v>&lt;Blank&gt;</v>
      </c>
    </row>
    <row r="28" spans="1:9" x14ac:dyDescent="0.35">
      <c r="A28" s="52" t="str">
        <v>NA</v>
      </c>
      <c r="B28" s="52">
        <v>131236</v>
      </c>
      <c r="C28" s="52" t="str">
        <v>WIL21</v>
      </c>
      <c r="D28" s="52" t="str">
        <v>SN</v>
      </c>
      <c r="E28" s="52" t="str">
        <v>IM</v>
      </c>
      <c r="F28" s="52" t="str">
        <v>xxxx</v>
      </c>
      <c r="G28" s="52" t="str">
        <v>&lt;Blank&gt;</v>
      </c>
      <c r="H28" s="53" t="str">
        <v>131236-WIL21-SN-IM-xxxx</v>
      </c>
      <c r="I28" s="53" t="str">
        <v>&lt;Blank&gt;</v>
      </c>
    </row>
    <row r="29" spans="1:9" x14ac:dyDescent="0.35">
      <c r="A29" s="52" t="str">
        <v>NA</v>
      </c>
      <c r="B29" s="52">
        <v>131236</v>
      </c>
      <c r="C29" s="52" t="str">
        <v>WIL21</v>
      </c>
      <c r="D29" s="52" t="str">
        <v>SN</v>
      </c>
      <c r="E29" s="52" t="str">
        <v>IM</v>
      </c>
      <c r="F29" s="52" t="str">
        <v>xxxx</v>
      </c>
      <c r="G29" s="52" t="str">
        <v>&lt;Blank&gt;</v>
      </c>
      <c r="H29" s="53" t="str">
        <v>131236-WIL21-SN-IM-xxxx</v>
      </c>
      <c r="I29" s="53" t="str">
        <v>&lt;Blank&gt;</v>
      </c>
    </row>
    <row r="30" spans="1:9" x14ac:dyDescent="0.35">
      <c r="A30" s="52" t="str">
        <v>NA</v>
      </c>
      <c r="B30" s="52">
        <v>131236</v>
      </c>
      <c r="C30" s="52" t="str">
        <v>WIL21</v>
      </c>
      <c r="D30" s="52" t="str">
        <v>SN</v>
      </c>
      <c r="E30" s="52" t="str">
        <v>IM</v>
      </c>
      <c r="F30" s="52" t="str">
        <v>xxxx</v>
      </c>
      <c r="G30" s="52" t="str">
        <v>&lt;Blank&gt;</v>
      </c>
      <c r="H30" s="53" t="str">
        <v>131236-WIL21-SN-IM-xxxx</v>
      </c>
      <c r="I30" s="53" t="str">
        <v>&lt;Blank&gt;</v>
      </c>
    </row>
    <row r="31" spans="1:9" x14ac:dyDescent="0.35">
      <c r="A31" s="52" t="str">
        <v>NA</v>
      </c>
      <c r="B31" s="52">
        <v>131236</v>
      </c>
      <c r="C31" s="52" t="str">
        <v>WIL21</v>
      </c>
      <c r="D31" s="52" t="str">
        <v>SN</v>
      </c>
      <c r="E31" s="52" t="str">
        <v>IM</v>
      </c>
      <c r="F31" s="52" t="str">
        <v>xxxx</v>
      </c>
      <c r="G31" s="52" t="str">
        <v>&lt;Blank&gt;</v>
      </c>
      <c r="H31" s="53" t="str">
        <v>131236-WIL21-SN-IM-xxxx</v>
      </c>
      <c r="I31" s="53" t="str">
        <v>&lt;Blank&gt;</v>
      </c>
    </row>
    <row r="32" spans="1:9" x14ac:dyDescent="0.35">
      <c r="A32" s="52" t="str">
        <v>NA</v>
      </c>
      <c r="B32" s="52">
        <v>131236</v>
      </c>
      <c r="C32" s="52" t="str">
        <v>WIL21</v>
      </c>
      <c r="D32" s="52" t="str">
        <v>SN</v>
      </c>
      <c r="E32" s="52" t="str">
        <v>IM</v>
      </c>
      <c r="F32" s="52" t="str">
        <v>xxxx</v>
      </c>
      <c r="G32" s="52" t="str">
        <v>&lt;Blank&gt;</v>
      </c>
      <c r="H32" s="53" t="str">
        <v>131236-WIL21-SN-IM-xxxx</v>
      </c>
      <c r="I32" s="53" t="str">
        <v>&lt;Blank&gt;</v>
      </c>
    </row>
    <row r="33" spans="1:9" x14ac:dyDescent="0.35">
      <c r="A33" s="52" t="str">
        <v>Stage 1</v>
      </c>
      <c r="B33" s="52">
        <v>131236</v>
      </c>
      <c r="C33" s="52" t="str">
        <v>WIL21</v>
      </c>
      <c r="D33" s="52" t="str">
        <v>VI</v>
      </c>
      <c r="E33" s="52" t="str">
        <v>D</v>
      </c>
      <c r="F33" s="52" t="str">
        <v>0001</v>
      </c>
      <c r="G33" s="52" t="str">
        <v>&lt;Blank&gt;</v>
      </c>
      <c r="H33" s="53" t="str">
        <v>131236-WIL21-VI-D-0001</v>
      </c>
      <c r="I33" s="53" t="str">
        <v>Vendor Approval of ALMOP &amp; HAZOP Facilities studies and Workshops (Puri-Teq)</v>
      </c>
    </row>
    <row r="34" spans="1:9" x14ac:dyDescent="0.35">
      <c r="A34" s="52" t="str">
        <v>Stage 1</v>
      </c>
      <c r="B34" s="52">
        <v>131236</v>
      </c>
      <c r="C34" s="52" t="str">
        <v>WIL21</v>
      </c>
      <c r="D34" s="52" t="str">
        <v>VI</v>
      </c>
      <c r="E34" s="52" t="str">
        <v>M</v>
      </c>
      <c r="F34" s="52" t="str">
        <v>0010</v>
      </c>
      <c r="G34" s="52" t="str">
        <v>&lt;Blank&gt;</v>
      </c>
      <c r="H34" s="53" t="str">
        <v>131236-WIL21-VI-M-0010</v>
      </c>
      <c r="I34" s="53" t="str">
        <v>Preliminary design and Vendor Approval for Spray Nozzles</v>
      </c>
    </row>
    <row r="35" spans="1:9" x14ac:dyDescent="0.35">
      <c r="A35" s="52" t="str">
        <v>Stage 1</v>
      </c>
      <c r="B35" s="52">
        <v>131236</v>
      </c>
      <c r="C35" s="52" t="str">
        <v>WIL21</v>
      </c>
      <c r="D35" s="52" t="str">
        <v>VI</v>
      </c>
      <c r="E35" s="52" t="str">
        <v>M</v>
      </c>
      <c r="F35" s="52" t="str">
        <v>2001</v>
      </c>
      <c r="G35" s="52" t="str">
        <v>&lt;Blank&gt;</v>
      </c>
      <c r="H35" s="53" t="str">
        <v>131236-WIL21-VI-M-2001</v>
      </c>
      <c r="I35" s="53" t="str">
        <v>Preliminary design and Vendor Approval - Air Release Valve</v>
      </c>
    </row>
    <row r="36" spans="1:9" x14ac:dyDescent="0.35">
      <c r="A36" s="52" t="str">
        <v>Stage 1</v>
      </c>
      <c r="B36" s="52">
        <v>131236</v>
      </c>
      <c r="C36" s="52" t="str">
        <v>WIL21</v>
      </c>
      <c r="D36" s="52" t="str">
        <v>VI</v>
      </c>
      <c r="E36" s="52" t="str">
        <v>M</v>
      </c>
      <c r="F36" s="52">
        <v>2002</v>
      </c>
      <c r="G36" s="52" t="str">
        <v>&lt;Blank&gt;</v>
      </c>
      <c r="H36" s="53" t="str">
        <v>131236-WIL21-VI-M-2002</v>
      </c>
      <c r="I36" s="53" t="str">
        <v>Preliminary design and Vendor Approval - Flow Control Valve</v>
      </c>
    </row>
    <row r="37" spans="1:9" x14ac:dyDescent="0.35">
      <c r="A37" s="52" t="str">
        <v>Stage 1</v>
      </c>
      <c r="B37" s="52">
        <v>131236</v>
      </c>
      <c r="C37" s="52" t="str">
        <v>WIL21</v>
      </c>
      <c r="D37" s="52" t="str">
        <v>VI</v>
      </c>
      <c r="E37" s="52" t="str">
        <v>M</v>
      </c>
      <c r="F37" s="52" t="str">
        <v>2003</v>
      </c>
      <c r="G37" s="52" t="str">
        <v>&lt;Blank&gt;</v>
      </c>
      <c r="H37" s="53" t="str">
        <v>131236-WIL21-VI-M-2003</v>
      </c>
      <c r="I37" s="53" t="str">
        <v>Preliminary design and Vendor Approval for Safety Relief Vavle</v>
      </c>
    </row>
    <row r="38" spans="1:9" x14ac:dyDescent="0.35">
      <c r="A38" s="52" t="str">
        <v>Stage 1</v>
      </c>
      <c r="B38" s="52">
        <v>131236</v>
      </c>
      <c r="C38" s="52" t="str">
        <v>WIL21</v>
      </c>
      <c r="D38" s="52" t="str">
        <v>VI</v>
      </c>
      <c r="E38" s="52" t="str">
        <v>M</v>
      </c>
      <c r="F38" s="52" t="str">
        <v>2004</v>
      </c>
      <c r="G38" s="52" t="str">
        <v>&lt;Blank&gt;</v>
      </c>
      <c r="H38" s="53" t="str">
        <v>131236-WIL21-VI-M-2004</v>
      </c>
      <c r="I38" s="53" t="str">
        <v>Preliminary design and Vendor Approval for Pressure Reducing Valve</v>
      </c>
    </row>
    <row r="39" spans="1:9" x14ac:dyDescent="0.35">
      <c r="A39" s="52" t="str">
        <v>Stage 1</v>
      </c>
      <c r="B39" s="52">
        <v>131236</v>
      </c>
      <c r="C39" s="52" t="str">
        <v>WIL21</v>
      </c>
      <c r="D39" s="52" t="str">
        <v>VI</v>
      </c>
      <c r="E39" s="52" t="str">
        <v>M</v>
      </c>
      <c r="F39" s="52" t="str">
        <v>2005</v>
      </c>
      <c r="G39" s="52" t="str">
        <v>&lt;Blank&gt;</v>
      </c>
      <c r="H39" s="53" t="str">
        <v>131236-WIL21-VI-M-2005</v>
      </c>
      <c r="I39" s="53" t="str">
        <v>Preliminary design and Vendor Approval for Air flow Control Valve</v>
      </c>
    </row>
    <row r="40" spans="1:9" x14ac:dyDescent="0.35">
      <c r="A40" s="52" t="str">
        <v>Stage 1</v>
      </c>
      <c r="B40" s="52">
        <v>131236</v>
      </c>
      <c r="C40" s="52" t="str">
        <v>WIL21</v>
      </c>
      <c r="D40" s="52" t="str">
        <v>VI</v>
      </c>
      <c r="E40" s="52" t="str">
        <v>M</v>
      </c>
      <c r="F40" s="52" t="str">
        <v>2007</v>
      </c>
      <c r="G40" s="52" t="str">
        <v>&lt;Blank&gt;</v>
      </c>
      <c r="H40" s="53" t="str">
        <v>131236-WIL21-VI-M-2007</v>
      </c>
      <c r="I40" s="53" t="str">
        <v>Preliminary design and Vendor Approval -  Automatic Condensate Drain</v>
      </c>
    </row>
    <row r="41" spans="1:9" x14ac:dyDescent="0.35">
      <c r="A41" s="52" t="str">
        <v>Stage 1</v>
      </c>
      <c r="B41" s="52">
        <v>131236</v>
      </c>
      <c r="C41" s="52" t="str">
        <v>WIL21</v>
      </c>
      <c r="D41" s="52" t="str">
        <v>VI</v>
      </c>
      <c r="E41" s="52" t="str">
        <v>M</v>
      </c>
      <c r="F41" s="52">
        <v>2006</v>
      </c>
      <c r="G41" s="52" t="str">
        <v>&lt;Blank&gt;</v>
      </c>
      <c r="H41" s="53" t="str">
        <v>131236-WIL21-VI-M-2006</v>
      </c>
      <c r="I41" s="53" t="str">
        <v>Preliminary design and Vendor Approval for Pressure Reducing Valve (Instrument Air)</v>
      </c>
    </row>
    <row r="42" spans="1:9" x14ac:dyDescent="0.35">
      <c r="A42" s="52" t="str">
        <v>Stage 1</v>
      </c>
      <c r="B42" s="52">
        <v>131236</v>
      </c>
      <c r="C42" s="52" t="str">
        <v>WIL21</v>
      </c>
      <c r="D42" s="52" t="str">
        <v>VI</v>
      </c>
      <c r="E42" s="52" t="str">
        <v>M</v>
      </c>
      <c r="F42" s="52" t="str">
        <v>2008</v>
      </c>
      <c r="G42" s="52" t="str">
        <v>&lt;Blank&gt;</v>
      </c>
      <c r="H42" s="53" t="str">
        <v>131236-WIL21-VI-M-2008</v>
      </c>
      <c r="I42" s="53" t="str">
        <v>Preliminary design and Vendor Approval for Solenoid Valve</v>
      </c>
    </row>
    <row r="43" spans="1:9" x14ac:dyDescent="0.35">
      <c r="A43" s="52" t="str">
        <v>Deleted</v>
      </c>
      <c r="B43" s="52">
        <v>131236</v>
      </c>
      <c r="C43" s="52" t="str">
        <v>WIL21</v>
      </c>
      <c r="D43" s="52" t="str">
        <v>VI</v>
      </c>
      <c r="E43" s="52" t="str">
        <v>M</v>
      </c>
      <c r="F43" s="52" t="str">
        <v>xxxx</v>
      </c>
      <c r="G43" s="52" t="str">
        <v>&lt;Blank&gt;</v>
      </c>
      <c r="H43" s="53" t="str">
        <v>Deleted</v>
      </c>
      <c r="I43" s="53" t="str">
        <v>Preliminary design and Vendor Approval for Mixing Nozzle for Sludge compartment</v>
      </c>
    </row>
    <row r="44" spans="1:9" x14ac:dyDescent="0.35">
      <c r="A44" s="52" t="str">
        <v>Deleted</v>
      </c>
      <c r="B44" s="52">
        <v>131236</v>
      </c>
      <c r="C44" s="52" t="str">
        <v>WIL21</v>
      </c>
      <c r="D44" s="52" t="str">
        <v>QA</v>
      </c>
      <c r="E44" s="52" t="str">
        <v>M</v>
      </c>
      <c r="F44" s="52" t="str">
        <v>xxxx</v>
      </c>
      <c r="G44" s="52" t="str">
        <v>&lt;Blank&gt;</v>
      </c>
      <c r="H44" s="53" t="str">
        <v>Deleted</v>
      </c>
      <c r="I44" s="53" t="str">
        <v>Vendor Inspection Test Plan (ITP) for Motorized Valve</v>
      </c>
    </row>
    <row r="45" spans="1:9" x14ac:dyDescent="0.35">
      <c r="A45" s="52" t="str">
        <v>Deleted</v>
      </c>
      <c r="B45" s="52">
        <v>131236</v>
      </c>
      <c r="C45" s="52" t="str">
        <v>WIL21</v>
      </c>
      <c r="D45" s="52" t="str">
        <v>QA</v>
      </c>
      <c r="E45" s="52" t="str">
        <v>M</v>
      </c>
      <c r="F45" s="52" t="str">
        <v>xxxx</v>
      </c>
      <c r="G45" s="52" t="str">
        <v>&lt;Blank&gt;</v>
      </c>
      <c r="H45" s="53" t="str">
        <v>Deleted</v>
      </c>
      <c r="I45" s="53" t="str">
        <v>Vendor Inspection Test Plan (ITP) for Control Valve</v>
      </c>
    </row>
    <row r="46" spans="1:9" x14ac:dyDescent="0.35">
      <c r="A46" s="52" t="str">
        <v>Deleted</v>
      </c>
      <c r="B46" s="52">
        <v>131236</v>
      </c>
      <c r="C46" s="52" t="str">
        <v>WIL21</v>
      </c>
      <c r="D46" s="52" t="str">
        <v>QA</v>
      </c>
      <c r="E46" s="52" t="str">
        <v>M</v>
      </c>
      <c r="F46" s="52" t="str">
        <v>xxxx</v>
      </c>
      <c r="G46" s="52" t="str">
        <v>&lt;Blank&gt;</v>
      </c>
      <c r="H46" s="53" t="str">
        <v>Deleted</v>
      </c>
      <c r="I46" s="53" t="str">
        <v>Vendor FAT Procedure for Motorized Valve</v>
      </c>
    </row>
    <row r="47" spans="1:9" x14ac:dyDescent="0.35">
      <c r="A47" s="52" t="str">
        <v>Deleted</v>
      </c>
      <c r="B47" s="52">
        <v>131236</v>
      </c>
      <c r="C47" s="52" t="str">
        <v>WIL21</v>
      </c>
      <c r="D47" s="52" t="str">
        <v>QA</v>
      </c>
      <c r="E47" s="52" t="str">
        <v>M</v>
      </c>
      <c r="F47" s="52" t="str">
        <v>xxxx</v>
      </c>
      <c r="G47" s="52" t="str">
        <v>&lt;Blank&gt;</v>
      </c>
      <c r="H47" s="53" t="str">
        <v>Deleted</v>
      </c>
      <c r="I47" s="53" t="str">
        <v>Vendor FAT Procedure for Control Valve</v>
      </c>
    </row>
    <row r="48" spans="1:9" x14ac:dyDescent="0.35">
      <c r="A48" s="52" t="str">
        <v>Deleted</v>
      </c>
      <c r="B48" s="52">
        <v>131236</v>
      </c>
      <c r="C48" s="52" t="str">
        <v>WIL21</v>
      </c>
      <c r="D48" s="52" t="str">
        <v>RT</v>
      </c>
      <c r="E48" s="52" t="str">
        <v>M</v>
      </c>
      <c r="F48" s="52" t="str">
        <v>xxxx</v>
      </c>
      <c r="G48" s="52" t="str">
        <v>&lt;Blank&gt;</v>
      </c>
      <c r="H48" s="53" t="str">
        <v>Deleted</v>
      </c>
      <c r="I48" s="53" t="str">
        <v>Vendor FAT Report for Motorized Valve</v>
      </c>
    </row>
    <row r="49" spans="1:9" x14ac:dyDescent="0.35">
      <c r="A49" s="52" t="str">
        <v>Deleted</v>
      </c>
      <c r="B49" s="52">
        <v>131236</v>
      </c>
      <c r="C49" s="52" t="str">
        <v>WIL21</v>
      </c>
      <c r="D49" s="52" t="str">
        <v>RT</v>
      </c>
      <c r="E49" s="52" t="str">
        <v>M</v>
      </c>
      <c r="F49" s="52" t="str">
        <v>xxxx</v>
      </c>
      <c r="G49" s="52" t="str">
        <v>&lt;Blank&gt;</v>
      </c>
      <c r="H49" s="53" t="str">
        <v>Deleted</v>
      </c>
      <c r="I49" s="53" t="str">
        <v>Vendor FAT Report for Control Valve</v>
      </c>
    </row>
    <row r="50" spans="1:9" x14ac:dyDescent="0.35">
      <c r="A50" s="52" t="str">
        <v>Stage 2</v>
      </c>
      <c r="B50" s="52">
        <v>131236</v>
      </c>
      <c r="C50" s="52" t="str">
        <v>WIL21</v>
      </c>
      <c r="D50" s="52" t="str">
        <v>SH</v>
      </c>
      <c r="E50" s="52" t="str">
        <v>M</v>
      </c>
      <c r="F50" s="52" t="str">
        <v>0001</v>
      </c>
      <c r="G50" s="52" t="str">
        <v>&lt;Blank&gt;</v>
      </c>
      <c r="H50" s="53" t="str">
        <v>131236-WIL21-SH-M-0001</v>
      </c>
      <c r="I50" s="53" t="str">
        <v>Line List - Sitewide Pipe Rack</v>
      </c>
    </row>
    <row r="51" spans="1:9" x14ac:dyDescent="0.35">
      <c r="A51" s="52" t="str">
        <v>Stage 2</v>
      </c>
      <c r="B51" s="52">
        <v>131236</v>
      </c>
      <c r="C51" s="52" t="str">
        <v>WIL21</v>
      </c>
      <c r="D51" s="52" t="str">
        <v>DR</v>
      </c>
      <c r="E51" s="52" t="str">
        <v>P</v>
      </c>
      <c r="F51" s="52">
        <v>6000</v>
      </c>
      <c r="G51" s="52" t="str">
        <v>&lt;Blank&gt;</v>
      </c>
      <c r="H51" s="53" t="str">
        <v>131236-WIL21-DR-P-6000</v>
      </c>
      <c r="I51" s="53" t="str">
        <v>P&amp;ID - Sitewide Piperack</v>
      </c>
    </row>
    <row r="52" spans="1:9" x14ac:dyDescent="0.35">
      <c r="A52" s="52" t="str">
        <v>Stage 2</v>
      </c>
      <c r="B52" s="52">
        <v>131236</v>
      </c>
      <c r="C52" s="52" t="str">
        <v>WIL21</v>
      </c>
      <c r="D52" s="52" t="str">
        <v>DR</v>
      </c>
      <c r="E52" s="52" t="str">
        <v>P</v>
      </c>
      <c r="F52" s="52">
        <v>6001</v>
      </c>
      <c r="G52" s="52" t="str">
        <v>&lt;Blank&gt;</v>
      </c>
      <c r="H52" s="53" t="str">
        <v>131236-WIL21-DR-P-6001</v>
      </c>
      <c r="I52" s="53" t="str">
        <v>P&amp;ID - Sitewide Piperack</v>
      </c>
    </row>
    <row r="53" spans="1:9" x14ac:dyDescent="0.35">
      <c r="A53" s="52" t="str">
        <v>Deleted</v>
      </c>
      <c r="B53" s="52">
        <v>131236</v>
      </c>
      <c r="C53" s="52" t="str">
        <v>WIL21</v>
      </c>
      <c r="D53" s="52" t="str">
        <v>RT</v>
      </c>
      <c r="E53" s="52" t="str">
        <v>P</v>
      </c>
      <c r="F53" s="52" t="str">
        <v>0001</v>
      </c>
      <c r="G53" s="52" t="str">
        <v>&lt;Blank&gt;</v>
      </c>
      <c r="H53" s="53" t="str">
        <v>Deleted</v>
      </c>
      <c r="I53" s="53" t="str">
        <v>Side Wide Piperack Design Report</v>
      </c>
    </row>
    <row r="54" spans="1:9" x14ac:dyDescent="0.35">
      <c r="A54" s="52" t="str">
        <v>Stage 1</v>
      </c>
      <c r="B54" s="52">
        <v>131236</v>
      </c>
      <c r="C54" s="52" t="str">
        <v>WIL21</v>
      </c>
      <c r="D54" s="52" t="str">
        <v>VI</v>
      </c>
      <c r="E54" s="52" t="str">
        <v>M</v>
      </c>
      <c r="F54" s="52" t="str">
        <v>0001</v>
      </c>
      <c r="G54" s="52" t="str">
        <v>&lt;Blank&gt;</v>
      </c>
      <c r="H54" s="53" t="str">
        <v>131236-WIL21-VI-M-0001</v>
      </c>
      <c r="I54" s="53" t="str">
        <v>Preliminary design and Vendor Approval for SSN Package</v>
      </c>
    </row>
    <row r="55" spans="1:9" x14ac:dyDescent="0.35">
      <c r="A55" s="52" t="str">
        <v>NA</v>
      </c>
      <c r="B55" s="52">
        <v>131236</v>
      </c>
      <c r="C55" s="52" t="str">
        <v>WIL21</v>
      </c>
      <c r="D55" s="52" t="str">
        <v>RT</v>
      </c>
      <c r="E55" s="52" t="str">
        <v>P</v>
      </c>
      <c r="F55" s="52" t="str">
        <v>0001</v>
      </c>
      <c r="G55" s="52" t="str">
        <v>&lt;Blank&gt;</v>
      </c>
      <c r="H55" s="53" t="str">
        <v>131236-WIL21-RT-P-0001</v>
      </c>
      <c r="I55" s="53" t="str">
        <v>Basis of Design Report - SSN</v>
      </c>
    </row>
    <row r="56" spans="1:9" x14ac:dyDescent="0.35">
      <c r="A56" s="52" t="str">
        <v>Stage 2</v>
      </c>
      <c r="B56" s="52">
        <v>131236</v>
      </c>
      <c r="C56" s="52" t="str">
        <v>WIL21</v>
      </c>
      <c r="D56" s="52" t="str">
        <v>RT</v>
      </c>
      <c r="E56" s="52" t="str">
        <v>P</v>
      </c>
      <c r="F56" s="52" t="str">
        <v>0002</v>
      </c>
      <c r="G56" s="52" t="str">
        <v>&lt;Blank&gt;</v>
      </c>
      <c r="H56" s="53" t="str">
        <v>131236-WIL21-RT-P-0002</v>
      </c>
      <c r="I56" s="53" t="str">
        <v>Details of Design Report - SSN</v>
      </c>
    </row>
    <row r="57" spans="1:9" x14ac:dyDescent="0.35">
      <c r="A57" s="52" t="str">
        <v>Stage 2</v>
      </c>
      <c r="B57" s="52">
        <v>131236</v>
      </c>
      <c r="C57" s="52" t="str">
        <v>WIL21</v>
      </c>
      <c r="D57" s="52" t="str">
        <v>RT</v>
      </c>
      <c r="E57" s="52" t="str">
        <v>P</v>
      </c>
      <c r="F57" s="52" t="str">
        <v>0003</v>
      </c>
      <c r="G57" s="52" t="str">
        <v>&lt;Blank&gt;</v>
      </c>
      <c r="H57" s="53" t="str">
        <v>131236-WIL21-RT-P-0003</v>
      </c>
      <c r="I57" s="53" t="str">
        <v>HAZOP Study Report for SSN</v>
      </c>
    </row>
    <row r="58" spans="1:9" x14ac:dyDescent="0.35">
      <c r="A58" s="52" t="str">
        <v>NA</v>
      </c>
      <c r="B58" s="52">
        <v>131236</v>
      </c>
      <c r="C58" s="52" t="str">
        <v>WIL21</v>
      </c>
      <c r="D58" s="52" t="str">
        <v>RT</v>
      </c>
      <c r="E58" s="52" t="str">
        <v>Z</v>
      </c>
      <c r="F58" s="52" t="str">
        <v>0001</v>
      </c>
      <c r="G58" s="52" t="str">
        <v>&lt;Blank&gt;</v>
      </c>
      <c r="H58" s="53" t="str">
        <v>131236-WIL21-RT-Z-0001</v>
      </c>
      <c r="I58" s="53" t="str">
        <v>ALMOP Study Report for SSN</v>
      </c>
    </row>
    <row r="59" spans="1:9" x14ac:dyDescent="0.35">
      <c r="A59" s="52" t="str">
        <v>NA</v>
      </c>
      <c r="B59" s="52">
        <v>131236</v>
      </c>
      <c r="C59" s="52" t="str">
        <v>WIL21</v>
      </c>
      <c r="D59" s="52" t="str">
        <v>PS</v>
      </c>
      <c r="E59" s="52" t="str">
        <v>P</v>
      </c>
      <c r="F59" s="52" t="str">
        <v>0001</v>
      </c>
      <c r="G59" s="52" t="str">
        <v>&lt;Blank&gt;</v>
      </c>
      <c r="H59" s="53" t="str">
        <v>131236-WIL21-PS-P-0001</v>
      </c>
      <c r="I59" s="53" t="str">
        <v>SSN FUNCTIONAL DESIGN SPECIFICATION WORKSHOP</v>
      </c>
    </row>
    <row r="60" spans="1:9" x14ac:dyDescent="0.35">
      <c r="A60" s="52" t="str">
        <v>Stage 2</v>
      </c>
      <c r="B60" s="52">
        <v>131236</v>
      </c>
      <c r="C60" s="52" t="str">
        <v>WIL21</v>
      </c>
      <c r="D60" s="52" t="str">
        <v>CH</v>
      </c>
      <c r="E60" s="52" t="str">
        <v>P</v>
      </c>
      <c r="F60" s="52" t="str">
        <v>0001</v>
      </c>
      <c r="G60" s="52" t="str">
        <v>&lt;Blank&gt;</v>
      </c>
      <c r="H60" s="53" t="str">
        <v>131236-WIL21-CH-P-0001</v>
      </c>
      <c r="I60" s="53" t="str">
        <v>PROCESS DESIGN BASIS</v>
      </c>
    </row>
    <row r="61" spans="1:9" x14ac:dyDescent="0.35">
      <c r="A61" s="52" t="str">
        <v>Stage 2</v>
      </c>
      <c r="B61" s="52">
        <v>131236</v>
      </c>
      <c r="C61" s="52" t="str">
        <v>WIL21</v>
      </c>
      <c r="D61" s="52" t="str">
        <v>CH</v>
      </c>
      <c r="E61" s="52" t="str">
        <v>P</v>
      </c>
      <c r="F61" s="52" t="str">
        <v>0002</v>
      </c>
      <c r="G61" s="52" t="str">
        <v>&lt;Blank&gt;</v>
      </c>
      <c r="H61" s="53" t="str">
        <v>131236-WIL21-CH-P-0002</v>
      </c>
      <c r="I61" s="53" t="str">
        <v>PROCESS FUNCTIONAL DESCRIPTION</v>
      </c>
    </row>
    <row r="62" spans="1:9" x14ac:dyDescent="0.35">
      <c r="A62" s="52" t="str">
        <v>Stage 2</v>
      </c>
      <c r="B62" s="52">
        <v>131236</v>
      </c>
      <c r="C62" s="52" t="str">
        <v>WIL21</v>
      </c>
      <c r="D62" s="52" t="str">
        <v>CH</v>
      </c>
      <c r="E62" s="52" t="str">
        <v>P</v>
      </c>
      <c r="F62" s="52" t="str">
        <v>0003</v>
      </c>
      <c r="G62" s="52" t="str">
        <v>&lt;Blank&gt;</v>
      </c>
      <c r="H62" s="53" t="str">
        <v>131236-WIL21-CH-P-0003</v>
      </c>
      <c r="I62" s="53" t="str">
        <v>SSN FUNCTION CHECKLIST</v>
      </c>
    </row>
    <row r="63" spans="1:9" x14ac:dyDescent="0.35">
      <c r="A63" s="52" t="str">
        <v>Stage 2</v>
      </c>
      <c r="B63" s="52">
        <v>131236</v>
      </c>
      <c r="C63" s="52" t="str">
        <v>WIL21</v>
      </c>
      <c r="D63" s="52" t="str">
        <v>SN</v>
      </c>
      <c r="E63" s="52" t="str">
        <v>P</v>
      </c>
      <c r="F63" s="52" t="str">
        <v>0001</v>
      </c>
      <c r="G63" s="52" t="str">
        <v>&lt;Blank&gt;</v>
      </c>
      <c r="H63" s="53" t="str">
        <v>131236-WIL21-SN-P-0001</v>
      </c>
      <c r="I63" s="53" t="str">
        <v>SSN FUCTION CHECK PUNCHLIST</v>
      </c>
    </row>
    <row r="64" spans="1:9" x14ac:dyDescent="0.35">
      <c r="A64" s="52" t="str">
        <v>Stage 2</v>
      </c>
      <c r="B64" s="52">
        <v>131236</v>
      </c>
      <c r="C64" s="52" t="str">
        <v>WIL21</v>
      </c>
      <c r="D64" s="52" t="str">
        <v>SP</v>
      </c>
      <c r="E64" s="52" t="str">
        <v>P</v>
      </c>
      <c r="F64" s="52" t="str">
        <v>0001</v>
      </c>
      <c r="G64" s="52" t="str">
        <v>&lt;Blank&gt;</v>
      </c>
      <c r="H64" s="53" t="str">
        <v>131236-WIL21-SP-P-0001</v>
      </c>
      <c r="I64" s="53" t="str">
        <v>Process Control Philosophy</v>
      </c>
    </row>
    <row r="65" spans="1:9" x14ac:dyDescent="0.35">
      <c r="A65" s="52" t="str">
        <v>Stage 2</v>
      </c>
      <c r="B65" s="52">
        <v>131236</v>
      </c>
      <c r="C65" s="52" t="str">
        <v>WIL21</v>
      </c>
      <c r="D65" s="52" t="str">
        <v>DR</v>
      </c>
      <c r="E65" s="52" t="str">
        <v>P</v>
      </c>
      <c r="F65" s="52">
        <v>7010</v>
      </c>
      <c r="G65" s="52" t="str">
        <v>&lt;Blank&gt;</v>
      </c>
      <c r="H65" s="53" t="str">
        <v>131236-WIL21-DR-P-7010</v>
      </c>
      <c r="I65" s="53" t="str">
        <v>SSN - PROCESS HYDRAULIC PROFILE</v>
      </c>
    </row>
    <row r="66" spans="1:9" x14ac:dyDescent="0.35">
      <c r="A66" s="52" t="str">
        <v>Stage 2</v>
      </c>
      <c r="B66" s="52">
        <v>131236</v>
      </c>
      <c r="C66" s="52" t="str">
        <v>WIL21</v>
      </c>
      <c r="D66" s="52" t="str">
        <v>DR</v>
      </c>
      <c r="E66" s="52" t="str">
        <v>P</v>
      </c>
      <c r="F66" s="52">
        <v>7011</v>
      </c>
      <c r="G66" s="52" t="str">
        <v>&lt;Blank&gt;</v>
      </c>
      <c r="H66" s="53" t="str">
        <v>131236-WIL21-DR-P-7011</v>
      </c>
      <c r="I66" s="53" t="str">
        <v>SSN - PLANT DRAIN HYDRAULIC PROFILE</v>
      </c>
    </row>
    <row r="67" spans="1:9" x14ac:dyDescent="0.35">
      <c r="A67" s="52" t="str">
        <v>Stage 2</v>
      </c>
      <c r="B67" s="52">
        <v>131236</v>
      </c>
      <c r="C67" s="52" t="str">
        <v>WIL21</v>
      </c>
      <c r="D67" s="52" t="str">
        <v>SP</v>
      </c>
      <c r="E67" s="52" t="str">
        <v>P</v>
      </c>
      <c r="F67" s="52" t="str">
        <v>0002</v>
      </c>
      <c r="G67" s="52" t="str">
        <v>&lt;Blank&gt;</v>
      </c>
      <c r="H67" s="53" t="str">
        <v>131236-WIL21-SP-P-0002</v>
      </c>
      <c r="I67" s="53" t="str">
        <v>SSN Aeration Blower Control Philosophy</v>
      </c>
    </row>
    <row r="68" spans="1:9" x14ac:dyDescent="0.35">
      <c r="A68" s="52" t="str">
        <v>Stage 2</v>
      </c>
      <c r="B68" s="52">
        <v>131236</v>
      </c>
      <c r="C68" s="52" t="str">
        <v>WIL21</v>
      </c>
      <c r="D68" s="52" t="str">
        <v>CL</v>
      </c>
      <c r="E68" s="52" t="str">
        <v>P</v>
      </c>
      <c r="F68" s="52" t="str">
        <v>0001</v>
      </c>
      <c r="G68" s="52" t="str">
        <v>&lt;Blank&gt;</v>
      </c>
      <c r="H68" s="53" t="str">
        <v>131236-WIL21-CL-P-0001</v>
      </c>
      <c r="I68" s="53" t="str">
        <v xml:space="preserve">SSN - PLANT DRAIN HYDRAULIC CALCULATION </v>
      </c>
    </row>
    <row r="69" spans="1:9" x14ac:dyDescent="0.35">
      <c r="A69" s="52" t="str">
        <v>Stage 2</v>
      </c>
      <c r="B69" s="52">
        <v>131236</v>
      </c>
      <c r="C69" s="52" t="str">
        <v>WIL21</v>
      </c>
      <c r="D69" s="52" t="str">
        <v>CL</v>
      </c>
      <c r="E69" s="52" t="str">
        <v>P</v>
      </c>
      <c r="F69" s="52" t="str">
        <v>0002</v>
      </c>
      <c r="G69" s="52" t="str">
        <v>&lt;Blank&gt;</v>
      </c>
      <c r="H69" s="53" t="str">
        <v>131236-WIL21-CL-P-0002</v>
      </c>
      <c r="I69" s="53" t="str">
        <v>PRELIMINARY SIZING CALCULATION FOR SSN FUTURE OCF SYSTEM</v>
      </c>
    </row>
    <row r="70" spans="1:9" x14ac:dyDescent="0.35">
      <c r="A70" s="52" t="str">
        <v>Stage 2</v>
      </c>
      <c r="B70" s="52">
        <v>131236</v>
      </c>
      <c r="C70" s="52" t="str">
        <v>WIL21</v>
      </c>
      <c r="D70" s="52" t="str">
        <v>CL</v>
      </c>
      <c r="E70" s="52" t="str">
        <v>P</v>
      </c>
      <c r="F70" s="52" t="str">
        <v>0003</v>
      </c>
      <c r="G70" s="52" t="str">
        <v>&lt;Blank&gt;</v>
      </c>
      <c r="H70" s="53" t="str">
        <v>131236-WIL21-CL-P-0003</v>
      </c>
      <c r="I70" s="53" t="str">
        <v>PROCESS DESIGN CALCULATION</v>
      </c>
    </row>
    <row r="71" spans="1:9" x14ac:dyDescent="0.35">
      <c r="A71" s="52" t="str">
        <v>Stage 2</v>
      </c>
      <c r="B71" s="52">
        <v>131236</v>
      </c>
      <c r="C71" s="52" t="str">
        <v>WIL21</v>
      </c>
      <c r="D71" s="52" t="str">
        <v>CL</v>
      </c>
      <c r="E71" s="52" t="str">
        <v>P</v>
      </c>
      <c r="F71" s="52" t="str">
        <v>0004</v>
      </c>
      <c r="G71" s="52" t="str">
        <v>&lt;Blank&gt;</v>
      </c>
      <c r="H71" s="53" t="str">
        <v>131236-WIL21-CL-P-0004</v>
      </c>
      <c r="I71" s="53" t="str">
        <v>SSN - CHEMICAL CONSUMPTION CALCULATION</v>
      </c>
    </row>
    <row r="72" spans="1:9" x14ac:dyDescent="0.35">
      <c r="A72" s="52" t="str">
        <v>Stage 2</v>
      </c>
      <c r="B72" s="52">
        <v>131236</v>
      </c>
      <c r="C72" s="52" t="str">
        <v>WIL21</v>
      </c>
      <c r="D72" s="52" t="str">
        <v>CL</v>
      </c>
      <c r="E72" s="52" t="str">
        <v>P</v>
      </c>
      <c r="F72" s="52" t="str">
        <v>0005</v>
      </c>
      <c r="G72" s="52" t="str">
        <v>&lt;Blank&gt;</v>
      </c>
      <c r="H72" s="53" t="str">
        <v>131236-WIL21-CL-P-0005</v>
      </c>
      <c r="I72" s="53" t="str">
        <v>SSN - PROCESS HYDRAULIC CALCULATION</v>
      </c>
    </row>
    <row r="73" spans="1:9" x14ac:dyDescent="0.35">
      <c r="A73" s="52" t="str">
        <v>Stage 2</v>
      </c>
      <c r="B73" s="52">
        <v>131236</v>
      </c>
      <c r="C73" s="52" t="str">
        <v>WIL21</v>
      </c>
      <c r="D73" s="52" t="str">
        <v>CL</v>
      </c>
      <c r="E73" s="52" t="str">
        <v>P</v>
      </c>
      <c r="F73" s="52" t="str">
        <v>0006</v>
      </c>
      <c r="G73" s="52" t="str">
        <v>&lt;Blank&gt;</v>
      </c>
      <c r="H73" s="53" t="str">
        <v>131236-WIL21-CL-P-0006</v>
      </c>
      <c r="I73" s="53" t="str">
        <v>SSN EQUIPMENT SIZING CALCULATION</v>
      </c>
    </row>
    <row r="74" spans="1:9" x14ac:dyDescent="0.35">
      <c r="A74" s="52" t="str">
        <v>Stage 2</v>
      </c>
      <c r="B74" s="52">
        <v>131236</v>
      </c>
      <c r="C74" s="52" t="str">
        <v>WIL21</v>
      </c>
      <c r="D74" s="52" t="str">
        <v>CL</v>
      </c>
      <c r="E74" s="52" t="str">
        <v>P</v>
      </c>
      <c r="F74" s="52" t="str">
        <v>0007</v>
      </c>
      <c r="G74" s="52" t="str">
        <v>&lt;Blank&gt;</v>
      </c>
      <c r="H74" s="53" t="str">
        <v>131236-WIL21-CL-P-0007</v>
      </c>
      <c r="I74" s="53" t="str">
        <v>Diffuser Performance Design Calculation</v>
      </c>
    </row>
    <row r="75" spans="1:9" x14ac:dyDescent="0.35">
      <c r="A75" s="52" t="str">
        <v>Stage 2</v>
      </c>
      <c r="B75" s="52">
        <v>131236</v>
      </c>
      <c r="C75" s="52" t="str">
        <v>WIL21</v>
      </c>
      <c r="D75" s="52" t="str">
        <v>CL</v>
      </c>
      <c r="E75" s="52" t="str">
        <v>P</v>
      </c>
      <c r="F75" s="52" t="str">
        <v>0008</v>
      </c>
      <c r="G75" s="52" t="str">
        <v>&lt;Blank&gt;</v>
      </c>
      <c r="H75" s="53" t="str">
        <v>131236-WIL21-CL-P-0008</v>
      </c>
      <c r="I75" s="53" t="str">
        <v>Diffuser Heat Loss Calculation</v>
      </c>
    </row>
    <row r="76" spans="1:9" x14ac:dyDescent="0.35">
      <c r="A76" s="52" t="str">
        <v>Stage 2</v>
      </c>
      <c r="B76" s="52">
        <v>131236</v>
      </c>
      <c r="C76" s="52" t="str">
        <v>WIL21</v>
      </c>
      <c r="D76" s="52" t="str">
        <v>CL</v>
      </c>
      <c r="E76" s="52" t="str">
        <v>P</v>
      </c>
      <c r="F76" s="52" t="str">
        <v>0009</v>
      </c>
      <c r="G76" s="52" t="str">
        <v>&lt;Blank&gt;</v>
      </c>
      <c r="H76" s="53" t="str">
        <v>131236-WIL21-CL-P-0009</v>
      </c>
      <c r="I76" s="53" t="str">
        <v>SSN Energy Consumption computation</v>
      </c>
    </row>
    <row r="77" spans="1:9" x14ac:dyDescent="0.35">
      <c r="A77" s="52" t="str">
        <v>Stage 2</v>
      </c>
      <c r="B77" s="52">
        <v>131236</v>
      </c>
      <c r="C77" s="52" t="str">
        <v>WIL21</v>
      </c>
      <c r="D77" s="52" t="str">
        <v>CL</v>
      </c>
      <c r="E77" s="52" t="str">
        <v>P</v>
      </c>
      <c r="F77" s="52" t="str">
        <v>0010</v>
      </c>
      <c r="G77" s="52" t="str">
        <v>&lt;Blank&gt;</v>
      </c>
      <c r="H77" s="53" t="str">
        <v>131236-WIL21-CL-P-0010</v>
      </c>
      <c r="I77" s="53" t="str">
        <v>BLOWER PRESSURE LOSS CALCULATION</v>
      </c>
    </row>
    <row r="78" spans="1:9" x14ac:dyDescent="0.35">
      <c r="A78" s="52" t="str">
        <v>Stage 2</v>
      </c>
      <c r="B78" s="52">
        <v>131236</v>
      </c>
      <c r="C78" s="52" t="str">
        <v>WIL21</v>
      </c>
      <c r="D78" s="52" t="str">
        <v>CL</v>
      </c>
      <c r="E78" s="52" t="str">
        <v>P</v>
      </c>
      <c r="F78" s="52" t="str">
        <v>0011</v>
      </c>
      <c r="G78" s="52" t="str">
        <v>&lt;Blank&gt;</v>
      </c>
      <c r="H78" s="53" t="str">
        <v>131236-WIL21-CL-P-0011</v>
      </c>
      <c r="I78" s="53" t="str">
        <v>INSTRUMENT AIR PRESSURE LOSS CALCULATION</v>
      </c>
    </row>
    <row r="79" spans="1:9" x14ac:dyDescent="0.35">
      <c r="A79" s="52" t="str">
        <v>Stage 2</v>
      </c>
      <c r="B79" s="52">
        <v>131236</v>
      </c>
      <c r="C79" s="52" t="str">
        <v>WIL21</v>
      </c>
      <c r="D79" s="52" t="str">
        <v>CL</v>
      </c>
      <c r="E79" s="52" t="str">
        <v>P</v>
      </c>
      <c r="F79" s="52" t="str">
        <v>0012</v>
      </c>
      <c r="G79" s="52" t="str">
        <v>&lt;Blank&gt;</v>
      </c>
      <c r="H79" s="53" t="str">
        <v>131236-WIL21-CL-P-0012</v>
      </c>
      <c r="I79" s="53" t="str">
        <v xml:space="preserve">PLANT WATER (G2D) PRESSURE LOSS CALCULAITON </v>
      </c>
    </row>
    <row r="80" spans="1:9" x14ac:dyDescent="0.35">
      <c r="A80" s="52" t="str">
        <v>Stage 2</v>
      </c>
      <c r="B80" s="52">
        <v>131236</v>
      </c>
      <c r="C80" s="52" t="str">
        <v>WIL21</v>
      </c>
      <c r="D80" s="52" t="str">
        <v>CL</v>
      </c>
      <c r="E80" s="52" t="str">
        <v>P</v>
      </c>
      <c r="F80" s="52" t="str">
        <v>5701</v>
      </c>
      <c r="G80" s="52" t="str">
        <v>&lt;Blank&gt;</v>
      </c>
      <c r="H80" s="53" t="str">
        <v>131236-WIL21-CL-P-5701</v>
      </c>
      <c r="I80" s="53" t="str">
        <v>SSN TCI INLET FLOW CONTROL VALVEN SIZING CALCULATION</v>
      </c>
    </row>
    <row r="81" spans="1:9" x14ac:dyDescent="0.35">
      <c r="A81" s="52" t="str">
        <v>Stage 2</v>
      </c>
      <c r="B81" s="52">
        <v>131236</v>
      </c>
      <c r="C81" s="52" t="str">
        <v>WIL21</v>
      </c>
      <c r="D81" s="52" t="str">
        <v>CL</v>
      </c>
      <c r="E81" s="52" t="str">
        <v>P</v>
      </c>
      <c r="F81" s="52">
        <v>5703</v>
      </c>
      <c r="G81" s="52" t="str">
        <v>&lt;Blank&gt;</v>
      </c>
      <c r="H81" s="53" t="str">
        <v>131236-WIL21-CL-P-5703</v>
      </c>
      <c r="I81" s="53" t="str">
        <v>SSN LAMELLA CLARIFIER 1/2/3/4/5 INLET FLOW CONTROL VALVE SIZING CALCULATION</v>
      </c>
    </row>
    <row r="82" spans="1:9" x14ac:dyDescent="0.35">
      <c r="A82" s="52" t="str">
        <v>Stage 2</v>
      </c>
      <c r="B82" s="52">
        <v>131236</v>
      </c>
      <c r="C82" s="52" t="str">
        <v>WIL21</v>
      </c>
      <c r="D82" s="52" t="str">
        <v>CL</v>
      </c>
      <c r="E82" s="52" t="str">
        <v>P</v>
      </c>
      <c r="F82" s="52" t="str">
        <v>5702</v>
      </c>
      <c r="G82" s="52" t="str">
        <v>&lt;Blank&gt;</v>
      </c>
      <c r="H82" s="53" t="str">
        <v>131236-WIL21-CL-P-5702</v>
      </c>
      <c r="I82" s="53" t="str">
        <v>SSN DC PARTIAL BYPASS LINE INLET FLOW CONTROL VALVE SIZING CALCULATION</v>
      </c>
    </row>
    <row r="83" spans="1:9" x14ac:dyDescent="0.35">
      <c r="A83" s="52" t="str">
        <v>Deleted</v>
      </c>
      <c r="B83" s="52">
        <v>131236</v>
      </c>
      <c r="C83" s="52" t="str">
        <v>WIL21</v>
      </c>
      <c r="D83" s="52" t="str">
        <v>CL</v>
      </c>
      <c r="E83" s="52" t="str">
        <v>P</v>
      </c>
      <c r="F83" s="52">
        <v>5711</v>
      </c>
      <c r="G83" s="52" t="str">
        <v>&lt;Blank&gt;</v>
      </c>
      <c r="H83" s="53" t="str">
        <v>Deleted</v>
      </c>
      <c r="I83" s="53" t="str">
        <v>SSN Aeration Flow Control Sizing Calculation</v>
      </c>
    </row>
    <row r="84" spans="1:9" x14ac:dyDescent="0.35">
      <c r="A84" s="52" t="str">
        <v>Deleted</v>
      </c>
      <c r="B84" s="52">
        <v>131236</v>
      </c>
      <c r="C84" s="52" t="str">
        <v>WIL21</v>
      </c>
      <c r="D84" s="52" t="str">
        <v>CL</v>
      </c>
      <c r="E84" s="52" t="str">
        <v>P</v>
      </c>
      <c r="F84" s="52">
        <v>5721</v>
      </c>
      <c r="G84" s="52" t="str">
        <v>&lt;Blank&gt;</v>
      </c>
      <c r="H84" s="53" t="str">
        <v>Deleted</v>
      </c>
      <c r="I84" s="53" t="str">
        <v>Piperack PD ARV sizing calculation</v>
      </c>
    </row>
    <row r="85" spans="1:9" x14ac:dyDescent="0.35">
      <c r="A85" s="52" t="str">
        <v>Deleted</v>
      </c>
      <c r="B85" s="52">
        <v>131236</v>
      </c>
      <c r="C85" s="52" t="str">
        <v>WIL21</v>
      </c>
      <c r="D85" s="52" t="str">
        <v>CL</v>
      </c>
      <c r="E85" s="52" t="str">
        <v>P</v>
      </c>
      <c r="F85" s="52">
        <v>5722</v>
      </c>
      <c r="G85" s="52" t="str">
        <v>&lt;Blank&gt;</v>
      </c>
      <c r="H85" s="53" t="str">
        <v>Deleted</v>
      </c>
      <c r="I85" s="53" t="str">
        <v>Piperack PSI ARV sizing calculation</v>
      </c>
    </row>
    <row r="86" spans="1:9" x14ac:dyDescent="0.35">
      <c r="A86" s="52" t="str">
        <v>Deleted</v>
      </c>
      <c r="B86" s="52">
        <v>131236</v>
      </c>
      <c r="C86" s="52" t="str">
        <v>WIL21</v>
      </c>
      <c r="D86" s="52" t="str">
        <v>CL</v>
      </c>
      <c r="E86" s="52" t="str">
        <v>P</v>
      </c>
      <c r="F86" s="52">
        <v>5723</v>
      </c>
      <c r="G86" s="52" t="str">
        <v>&lt;Blank&gt;</v>
      </c>
      <c r="H86" s="53" t="str">
        <v>Deleted</v>
      </c>
      <c r="I86" s="53" t="str">
        <v>Piperack WASI ARV sizing calculation</v>
      </c>
    </row>
    <row r="87" spans="1:9" x14ac:dyDescent="0.35">
      <c r="A87" s="52" t="str">
        <v>Deleted</v>
      </c>
      <c r="B87" s="52">
        <v>131236</v>
      </c>
      <c r="C87" s="52" t="str">
        <v>WIL21</v>
      </c>
      <c r="D87" s="52" t="str">
        <v>CL</v>
      </c>
      <c r="E87" s="52" t="str">
        <v>P</v>
      </c>
      <c r="F87" s="52">
        <v>5724</v>
      </c>
      <c r="G87" s="52" t="str">
        <v>&lt;Blank&gt;</v>
      </c>
      <c r="H87" s="53" t="str">
        <v>Deleted</v>
      </c>
      <c r="I87" s="53" t="str">
        <v>Piperack DC ARV sizing calculation</v>
      </c>
    </row>
    <row r="88" spans="1:9" x14ac:dyDescent="0.35">
      <c r="A88" s="52" t="str">
        <v>Deleted</v>
      </c>
      <c r="B88" s="52">
        <v>131236</v>
      </c>
      <c r="C88" s="52" t="str">
        <v>WIL21</v>
      </c>
      <c r="D88" s="52" t="str">
        <v>CL</v>
      </c>
      <c r="E88" s="52" t="str">
        <v>P</v>
      </c>
      <c r="F88" s="52">
        <v>5725</v>
      </c>
      <c r="G88" s="52" t="str">
        <v>&lt;Blank&gt;</v>
      </c>
      <c r="H88" s="53" t="str">
        <v>Deleted</v>
      </c>
      <c r="I88" s="53" t="str">
        <v>SSN DC outgoing pipe ARV Sizing Calculation</v>
      </c>
    </row>
    <row r="89" spans="1:9" x14ac:dyDescent="0.35">
      <c r="A89" s="52" t="str">
        <v>Stage 2</v>
      </c>
      <c r="B89" s="52">
        <v>131236</v>
      </c>
      <c r="C89" s="52" t="str">
        <v>WIL21</v>
      </c>
      <c r="D89" s="52" t="str">
        <v>CL</v>
      </c>
      <c r="E89" s="52" t="str">
        <v>P</v>
      </c>
      <c r="F89" s="52">
        <v>5301</v>
      </c>
      <c r="G89" s="52" t="str">
        <v>&lt;Blank&gt;</v>
      </c>
      <c r="H89" s="53" t="str">
        <v>131236-WIL21-CL-P-5301</v>
      </c>
      <c r="I89" s="53" t="str">
        <v>SSN EQ TANK TRANSFER PUMP SIZING CALCULATION</v>
      </c>
    </row>
    <row r="90" spans="1:9" x14ac:dyDescent="0.35">
      <c r="A90" s="52" t="str">
        <v>Stage 2</v>
      </c>
      <c r="B90" s="52">
        <v>131236</v>
      </c>
      <c r="C90" s="52" t="str">
        <v>WIL21</v>
      </c>
      <c r="D90" s="52" t="str">
        <v>CL</v>
      </c>
      <c r="E90" s="52" t="str">
        <v>P</v>
      </c>
      <c r="F90" s="52">
        <v>5311</v>
      </c>
      <c r="G90" s="52" t="str">
        <v>&lt;Blank&gt;</v>
      </c>
      <c r="H90" s="53" t="str">
        <v>131236-WIL21-CL-P-5311</v>
      </c>
      <c r="I90" s="53" t="str">
        <v>SSN DISCHARGE TRANSFER PUMP SIZING CALCULATION</v>
      </c>
    </row>
    <row r="91" spans="1:9" x14ac:dyDescent="0.35">
      <c r="A91" s="52" t="str">
        <v>Stage 2</v>
      </c>
      <c r="B91" s="52">
        <v>131236</v>
      </c>
      <c r="C91" s="52" t="str">
        <v>WIL21</v>
      </c>
      <c r="D91" s="52" t="str">
        <v>CL</v>
      </c>
      <c r="E91" s="52" t="str">
        <v>P</v>
      </c>
      <c r="F91" s="52">
        <v>5351</v>
      </c>
      <c r="G91" s="52" t="str">
        <v>&lt;Blank&gt;</v>
      </c>
      <c r="H91" s="53" t="str">
        <v>131236-WIL21-CL-P-5351</v>
      </c>
      <c r="I91" s="53" t="str">
        <v>SSN WASTE SLUDGE PUMP A/B SIZING CALCULATION</v>
      </c>
    </row>
    <row r="92" spans="1:9" x14ac:dyDescent="0.35">
      <c r="A92" s="52" t="str">
        <v>Stage 2</v>
      </c>
      <c r="B92" s="52">
        <v>131236</v>
      </c>
      <c r="C92" s="52" t="str">
        <v>WIL21</v>
      </c>
      <c r="D92" s="52" t="str">
        <v>CL</v>
      </c>
      <c r="E92" s="52" t="str">
        <v>P</v>
      </c>
      <c r="F92" s="52">
        <v>5361</v>
      </c>
      <c r="G92" s="52" t="str">
        <v>&lt;Blank&gt;</v>
      </c>
      <c r="H92" s="53" t="str">
        <v>131236-WIL21-CL-P-5361</v>
      </c>
      <c r="I92" s="53" t="str">
        <v>SSN WASTE SLUDGE PUMP C/D SIZING CALCULATION</v>
      </c>
    </row>
    <row r="93" spans="1:9" x14ac:dyDescent="0.35">
      <c r="A93" s="52" t="str">
        <v>Stage 2</v>
      </c>
      <c r="B93" s="52">
        <v>131236</v>
      </c>
      <c r="C93" s="52" t="str">
        <v>WIL21</v>
      </c>
      <c r="D93" s="52" t="str">
        <v>CL</v>
      </c>
      <c r="E93" s="52" t="str">
        <v>P</v>
      </c>
      <c r="F93" s="52">
        <v>5371</v>
      </c>
      <c r="G93" s="52" t="str">
        <v>&lt;Blank&gt;</v>
      </c>
      <c r="H93" s="53" t="str">
        <v>131236-WIL21-CL-P-5371</v>
      </c>
      <c r="I93" s="53" t="str">
        <v>SSN GRANULAR SLUDGE PUMP SIZING CALCULATION</v>
      </c>
    </row>
    <row r="94" spans="1:9" x14ac:dyDescent="0.35">
      <c r="A94" s="52" t="str">
        <v>Stage 2</v>
      </c>
      <c r="B94" s="52">
        <v>131236</v>
      </c>
      <c r="C94" s="52" t="str">
        <v>WIL21</v>
      </c>
      <c r="D94" s="52" t="str">
        <v>CL</v>
      </c>
      <c r="E94" s="52" t="str">
        <v>P</v>
      </c>
      <c r="F94" s="52">
        <v>5381</v>
      </c>
      <c r="G94" s="52" t="str">
        <v>&lt;Blank&gt;</v>
      </c>
      <c r="H94" s="53" t="str">
        <v>131236-WIL21-CL-P-5381</v>
      </c>
      <c r="I94" s="53" t="str">
        <v>SSN SLUDGE TRANSFER PUMP SIZING CALCULATION</v>
      </c>
    </row>
    <row r="95" spans="1:9" x14ac:dyDescent="0.35">
      <c r="A95" s="52" t="str">
        <v>Stage 2</v>
      </c>
      <c r="B95" s="52">
        <v>131236</v>
      </c>
      <c r="C95" s="52" t="str">
        <v>WIL21</v>
      </c>
      <c r="D95" s="52" t="str">
        <v>CL</v>
      </c>
      <c r="E95" s="52" t="str">
        <v>P</v>
      </c>
      <c r="F95" s="52">
        <v>5391</v>
      </c>
      <c r="G95" s="52" t="str">
        <v>&lt;Blank&gt;</v>
      </c>
      <c r="H95" s="53" t="str">
        <v>131236-WIL21-CL-P-5391</v>
      </c>
      <c r="I95" s="53" t="str">
        <v>SSN SAMPLING PUMP SIZING CALCULATION</v>
      </c>
    </row>
    <row r="96" spans="1:9" x14ac:dyDescent="0.35">
      <c r="A96" s="52" t="str">
        <v>Stage 2</v>
      </c>
      <c r="B96" s="52">
        <v>131236</v>
      </c>
      <c r="C96" s="52" t="str">
        <v>WIL21</v>
      </c>
      <c r="D96" s="52" t="str">
        <v>CL</v>
      </c>
      <c r="E96" s="52" t="str">
        <v>P</v>
      </c>
      <c r="F96" s="52">
        <v>5431</v>
      </c>
      <c r="G96" s="52" t="str">
        <v>&lt;Blank&gt;</v>
      </c>
      <c r="H96" s="53" t="str">
        <v>131236-WIL21-CL-P-5431</v>
      </c>
      <c r="I96" s="53" t="str">
        <v>SSN CATCHPOT SIZING CALCULATION</v>
      </c>
    </row>
    <row r="97" spans="1:9" x14ac:dyDescent="0.35">
      <c r="A97" s="52" t="str">
        <v>Stage 2</v>
      </c>
      <c r="B97" s="52">
        <v>131236</v>
      </c>
      <c r="C97" s="52" t="str">
        <v>WIL21</v>
      </c>
      <c r="D97" s="52" t="str">
        <v>CL</v>
      </c>
      <c r="E97" s="52" t="str">
        <v>P</v>
      </c>
      <c r="F97" s="52">
        <v>5481</v>
      </c>
      <c r="G97" s="52" t="str">
        <v>&lt;Blank&gt;</v>
      </c>
      <c r="H97" s="53" t="str">
        <v>131236-WIL21-CL-P-5481</v>
      </c>
      <c r="I97" s="53" t="str">
        <v>PROCESS EQUIPMENT CALCULATION - HYPERBOLIC MIXER CFD</v>
      </c>
    </row>
    <row r="98" spans="1:9" x14ac:dyDescent="0.35">
      <c r="A98" s="52" t="str">
        <v>Stage 2</v>
      </c>
      <c r="B98" s="52">
        <v>131236</v>
      </c>
      <c r="C98" s="52" t="str">
        <v>WIL21</v>
      </c>
      <c r="D98" s="52" t="str">
        <v>CL</v>
      </c>
      <c r="E98" s="52" t="str">
        <v>P</v>
      </c>
      <c r="F98" s="52">
        <v>5501</v>
      </c>
      <c r="G98" s="52" t="str">
        <v>&lt;Blank&gt;</v>
      </c>
      <c r="H98" s="53" t="str">
        <v>131236-WIL21-CL-P-5501</v>
      </c>
      <c r="I98" s="53" t="str">
        <v>SSN FERRIC CHLORIDE DOSING PUMP SIZING CALCULATION</v>
      </c>
    </row>
    <row r="99" spans="1:9" x14ac:dyDescent="0.35">
      <c r="A99" s="52" t="str">
        <v>Stage 2</v>
      </c>
      <c r="B99" s="52">
        <v>131236</v>
      </c>
      <c r="C99" s="52" t="str">
        <v>WIL21</v>
      </c>
      <c r="D99" s="52" t="str">
        <v>CL</v>
      </c>
      <c r="E99" s="52" t="str">
        <v>P</v>
      </c>
      <c r="F99" s="52">
        <v>5511</v>
      </c>
      <c r="G99" s="52" t="str">
        <v>&lt;Blank&gt;</v>
      </c>
      <c r="H99" s="53" t="str">
        <v>131236-WIL21-CL-P-5511</v>
      </c>
      <c r="I99" s="53" t="str">
        <v>SSN EQ TANK SODIUM HYDROXIDE DOSING PUMP SIZING CALCULATION</v>
      </c>
    </row>
    <row r="100" spans="1:9" x14ac:dyDescent="0.35">
      <c r="A100" s="52" t="str">
        <v>Stage 2</v>
      </c>
      <c r="B100" s="52">
        <v>131236</v>
      </c>
      <c r="C100" s="52" t="str">
        <v>WIL21</v>
      </c>
      <c r="D100" s="52" t="str">
        <v>CL</v>
      </c>
      <c r="E100" s="52" t="str">
        <v>P</v>
      </c>
      <c r="F100" s="52">
        <v>5521</v>
      </c>
      <c r="G100" s="52" t="str">
        <v>&lt;Blank&gt;</v>
      </c>
      <c r="H100" s="53" t="str">
        <v>131236-WIL21-CL-P-5521</v>
      </c>
      <c r="I100" s="53" t="str">
        <v>SSN ANAMMOX REACTOR SODIUM HYDROXIDE DOSING PUMP SIZING CALCULATION</v>
      </c>
    </row>
    <row r="101" spans="1:9" x14ac:dyDescent="0.35">
      <c r="A101" s="52" t="str">
        <v>Stage 2</v>
      </c>
      <c r="B101" s="52">
        <v>131236</v>
      </c>
      <c r="C101" s="52" t="str">
        <v>WIL21</v>
      </c>
      <c r="D101" s="52" t="str">
        <v>CL</v>
      </c>
      <c r="E101" s="52" t="str">
        <v>P</v>
      </c>
      <c r="F101" s="52">
        <v>5531</v>
      </c>
      <c r="G101" s="52" t="str">
        <v>&lt;Blank&gt;</v>
      </c>
      <c r="H101" s="53" t="str">
        <v>131236-WIL21-CL-P-5531</v>
      </c>
      <c r="I101" s="53" t="str">
        <v>SSN ANTIFOAM DOSING PUMP SIZING CALCULATION</v>
      </c>
    </row>
    <row r="102" spans="1:9" x14ac:dyDescent="0.35">
      <c r="A102" s="52" t="str">
        <v>Stage 2</v>
      </c>
      <c r="B102" s="52">
        <v>131236</v>
      </c>
      <c r="C102" s="52" t="str">
        <v>WIL21</v>
      </c>
      <c r="D102" s="52" t="str">
        <v>CL</v>
      </c>
      <c r="E102" s="52" t="str">
        <v>P</v>
      </c>
      <c r="F102" s="52">
        <v>5541</v>
      </c>
      <c r="G102" s="52" t="str">
        <v>&lt;Blank&gt;</v>
      </c>
      <c r="H102" s="53" t="str">
        <v>131236-WIL21-CL-P-5541</v>
      </c>
      <c r="I102" s="53" t="str">
        <v>SSN MICRONUTRIENTS DOSING PUMP SIZING CALCULATION</v>
      </c>
    </row>
    <row r="103" spans="1:9" x14ac:dyDescent="0.35">
      <c r="A103" s="52" t="str">
        <v>Stage 2</v>
      </c>
      <c r="B103" s="52">
        <v>131236</v>
      </c>
      <c r="C103" s="52" t="str">
        <v>WIL21</v>
      </c>
      <c r="D103" s="52" t="str">
        <v>CL</v>
      </c>
      <c r="E103" s="52" t="str">
        <v>P</v>
      </c>
      <c r="F103" s="52">
        <v>5551</v>
      </c>
      <c r="G103" s="52" t="str">
        <v>&lt;Blank&gt;</v>
      </c>
      <c r="H103" s="53" t="str">
        <v>131236-WIL21-CL-P-5551</v>
      </c>
      <c r="I103" s="53" t="str">
        <v>SSN ANTISCALANT DOSING PUMP SIZING CALCULATION</v>
      </c>
    </row>
    <row r="104" spans="1:9" x14ac:dyDescent="0.35">
      <c r="A104" s="52" t="str">
        <v>Stage 2</v>
      </c>
      <c r="B104" s="52">
        <v>131236</v>
      </c>
      <c r="C104" s="52" t="str">
        <v>WIL21</v>
      </c>
      <c r="D104" s="52" t="str">
        <v>CL</v>
      </c>
      <c r="E104" s="52" t="str">
        <v>P</v>
      </c>
      <c r="F104" s="52">
        <v>5751</v>
      </c>
      <c r="G104" s="52" t="str">
        <v>&lt;Blank&gt;</v>
      </c>
      <c r="H104" s="53" t="str">
        <v>131236-WIL21-CL-P-5751</v>
      </c>
      <c r="I104" s="53" t="str">
        <v>SSN G2D PRV SIZING CALCULATION</v>
      </c>
    </row>
    <row r="105" spans="1:9" x14ac:dyDescent="0.35">
      <c r="A105" s="52" t="str">
        <v>Deleted</v>
      </c>
      <c r="B105" s="52">
        <v>131236</v>
      </c>
      <c r="C105" s="52" t="str">
        <v>WIL21</v>
      </c>
      <c r="D105" s="52" t="str">
        <v>CL</v>
      </c>
      <c r="E105" s="52" t="str">
        <v>P</v>
      </c>
      <c r="F105" s="52" t="str">
        <v>5752</v>
      </c>
      <c r="G105" s="52" t="str">
        <v>&lt;Blank&gt;</v>
      </c>
      <c r="H105" s="53" t="str">
        <v>Deleted</v>
      </c>
      <c r="I105" s="53" t="str">
        <v>SSN IA PRV SIZING CALCULATION</v>
      </c>
    </row>
    <row r="106" spans="1:9" x14ac:dyDescent="0.35">
      <c r="A106" s="52" t="str">
        <v>Deleted</v>
      </c>
      <c r="B106" s="52">
        <v>131236</v>
      </c>
      <c r="C106" s="52" t="str">
        <v>WIL21</v>
      </c>
      <c r="D106" s="52" t="str">
        <v>CL</v>
      </c>
      <c r="E106" s="52" t="str">
        <v>P</v>
      </c>
      <c r="F106" s="52" t="str">
        <v>5731</v>
      </c>
      <c r="G106" s="52" t="str">
        <v>&lt;Blank&gt;</v>
      </c>
      <c r="H106" s="53" t="str">
        <v>Deleted</v>
      </c>
      <c r="I106" s="53" t="str">
        <v>SSN SAMPLING PUMP DISCHARGE SRV SIZING CALCULATION</v>
      </c>
    </row>
    <row r="107" spans="1:9" x14ac:dyDescent="0.35">
      <c r="A107" s="52" t="str">
        <v>Deleted</v>
      </c>
      <c r="B107" s="52">
        <v>131236</v>
      </c>
      <c r="C107" s="52" t="str">
        <v>WIL21</v>
      </c>
      <c r="D107" s="52" t="str">
        <v>CL</v>
      </c>
      <c r="E107" s="52" t="str">
        <v>P</v>
      </c>
      <c r="F107" s="52" t="str">
        <v>5732</v>
      </c>
      <c r="G107" s="52" t="str">
        <v>&lt;Blank&gt;</v>
      </c>
      <c r="H107" s="53" t="str">
        <v>Deleted</v>
      </c>
      <c r="I107" s="53" t="str">
        <v>SSN WASTE SLUDGE PUMP A/B DISCHARGE SRV SIZING CALCULATION</v>
      </c>
    </row>
    <row r="108" spans="1:9" x14ac:dyDescent="0.35">
      <c r="A108" s="52" t="str">
        <v>Deleted</v>
      </c>
      <c r="B108" s="52">
        <v>131236</v>
      </c>
      <c r="C108" s="52" t="str">
        <v>WIL21</v>
      </c>
      <c r="D108" s="52" t="str">
        <v>CL</v>
      </c>
      <c r="E108" s="52" t="str">
        <v>P</v>
      </c>
      <c r="F108" s="52" t="str">
        <v>5733</v>
      </c>
      <c r="G108" s="52" t="str">
        <v>&lt;Blank&gt;</v>
      </c>
      <c r="H108" s="53" t="str">
        <v>Deleted</v>
      </c>
      <c r="I108" s="53" t="str">
        <v>SSN WASTE SLUDGE PUMP C/D DISCHARGE SRV SIZING CALCULATION</v>
      </c>
    </row>
    <row r="109" spans="1:9" x14ac:dyDescent="0.35">
      <c r="A109" s="52" t="str">
        <v>Deleted</v>
      </c>
      <c r="B109" s="52">
        <v>131236</v>
      </c>
      <c r="C109" s="52" t="str">
        <v>WIL21</v>
      </c>
      <c r="D109" s="52" t="str">
        <v>CL</v>
      </c>
      <c r="E109" s="52" t="str">
        <v>P</v>
      </c>
      <c r="F109" s="52" t="str">
        <v>5734</v>
      </c>
      <c r="G109" s="52" t="str">
        <v>&lt;Blank&gt;</v>
      </c>
      <c r="H109" s="53" t="str">
        <v>Deleted</v>
      </c>
      <c r="I109" s="53" t="str">
        <v>SSN GRANULAR SLUDGE PUMP DISCHARGE SRV SIZING CALCULATION</v>
      </c>
    </row>
    <row r="110" spans="1:9" x14ac:dyDescent="0.35">
      <c r="A110" s="52" t="str">
        <v>Deleted</v>
      </c>
      <c r="B110" s="52">
        <v>131236</v>
      </c>
      <c r="C110" s="52" t="str">
        <v>WIL21</v>
      </c>
      <c r="D110" s="52" t="str">
        <v>CL</v>
      </c>
      <c r="E110" s="52" t="str">
        <v>P</v>
      </c>
      <c r="F110" s="52" t="str">
        <v>5735</v>
      </c>
      <c r="G110" s="52" t="str">
        <v>&lt;Blank&gt;</v>
      </c>
      <c r="H110" s="53" t="str">
        <v>Deleted</v>
      </c>
      <c r="I110" s="53" t="str">
        <v>SSN SLUDGE TRANSFER PUMP DISCHARGE SRV SIZING CALCULATION</v>
      </c>
    </row>
    <row r="111" spans="1:9" x14ac:dyDescent="0.35">
      <c r="A111" s="52" t="str">
        <v>Deleted</v>
      </c>
      <c r="B111" s="52">
        <v>131236</v>
      </c>
      <c r="C111" s="52" t="str">
        <v>WIL21</v>
      </c>
      <c r="D111" s="52" t="str">
        <v>CL</v>
      </c>
      <c r="E111" s="52" t="str">
        <v>P</v>
      </c>
      <c r="F111" s="52" t="str">
        <v>&lt;Blank&gt;</v>
      </c>
      <c r="G111" s="52" t="str">
        <v>&lt;Blank&gt;</v>
      </c>
      <c r="H111" s="53" t="str">
        <v>Deleted</v>
      </c>
      <c r="I111" s="53" t="str">
        <v>&lt;Blank&gt;</v>
      </c>
    </row>
    <row r="112" spans="1:9" x14ac:dyDescent="0.35">
      <c r="A112" s="52" t="str">
        <v>Deleted</v>
      </c>
      <c r="B112" s="52">
        <v>131236</v>
      </c>
      <c r="C112" s="52" t="str">
        <v>WIL21</v>
      </c>
      <c r="D112" s="52" t="str">
        <v>SH</v>
      </c>
      <c r="E112" s="52" t="str">
        <v>P</v>
      </c>
      <c r="F112" s="52" t="str">
        <v>0003</v>
      </c>
      <c r="G112" s="52" t="str">
        <v>&lt;Blank&gt;</v>
      </c>
      <c r="H112" s="53" t="str">
        <v>Deleted</v>
      </c>
      <c r="I112" s="53" t="str">
        <v>Utility Consumption</v>
      </c>
    </row>
    <row r="113" spans="1:9" x14ac:dyDescent="0.35">
      <c r="A113" s="52" t="str">
        <v>Deleted</v>
      </c>
      <c r="B113" s="52">
        <v>131236</v>
      </c>
      <c r="C113" s="52" t="str">
        <v>WIL21</v>
      </c>
      <c r="D113" s="52" t="str">
        <v>SP</v>
      </c>
      <c r="E113" s="52" t="str">
        <v>P</v>
      </c>
      <c r="F113" s="52" t="str">
        <v>0003</v>
      </c>
      <c r="G113" s="52" t="str">
        <v>&lt;Blank&gt;</v>
      </c>
      <c r="H113" s="53" t="str">
        <v>Deleted</v>
      </c>
      <c r="I113" s="53" t="str">
        <v xml:space="preserve">Sampling Philosophy </v>
      </c>
    </row>
    <row r="114" spans="1:9" x14ac:dyDescent="0.35">
      <c r="A114" s="52" t="str">
        <v>Deleted</v>
      </c>
      <c r="B114" s="52">
        <v>131236</v>
      </c>
      <c r="C114" s="52" t="str">
        <v>WIL21</v>
      </c>
      <c r="D114" s="52" t="str">
        <v>SP</v>
      </c>
      <c r="E114" s="52" t="str">
        <v>P</v>
      </c>
      <c r="F114" s="52" t="str">
        <v>&lt;Blank&gt;</v>
      </c>
      <c r="G114" s="52" t="str">
        <v>&lt;Blank&gt;</v>
      </c>
      <c r="H114" s="53" t="str">
        <v>Deleted</v>
      </c>
      <c r="I114" s="53" t="str">
        <v>Isolation and Control Philosophy</v>
      </c>
    </row>
    <row r="115" spans="1:9" x14ac:dyDescent="0.35">
      <c r="A115" s="52" t="str">
        <v>Deleted</v>
      </c>
      <c r="B115" s="52">
        <v>131236</v>
      </c>
      <c r="C115" s="52" t="str">
        <v>WIL21</v>
      </c>
      <c r="D115" s="52" t="str">
        <v>CH</v>
      </c>
      <c r="E115" s="52" t="str">
        <v>P</v>
      </c>
      <c r="F115" s="52" t="str">
        <v>&lt;Blank&gt;</v>
      </c>
      <c r="G115" s="52" t="str">
        <v>&lt;Blank&gt;</v>
      </c>
      <c r="H115" s="53" t="str">
        <v>Deleted</v>
      </c>
      <c r="I115" s="53" t="str">
        <v>Hydraulic Analysis Line Sizing Calculation</v>
      </c>
    </row>
    <row r="116" spans="1:9" x14ac:dyDescent="0.35">
      <c r="A116" s="52" t="str">
        <v>Stage 2</v>
      </c>
      <c r="B116" s="52">
        <v>131236</v>
      </c>
      <c r="C116" s="52" t="str">
        <v>WIL21</v>
      </c>
      <c r="D116" s="52" t="str">
        <v>SP</v>
      </c>
      <c r="E116" s="52" t="str">
        <v>P</v>
      </c>
      <c r="F116" s="52" t="str">
        <v>0004</v>
      </c>
      <c r="G116" s="52" t="str">
        <v>&lt;Blank&gt;</v>
      </c>
      <c r="H116" s="53" t="str">
        <v>131236-WIL21-SP-P-0004</v>
      </c>
      <c r="I116" s="53" t="str">
        <v>SSN BLOWER PLANT CONTROL NARRATIVE</v>
      </c>
    </row>
    <row r="117" spans="1:9" x14ac:dyDescent="0.35">
      <c r="A117" s="52" t="str">
        <v>Stage 2</v>
      </c>
      <c r="B117" s="52">
        <v>131236</v>
      </c>
      <c r="C117" s="52" t="str">
        <v>WIL21</v>
      </c>
      <c r="D117" s="52" t="str">
        <v>RT</v>
      </c>
      <c r="E117" s="52" t="str">
        <v>Z</v>
      </c>
      <c r="F117" s="52" t="str">
        <v>0002</v>
      </c>
      <c r="G117" s="52" t="str">
        <v>&lt;Blank&gt;</v>
      </c>
      <c r="H117" s="53" t="str">
        <v>131236-WIL21-RT-Z-0002</v>
      </c>
      <c r="I117" s="53" t="str">
        <v>SSN 80% ALMOP</v>
      </c>
    </row>
    <row r="118" spans="1:9" x14ac:dyDescent="0.35">
      <c r="A118" s="52" t="str">
        <v>Deleted</v>
      </c>
      <c r="B118" s="52">
        <v>131236</v>
      </c>
      <c r="C118" s="52" t="str">
        <v>WIL21</v>
      </c>
      <c r="D118" s="52" t="str">
        <v>MS</v>
      </c>
      <c r="E118" s="52" t="str">
        <v>Z</v>
      </c>
      <c r="F118" s="52" t="str">
        <v>0001</v>
      </c>
      <c r="G118" s="52" t="str">
        <v>&lt;Blank&gt;</v>
      </c>
      <c r="H118" s="53" t="str">
        <v>Deleted</v>
      </c>
      <c r="I118" s="53" t="str">
        <v>HAZOP and ALMOP Procedure</v>
      </c>
    </row>
    <row r="119" spans="1:9" x14ac:dyDescent="0.35">
      <c r="A119" s="52" t="str">
        <v>Stage 2</v>
      </c>
      <c r="B119" s="52">
        <v>131236</v>
      </c>
      <c r="C119" s="52" t="str">
        <v>WIL21</v>
      </c>
      <c r="D119" s="52" t="str">
        <v>BQ</v>
      </c>
      <c r="E119" s="52" t="str">
        <v>P</v>
      </c>
      <c r="F119" s="52" t="str">
        <v>0001</v>
      </c>
      <c r="G119" s="52" t="str">
        <v>&lt;Blank&gt;</v>
      </c>
      <c r="H119" s="53" t="str">
        <v>131236-WIL21-BQ-P-0001</v>
      </c>
      <c r="I119" s="53" t="str">
        <v>C4B SIDESTREAM NITROGEN REMOVAL PROCESS EQUIPMENT LIST</v>
      </c>
    </row>
    <row r="120" spans="1:9" x14ac:dyDescent="0.35">
      <c r="A120" s="52" t="str">
        <v>Deleted</v>
      </c>
      <c r="B120" s="52">
        <v>131236</v>
      </c>
      <c r="C120" s="52" t="str">
        <v>WIL21</v>
      </c>
      <c r="D120" s="52" t="str">
        <v>BQ</v>
      </c>
      <c r="E120" s="52" t="str">
        <v>M</v>
      </c>
      <c r="F120" s="52" t="str">
        <v>0002</v>
      </c>
      <c r="G120" s="52" t="str">
        <v>&lt;Blank&gt;</v>
      </c>
      <c r="H120" s="53" t="str">
        <v>Deleted</v>
      </c>
      <c r="I120" s="53" t="str">
        <v>C4B SIDESTREAM NITROGEN REMOVAL MANUAL VALVE LIST</v>
      </c>
    </row>
    <row r="121" spans="1:9" x14ac:dyDescent="0.35">
      <c r="A121" s="52" t="str">
        <v>Deleted</v>
      </c>
      <c r="B121" s="52">
        <v>131236</v>
      </c>
      <c r="C121" s="52" t="str">
        <v>WIL21</v>
      </c>
      <c r="D121" s="52" t="str">
        <v>BQ</v>
      </c>
      <c r="E121" s="52" t="str">
        <v>M</v>
      </c>
      <c r="F121" s="52" t="str">
        <v>0003</v>
      </c>
      <c r="G121" s="52" t="str">
        <v>&lt;Blank&gt;</v>
      </c>
      <c r="H121" s="53" t="str">
        <v>Deleted</v>
      </c>
      <c r="I121" s="53" t="str">
        <v>C4B SIDESTREAM NITROGEN REMOVAL CONTROL VALVE LIST</v>
      </c>
    </row>
    <row r="122" spans="1:9" x14ac:dyDescent="0.35">
      <c r="A122" s="52" t="str">
        <v>Deleted</v>
      </c>
      <c r="B122" s="52">
        <v>131236</v>
      </c>
      <c r="C122" s="52" t="str">
        <v>WIL21</v>
      </c>
      <c r="D122" s="52" t="str">
        <v>SH</v>
      </c>
      <c r="E122" s="52" t="str">
        <v>M</v>
      </c>
      <c r="F122" s="52" t="str">
        <v>0002</v>
      </c>
      <c r="G122" s="52" t="str">
        <v>&lt;Blank&gt;</v>
      </c>
      <c r="H122" s="53" t="str">
        <v>Deleted</v>
      </c>
      <c r="I122" s="53" t="str">
        <v>Line List - SSN &amp; Sitewide Pipe Rack</v>
      </c>
    </row>
    <row r="123" spans="1:9" x14ac:dyDescent="0.35">
      <c r="A123" s="52" t="str">
        <v>Deleted</v>
      </c>
      <c r="B123" s="52">
        <v>131236</v>
      </c>
      <c r="C123" s="52" t="str">
        <v>WIL21</v>
      </c>
      <c r="D123" s="52" t="str">
        <v>CH</v>
      </c>
      <c r="E123" s="52" t="str">
        <v>P</v>
      </c>
      <c r="F123" s="52" t="str">
        <v>&lt;Blank&gt;</v>
      </c>
      <c r="G123" s="52" t="str">
        <v>&lt;Blank&gt;</v>
      </c>
      <c r="H123" s="53" t="str">
        <v>Deleted</v>
      </c>
      <c r="I123" s="53" t="str">
        <v>Alarm and Trip List</v>
      </c>
    </row>
    <row r="124" spans="1:9" x14ac:dyDescent="0.35">
      <c r="A124" s="52" t="str">
        <v>Deleted</v>
      </c>
      <c r="B124" s="52">
        <v>131236</v>
      </c>
      <c r="C124" s="52" t="str">
        <v>WIL21</v>
      </c>
      <c r="D124" s="52" t="str">
        <v>CH</v>
      </c>
      <c r="E124" s="52" t="str">
        <v>P</v>
      </c>
      <c r="F124" s="52" t="str">
        <v>&lt;Blank&gt;</v>
      </c>
      <c r="G124" s="52" t="str">
        <v>&lt;Blank&gt;</v>
      </c>
      <c r="H124" s="53" t="str">
        <v>Deleted</v>
      </c>
      <c r="I124" s="53" t="str">
        <v>Termination Point List</v>
      </c>
    </row>
    <row r="125" spans="1:9" x14ac:dyDescent="0.35">
      <c r="A125" s="52" t="str">
        <v>Stage 2</v>
      </c>
      <c r="B125" s="52">
        <v>131236</v>
      </c>
      <c r="C125" s="52" t="str">
        <v>WIL21</v>
      </c>
      <c r="D125" s="52" t="str">
        <v>DR</v>
      </c>
      <c r="E125" s="52" t="str">
        <v>P</v>
      </c>
      <c r="F125" s="52">
        <v>7001</v>
      </c>
      <c r="G125" s="52" t="str">
        <v>&lt;Blank&gt;</v>
      </c>
      <c r="H125" s="53" t="str">
        <v>131236-WIL21-DR-P-7001</v>
      </c>
      <c r="I125" s="53" t="str">
        <v>PROCESS FLOW DIAGRAM WITH MASS BALANCE</v>
      </c>
    </row>
    <row r="126" spans="1:9" x14ac:dyDescent="0.35">
      <c r="A126" s="52" t="str">
        <v>Stage 2</v>
      </c>
      <c r="B126" s="52">
        <v>131236</v>
      </c>
      <c r="C126" s="52" t="str">
        <v>WIL21</v>
      </c>
      <c r="D126" s="52" t="str">
        <v>DR</v>
      </c>
      <c r="E126" s="52" t="str">
        <v>P</v>
      </c>
      <c r="F126" s="52">
        <v>7002</v>
      </c>
      <c r="G126" s="52" t="str">
        <v>&lt;Blank&gt;</v>
      </c>
      <c r="H126" s="53" t="str">
        <v>131236-WIL21-DR-P-7002</v>
      </c>
      <c r="I126" s="53" t="str">
        <v>PROCESS FLOW DIAGRAM WITH MASS BALANCE</v>
      </c>
    </row>
    <row r="127" spans="1:9" x14ac:dyDescent="0.35">
      <c r="A127" s="52" t="str">
        <v>Stage 2</v>
      </c>
      <c r="B127" s="52">
        <v>131236</v>
      </c>
      <c r="C127" s="52" t="str">
        <v>WIL21</v>
      </c>
      <c r="D127" s="52" t="str">
        <v>DR</v>
      </c>
      <c r="E127" s="52" t="str">
        <v>P</v>
      </c>
      <c r="F127" s="52">
        <v>6000</v>
      </c>
      <c r="G127" s="52" t="str">
        <v>&lt;Blank&gt;</v>
      </c>
      <c r="H127" s="53" t="str">
        <v>131236-WIL21-DR-P-6000</v>
      </c>
      <c r="I127" s="53" t="str">
        <v>P&amp;ID - SIDESTREAM - N REMOVAL EQUALIZATION TANKS</v>
      </c>
    </row>
    <row r="128" spans="1:9" x14ac:dyDescent="0.35">
      <c r="A128" s="52" t="str">
        <v>Stage 2</v>
      </c>
      <c r="B128" s="52">
        <v>131236</v>
      </c>
      <c r="C128" s="52" t="str">
        <v>WIL21</v>
      </c>
      <c r="D128" s="52" t="str">
        <v>DR</v>
      </c>
      <c r="E128" s="52" t="str">
        <v>P</v>
      </c>
      <c r="F128" s="52" t="str">
        <v>6001</v>
      </c>
      <c r="G128" s="52" t="str">
        <v>&lt;Blank&gt;</v>
      </c>
      <c r="H128" s="53" t="str">
        <v>131236-WIL21-DR-P-6001</v>
      </c>
      <c r="I128" s="53" t="str">
        <v>P&amp;ID - SIDESTREAM - N REMOVAL EQ TANK TRANSFER PUMPS</v>
      </c>
    </row>
    <row r="129" spans="1:9" x14ac:dyDescent="0.35">
      <c r="A129" s="52" t="str">
        <v>Stage 2</v>
      </c>
      <c r="B129" s="52">
        <v>131236</v>
      </c>
      <c r="C129" s="52" t="str">
        <v>WIL21</v>
      </c>
      <c r="D129" s="52" t="str">
        <v>DR</v>
      </c>
      <c r="E129" s="52" t="str">
        <v>P</v>
      </c>
      <c r="F129" s="52" t="str">
        <v>6002</v>
      </c>
      <c r="G129" s="52" t="str">
        <v>&lt;Blank&gt;</v>
      </c>
      <c r="H129" s="53" t="str">
        <v>131236-WIL21-DR-P-6002</v>
      </c>
      <c r="I129" s="53" t="str">
        <v>P&amp;ID - SIDESTREAM - N REMOVAL LAMELLA CLARIFIERS PART 1</v>
      </c>
    </row>
    <row r="130" spans="1:9" x14ac:dyDescent="0.35">
      <c r="A130" s="52" t="str">
        <v>Stage 2</v>
      </c>
      <c r="B130" s="52">
        <v>131236</v>
      </c>
      <c r="C130" s="52" t="str">
        <v>WIL21</v>
      </c>
      <c r="D130" s="52" t="str">
        <v>DR</v>
      </c>
      <c r="E130" s="52" t="str">
        <v>P</v>
      </c>
      <c r="F130" s="52" t="str">
        <v>6003</v>
      </c>
      <c r="G130" s="52" t="str">
        <v>&lt;Blank&gt;</v>
      </c>
      <c r="H130" s="53" t="str">
        <v>131236-WIL21-DR-P-6003</v>
      </c>
      <c r="I130" s="53" t="str">
        <v>P&amp;ID - SIDESTREAM - N REMOVAL LAMELLA CLARIFIERS PART 2</v>
      </c>
    </row>
    <row r="131" spans="1:9" x14ac:dyDescent="0.35">
      <c r="A131" s="52" t="str">
        <v>Stage 2</v>
      </c>
      <c r="B131" s="52">
        <v>131236</v>
      </c>
      <c r="C131" s="52" t="str">
        <v>WIL21</v>
      </c>
      <c r="D131" s="52" t="str">
        <v>DR</v>
      </c>
      <c r="E131" s="52" t="str">
        <v>P</v>
      </c>
      <c r="F131" s="52" t="str">
        <v>6004</v>
      </c>
      <c r="G131" s="52" t="str">
        <v>&lt;Blank&gt;</v>
      </c>
      <c r="H131" s="53" t="str">
        <v>131236-WIL21-DR-P-6004</v>
      </c>
      <c r="I131" s="53" t="str">
        <v>P&amp;ID - SIDESTREAM - N REMOVAL WASTE SLUDGE PUMPS</v>
      </c>
    </row>
    <row r="132" spans="1:9" x14ac:dyDescent="0.35">
      <c r="A132" s="52" t="str">
        <v>Stage 2</v>
      </c>
      <c r="B132" s="52">
        <v>131236</v>
      </c>
      <c r="C132" s="52" t="str">
        <v>WIL21</v>
      </c>
      <c r="D132" s="52" t="str">
        <v>DR</v>
      </c>
      <c r="E132" s="52" t="str">
        <v>P</v>
      </c>
      <c r="F132" s="52" t="str">
        <v>6005</v>
      </c>
      <c r="G132" s="52" t="str">
        <v>&lt;Blank&gt;</v>
      </c>
      <c r="H132" s="53" t="str">
        <v>131236-WIL21-DR-P-6005</v>
      </c>
      <c r="I132" s="53" t="str">
        <v>P&amp;ID - SIDESTREAM - N REMOVAL ANAMMOX REACTOR 1</v>
      </c>
    </row>
    <row r="133" spans="1:9" x14ac:dyDescent="0.35">
      <c r="A133" s="52" t="str">
        <v>Stage 2</v>
      </c>
      <c r="B133" s="52">
        <v>131236</v>
      </c>
      <c r="C133" s="52" t="str">
        <v>WIL21</v>
      </c>
      <c r="D133" s="52" t="str">
        <v>DR</v>
      </c>
      <c r="E133" s="52" t="str">
        <v>P</v>
      </c>
      <c r="F133" s="52" t="str">
        <v>6006</v>
      </c>
      <c r="G133" s="52" t="str">
        <v>&lt;Blank&gt;</v>
      </c>
      <c r="H133" s="53" t="str">
        <v>131236-WIL21-DR-P-6006</v>
      </c>
      <c r="I133" s="53" t="str">
        <v>P&amp;ID - SIDESTREAM - N REMOVAL ANAMMOX REACTOR 2</v>
      </c>
    </row>
    <row r="134" spans="1:9" x14ac:dyDescent="0.35">
      <c r="A134" s="52" t="str">
        <v>Stage 2</v>
      </c>
      <c r="B134" s="52">
        <v>131236</v>
      </c>
      <c r="C134" s="52" t="str">
        <v>WIL21</v>
      </c>
      <c r="D134" s="52" t="str">
        <v>DR</v>
      </c>
      <c r="E134" s="52" t="str">
        <v>P</v>
      </c>
      <c r="F134" s="52" t="str">
        <v>6007</v>
      </c>
      <c r="G134" s="52" t="str">
        <v>&lt;Blank&gt;</v>
      </c>
      <c r="H134" s="53" t="str">
        <v>131236-WIL21-DR-P-6007</v>
      </c>
      <c r="I134" s="53" t="str">
        <v>P&amp;ID - SIDESTREAM - N REMOVAL ANAMMOX REACTOR 3</v>
      </c>
    </row>
    <row r="135" spans="1:9" x14ac:dyDescent="0.35">
      <c r="A135" s="52" t="str">
        <v>Stage 2</v>
      </c>
      <c r="B135" s="52">
        <v>131236</v>
      </c>
      <c r="C135" s="52" t="str">
        <v>WIL21</v>
      </c>
      <c r="D135" s="52" t="str">
        <v>DR</v>
      </c>
      <c r="E135" s="52" t="str">
        <v>P</v>
      </c>
      <c r="F135" s="52" t="str">
        <v>6008</v>
      </c>
      <c r="G135" s="52" t="str">
        <v>&lt;Blank&gt;</v>
      </c>
      <c r="H135" s="53" t="str">
        <v>131236-WIL21-DR-P-6008</v>
      </c>
      <c r="I135" s="53" t="str">
        <v>P&amp;ID - SIDESTREAM - N REMOVAL ANAMMOX REACTOR 4</v>
      </c>
    </row>
    <row r="136" spans="1:9" x14ac:dyDescent="0.35">
      <c r="A136" s="52" t="str">
        <v>Stage 2</v>
      </c>
      <c r="B136" s="52">
        <v>131236</v>
      </c>
      <c r="C136" s="52" t="str">
        <v>WIL21</v>
      </c>
      <c r="D136" s="52" t="str">
        <v>DR</v>
      </c>
      <c r="E136" s="52" t="str">
        <v>P</v>
      </c>
      <c r="F136" s="52" t="str">
        <v>6009</v>
      </c>
      <c r="G136" s="52" t="str">
        <v>&lt;Blank&gt;</v>
      </c>
      <c r="H136" s="53" t="str">
        <v>131236-WIL21-DR-P-6009</v>
      </c>
      <c r="I136" s="53" t="str">
        <v>P&amp;ID - SIDESTREAM - N REMOVAL AERATION BLOWERS PART 1</v>
      </c>
    </row>
    <row r="137" spans="1:9" x14ac:dyDescent="0.35">
      <c r="A137" s="52" t="str">
        <v>Stage 2</v>
      </c>
      <c r="B137" s="52">
        <v>131236</v>
      </c>
      <c r="C137" s="52" t="str">
        <v>WIL21</v>
      </c>
      <c r="D137" s="52" t="str">
        <v>DR</v>
      </c>
      <c r="E137" s="52" t="str">
        <v>P</v>
      </c>
      <c r="F137" s="52" t="str">
        <v>6010</v>
      </c>
      <c r="G137" s="52" t="str">
        <v>&lt;Blank&gt;</v>
      </c>
      <c r="H137" s="53" t="str">
        <v>131236-WIL21-DR-P-6010</v>
      </c>
      <c r="I137" s="53" t="str">
        <v>P&amp;ID - SIDESTREAM - N REMOVAL AERATION BLOWERS PART 2</v>
      </c>
    </row>
    <row r="138" spans="1:9" x14ac:dyDescent="0.35">
      <c r="A138" s="52" t="str">
        <v>Stage 2</v>
      </c>
      <c r="B138" s="52">
        <v>131236</v>
      </c>
      <c r="C138" s="52" t="str">
        <v>WIL21</v>
      </c>
      <c r="D138" s="52" t="str">
        <v>DR</v>
      </c>
      <c r="E138" s="52" t="str">
        <v>P</v>
      </c>
      <c r="F138" s="52" t="str">
        <v>6011</v>
      </c>
      <c r="G138" s="52" t="str">
        <v>&lt;Blank&gt;</v>
      </c>
      <c r="H138" s="53" t="str">
        <v>131236-WIL21-DR-P-6011</v>
      </c>
      <c r="I138" s="53" t="str">
        <v>P&amp;ID - SIDESTREAM - N REMOVAL DISCHARGE WET WELL AND PARABOLIC SCREENS</v>
      </c>
    </row>
    <row r="139" spans="1:9" x14ac:dyDescent="0.35">
      <c r="A139" s="52" t="str">
        <v>Stage 2</v>
      </c>
      <c r="B139" s="52">
        <v>131236</v>
      </c>
      <c r="C139" s="52" t="str">
        <v>WIL21</v>
      </c>
      <c r="D139" s="52" t="str">
        <v>DR</v>
      </c>
      <c r="E139" s="52" t="str">
        <v>P</v>
      </c>
      <c r="F139" s="52" t="str">
        <v>6012</v>
      </c>
      <c r="G139" s="52" t="str">
        <v>&lt;Blank&gt;</v>
      </c>
      <c r="H139" s="53" t="str">
        <v>131236-WIL21-DR-P-6012</v>
      </c>
      <c r="I139" s="53" t="str">
        <v>P&amp;ID - SIDESTREAM - N REMOVAL DISCHARGE TRANSFER PUMPS</v>
      </c>
    </row>
    <row r="140" spans="1:9" x14ac:dyDescent="0.35">
      <c r="A140" s="52" t="str">
        <v>Stage 2</v>
      </c>
      <c r="B140" s="52">
        <v>131236</v>
      </c>
      <c r="C140" s="52" t="str">
        <v>WIL21</v>
      </c>
      <c r="D140" s="52" t="str">
        <v>DR</v>
      </c>
      <c r="E140" s="52" t="str">
        <v>P</v>
      </c>
      <c r="F140" s="52" t="str">
        <v>6013</v>
      </c>
      <c r="G140" s="52" t="str">
        <v>&lt;Blank&gt;</v>
      </c>
      <c r="H140" s="53" t="str">
        <v>131236-WIL21-DR-P-6013</v>
      </c>
      <c r="I140" s="53" t="str">
        <v>P&amp;ID - SIDESTREAM - N REMOVAL GRANULAR SLUDGE TANK AND GRANULAR SLUDGE PUMPS</v>
      </c>
    </row>
    <row r="141" spans="1:9" x14ac:dyDescent="0.35">
      <c r="A141" s="52" t="str">
        <v>Stage 2</v>
      </c>
      <c r="B141" s="52">
        <v>131236</v>
      </c>
      <c r="C141" s="52" t="str">
        <v>WIL21</v>
      </c>
      <c r="D141" s="52" t="str">
        <v>DR</v>
      </c>
      <c r="E141" s="52" t="str">
        <v>P</v>
      </c>
      <c r="F141" s="52" t="str">
        <v>6014</v>
      </c>
      <c r="G141" s="52" t="str">
        <v>&lt;Blank&gt;</v>
      </c>
      <c r="H141" s="53" t="str">
        <v>131236-WIL21-DR-P-6014</v>
      </c>
      <c r="I141" s="53" t="str">
        <v>P&amp;ID - SIDESTREAM - N REMOVAL SLUDGE TRANSFER PUMPS</v>
      </c>
    </row>
    <row r="142" spans="1:9" x14ac:dyDescent="0.35">
      <c r="A142" s="52" t="str">
        <v>Stage 2</v>
      </c>
      <c r="B142" s="52">
        <v>131236</v>
      </c>
      <c r="C142" s="52" t="str">
        <v>WIL21</v>
      </c>
      <c r="D142" s="52" t="str">
        <v>DR</v>
      </c>
      <c r="E142" s="52" t="str">
        <v>P</v>
      </c>
      <c r="F142" s="52" t="str">
        <v>6015</v>
      </c>
      <c r="G142" s="52" t="str">
        <v>&lt;Blank&gt;</v>
      </c>
      <c r="H142" s="53" t="str">
        <v>131236-WIL21-DR-P-6015</v>
      </c>
      <c r="I142" s="53" t="str">
        <v>P&amp;ID - SIDESTREAM - N REMOVAL FERRIC STORAGE AND DOSING  PUMPS</v>
      </c>
    </row>
    <row r="143" spans="1:9" x14ac:dyDescent="0.35">
      <c r="A143" s="52" t="str">
        <v>Stage 2</v>
      </c>
      <c r="B143" s="52">
        <v>131236</v>
      </c>
      <c r="C143" s="52" t="str">
        <v>WIL21</v>
      </c>
      <c r="D143" s="52" t="str">
        <v>DR</v>
      </c>
      <c r="E143" s="52" t="str">
        <v>P</v>
      </c>
      <c r="F143" s="52" t="str">
        <v>6016</v>
      </c>
      <c r="G143" s="52" t="str">
        <v>&lt;Blank&gt;</v>
      </c>
      <c r="H143" s="53" t="str">
        <v>131236-WIL21-DR-P-6016</v>
      </c>
      <c r="I143" s="53" t="str">
        <v>P&amp;ID - SIDESTREAM - N REMOVAL SODIUM HYDROXIDE  STORAGE TANKS AND DOSING PUMPS</v>
      </c>
    </row>
    <row r="144" spans="1:9" x14ac:dyDescent="0.35">
      <c r="A144" s="52" t="str">
        <v>Stage 2</v>
      </c>
      <c r="B144" s="52">
        <v>131236</v>
      </c>
      <c r="C144" s="52" t="str">
        <v>WIL21</v>
      </c>
      <c r="D144" s="52" t="str">
        <v>DR</v>
      </c>
      <c r="E144" s="52" t="str">
        <v>P</v>
      </c>
      <c r="F144" s="52" t="str">
        <v>6017</v>
      </c>
      <c r="G144" s="52" t="str">
        <v>&lt;Blank&gt;</v>
      </c>
      <c r="H144" s="53" t="str">
        <v>131236-WIL21-DR-P-6017</v>
      </c>
      <c r="I144" s="53" t="str">
        <v>P&amp;ID - SIDESTREAM - N REMOVAL SODIUM HYDROXIDE DOSING PUMPS</v>
      </c>
    </row>
    <row r="145" spans="1:9" x14ac:dyDescent="0.35">
      <c r="A145" s="52" t="str">
        <v>Stage 2</v>
      </c>
      <c r="B145" s="52">
        <v>131236</v>
      </c>
      <c r="C145" s="52" t="str">
        <v>WIL21</v>
      </c>
      <c r="D145" s="52" t="str">
        <v>DR</v>
      </c>
      <c r="E145" s="52" t="str">
        <v>P</v>
      </c>
      <c r="F145" s="52" t="str">
        <v>6018</v>
      </c>
      <c r="G145" s="52" t="str">
        <v>&lt;Blank&gt;</v>
      </c>
      <c r="H145" s="53" t="str">
        <v>131236-WIL21-DR-P-6018</v>
      </c>
      <c r="I145" s="53" t="str">
        <v>P&amp;ID - SIDESTREAM - N REMOVAL ANTIFORM DOSING TANK AND DOSING PUMPS</v>
      </c>
    </row>
    <row r="146" spans="1:9" x14ac:dyDescent="0.35">
      <c r="A146" s="52" t="str">
        <v>Stage 2</v>
      </c>
      <c r="B146" s="52">
        <v>131236</v>
      </c>
      <c r="C146" s="52" t="str">
        <v>WIL21</v>
      </c>
      <c r="D146" s="52" t="str">
        <v>DR</v>
      </c>
      <c r="E146" s="52" t="str">
        <v>P</v>
      </c>
      <c r="F146" s="52" t="str">
        <v>6019</v>
      </c>
      <c r="G146" s="52" t="str">
        <v>&lt;Blank&gt;</v>
      </c>
      <c r="H146" s="53" t="str">
        <v>131236-WIL21-DR-P-6019</v>
      </c>
      <c r="I146" s="53" t="str">
        <v>P&amp;ID - SIDESTREAM - N REMOVAL MICRONUTRIENTS DOSING TANK AND DOSING PUMPS</v>
      </c>
    </row>
    <row r="147" spans="1:9" x14ac:dyDescent="0.35">
      <c r="A147" s="52" t="str">
        <v>Stage 2</v>
      </c>
      <c r="B147" s="52">
        <v>131236</v>
      </c>
      <c r="C147" s="52" t="str">
        <v>WIL21</v>
      </c>
      <c r="D147" s="52" t="str">
        <v>DR</v>
      </c>
      <c r="E147" s="52" t="str">
        <v>P</v>
      </c>
      <c r="F147" s="52" t="str">
        <v>6020</v>
      </c>
      <c r="G147" s="52" t="str">
        <v>&lt;Blank&gt;</v>
      </c>
      <c r="H147" s="53" t="str">
        <v>131236-WIL21-DR-P-6020</v>
      </c>
      <c r="I147" s="53" t="str">
        <v>P&amp;ID - SIDESTREAM - N REMOVAL ANTISCALANT DOSING TANK AND DOSING PUMPS</v>
      </c>
    </row>
    <row r="148" spans="1:9" x14ac:dyDescent="0.35">
      <c r="A148" s="52" t="str">
        <v>Stage 2</v>
      </c>
      <c r="B148" s="52">
        <v>131236</v>
      </c>
      <c r="C148" s="52" t="str">
        <v>WIL21</v>
      </c>
      <c r="D148" s="52" t="str">
        <v>DR</v>
      </c>
      <c r="E148" s="52" t="str">
        <v>P</v>
      </c>
      <c r="F148" s="52" t="str">
        <v>6300</v>
      </c>
      <c r="G148" s="52" t="str">
        <v>&lt;Blank&gt;</v>
      </c>
      <c r="H148" s="53" t="str">
        <v>131236-WIL21-DR-P-6300</v>
      </c>
      <c r="I148" s="53" t="str">
        <v>P&amp;ID - SIDESTREAM - N REMOVAL PLANT DRAIN NETWORK</v>
      </c>
    </row>
    <row r="149" spans="1:9" x14ac:dyDescent="0.35">
      <c r="A149" s="52" t="str">
        <v>Stage 2</v>
      </c>
      <c r="B149" s="52">
        <v>131236</v>
      </c>
      <c r="C149" s="52" t="str">
        <v>WIL21</v>
      </c>
      <c r="D149" s="52" t="str">
        <v>DR</v>
      </c>
      <c r="E149" s="52" t="str">
        <v>P</v>
      </c>
      <c r="F149" s="52" t="str">
        <v>6301</v>
      </c>
      <c r="G149" s="52" t="str">
        <v>&lt;Blank&gt;</v>
      </c>
      <c r="H149" s="53" t="str">
        <v>131236-WIL21-DR-P-6301</v>
      </c>
      <c r="I149" s="53" t="str">
        <v>P&amp;ID - SIDESTREAM - N REMOVAL PLANT DRAIN NETWORK</v>
      </c>
    </row>
    <row r="150" spans="1:9" x14ac:dyDescent="0.35">
      <c r="A150" s="52" t="str">
        <v>Stage 2</v>
      </c>
      <c r="B150" s="52">
        <v>131236</v>
      </c>
      <c r="C150" s="52" t="str">
        <v>WIL21</v>
      </c>
      <c r="D150" s="52" t="str">
        <v>DR</v>
      </c>
      <c r="E150" s="52" t="str">
        <v>P</v>
      </c>
      <c r="F150" s="52">
        <v>6500</v>
      </c>
      <c r="G150" s="52" t="str">
        <v>&lt;Blank&gt;</v>
      </c>
      <c r="H150" s="53" t="str">
        <v>131236-WIL21-DR-P-6500</v>
      </c>
      <c r="I150" s="53" t="str">
        <v>P&amp;ID - SIDESTREAM - N REMOVAL SAFETY SHOWER NETWORK</v>
      </c>
    </row>
    <row r="151" spans="1:9" x14ac:dyDescent="0.35">
      <c r="A151" s="52" t="str">
        <v>Stage 2</v>
      </c>
      <c r="B151" s="52">
        <v>131236</v>
      </c>
      <c r="C151" s="52" t="str">
        <v>WIL21</v>
      </c>
      <c r="D151" s="52" t="str">
        <v>DR</v>
      </c>
      <c r="E151" s="52" t="str">
        <v>P</v>
      </c>
      <c r="F151" s="52">
        <v>6200</v>
      </c>
      <c r="G151" s="52" t="str">
        <v>&lt;Blank&gt;</v>
      </c>
      <c r="H151" s="53" t="str">
        <v>131236-WIL21-DR-P-6200</v>
      </c>
      <c r="I151" s="53" t="str">
        <v>P&amp;ID - SIDESTREAM - N G2D NETWORK</v>
      </c>
    </row>
    <row r="152" spans="1:9" x14ac:dyDescent="0.35">
      <c r="A152" s="52" t="str">
        <v>Stage 2</v>
      </c>
      <c r="B152" s="52">
        <v>131236</v>
      </c>
      <c r="C152" s="52" t="str">
        <v>WIL21</v>
      </c>
      <c r="D152" s="52" t="str">
        <v>DR</v>
      </c>
      <c r="E152" s="52" t="str">
        <v>P</v>
      </c>
      <c r="F152" s="52">
        <v>6600</v>
      </c>
      <c r="G152" s="52" t="str">
        <v>&lt;Blank&gt;</v>
      </c>
      <c r="H152" s="53" t="str">
        <v>131236-WIL21-DR-P-6600</v>
      </c>
      <c r="I152" s="53" t="str">
        <v>P&amp;ID - SIDESTREAM - N INSTRUMENT AIR NETWORK</v>
      </c>
    </row>
    <row r="153" spans="1:9" x14ac:dyDescent="0.35">
      <c r="A153" s="52" t="str">
        <v>Void</v>
      </c>
      <c r="B153" s="52">
        <v>131236</v>
      </c>
      <c r="C153" s="52" t="str">
        <v>WIL21</v>
      </c>
      <c r="D153" s="52" t="str">
        <v>DR</v>
      </c>
      <c r="E153" s="52" t="str">
        <v>P</v>
      </c>
      <c r="F153" s="52">
        <v>6601</v>
      </c>
      <c r="G153" s="52" t="str">
        <v>&lt;Blank&gt;</v>
      </c>
      <c r="H153" s="53" t="str">
        <v>131236-WIL21-DR-P-6601</v>
      </c>
      <c r="I153" s="53" t="str">
        <v>P&amp;ID - SSN blower (Not required to submit vendor P&amp;ID)</v>
      </c>
    </row>
    <row r="154" spans="1:9" x14ac:dyDescent="0.35">
      <c r="A154" s="52" t="str">
        <v>Deleted</v>
      </c>
      <c r="B154" s="52">
        <v>131236</v>
      </c>
      <c r="C154" s="52" t="str">
        <v>WIL21</v>
      </c>
      <c r="D154" s="52" t="str">
        <v>DR</v>
      </c>
      <c r="E154" s="52" t="str">
        <v>P</v>
      </c>
      <c r="F154" s="52">
        <v>6601</v>
      </c>
      <c r="G154" s="52" t="str">
        <v>&lt;Blank&gt;</v>
      </c>
      <c r="H154" s="53" t="str">
        <v>Deleted</v>
      </c>
      <c r="I154" s="53" t="str">
        <v xml:space="preserve">Aeration Blower Vendor P&amp;ID </v>
      </c>
    </row>
    <row r="155" spans="1:9" x14ac:dyDescent="0.35">
      <c r="A155" s="52" t="str">
        <v>Stage 2</v>
      </c>
      <c r="B155" s="52">
        <v>131236</v>
      </c>
      <c r="C155" s="52" t="str">
        <v>WIL21</v>
      </c>
      <c r="D155" s="52" t="str">
        <v>DR</v>
      </c>
      <c r="E155" s="52" t="str">
        <v>E</v>
      </c>
      <c r="F155" s="52">
        <v>8001</v>
      </c>
      <c r="G155" s="52" t="str">
        <v>&lt;Blank&gt;</v>
      </c>
      <c r="H155" s="53" t="str">
        <v>131236-WIL21-DR-E-8001</v>
      </c>
      <c r="I155" s="53" t="str">
        <v>SSN Atex Zone Drawing</v>
      </c>
    </row>
    <row r="156" spans="1:9" x14ac:dyDescent="0.35">
      <c r="A156" s="52" t="str">
        <v>Hold</v>
      </c>
      <c r="B156" s="52">
        <v>131236</v>
      </c>
      <c r="C156" s="52" t="str">
        <v>WIL21</v>
      </c>
      <c r="D156" s="52" t="str">
        <v>DR</v>
      </c>
      <c r="E156" s="52" t="str">
        <v>M</v>
      </c>
      <c r="F156" s="52" t="str">
        <v>5911</v>
      </c>
      <c r="G156" s="52" t="str">
        <v>&lt;Blank&gt;</v>
      </c>
      <c r="H156" s="53" t="str">
        <v>131236-WIL21-DR-M-5911</v>
      </c>
      <c r="I156" s="53" t="str">
        <v>Equipment GA Drawing - Lamella Clarifier Sheet 1</v>
      </c>
    </row>
    <row r="157" spans="1:9" x14ac:dyDescent="0.35">
      <c r="A157" s="52" t="str">
        <v>Hold</v>
      </c>
      <c r="B157" s="52">
        <v>131236</v>
      </c>
      <c r="C157" s="52" t="str">
        <v>WIL21</v>
      </c>
      <c r="D157" s="52" t="str">
        <v>DR</v>
      </c>
      <c r="E157" s="52" t="str">
        <v>M</v>
      </c>
      <c r="F157" s="52" t="str">
        <v>5912</v>
      </c>
      <c r="G157" s="52" t="str">
        <v>&lt;Blank&gt;</v>
      </c>
      <c r="H157" s="53" t="str">
        <v>131236-WIL21-DR-M-5912</v>
      </c>
      <c r="I157" s="53" t="str">
        <v>Equipment GA Drawing - Lamella Clarifier Sheet 2</v>
      </c>
    </row>
    <row r="158" spans="1:9" x14ac:dyDescent="0.35">
      <c r="A158" s="52" t="str">
        <v>Hold</v>
      </c>
      <c r="B158" s="52">
        <v>131236</v>
      </c>
      <c r="C158" s="52" t="str">
        <v>WIL21</v>
      </c>
      <c r="D158" s="52" t="str">
        <v>DR</v>
      </c>
      <c r="E158" s="52" t="str">
        <v>M</v>
      </c>
      <c r="F158" s="52">
        <v>5913</v>
      </c>
      <c r="G158" s="52" t="str">
        <v>&lt;Blank&gt;</v>
      </c>
      <c r="H158" s="53" t="str">
        <v>131236-WIL21-DR-M-5913</v>
      </c>
      <c r="I158" s="53" t="str">
        <v>Equipment GA Drawing - Lamella Clarifier Sheet 3</v>
      </c>
    </row>
    <row r="159" spans="1:9" x14ac:dyDescent="0.35">
      <c r="A159" s="52" t="str">
        <v>Hold</v>
      </c>
      <c r="B159" s="52">
        <v>131236</v>
      </c>
      <c r="C159" s="52" t="str">
        <v>WIL21</v>
      </c>
      <c r="D159" s="52" t="str">
        <v>DR</v>
      </c>
      <c r="E159" s="52" t="str">
        <v>M</v>
      </c>
      <c r="F159" s="52" t="str">
        <v>59xx</v>
      </c>
      <c r="G159" s="52" t="str">
        <v>&lt;Blank&gt;</v>
      </c>
      <c r="H159" s="53" t="str">
        <v>131236-WIL21-DR-M-59xx</v>
      </c>
      <c r="I159" s="53" t="str">
        <v>Equipment GA Drawing - Lamella Clarifier Handrail</v>
      </c>
    </row>
    <row r="160" spans="1:9" x14ac:dyDescent="0.35">
      <c r="A160" s="52" t="str">
        <v>Hold</v>
      </c>
      <c r="B160" s="52">
        <v>131236</v>
      </c>
      <c r="C160" s="52" t="str">
        <v>WIL21</v>
      </c>
      <c r="D160" s="52" t="str">
        <v>DR</v>
      </c>
      <c r="E160" s="52" t="str">
        <v>M</v>
      </c>
      <c r="F160" s="52" t="str">
        <v>5901</v>
      </c>
      <c r="G160" s="52" t="str">
        <v>&lt;Blank&gt;</v>
      </c>
      <c r="H160" s="53" t="str">
        <v>131236-WIL21-DR-M-5901</v>
      </c>
      <c r="I160" s="53" t="str">
        <v>Equipment GA Drawing - Biomass Separator A/B</v>
      </c>
    </row>
    <row r="161" spans="1:9" x14ac:dyDescent="0.35">
      <c r="A161" s="52" t="str">
        <v>Hold</v>
      </c>
      <c r="B161" s="52">
        <v>131236</v>
      </c>
      <c r="C161" s="52" t="str">
        <v>WIL21</v>
      </c>
      <c r="D161" s="52" t="str">
        <v>DR</v>
      </c>
      <c r="E161" s="52" t="str">
        <v>M</v>
      </c>
      <c r="F161" s="52" t="str">
        <v>5902</v>
      </c>
      <c r="G161" s="52" t="str">
        <v>&lt;Blank&gt;</v>
      </c>
      <c r="H161" s="53" t="str">
        <v>131236-WIL21-DR-M-5902</v>
      </c>
      <c r="I161" s="53" t="str">
        <v>Equipment GA Drawing - Biomass Separator C</v>
      </c>
    </row>
    <row r="162" spans="1:9" x14ac:dyDescent="0.35">
      <c r="A162" s="52" t="str">
        <v>Stage 2</v>
      </c>
      <c r="B162" s="52">
        <v>131236</v>
      </c>
      <c r="C162" s="52" t="str">
        <v>WIL21</v>
      </c>
      <c r="D162" s="52" t="str">
        <v>DR</v>
      </c>
      <c r="E162" s="52" t="str">
        <v>M</v>
      </c>
      <c r="F162" s="52">
        <v>1200</v>
      </c>
      <c r="G162" s="52" t="str">
        <v>&lt;Blank&gt;</v>
      </c>
      <c r="H162" s="53" t="str">
        <v>131236-WIL21-DR-M-1200</v>
      </c>
      <c r="I162" s="53" t="str">
        <v>Diffuser Overall Drawing</v>
      </c>
    </row>
    <row r="163" spans="1:9" x14ac:dyDescent="0.35">
      <c r="A163" s="52" t="str">
        <v>Stage 2</v>
      </c>
      <c r="B163" s="52">
        <v>131236</v>
      </c>
      <c r="C163" s="52" t="str">
        <v>WIL21</v>
      </c>
      <c r="D163" s="52" t="str">
        <v>DR</v>
      </c>
      <c r="E163" s="52" t="str">
        <v>M</v>
      </c>
      <c r="F163" s="52" t="str">
        <v>1201</v>
      </c>
      <c r="G163" s="52" t="str">
        <v>&lt;Blank&gt;</v>
      </c>
      <c r="H163" s="53" t="str">
        <v>131236-WIL21-DR-M-1201</v>
      </c>
      <c r="I163" s="53" t="str">
        <v>Diffuser GA Overall Plan View (Anammox Reactor 1 &amp; 3)</v>
      </c>
    </row>
    <row r="164" spans="1:9" x14ac:dyDescent="0.35">
      <c r="A164" s="52" t="str">
        <v>Stage 2</v>
      </c>
      <c r="B164" s="52">
        <v>131236</v>
      </c>
      <c r="C164" s="52" t="str">
        <v>WIL21</v>
      </c>
      <c r="D164" s="52" t="str">
        <v>DR</v>
      </c>
      <c r="E164" s="52" t="str">
        <v>M</v>
      </c>
      <c r="F164" s="52" t="str">
        <v>1202</v>
      </c>
      <c r="G164" s="52" t="str">
        <v>&lt;Blank&gt;</v>
      </c>
      <c r="H164" s="53" t="str">
        <v>131236-WIL21-DR-M-1202</v>
      </c>
      <c r="I164" s="53" t="str">
        <v>Diffuser GA Overall Plan View (Anammox Reactor 2 &amp; 4)</v>
      </c>
    </row>
    <row r="165" spans="1:9" x14ac:dyDescent="0.35">
      <c r="A165" s="52" t="str">
        <v>Deleted</v>
      </c>
      <c r="B165" s="52">
        <v>131236</v>
      </c>
      <c r="C165" s="52" t="str">
        <v>WIL21</v>
      </c>
      <c r="D165" s="52" t="str">
        <v>M3</v>
      </c>
      <c r="E165" s="52" t="str">
        <v>M</v>
      </c>
      <c r="F165" s="52">
        <v>8906</v>
      </c>
      <c r="G165" s="52" t="str">
        <v>&lt;Blank&gt;</v>
      </c>
      <c r="H165" s="53" t="str">
        <v>Deleted</v>
      </c>
      <c r="I165" s="53" t="str">
        <v xml:space="preserve">Diffuser Fine Bubble 3D Model </v>
      </c>
    </row>
    <row r="166" spans="1:9" x14ac:dyDescent="0.35">
      <c r="A166" s="52" t="str">
        <v>Stage 2</v>
      </c>
      <c r="B166" s="52">
        <v>131236</v>
      </c>
      <c r="C166" s="52" t="str">
        <v>WIL21</v>
      </c>
      <c r="D166" s="52" t="str">
        <v>DR</v>
      </c>
      <c r="E166" s="52" t="str">
        <v>M</v>
      </c>
      <c r="F166" s="52" t="str">
        <v>5021</v>
      </c>
      <c r="G166" s="52" t="str">
        <v>&lt;Blank&gt;</v>
      </c>
      <c r="H166" s="53" t="str">
        <v>131236-WIL21-DR-M-5021</v>
      </c>
      <c r="I166" s="53" t="str">
        <v>Fine Bubble Diffuser Detailed Drawing</v>
      </c>
    </row>
    <row r="167" spans="1:9" x14ac:dyDescent="0.35">
      <c r="A167" s="52" t="str">
        <v>Stage 2</v>
      </c>
      <c r="B167" s="52">
        <v>131236</v>
      </c>
      <c r="C167" s="52" t="str">
        <v>WIL21</v>
      </c>
      <c r="D167" s="52" t="str">
        <v>DR</v>
      </c>
      <c r="E167" s="52" t="str">
        <v>M</v>
      </c>
      <c r="F167" s="52" t="str">
        <v>5022</v>
      </c>
      <c r="G167" s="52" t="str">
        <v>&lt;Blank&gt;</v>
      </c>
      <c r="H167" s="53" t="str">
        <v>131236-WIL21-DR-M-5022</v>
      </c>
      <c r="I167" s="53" t="str">
        <v>FIne Bubble Diffuser Purge Detailed Drawing</v>
      </c>
    </row>
    <row r="168" spans="1:9" x14ac:dyDescent="0.35">
      <c r="A168" s="52" t="str">
        <v>Stage 2</v>
      </c>
      <c r="B168" s="52">
        <v>131236</v>
      </c>
      <c r="C168" s="52" t="str">
        <v>WIL21</v>
      </c>
      <c r="D168" s="52" t="str">
        <v>DR</v>
      </c>
      <c r="E168" s="52" t="str">
        <v>M</v>
      </c>
      <c r="F168" s="52" t="str">
        <v>1203</v>
      </c>
      <c r="G168" s="52" t="str">
        <v>&lt;Blank&gt;</v>
      </c>
      <c r="H168" s="53" t="str">
        <v>131236-WIL21-DR-M-1203</v>
      </c>
      <c r="I168" s="53" t="str">
        <v xml:space="preserve">PLAN VIEW SIDESTREAM -N REMOVAL ANAMMOX REACTOR GRID 1-1, 3-1 </v>
      </c>
    </row>
    <row r="169" spans="1:9" x14ac:dyDescent="0.35">
      <c r="A169" s="52" t="str">
        <v>Stage 2</v>
      </c>
      <c r="B169" s="52">
        <v>131236</v>
      </c>
      <c r="C169" s="52" t="str">
        <v>WIL21</v>
      </c>
      <c r="D169" s="52" t="str">
        <v>DR</v>
      </c>
      <c r="E169" s="52" t="str">
        <v>M</v>
      </c>
      <c r="F169" s="52" t="str">
        <v>1204</v>
      </c>
      <c r="G169" s="52" t="str">
        <v>&lt;Blank&gt;</v>
      </c>
      <c r="H169" s="53" t="str">
        <v>131236-WIL21-DR-M-1204</v>
      </c>
      <c r="I169" s="53" t="str">
        <v xml:space="preserve">PLAN VIEW SIDESTREAM -N REMOVAL ANAMMOX REACTOR GRID 1-2, 3-2 </v>
      </c>
    </row>
    <row r="170" spans="1:9" x14ac:dyDescent="0.35">
      <c r="A170" s="52" t="str">
        <v>Stage 2</v>
      </c>
      <c r="B170" s="52">
        <v>131236</v>
      </c>
      <c r="C170" s="52" t="str">
        <v>WIL21</v>
      </c>
      <c r="D170" s="52" t="str">
        <v>DR</v>
      </c>
      <c r="E170" s="52" t="str">
        <v>M</v>
      </c>
      <c r="F170" s="52" t="str">
        <v>1205</v>
      </c>
      <c r="G170" s="52" t="str">
        <v>&lt;Blank&gt;</v>
      </c>
      <c r="H170" s="53" t="str">
        <v>131236-WIL21-DR-M-1205</v>
      </c>
      <c r="I170" s="53" t="str">
        <v>PLAN VIEW SIDESTREAM -N REMOVAL ANAMMOX REACTOR GRID 1-3, 3-3</v>
      </c>
    </row>
    <row r="171" spans="1:9" x14ac:dyDescent="0.35">
      <c r="A171" s="52" t="str">
        <v>Stage 2</v>
      </c>
      <c r="B171" s="52">
        <v>131236</v>
      </c>
      <c r="C171" s="52" t="str">
        <v>WIL21</v>
      </c>
      <c r="D171" s="52" t="str">
        <v>DR</v>
      </c>
      <c r="E171" s="52" t="str">
        <v>M</v>
      </c>
      <c r="F171" s="52" t="str">
        <v>1206</v>
      </c>
      <c r="G171" s="52" t="str">
        <v>&lt;Blank&gt;</v>
      </c>
      <c r="H171" s="53" t="str">
        <v>131236-WIL21-DR-M-1206</v>
      </c>
      <c r="I171" s="53" t="str">
        <v>PLAN VIEW SIDESTREAM -N REMOVAL ANAMMOX REACTOR GRID 1-4, 3-4</v>
      </c>
    </row>
    <row r="172" spans="1:9" x14ac:dyDescent="0.35">
      <c r="A172" s="52" t="str">
        <v>Stage 2</v>
      </c>
      <c r="B172" s="52">
        <v>131236</v>
      </c>
      <c r="C172" s="52" t="str">
        <v>WIL21</v>
      </c>
      <c r="D172" s="52" t="str">
        <v>DR</v>
      </c>
      <c r="E172" s="52" t="str">
        <v>M</v>
      </c>
      <c r="F172" s="52" t="str">
        <v>1207</v>
      </c>
      <c r="G172" s="52" t="str">
        <v>&lt;Blank&gt;</v>
      </c>
      <c r="H172" s="53" t="str">
        <v>131236-WIL21-DR-M-1207</v>
      </c>
      <c r="I172" s="53" t="str">
        <v>PLAN VIEW SIDESTREAM -N REMOVAL ANAMMOX REACTOR GRID 2-1, 4-1</v>
      </c>
    </row>
    <row r="173" spans="1:9" x14ac:dyDescent="0.35">
      <c r="A173" s="52" t="str">
        <v>Stage 2</v>
      </c>
      <c r="B173" s="52">
        <v>131236</v>
      </c>
      <c r="C173" s="52" t="str">
        <v>WIL21</v>
      </c>
      <c r="D173" s="52" t="str">
        <v>DR</v>
      </c>
      <c r="E173" s="52" t="str">
        <v>M</v>
      </c>
      <c r="F173" s="52" t="str">
        <v>1208</v>
      </c>
      <c r="G173" s="52" t="str">
        <v>&lt;Blank&gt;</v>
      </c>
      <c r="H173" s="53" t="str">
        <v>131236-WIL21-DR-M-1208</v>
      </c>
      <c r="I173" s="53" t="str">
        <v>PLAN VIEW SIDESTREAM -N REMOVAL ANAMMOX REACTOR GRID 2-2, 4-2</v>
      </c>
    </row>
    <row r="174" spans="1:9" x14ac:dyDescent="0.35">
      <c r="A174" s="52" t="str">
        <v>Stage 2</v>
      </c>
      <c r="B174" s="52">
        <v>131236</v>
      </c>
      <c r="C174" s="52" t="str">
        <v>WIL21</v>
      </c>
      <c r="D174" s="52" t="str">
        <v>DR</v>
      </c>
      <c r="E174" s="52" t="str">
        <v>M</v>
      </c>
      <c r="F174" s="52" t="str">
        <v>1209</v>
      </c>
      <c r="G174" s="52" t="str">
        <v>&lt;Blank&gt;</v>
      </c>
      <c r="H174" s="53" t="str">
        <v>131236-WIL21-DR-M-1209</v>
      </c>
      <c r="I174" s="53" t="str">
        <v>PLAN VIEW SIDESTREAM -N REMOVAL ANAMMOX REACTOR GRID 2-3, 4-3</v>
      </c>
    </row>
    <row r="175" spans="1:9" x14ac:dyDescent="0.35">
      <c r="A175" s="52" t="str">
        <v>Stage 2</v>
      </c>
      <c r="B175" s="52">
        <v>131236</v>
      </c>
      <c r="C175" s="52" t="str">
        <v>WIL21</v>
      </c>
      <c r="D175" s="52" t="str">
        <v>DR</v>
      </c>
      <c r="E175" s="52" t="str">
        <v>M</v>
      </c>
      <c r="F175" s="52" t="str">
        <v>1210</v>
      </c>
      <c r="G175" s="52" t="str">
        <v>&lt;Blank&gt;</v>
      </c>
      <c r="H175" s="53" t="str">
        <v>131236-WIL21-DR-M-1210</v>
      </c>
      <c r="I175" s="53" t="str">
        <v>PLAN VIEW SIDESTREAM -N REMOVAL ANAMMOX REACTOR GRID 2-4, 4-4</v>
      </c>
    </row>
    <row r="176" spans="1:9" x14ac:dyDescent="0.35">
      <c r="A176" s="52" t="str">
        <v>Stage 2</v>
      </c>
      <c r="B176" s="52">
        <v>131236</v>
      </c>
      <c r="C176" s="52" t="str">
        <v>WIL21</v>
      </c>
      <c r="D176" s="52" t="str">
        <v>DR</v>
      </c>
      <c r="E176" s="52" t="str">
        <v>M</v>
      </c>
      <c r="F176" s="52" t="str">
        <v>3203</v>
      </c>
      <c r="G176" s="52" t="str">
        <v>&lt;Blank&gt;</v>
      </c>
      <c r="H176" s="53" t="str">
        <v>131236-WIL21-DR-M-3203</v>
      </c>
      <c r="I176" s="53" t="str">
        <v xml:space="preserve">Section VIEW SIDESTREAM -N REMOVAL ANAMMOX REACTOR GRID 1-1, 3-1 </v>
      </c>
    </row>
    <row r="177" spans="1:9" x14ac:dyDescent="0.35">
      <c r="A177" s="52" t="str">
        <v>Stage 2</v>
      </c>
      <c r="B177" s="52">
        <v>131236</v>
      </c>
      <c r="C177" s="52" t="str">
        <v>WIL21</v>
      </c>
      <c r="D177" s="52" t="str">
        <v>DR</v>
      </c>
      <c r="E177" s="52" t="str">
        <v>M</v>
      </c>
      <c r="F177" s="52" t="str">
        <v>3204</v>
      </c>
      <c r="G177" s="52" t="str">
        <v>&lt;Blank&gt;</v>
      </c>
      <c r="H177" s="53" t="str">
        <v>131236-WIL21-DR-M-3204</v>
      </c>
      <c r="I177" s="53" t="str">
        <v xml:space="preserve">Section VIEW SIDESTREAM -N REMOVAL ANAMMOX REACTOR GRID 1-2, 3-2 </v>
      </c>
    </row>
    <row r="178" spans="1:9" x14ac:dyDescent="0.35">
      <c r="A178" s="52" t="str">
        <v>Stage 2</v>
      </c>
      <c r="B178" s="52">
        <v>131236</v>
      </c>
      <c r="C178" s="52" t="str">
        <v>WIL21</v>
      </c>
      <c r="D178" s="52" t="str">
        <v>DR</v>
      </c>
      <c r="E178" s="52" t="str">
        <v>M</v>
      </c>
      <c r="F178" s="52" t="str">
        <v>3205</v>
      </c>
      <c r="G178" s="52" t="str">
        <v>&lt;Blank&gt;</v>
      </c>
      <c r="H178" s="53" t="str">
        <v>131236-WIL21-DR-M-3205</v>
      </c>
      <c r="I178" s="53" t="str">
        <v>Section VIEW SIDESTREAM -N REMOVAL ANAMMOX REACTOR GRID 1-3, 3-3</v>
      </c>
    </row>
    <row r="179" spans="1:9" x14ac:dyDescent="0.35">
      <c r="A179" s="52" t="str">
        <v>Stage 2</v>
      </c>
      <c r="B179" s="52">
        <v>131236</v>
      </c>
      <c r="C179" s="52" t="str">
        <v>WIL21</v>
      </c>
      <c r="D179" s="52" t="str">
        <v>DR</v>
      </c>
      <c r="E179" s="52" t="str">
        <v>M</v>
      </c>
      <c r="F179" s="52" t="str">
        <v>3206</v>
      </c>
      <c r="G179" s="52" t="str">
        <v>&lt;Blank&gt;</v>
      </c>
      <c r="H179" s="53" t="str">
        <v>131236-WIL21-DR-M-3206</v>
      </c>
      <c r="I179" s="53" t="str">
        <v>Section VIEW SIDESTREAM -N REMOVAL ANAMMOX REACTOR GRID 1-4, 3-4</v>
      </c>
    </row>
    <row r="180" spans="1:9" x14ac:dyDescent="0.35">
      <c r="A180" s="52" t="str">
        <v>Stage 2</v>
      </c>
      <c r="B180" s="52">
        <v>131236</v>
      </c>
      <c r="C180" s="52" t="str">
        <v>WIL21</v>
      </c>
      <c r="D180" s="52" t="str">
        <v>DR</v>
      </c>
      <c r="E180" s="52" t="str">
        <v>M</v>
      </c>
      <c r="F180" s="52" t="str">
        <v>3207</v>
      </c>
      <c r="G180" s="52" t="str">
        <v>&lt;Blank&gt;</v>
      </c>
      <c r="H180" s="53" t="str">
        <v>131236-WIL21-DR-M-3207</v>
      </c>
      <c r="I180" s="53" t="str">
        <v>Section VIEW SIDESTREAM -N REMOVAL ANAMMOX REACTOR GRID 2-1, 4-1</v>
      </c>
    </row>
    <row r="181" spans="1:9" x14ac:dyDescent="0.35">
      <c r="A181" s="52" t="str">
        <v>Stage 2</v>
      </c>
      <c r="B181" s="52">
        <v>131236</v>
      </c>
      <c r="C181" s="52" t="str">
        <v>WIL21</v>
      </c>
      <c r="D181" s="52" t="str">
        <v>DR</v>
      </c>
      <c r="E181" s="52" t="str">
        <v>M</v>
      </c>
      <c r="F181" s="52" t="str">
        <v>3208</v>
      </c>
      <c r="G181" s="52" t="str">
        <v>&lt;Blank&gt;</v>
      </c>
      <c r="H181" s="53" t="str">
        <v>131236-WIL21-DR-M-3208</v>
      </c>
      <c r="I181" s="53" t="str">
        <v>Section VIEW SIDESTREAM -N REMOVAL ANAMMOX REACTOR GRID 2-2, 4-2</v>
      </c>
    </row>
    <row r="182" spans="1:9" x14ac:dyDescent="0.35">
      <c r="A182" s="52" t="str">
        <v>Stage 2</v>
      </c>
      <c r="B182" s="52">
        <v>131236</v>
      </c>
      <c r="C182" s="52" t="str">
        <v>WIL21</v>
      </c>
      <c r="D182" s="52" t="str">
        <v>DR</v>
      </c>
      <c r="E182" s="52" t="str">
        <v>M</v>
      </c>
      <c r="F182" s="52" t="str">
        <v>3209</v>
      </c>
      <c r="G182" s="52" t="str">
        <v>&lt;Blank&gt;</v>
      </c>
      <c r="H182" s="53" t="str">
        <v>131236-WIL21-DR-M-3209</v>
      </c>
      <c r="I182" s="53" t="str">
        <v>Section VIEW SIDESTREAM -N REMOVAL ANAMMOX REACTOR GRID 2-3, 4-3</v>
      </c>
    </row>
    <row r="183" spans="1:9" x14ac:dyDescent="0.35">
      <c r="A183" s="52" t="str">
        <v>Stage 2</v>
      </c>
      <c r="B183" s="52">
        <v>131236</v>
      </c>
      <c r="C183" s="52" t="str">
        <v>WIL21</v>
      </c>
      <c r="D183" s="52" t="str">
        <v>DR</v>
      </c>
      <c r="E183" s="52" t="str">
        <v>M</v>
      </c>
      <c r="F183" s="52" t="str">
        <v>3210</v>
      </c>
      <c r="G183" s="52" t="str">
        <v>&lt;Blank&gt;</v>
      </c>
      <c r="H183" s="53" t="str">
        <v>131236-WIL21-DR-M-3210</v>
      </c>
      <c r="I183" s="53" t="str">
        <v>Section VIEW SIDESTREAM -N REMOVAL ANAMMOX REACTOR GRID 2-4, 4-4</v>
      </c>
    </row>
    <row r="184" spans="1:9" x14ac:dyDescent="0.35">
      <c r="A184" s="52" t="str">
        <v>Stage 2</v>
      </c>
      <c r="B184" s="52">
        <v>131236</v>
      </c>
      <c r="C184" s="52" t="str">
        <v>WIL21</v>
      </c>
      <c r="D184" s="52" t="str">
        <v>DR</v>
      </c>
      <c r="E184" s="52" t="str">
        <v>M</v>
      </c>
      <c r="F184" s="52">
        <v>5701</v>
      </c>
      <c r="G184" s="52" t="str">
        <v>&lt;Blank&gt;</v>
      </c>
      <c r="H184" s="53" t="str">
        <v>131236-WIL21-DR-M-5701</v>
      </c>
      <c r="I184" s="53" t="str">
        <v xml:space="preserve">VALVE GA DRAWING - TCI INLET FLOW CONTROL VALVE </v>
      </c>
    </row>
    <row r="185" spans="1:9" x14ac:dyDescent="0.35">
      <c r="A185" s="52" t="str">
        <v>Stage 2</v>
      </c>
      <c r="B185" s="52">
        <v>131236</v>
      </c>
      <c r="C185" s="52" t="str">
        <v>WIL21</v>
      </c>
      <c r="D185" s="52" t="str">
        <v>DR</v>
      </c>
      <c r="E185" s="52" t="str">
        <v>M</v>
      </c>
      <c r="F185" s="52">
        <v>5702</v>
      </c>
      <c r="G185" s="52" t="str">
        <v>&lt;Blank&gt;</v>
      </c>
      <c r="H185" s="53" t="str">
        <v>131236-WIL21-DR-M-5702</v>
      </c>
      <c r="I185" s="53" t="str">
        <v>VALVE GA DRAWING - DC PARTIAL BYPASS LINE INLET FLOW CONTROL VALVE</v>
      </c>
    </row>
    <row r="186" spans="1:9" x14ac:dyDescent="0.35">
      <c r="A186" s="52" t="str">
        <v>Stage 2</v>
      </c>
      <c r="B186" s="52">
        <v>131236</v>
      </c>
      <c r="C186" s="52" t="str">
        <v>WIL21</v>
      </c>
      <c r="D186" s="52" t="str">
        <v>DR</v>
      </c>
      <c r="E186" s="52" t="str">
        <v>M</v>
      </c>
      <c r="F186" s="52">
        <v>5703</v>
      </c>
      <c r="G186" s="52" t="str">
        <v>&lt;Blank&gt;</v>
      </c>
      <c r="H186" s="53" t="str">
        <v>131236-WIL21-DR-M-5703</v>
      </c>
      <c r="I186" s="53" t="str">
        <v>VALVE GA DRAWING - LAMELLA CLARIFIER 1/2/3/4/5 INLET FLOW CONTROL VALVE</v>
      </c>
    </row>
    <row r="187" spans="1:9" x14ac:dyDescent="0.35">
      <c r="A187" s="52" t="str">
        <v>Stage 2</v>
      </c>
      <c r="B187" s="52">
        <v>131236</v>
      </c>
      <c r="C187" s="52" t="str">
        <v>WIL21</v>
      </c>
      <c r="D187" s="52" t="str">
        <v>DR</v>
      </c>
      <c r="E187" s="52" t="str">
        <v>M</v>
      </c>
      <c r="F187" s="52" t="str">
        <v>5711</v>
      </c>
      <c r="G187" s="52" t="str">
        <v>&lt;Blank&gt;</v>
      </c>
      <c r="H187" s="53" t="str">
        <v>131236-WIL21-DR-M-5711</v>
      </c>
      <c r="I187" s="53" t="str">
        <v xml:space="preserve">VALVE GA DRAWING - AIR FCV </v>
      </c>
    </row>
    <row r="188" spans="1:9" x14ac:dyDescent="0.35">
      <c r="A188" s="52" t="str">
        <v>Deleted</v>
      </c>
      <c r="B188" s="52">
        <v>131236</v>
      </c>
      <c r="C188" s="52" t="str">
        <v>WIL21</v>
      </c>
      <c r="D188" s="52" t="str">
        <v>DR</v>
      </c>
      <c r="E188" s="52" t="str">
        <v>M</v>
      </c>
      <c r="F188" s="52" t="str">
        <v>5721</v>
      </c>
      <c r="G188" s="52" t="str">
        <v>&lt;Blank&gt;</v>
      </c>
      <c r="H188" s="53" t="str">
        <v>Deleted</v>
      </c>
      <c r="I188" s="53" t="str">
        <v xml:space="preserve">VALVE GA DRAWING - ARV 2" </v>
      </c>
    </row>
    <row r="189" spans="1:9" x14ac:dyDescent="0.35">
      <c r="A189" s="52" t="str">
        <v>Deleted</v>
      </c>
      <c r="B189" s="52">
        <v>131236</v>
      </c>
      <c r="C189" s="52" t="str">
        <v>WIL21</v>
      </c>
      <c r="D189" s="52" t="str">
        <v>DR</v>
      </c>
      <c r="E189" s="52" t="str">
        <v>M</v>
      </c>
      <c r="F189" s="52" t="str">
        <v>5722</v>
      </c>
      <c r="G189" s="52" t="str">
        <v>&lt;Blank&gt;</v>
      </c>
      <c r="H189" s="53" t="str">
        <v>Deleted</v>
      </c>
      <c r="I189" s="53" t="str">
        <v>VALVE GA DRAWING - ARV 3"</v>
      </c>
    </row>
    <row r="190" spans="1:9" x14ac:dyDescent="0.35">
      <c r="A190" s="52" t="str">
        <v>Deleted</v>
      </c>
      <c r="B190" s="52">
        <v>131236</v>
      </c>
      <c r="C190" s="52" t="str">
        <v>WIL21</v>
      </c>
      <c r="D190" s="52" t="str">
        <v>DR</v>
      </c>
      <c r="E190" s="52" t="str">
        <v>M</v>
      </c>
      <c r="F190" s="52" t="str">
        <v>5731</v>
      </c>
      <c r="G190" s="52" t="str">
        <v>&lt;Blank&gt;</v>
      </c>
      <c r="H190" s="53" t="str">
        <v>Deleted</v>
      </c>
      <c r="I190" s="53" t="str">
        <v>VALVE GA DRAWING - SSN SAMPLING PUMP DISCHARGE SRV</v>
      </c>
    </row>
    <row r="191" spans="1:9" x14ac:dyDescent="0.35">
      <c r="A191" s="52" t="str">
        <v>Deleted</v>
      </c>
      <c r="B191" s="52">
        <v>131236</v>
      </c>
      <c r="C191" s="52" t="str">
        <v>WIL21</v>
      </c>
      <c r="D191" s="52" t="str">
        <v>DR</v>
      </c>
      <c r="E191" s="52" t="str">
        <v>M</v>
      </c>
      <c r="F191" s="52" t="str">
        <v>5732</v>
      </c>
      <c r="G191" s="52" t="str">
        <v>&lt;Blank&gt;</v>
      </c>
      <c r="H191" s="53" t="str">
        <v>Deleted</v>
      </c>
      <c r="I191" s="53" t="str">
        <v>VALVE GA DRAWING - SSN WASTE SLUDGE PUMP A/B DISCHARGE SRV</v>
      </c>
    </row>
    <row r="192" spans="1:9" x14ac:dyDescent="0.35">
      <c r="A192" s="52" t="str">
        <v>Deleted</v>
      </c>
      <c r="B192" s="52">
        <v>131236</v>
      </c>
      <c r="C192" s="52" t="str">
        <v>WIL21</v>
      </c>
      <c r="D192" s="52" t="str">
        <v>DR</v>
      </c>
      <c r="E192" s="52" t="str">
        <v>M</v>
      </c>
      <c r="F192" s="52" t="str">
        <v>5733</v>
      </c>
      <c r="G192" s="52" t="str">
        <v>&lt;Blank&gt;</v>
      </c>
      <c r="H192" s="53" t="str">
        <v>Deleted</v>
      </c>
      <c r="I192" s="53" t="str">
        <v xml:space="preserve">VALVE GA DRAWING - SSN WASTE SLUDGE PUMP C/D DISCHARGE SRV </v>
      </c>
    </row>
    <row r="193" spans="1:9" x14ac:dyDescent="0.35">
      <c r="A193" s="52" t="str">
        <v>Deleted</v>
      </c>
      <c r="B193" s="52">
        <v>131236</v>
      </c>
      <c r="C193" s="52" t="str">
        <v>WIL21</v>
      </c>
      <c r="D193" s="52" t="str">
        <v>DR</v>
      </c>
      <c r="E193" s="52" t="str">
        <v>M</v>
      </c>
      <c r="F193" s="52" t="str">
        <v>5734</v>
      </c>
      <c r="G193" s="52" t="str">
        <v>&lt;Blank&gt;</v>
      </c>
      <c r="H193" s="53" t="str">
        <v>Deleted</v>
      </c>
      <c r="I193" s="53" t="str">
        <v xml:space="preserve">VALVE GA DRAWING - SSN GRANULAR SLUDGE PUMP DISCHARGE SRV </v>
      </c>
    </row>
    <row r="194" spans="1:9" x14ac:dyDescent="0.35">
      <c r="A194" s="52" t="str">
        <v>Deleted</v>
      </c>
      <c r="B194" s="52">
        <v>131236</v>
      </c>
      <c r="C194" s="52" t="str">
        <v>WIL21</v>
      </c>
      <c r="D194" s="52" t="str">
        <v>DR</v>
      </c>
      <c r="E194" s="52" t="str">
        <v>M</v>
      </c>
      <c r="F194" s="52" t="str">
        <v>5735</v>
      </c>
      <c r="G194" s="52" t="str">
        <v>&lt;Blank&gt;</v>
      </c>
      <c r="H194" s="53" t="str">
        <v>Deleted</v>
      </c>
      <c r="I194" s="53" t="str">
        <v xml:space="preserve">VALVE GA DRAWING - SSN SLUDGE TRANSFER PUMP DISCHARGE SRV </v>
      </c>
    </row>
    <row r="195" spans="1:9" x14ac:dyDescent="0.35">
      <c r="A195" s="52" t="str">
        <v>Stage 2</v>
      </c>
      <c r="B195" s="52">
        <v>131236</v>
      </c>
      <c r="C195" s="52" t="str">
        <v>WIL21</v>
      </c>
      <c r="D195" s="52" t="str">
        <v>DR</v>
      </c>
      <c r="E195" s="52" t="str">
        <v>M</v>
      </c>
      <c r="F195" s="52" t="str">
        <v>5751</v>
      </c>
      <c r="G195" s="52" t="str">
        <v>&lt;Blank&gt;</v>
      </c>
      <c r="H195" s="53" t="str">
        <v>131236-WIL21-DR-M-5751</v>
      </c>
      <c r="I195" s="53" t="str">
        <v>VALVE GA DRAWING - SSN G2D PRV</v>
      </c>
    </row>
    <row r="196" spans="1:9" x14ac:dyDescent="0.35">
      <c r="A196" s="52" t="str">
        <v>Deleted</v>
      </c>
      <c r="B196" s="52">
        <v>131236</v>
      </c>
      <c r="C196" s="52" t="str">
        <v>WIL21</v>
      </c>
      <c r="D196" s="52" t="str">
        <v>DR</v>
      </c>
      <c r="E196" s="52" t="str">
        <v>M</v>
      </c>
      <c r="F196" s="52" t="str">
        <v>5752</v>
      </c>
      <c r="G196" s="52" t="str">
        <v>&lt;Blank&gt;</v>
      </c>
      <c r="H196" s="53" t="str">
        <v>Deleted</v>
      </c>
      <c r="I196" s="53" t="str">
        <v>VALVE GA DRAWING - SSN IA PRV</v>
      </c>
    </row>
    <row r="197" spans="1:9" x14ac:dyDescent="0.35">
      <c r="A197" s="52" t="str">
        <v>Deleted</v>
      </c>
      <c r="B197" s="52">
        <v>131236</v>
      </c>
      <c r="C197" s="52" t="str">
        <v>WIL21</v>
      </c>
      <c r="D197" s="52" t="str">
        <v>DR</v>
      </c>
      <c r="E197" s="52" t="str">
        <v>M</v>
      </c>
      <c r="F197" s="52" t="str">
        <v>5741</v>
      </c>
      <c r="G197" s="52" t="str">
        <v>&lt;Blank&gt;</v>
      </c>
      <c r="H197" s="53" t="str">
        <v>Deleted</v>
      </c>
      <c r="I197" s="53" t="str">
        <v>VALVE GA DRAWING - SSN SOLENOID VALVE</v>
      </c>
    </row>
    <row r="198" spans="1:9" x14ac:dyDescent="0.35">
      <c r="A198" s="52" t="str">
        <v>Deleted</v>
      </c>
      <c r="B198" s="52">
        <v>131236</v>
      </c>
      <c r="C198" s="52" t="str">
        <v>WIL21</v>
      </c>
      <c r="D198" s="52" t="str">
        <v>DR</v>
      </c>
      <c r="E198" s="52" t="str">
        <v>M</v>
      </c>
      <c r="F198" s="52" t="str">
        <v>5761</v>
      </c>
      <c r="G198" s="52" t="str">
        <v>&lt;Blank&gt;</v>
      </c>
      <c r="H198" s="53" t="str">
        <v>Deleted</v>
      </c>
      <c r="I198" s="53" t="str">
        <v>VALVE GA DRAWING - SSN AUTOMATIC CONDENSATE DRAIN VALVE</v>
      </c>
    </row>
    <row r="199" spans="1:9" x14ac:dyDescent="0.35">
      <c r="A199" s="52" t="str">
        <v>Deleted</v>
      </c>
      <c r="B199" s="52">
        <v>131236</v>
      </c>
      <c r="C199" s="52" t="str">
        <v>WIL21</v>
      </c>
      <c r="D199" s="52" t="str">
        <v>DR</v>
      </c>
      <c r="E199" s="52" t="str">
        <v>M</v>
      </c>
      <c r="F199" s="52" t="str">
        <v>5810</v>
      </c>
      <c r="G199" s="52" t="str">
        <v>&lt;Blank&gt;</v>
      </c>
      <c r="H199" s="53" t="str">
        <v>Deleted</v>
      </c>
      <c r="I199" s="53" t="str">
        <v>SSN SLUDGE COMPARTMENT MIXING NOZZLE DETAILED DRAWING</v>
      </c>
    </row>
    <row r="200" spans="1:9" x14ac:dyDescent="0.35">
      <c r="A200" s="52" t="str">
        <v>Stage 2</v>
      </c>
      <c r="B200" s="52">
        <v>131236</v>
      </c>
      <c r="C200" s="52" t="str">
        <v>WIL21</v>
      </c>
      <c r="D200" s="52" t="str">
        <v>DR</v>
      </c>
      <c r="E200" s="52" t="str">
        <v>M</v>
      </c>
      <c r="F200" s="52">
        <v>5801</v>
      </c>
      <c r="G200" s="52" t="str">
        <v>&lt;Blank&gt;</v>
      </c>
      <c r="H200" s="53" t="str">
        <v>131236-WIL21-DR-M-5801</v>
      </c>
      <c r="I200" s="53" t="str">
        <v>SSN SPRAY NOZZLE DRAWING</v>
      </c>
    </row>
    <row r="201" spans="1:9" x14ac:dyDescent="0.35">
      <c r="A201" s="52" t="str">
        <v>Deleted</v>
      </c>
      <c r="B201" s="52">
        <v>131236</v>
      </c>
      <c r="C201" s="52" t="str">
        <v>WIL21</v>
      </c>
      <c r="D201" s="52" t="str">
        <v>DR</v>
      </c>
      <c r="E201" s="52" t="str">
        <v>M</v>
      </c>
      <c r="F201" s="52">
        <v>1220</v>
      </c>
      <c r="G201" s="52" t="str">
        <v>&lt;Blank&gt;</v>
      </c>
      <c r="H201" s="53" t="str">
        <v>Deleted</v>
      </c>
      <c r="I201" s="53" t="str">
        <v>PLAN VIEW SSN SLUDGE COMPARTMENT MIXING NOZZLE</v>
      </c>
    </row>
    <row r="202" spans="1:9" x14ac:dyDescent="0.35">
      <c r="A202" s="52" t="str">
        <v>Superseded</v>
      </c>
      <c r="B202" s="52">
        <v>131236</v>
      </c>
      <c r="C202" s="52" t="str">
        <v>WIL21</v>
      </c>
      <c r="D202" s="52" t="str">
        <v>DR</v>
      </c>
      <c r="E202" s="52" t="str">
        <v>M</v>
      </c>
      <c r="F202" s="52" t="str">
        <v>0015</v>
      </c>
      <c r="G202" s="52" t="str">
        <v>&lt;Blank&gt;</v>
      </c>
      <c r="H202" s="53" t="str">
        <v>131236-WIL21-DR-M-0015</v>
      </c>
      <c r="I202" s="53" t="str">
        <v>Equipment GA Drawing - Lamella Clarifier Sheet 1</v>
      </c>
    </row>
    <row r="203" spans="1:9" x14ac:dyDescent="0.35">
      <c r="A203" s="52" t="str">
        <v>Superseded</v>
      </c>
      <c r="B203" s="52">
        <v>131236</v>
      </c>
      <c r="C203" s="52" t="str">
        <v>WIL21</v>
      </c>
      <c r="D203" s="52" t="str">
        <v>DR</v>
      </c>
      <c r="E203" s="52" t="str">
        <v>M</v>
      </c>
      <c r="F203" s="52" t="str">
        <v>0016</v>
      </c>
      <c r="G203" s="52" t="str">
        <v>&lt;Blank&gt;</v>
      </c>
      <c r="H203" s="53" t="str">
        <v>131236-WIL21-DR-M-0016</v>
      </c>
      <c r="I203" s="53" t="str">
        <v>Equipment GA Drawing - Lamella Clarifier Sheet 2</v>
      </c>
    </row>
    <row r="204" spans="1:9" x14ac:dyDescent="0.35">
      <c r="A204" s="52" t="str">
        <v>Superseded</v>
      </c>
      <c r="B204" s="52">
        <v>131236</v>
      </c>
      <c r="C204" s="52" t="str">
        <v>WIL21</v>
      </c>
      <c r="D204" s="52" t="str">
        <v>DR</v>
      </c>
      <c r="E204" s="52" t="str">
        <v>M</v>
      </c>
      <c r="F204" s="52" t="str">
        <v>0017</v>
      </c>
      <c r="G204" s="52" t="str">
        <v>&lt;Blank&gt;</v>
      </c>
      <c r="H204" s="53" t="str">
        <v>131236-WIL21-DR-M-0017</v>
      </c>
      <c r="I204" s="53" t="str">
        <v>Equipment GA Drawing - Biomass Separator A/B</v>
      </c>
    </row>
    <row r="205" spans="1:9" x14ac:dyDescent="0.35">
      <c r="A205" s="52" t="str">
        <v>Superseded</v>
      </c>
      <c r="B205" s="52">
        <v>131236</v>
      </c>
      <c r="C205" s="52" t="str">
        <v>WIL21</v>
      </c>
      <c r="D205" s="52" t="str">
        <v>DR</v>
      </c>
      <c r="E205" s="52" t="str">
        <v>M</v>
      </c>
      <c r="F205" s="52" t="str">
        <v>0018</v>
      </c>
      <c r="G205" s="52" t="str">
        <v>&lt;Blank&gt;</v>
      </c>
      <c r="H205" s="53" t="str">
        <v>131236-WIL21-DR-M-0018</v>
      </c>
      <c r="I205" s="53" t="str">
        <v>Equipment GA Drawing - Biomass Separator C</v>
      </c>
    </row>
    <row r="206" spans="1:9" x14ac:dyDescent="0.35">
      <c r="A206" s="52" t="str">
        <v>Superseded</v>
      </c>
      <c r="B206" s="52">
        <v>131236</v>
      </c>
      <c r="C206" s="52" t="str">
        <v>WIL21</v>
      </c>
      <c r="D206" s="52" t="str">
        <v>DR</v>
      </c>
      <c r="E206" s="52" t="str">
        <v>M</v>
      </c>
      <c r="F206" s="52" t="str">
        <v>0025</v>
      </c>
      <c r="G206" s="52" t="str">
        <v>&lt;Blank&gt;</v>
      </c>
      <c r="H206" s="53" t="str">
        <v>131236-WIL21-DR-M-0025</v>
      </c>
      <c r="I206" s="53" t="str">
        <v>Diffuser GA Overall Plan View (Anammox Reactor 1 &amp; 3)</v>
      </c>
    </row>
    <row r="207" spans="1:9" x14ac:dyDescent="0.35">
      <c r="A207" s="52" t="str">
        <v>Superseded</v>
      </c>
      <c r="B207" s="52">
        <v>131236</v>
      </c>
      <c r="C207" s="52" t="str">
        <v>WIL21</v>
      </c>
      <c r="D207" s="52" t="str">
        <v>DR</v>
      </c>
      <c r="E207" s="52" t="str">
        <v>M</v>
      </c>
      <c r="F207" s="52" t="str">
        <v>0026</v>
      </c>
      <c r="G207" s="52" t="str">
        <v>&lt;Blank&gt;</v>
      </c>
      <c r="H207" s="53" t="str">
        <v>131236-WIL21-DR-M-0026</v>
      </c>
      <c r="I207" s="53" t="str">
        <v>Diffuser GA Overall Plan View (Anammox Reactor 2 &amp; 4)</v>
      </c>
    </row>
    <row r="208" spans="1:9" x14ac:dyDescent="0.35">
      <c r="A208" s="52" t="str">
        <v>Deleted</v>
      </c>
      <c r="B208" s="52">
        <v>131236</v>
      </c>
      <c r="C208" s="52" t="str">
        <v>WIL21</v>
      </c>
      <c r="D208" s="52" t="str">
        <v>DR</v>
      </c>
      <c r="E208" s="52" t="str">
        <v>C</v>
      </c>
      <c r="F208" s="52">
        <v>3100</v>
      </c>
      <c r="G208" s="52" t="str">
        <v>&lt;Blank&gt;</v>
      </c>
      <c r="H208" s="53" t="str">
        <v>Deleted</v>
      </c>
      <c r="I208" s="53" t="str">
        <v>Civil Condition drawing for EQ tanks, ANAMMOX tanks, sludge tanks and effluent tanks</v>
      </c>
    </row>
    <row r="209" spans="1:9" x14ac:dyDescent="0.35">
      <c r="A209" s="52" t="str">
        <v>Deleted</v>
      </c>
      <c r="B209" s="52">
        <v>131236</v>
      </c>
      <c r="C209" s="52" t="str">
        <v>WIL21</v>
      </c>
      <c r="D209" s="52" t="str">
        <v>DR</v>
      </c>
      <c r="E209" s="52" t="str">
        <v>M</v>
      </c>
      <c r="F209" s="52">
        <v>1001</v>
      </c>
      <c r="G209" s="52" t="str">
        <v>&lt;Blank&gt;</v>
      </c>
      <c r="H209" s="53" t="str">
        <v>Deleted</v>
      </c>
      <c r="I209" s="53" t="str">
        <v>General Layout Plant</v>
      </c>
    </row>
    <row r="210" spans="1:9" x14ac:dyDescent="0.35">
      <c r="A210" s="52" t="str">
        <v>Deleted</v>
      </c>
      <c r="B210" s="52">
        <v>131236</v>
      </c>
      <c r="C210" s="52" t="str">
        <v>WIL21</v>
      </c>
      <c r="D210" s="52" t="str">
        <v>DS</v>
      </c>
      <c r="E210" s="52" t="str">
        <v>M</v>
      </c>
      <c r="F210" s="52">
        <v>5201</v>
      </c>
      <c r="G210" s="52" t="str">
        <v>&lt;Blank&gt;</v>
      </c>
      <c r="H210" s="53" t="str">
        <v>Deleted</v>
      </c>
      <c r="I210" s="53" t="str">
        <v>ON-OFF VALVE DATASHEET - EQ TANK 1/2 DC INLET VALVE</v>
      </c>
    </row>
    <row r="211" spans="1:9" x14ac:dyDescent="0.35">
      <c r="A211" s="52" t="str">
        <v>Deleted</v>
      </c>
      <c r="B211" s="52">
        <v>131236</v>
      </c>
      <c r="C211" s="52" t="str">
        <v>WIL21</v>
      </c>
      <c r="D211" s="52" t="str">
        <v>DS</v>
      </c>
      <c r="E211" s="52" t="str">
        <v>M</v>
      </c>
      <c r="F211" s="52">
        <v>5202</v>
      </c>
      <c r="G211" s="52" t="str">
        <v>&lt;Blank&gt;</v>
      </c>
      <c r="H211" s="53" t="str">
        <v>Deleted</v>
      </c>
      <c r="I211" s="53" t="str">
        <v>ON-OFF VALVE DATASHEET - DC INLET ISOLATION VALVE</v>
      </c>
    </row>
    <row r="212" spans="1:9" x14ac:dyDescent="0.35">
      <c r="A212" s="52" t="str">
        <v>Deleted</v>
      </c>
      <c r="B212" s="52">
        <v>131236</v>
      </c>
      <c r="C212" s="52" t="str">
        <v>WIL21</v>
      </c>
      <c r="D212" s="52" t="str">
        <v>DS</v>
      </c>
      <c r="E212" s="52" t="str">
        <v>M</v>
      </c>
      <c r="F212" s="52">
        <v>5203</v>
      </c>
      <c r="G212" s="52" t="str">
        <v>&lt;Blank&gt;</v>
      </c>
      <c r="H212" s="53" t="str">
        <v>Deleted</v>
      </c>
      <c r="I212" s="53" t="str">
        <v>ON-OFF VALVE DATASHEET - DC BYPASS LINE ISOLATION VALVE</v>
      </c>
    </row>
    <row r="213" spans="1:9" x14ac:dyDescent="0.35">
      <c r="A213" s="52" t="str">
        <v>Deleted</v>
      </c>
      <c r="B213" s="52">
        <v>131236</v>
      </c>
      <c r="C213" s="52" t="str">
        <v>WIL21</v>
      </c>
      <c r="D213" s="52" t="str">
        <v>DS</v>
      </c>
      <c r="E213" s="52" t="str">
        <v>M</v>
      </c>
      <c r="F213" s="52">
        <v>5204</v>
      </c>
      <c r="G213" s="52" t="str">
        <v>&lt;Blank&gt;</v>
      </c>
      <c r="H213" s="53" t="str">
        <v>Deleted</v>
      </c>
      <c r="I213" s="53" t="str">
        <v>ON-OFF VALVE DATASHEET - EQ TANK 1/2 OUTLET VALVE</v>
      </c>
    </row>
    <row r="214" spans="1:9" x14ac:dyDescent="0.35">
      <c r="A214" s="52" t="str">
        <v>Deleted</v>
      </c>
      <c r="B214" s="52">
        <v>131236</v>
      </c>
      <c r="C214" s="52" t="str">
        <v>WIL21</v>
      </c>
      <c r="D214" s="52" t="str">
        <v>DS</v>
      </c>
      <c r="E214" s="52" t="str">
        <v>M</v>
      </c>
      <c r="F214" s="52">
        <v>5205</v>
      </c>
      <c r="G214" s="52" t="str">
        <v>&lt;Blank&gt;</v>
      </c>
      <c r="H214" s="53" t="str">
        <v>Deleted</v>
      </c>
      <c r="I214" s="53" t="str">
        <v>ON-OFF VALVE DATASHEET - DC PARTIAL BYPASS LINE ISOLATION VALVE</v>
      </c>
    </row>
    <row r="215" spans="1:9" x14ac:dyDescent="0.35">
      <c r="A215" s="52" t="str">
        <v>Deleted</v>
      </c>
      <c r="B215" s="52">
        <v>131236</v>
      </c>
      <c r="C215" s="52" t="str">
        <v>WIL21</v>
      </c>
      <c r="D215" s="52" t="str">
        <v>DS</v>
      </c>
      <c r="E215" s="52" t="str">
        <v>M</v>
      </c>
      <c r="F215" s="52">
        <v>5207</v>
      </c>
      <c r="G215" s="52" t="str">
        <v>&lt;Blank&gt;</v>
      </c>
      <c r="H215" s="53" t="str">
        <v>Deleted</v>
      </c>
      <c r="I215" s="53" t="str">
        <v>ON-OFF VALVE DATASHEET - EQ TANK 1/2 TCI INLET VALVE</v>
      </c>
    </row>
    <row r="216" spans="1:9" x14ac:dyDescent="0.35">
      <c r="A216" s="52" t="str">
        <v>Deleted</v>
      </c>
      <c r="B216" s="52">
        <v>131236</v>
      </c>
      <c r="C216" s="52" t="str">
        <v>WIL21</v>
      </c>
      <c r="D216" s="52" t="str">
        <v>DS</v>
      </c>
      <c r="E216" s="52" t="str">
        <v>M</v>
      </c>
      <c r="F216" s="52">
        <v>5208</v>
      </c>
      <c r="G216" s="52" t="str">
        <v>&lt;Blank&gt;</v>
      </c>
      <c r="H216" s="53" t="str">
        <v>Deleted</v>
      </c>
      <c r="I216" s="53" t="str">
        <v>ON-OFF VALVE DATASHEET - TCI INLET ISOLATION VALVE</v>
      </c>
    </row>
    <row r="217" spans="1:9" x14ac:dyDescent="0.35">
      <c r="A217" s="52" t="str">
        <v>Deleted</v>
      </c>
      <c r="B217" s="52">
        <v>131236</v>
      </c>
      <c r="C217" s="52" t="str">
        <v>WIL21</v>
      </c>
      <c r="D217" s="52" t="str">
        <v>DS</v>
      </c>
      <c r="E217" s="52" t="str">
        <v>M</v>
      </c>
      <c r="F217" s="52">
        <v>5209</v>
      </c>
      <c r="G217" s="52" t="str">
        <v>&lt;Blank&gt;</v>
      </c>
      <c r="H217" s="53" t="str">
        <v>Deleted</v>
      </c>
      <c r="I217" s="53" t="str">
        <v>ON-OFF VALVE DATASHEET - DISCHARGE TRANSFER PUMP OUTLET VALVE</v>
      </c>
    </row>
    <row r="218" spans="1:9" x14ac:dyDescent="0.35">
      <c r="A218" s="52" t="str">
        <v>Deleted</v>
      </c>
      <c r="B218" s="52">
        <v>131236</v>
      </c>
      <c r="C218" s="52" t="str">
        <v>WIL21</v>
      </c>
      <c r="D218" s="52" t="str">
        <v>DS</v>
      </c>
      <c r="E218" s="52" t="str">
        <v>M</v>
      </c>
      <c r="F218" s="52">
        <v>5210</v>
      </c>
      <c r="G218" s="52" t="str">
        <v>&lt;Blank&gt;</v>
      </c>
      <c r="H218" s="53" t="str">
        <v>Deleted</v>
      </c>
      <c r="I218" s="53" t="str">
        <v>ON-OFF VALVE DATASHEET - LAMELLA CLARIFIER 1/2/3/4/5 SLUDGE HOPPER 1/2/3 OUTLET VALVE</v>
      </c>
    </row>
    <row r="219" spans="1:9" x14ac:dyDescent="0.35">
      <c r="A219" s="52" t="str">
        <v>Stage 2</v>
      </c>
      <c r="B219" s="52">
        <v>131236</v>
      </c>
      <c r="C219" s="52" t="str">
        <v>WIL21</v>
      </c>
      <c r="D219" s="52" t="str">
        <v>DS</v>
      </c>
      <c r="E219" s="52" t="str">
        <v>M</v>
      </c>
      <c r="F219" s="52">
        <v>5711</v>
      </c>
      <c r="G219" s="52" t="str">
        <v>&lt;Blank&gt;</v>
      </c>
      <c r="H219" s="53" t="str">
        <v>131236-WIL21-DS-M-5711</v>
      </c>
      <c r="I219" s="53" t="str">
        <v>ANNAMOX REACTOR 1/2/3/4 AERATION FLOW CONTROL VALVE</v>
      </c>
    </row>
    <row r="220" spans="1:9" x14ac:dyDescent="0.35">
      <c r="A220" s="52" t="str">
        <v>Deleted</v>
      </c>
      <c r="B220" s="52">
        <v>131236</v>
      </c>
      <c r="C220" s="52" t="str">
        <v>WIL21</v>
      </c>
      <c r="D220" s="52" t="str">
        <v>DS</v>
      </c>
      <c r="E220" s="52" t="str">
        <v>M</v>
      </c>
      <c r="F220" s="52">
        <v>5212</v>
      </c>
      <c r="G220" s="52" t="str">
        <v>&lt;Blank&gt;</v>
      </c>
      <c r="H220" s="53" t="str">
        <v>Deleted</v>
      </c>
      <c r="I220" s="53" t="str">
        <v>ON-OFF VALVE DATASHEET - WASTE SLUDGE PUMP DISCHARGE VALVE</v>
      </c>
    </row>
    <row r="221" spans="1:9" x14ac:dyDescent="0.35">
      <c r="A221" s="52" t="str">
        <v>Deleted</v>
      </c>
      <c r="B221" s="52">
        <v>131236</v>
      </c>
      <c r="C221" s="52" t="str">
        <v>WIL21</v>
      </c>
      <c r="D221" s="52" t="str">
        <v>DS</v>
      </c>
      <c r="E221" s="52" t="str">
        <v>M</v>
      </c>
      <c r="F221" s="52">
        <v>5213</v>
      </c>
      <c r="G221" s="52" t="str">
        <v>&lt;Blank&gt;</v>
      </c>
      <c r="H221" s="53" t="str">
        <v>Deleted</v>
      </c>
      <c r="I221" s="53" t="str">
        <v>ON-OFF VALVE DATASHEET - DISCHARGE WET WELL 1/2 INLET ISOLATION VALVE</v>
      </c>
    </row>
    <row r="222" spans="1:9" x14ac:dyDescent="0.35">
      <c r="A222" s="52" t="str">
        <v>Deleted</v>
      </c>
      <c r="B222" s="52">
        <v>131236</v>
      </c>
      <c r="C222" s="52" t="str">
        <v>WIL21</v>
      </c>
      <c r="D222" s="52" t="str">
        <v>DS</v>
      </c>
      <c r="E222" s="52" t="str">
        <v>M</v>
      </c>
      <c r="F222" s="52">
        <v>5214</v>
      </c>
      <c r="G222" s="52" t="str">
        <v>&lt;Blank&gt;</v>
      </c>
      <c r="H222" s="53" t="str">
        <v>Deleted</v>
      </c>
      <c r="I222" s="53" t="str">
        <v>ON-OFF VALVE DATASHEET - DISCHARGE WET WELL 1/2 OUTLET VALVE</v>
      </c>
    </row>
    <row r="223" spans="1:9" x14ac:dyDescent="0.35">
      <c r="A223" s="52" t="str">
        <v>Deleted</v>
      </c>
      <c r="B223" s="52">
        <v>131236</v>
      </c>
      <c r="C223" s="52" t="str">
        <v>WIL21</v>
      </c>
      <c r="D223" s="52" t="str">
        <v>DS</v>
      </c>
      <c r="E223" s="52" t="str">
        <v>M</v>
      </c>
      <c r="F223" s="52">
        <v>5215</v>
      </c>
      <c r="G223" s="52" t="str">
        <v>&lt;Blank&gt;</v>
      </c>
      <c r="H223" s="53" t="str">
        <v>Deleted</v>
      </c>
      <c r="I223" s="53" t="str">
        <v>ON-OFF VALVE DATASHEET - SLUDGE COMPARTMENT OUTLET VALVE</v>
      </c>
    </row>
    <row r="224" spans="1:9" x14ac:dyDescent="0.35">
      <c r="A224" s="52" t="str">
        <v>Deleted</v>
      </c>
      <c r="B224" s="52">
        <v>131236</v>
      </c>
      <c r="C224" s="52" t="str">
        <v>WIL21</v>
      </c>
      <c r="D224" s="52" t="str">
        <v>DS</v>
      </c>
      <c r="E224" s="52" t="str">
        <v>M</v>
      </c>
      <c r="F224" s="52">
        <v>5216</v>
      </c>
      <c r="G224" s="52" t="str">
        <v>&lt;Blank&gt;</v>
      </c>
      <c r="H224" s="53" t="str">
        <v>Deleted</v>
      </c>
      <c r="I224" s="53" t="str">
        <v>ON-OFF VALVE DATASHEET - EFFLUENT TO SLUDGE COMPARTMENT ISOLATION</v>
      </c>
    </row>
    <row r="225" spans="1:9" x14ac:dyDescent="0.35">
      <c r="A225" s="52" t="str">
        <v>Deleted</v>
      </c>
      <c r="B225" s="52">
        <v>131236</v>
      </c>
      <c r="C225" s="52" t="str">
        <v>WIL21</v>
      </c>
      <c r="D225" s="52" t="str">
        <v>DS</v>
      </c>
      <c r="E225" s="52" t="str">
        <v>M</v>
      </c>
      <c r="F225" s="52">
        <v>5230</v>
      </c>
      <c r="G225" s="52" t="str">
        <v>&lt;Blank&gt;</v>
      </c>
      <c r="H225" s="53" t="str">
        <v>Deleted</v>
      </c>
      <c r="I225" s="53" t="str">
        <v>ON-OFF VALVE DATASHEET - AERATION BLOWER DISCHARGE VALVE</v>
      </c>
    </row>
    <row r="226" spans="1:9" x14ac:dyDescent="0.35">
      <c r="A226" s="52" t="str">
        <v>Deleted</v>
      </c>
      <c r="B226" s="52">
        <v>131236</v>
      </c>
      <c r="C226" s="52" t="str">
        <v>WIL21</v>
      </c>
      <c r="D226" s="52" t="str">
        <v>DS</v>
      </c>
      <c r="E226" s="52" t="str">
        <v>M</v>
      </c>
      <c r="F226" s="52">
        <v>5231</v>
      </c>
      <c r="G226" s="52" t="str">
        <v>&lt;Blank&gt;</v>
      </c>
      <c r="H226" s="53" t="str">
        <v>Deleted</v>
      </c>
      <c r="I226" s="53" t="str">
        <v>ON-OFF VALVE DATASHEET - ANAMMOX REACTOR G2D SPRAY WATER ISOLATION VALVE</v>
      </c>
    </row>
    <row r="227" spans="1:9" x14ac:dyDescent="0.35">
      <c r="A227" s="52" t="str">
        <v>Stage 2</v>
      </c>
      <c r="B227" s="52">
        <v>131236</v>
      </c>
      <c r="C227" s="52" t="str">
        <v>WIL21</v>
      </c>
      <c r="D227" s="52" t="str">
        <v>DS</v>
      </c>
      <c r="E227" s="52" t="str">
        <v>M</v>
      </c>
      <c r="F227" s="52">
        <v>5701</v>
      </c>
      <c r="G227" s="52" t="str">
        <v>&lt;Blank&gt;</v>
      </c>
      <c r="H227" s="53" t="str">
        <v>131236-WIL21-DS-M-5701</v>
      </c>
      <c r="I227" s="53" t="str">
        <v>CONTROL VALVE DATASHEET - TCI INLET FLOW CONTROL VALVE</v>
      </c>
    </row>
    <row r="228" spans="1:9" x14ac:dyDescent="0.35">
      <c r="A228" s="52" t="str">
        <v>Stage 2</v>
      </c>
      <c r="B228" s="52">
        <v>131236</v>
      </c>
      <c r="C228" s="52" t="str">
        <v>WIL21</v>
      </c>
      <c r="D228" s="52" t="str">
        <v>DS</v>
      </c>
      <c r="E228" s="52" t="str">
        <v>M</v>
      </c>
      <c r="F228" s="52">
        <v>5702</v>
      </c>
      <c r="G228" s="52" t="str">
        <v>&lt;Blank&gt;</v>
      </c>
      <c r="H228" s="53" t="str">
        <v>131236-WIL21-DS-M-5702</v>
      </c>
      <c r="I228" s="53" t="str">
        <v>CONTROL VALVE DATASHEET - DC PARTIAL BYPASS LINE INLET FLOW CONTROL VALVE</v>
      </c>
    </row>
    <row r="229" spans="1:9" x14ac:dyDescent="0.35">
      <c r="A229" s="52" t="str">
        <v>Stage 2</v>
      </c>
      <c r="B229" s="52">
        <v>131236</v>
      </c>
      <c r="C229" s="52" t="str">
        <v>WIL21</v>
      </c>
      <c r="D229" s="52" t="str">
        <v>DS</v>
      </c>
      <c r="E229" s="52" t="str">
        <v>M</v>
      </c>
      <c r="F229" s="52">
        <v>5703</v>
      </c>
      <c r="G229" s="52" t="str">
        <v>&lt;Blank&gt;</v>
      </c>
      <c r="H229" s="53" t="str">
        <v>131236-WIL21-DS-M-5703</v>
      </c>
      <c r="I229" s="53" t="str">
        <v>CONTROL VALVE DATASHEET - LAMELLA CLARIFIER 1/2/3/4/5 INLET FLOW CONTROL VALVE</v>
      </c>
    </row>
    <row r="230" spans="1:9" x14ac:dyDescent="0.35">
      <c r="A230" s="52" t="str">
        <v>Deleted</v>
      </c>
      <c r="B230" s="52">
        <v>131236</v>
      </c>
      <c r="C230" s="52" t="str">
        <v>WIL21</v>
      </c>
      <c r="D230" s="52" t="str">
        <v>DS</v>
      </c>
      <c r="E230" s="52" t="str">
        <v>M</v>
      </c>
      <c r="F230" s="52">
        <v>5711</v>
      </c>
      <c r="G230" s="52" t="str">
        <v>&lt;Blank&gt;</v>
      </c>
      <c r="H230" s="53" t="str">
        <v>Deleted</v>
      </c>
      <c r="I230" s="53" t="str">
        <v>CONTROL VALVE DATASHEET - AERATION AIR FLOW CONTROL VALVE</v>
      </c>
    </row>
    <row r="231" spans="1:9" x14ac:dyDescent="0.35">
      <c r="A231" s="52" t="str">
        <v>Stage 2</v>
      </c>
      <c r="B231" s="52">
        <v>131236</v>
      </c>
      <c r="C231" s="52" t="str">
        <v>WIL21</v>
      </c>
      <c r="D231" s="52" t="str">
        <v>DS</v>
      </c>
      <c r="E231" s="52" t="str">
        <v>M</v>
      </c>
      <c r="F231" s="52">
        <v>5721</v>
      </c>
      <c r="G231" s="52" t="str">
        <v>&lt;Blank&gt;</v>
      </c>
      <c r="H231" s="53" t="str">
        <v>131236-WIL21-DS-M-5721</v>
      </c>
      <c r="I231" s="53" t="str">
        <v>AIR RELEASE VALVE DATASHEET - PD PIPE AIR RELEASE VALVE</v>
      </c>
    </row>
    <row r="232" spans="1:9" x14ac:dyDescent="0.35">
      <c r="A232" s="52" t="str">
        <v>Stage 2</v>
      </c>
      <c r="B232" s="52">
        <v>131236</v>
      </c>
      <c r="C232" s="52" t="str">
        <v>WIL21</v>
      </c>
      <c r="D232" s="52" t="str">
        <v>DS</v>
      </c>
      <c r="E232" s="52" t="str">
        <v>M</v>
      </c>
      <c r="F232" s="52">
        <v>5722</v>
      </c>
      <c r="G232" s="52" t="str">
        <v>&lt;Blank&gt;</v>
      </c>
      <c r="H232" s="53" t="str">
        <v>131236-WIL21-DS-M-5722</v>
      </c>
      <c r="I232" s="53" t="str">
        <v>AIR RELEASE VALVE DATASHEET - PSI PIPE LINE AIR RELEASE VALVE</v>
      </c>
    </row>
    <row r="233" spans="1:9" x14ac:dyDescent="0.35">
      <c r="A233" s="52" t="str">
        <v>Stage 2</v>
      </c>
      <c r="B233" s="52">
        <v>131236</v>
      </c>
      <c r="C233" s="52" t="str">
        <v>WIL21</v>
      </c>
      <c r="D233" s="52" t="str">
        <v>DS</v>
      </c>
      <c r="E233" s="52" t="str">
        <v>M</v>
      </c>
      <c r="F233" s="52">
        <v>5723</v>
      </c>
      <c r="G233" s="52" t="str">
        <v>&lt;Blank&gt;</v>
      </c>
      <c r="H233" s="53" t="str">
        <v>131236-WIL21-DS-M-5723</v>
      </c>
      <c r="I233" s="53" t="str">
        <v>AIR RELEASE VALVE DATASHEET - WASI PIPELINE AIR RELEASE VALVE</v>
      </c>
    </row>
    <row r="234" spans="1:9" x14ac:dyDescent="0.35">
      <c r="A234" s="52" t="str">
        <v>Stage 2</v>
      </c>
      <c r="B234" s="52">
        <v>131236</v>
      </c>
      <c r="C234" s="52" t="str">
        <v>WIL21</v>
      </c>
      <c r="D234" s="52" t="str">
        <v>DS</v>
      </c>
      <c r="E234" s="52" t="str">
        <v>M</v>
      </c>
      <c r="F234" s="52">
        <v>5724</v>
      </c>
      <c r="G234" s="52" t="str">
        <v>&lt;Blank&gt;</v>
      </c>
      <c r="H234" s="53" t="str">
        <v>131236-WIL21-DS-M-5724</v>
      </c>
      <c r="I234" s="53" t="str">
        <v>AIR RELEASE VALVE DATASHEET - DC PIPELINE AIR RELEASE VALVE</v>
      </c>
    </row>
    <row r="235" spans="1:9" x14ac:dyDescent="0.35">
      <c r="A235" s="52" t="str">
        <v>Stage 2</v>
      </c>
      <c r="B235" s="52">
        <v>131236</v>
      </c>
      <c r="C235" s="52" t="str">
        <v>WIL21</v>
      </c>
      <c r="D235" s="52" t="str">
        <v>DS</v>
      </c>
      <c r="E235" s="52" t="str">
        <v>M</v>
      </c>
      <c r="F235" s="52">
        <v>5725</v>
      </c>
      <c r="G235" s="52" t="str">
        <v>&lt;Blank&gt;</v>
      </c>
      <c r="H235" s="53" t="str">
        <v>131236-WIL21-DS-M-5725</v>
      </c>
      <c r="I235" s="53" t="str">
        <v>AIR RELEASE VALVE DATASHEET - SSN OUTGOING DISCHARGE AIR RELEASE VALVE</v>
      </c>
    </row>
    <row r="236" spans="1:9" x14ac:dyDescent="0.35">
      <c r="A236" s="52" t="str">
        <v>Stage 2</v>
      </c>
      <c r="B236" s="52">
        <v>131236</v>
      </c>
      <c r="C236" s="52" t="str">
        <v>WIL21</v>
      </c>
      <c r="D236" s="52" t="str">
        <v>DS</v>
      </c>
      <c r="E236" s="52" t="str">
        <v>M</v>
      </c>
      <c r="F236" s="52" t="str">
        <v>5732</v>
      </c>
      <c r="G236" s="52" t="str">
        <v>&lt;Blank&gt;</v>
      </c>
      <c r="H236" s="53" t="str">
        <v>131236-WIL21-DS-M-5732</v>
      </c>
      <c r="I236" s="53" t="str">
        <v>SAFETY RELIEF VALVE DATASHEET - SSN WASTE SLUDGE PUMP A/B DISCHARGE SRV</v>
      </c>
    </row>
    <row r="237" spans="1:9" x14ac:dyDescent="0.35">
      <c r="A237" s="52" t="str">
        <v>Stage 2</v>
      </c>
      <c r="B237" s="52">
        <v>131236</v>
      </c>
      <c r="C237" s="52" t="str">
        <v>WIL21</v>
      </c>
      <c r="D237" s="52" t="str">
        <v>DS</v>
      </c>
      <c r="E237" s="52" t="str">
        <v>M</v>
      </c>
      <c r="F237" s="52" t="str">
        <v>5733</v>
      </c>
      <c r="G237" s="52" t="str">
        <v>&lt;Blank&gt;</v>
      </c>
      <c r="H237" s="53" t="str">
        <v>131236-WIL21-DS-M-5733</v>
      </c>
      <c r="I237" s="53" t="str">
        <v xml:space="preserve">SAFETY RELIEF VALVE DATASHEET - SSN WASTE SLUDGE PUMP C/D DISCHARGE SRV </v>
      </c>
    </row>
    <row r="238" spans="1:9" x14ac:dyDescent="0.35">
      <c r="A238" s="52" t="str">
        <v>Stage 2</v>
      </c>
      <c r="B238" s="52">
        <v>131236</v>
      </c>
      <c r="C238" s="52" t="str">
        <v>WIL21</v>
      </c>
      <c r="D238" s="52" t="str">
        <v>DS</v>
      </c>
      <c r="E238" s="52" t="str">
        <v>M</v>
      </c>
      <c r="F238" s="52" t="str">
        <v>5734</v>
      </c>
      <c r="G238" s="52" t="str">
        <v>&lt;Blank&gt;</v>
      </c>
      <c r="H238" s="53" t="str">
        <v>131236-WIL21-DS-M-5734</v>
      </c>
      <c r="I238" s="53" t="str">
        <v xml:space="preserve">SAFETY RELIEF VALVE DATASHEET - SSN GRANULAR SLUDGE PUMP DISCHARGE SRV </v>
      </c>
    </row>
    <row r="239" spans="1:9" x14ac:dyDescent="0.35">
      <c r="A239" s="52" t="str">
        <v>Stage 2</v>
      </c>
      <c r="B239" s="52">
        <v>131236</v>
      </c>
      <c r="C239" s="52" t="str">
        <v>WIL21</v>
      </c>
      <c r="D239" s="52" t="str">
        <v>DS</v>
      </c>
      <c r="E239" s="52" t="str">
        <v>M</v>
      </c>
      <c r="F239" s="52" t="str">
        <v>5731</v>
      </c>
      <c r="G239" s="52" t="str">
        <v>&lt;Blank&gt;</v>
      </c>
      <c r="H239" s="53" t="str">
        <v>131236-WIL21-DS-M-5731</v>
      </c>
      <c r="I239" s="53" t="str">
        <v>SAFETY RELIEF VALVE DATASHEET - SSN SAMPLING PUMP DISCHARGE SRV</v>
      </c>
    </row>
    <row r="240" spans="1:9" x14ac:dyDescent="0.35">
      <c r="A240" s="52" t="str">
        <v>Stage 2</v>
      </c>
      <c r="B240" s="52">
        <v>131236</v>
      </c>
      <c r="C240" s="52" t="str">
        <v>WIL21</v>
      </c>
      <c r="D240" s="52" t="str">
        <v>DS</v>
      </c>
      <c r="E240" s="52" t="str">
        <v>M</v>
      </c>
      <c r="F240" s="52" t="str">
        <v>5735</v>
      </c>
      <c r="G240" s="52" t="str">
        <v>&lt;Blank&gt;</v>
      </c>
      <c r="H240" s="53" t="str">
        <v>131236-WIL21-DS-M-5735</v>
      </c>
      <c r="I240" s="53" t="str">
        <v xml:space="preserve">SAFETY RELIEF VALVE DATASHEET - SSN SLUDGE TRANSFER PUMP DISCHARGE SRV </v>
      </c>
    </row>
    <row r="241" spans="1:9" x14ac:dyDescent="0.35">
      <c r="A241" s="52" t="str">
        <v>Stage 2</v>
      </c>
      <c r="B241" s="52">
        <v>131236</v>
      </c>
      <c r="C241" s="52" t="str">
        <v>WIL21</v>
      </c>
      <c r="D241" s="52" t="str">
        <v>DS</v>
      </c>
      <c r="E241" s="52" t="str">
        <v>M</v>
      </c>
      <c r="F241" s="52" t="str">
        <v>5560</v>
      </c>
      <c r="G241" s="52" t="str">
        <v>&lt;Blank&gt;</v>
      </c>
      <c r="H241" s="53" t="str">
        <v>131236-WIL21-DS-M-5560</v>
      </c>
      <c r="I241" s="53" t="str">
        <v>SOLENOID VALVE DATASHEET - ANALYZER AIR AIR FLUSHING</v>
      </c>
    </row>
    <row r="242" spans="1:9" x14ac:dyDescent="0.35">
      <c r="A242" s="52" t="str">
        <v>Deleted</v>
      </c>
      <c r="B242" s="52">
        <v>131236</v>
      </c>
      <c r="C242" s="52" t="str">
        <v>WIL21</v>
      </c>
      <c r="D242" s="52" t="str">
        <v>DS</v>
      </c>
      <c r="E242" s="52" t="str">
        <v>M</v>
      </c>
      <c r="F242" s="52">
        <v>5741</v>
      </c>
      <c r="G242" s="52" t="str">
        <v>&lt;Blank&gt;</v>
      </c>
      <c r="H242" s="53" t="str">
        <v>Deleted</v>
      </c>
      <c r="I242" s="53" t="str">
        <v>Diffuser Purging Solenoid Valve Datasheet</v>
      </c>
    </row>
    <row r="243" spans="1:9" x14ac:dyDescent="0.35">
      <c r="A243" s="52" t="str">
        <v>Stage 2</v>
      </c>
      <c r="B243" s="52">
        <v>131236</v>
      </c>
      <c r="C243" s="52" t="str">
        <v>WIL21</v>
      </c>
      <c r="D243" s="52" t="str">
        <v>DS</v>
      </c>
      <c r="E243" s="52" t="str">
        <v>M</v>
      </c>
      <c r="F243" s="52">
        <v>5751</v>
      </c>
      <c r="G243" s="52" t="str">
        <v>&lt;Blank&gt;</v>
      </c>
      <c r="H243" s="53" t="str">
        <v>131236-WIL21-DS-M-5751</v>
      </c>
      <c r="I243" s="53" t="str">
        <v>PRESSURE REDUCING VALVE DATASHEET - G2D PRV</v>
      </c>
    </row>
    <row r="244" spans="1:9" x14ac:dyDescent="0.35">
      <c r="A244" s="52" t="str">
        <v>Deleted</v>
      </c>
      <c r="B244" s="52">
        <v>131236</v>
      </c>
      <c r="C244" s="52" t="str">
        <v>WIL21</v>
      </c>
      <c r="D244" s="52" t="str">
        <v>DS</v>
      </c>
      <c r="E244" s="52" t="str">
        <v>M</v>
      </c>
      <c r="F244" s="52">
        <v>5751</v>
      </c>
      <c r="G244" s="52" t="str">
        <v>&lt;Blank&gt;</v>
      </c>
      <c r="H244" s="53" t="str">
        <v>Deleted</v>
      </c>
      <c r="I244" s="53" t="str">
        <v>C4B SSN Pressure Reducing Valve GA Drawing</v>
      </c>
    </row>
    <row r="245" spans="1:9" x14ac:dyDescent="0.35">
      <c r="A245" s="52" t="str">
        <v>Stage 2</v>
      </c>
      <c r="B245" s="52">
        <v>131236</v>
      </c>
      <c r="C245" s="52" t="str">
        <v>WIL21</v>
      </c>
      <c r="D245" s="52" t="str">
        <v>DS</v>
      </c>
      <c r="E245" s="52" t="str">
        <v>M</v>
      </c>
      <c r="F245" s="52">
        <v>5752</v>
      </c>
      <c r="G245" s="52" t="str">
        <v>&lt;Blank&gt;</v>
      </c>
      <c r="H245" s="53" t="str">
        <v>131236-WIL21-DS-M-5752</v>
      </c>
      <c r="I245" s="53" t="str">
        <v>PRESSURE REDUCING VALVE DATASHEET - IA PRV</v>
      </c>
    </row>
    <row r="246" spans="1:9" x14ac:dyDescent="0.35">
      <c r="A246" s="52" t="str">
        <v>Stage 2</v>
      </c>
      <c r="B246" s="52">
        <v>131236</v>
      </c>
      <c r="C246" s="52" t="str">
        <v>WIL21</v>
      </c>
      <c r="D246" s="52" t="str">
        <v>DS</v>
      </c>
      <c r="E246" s="52" t="str">
        <v>M</v>
      </c>
      <c r="F246" s="52">
        <v>5801</v>
      </c>
      <c r="G246" s="52" t="str">
        <v>&lt;Blank&gt;</v>
      </c>
      <c r="H246" s="53" t="str">
        <v>131236-WIL21-DS-M-5801</v>
      </c>
      <c r="I246" s="53" t="str">
        <v>SSN SPRAY NOZZLE DATASHEET</v>
      </c>
    </row>
    <row r="247" spans="1:9" x14ac:dyDescent="0.35">
      <c r="A247" s="52" t="str">
        <v>Stage 2</v>
      </c>
      <c r="B247" s="52">
        <v>131236</v>
      </c>
      <c r="C247" s="52" t="str">
        <v>WIL21</v>
      </c>
      <c r="D247" s="52" t="str">
        <v>DS</v>
      </c>
      <c r="E247" s="52" t="str">
        <v>M</v>
      </c>
      <c r="F247" s="52">
        <v>5753</v>
      </c>
      <c r="G247" s="52" t="str">
        <v>&lt;Blank&gt;</v>
      </c>
      <c r="H247" s="53" t="str">
        <v>131236-WIL21-DS-M-5753</v>
      </c>
      <c r="I247" s="53" t="str">
        <v>SSN SLUDGE COMPARTMENT MIXING NOZZLE DATASHEET</v>
      </c>
    </row>
    <row r="248" spans="1:9" x14ac:dyDescent="0.35">
      <c r="A248" s="52" t="str">
        <v>Stage 2</v>
      </c>
      <c r="B248" s="52">
        <v>131236</v>
      </c>
      <c r="C248" s="52" t="str">
        <v>WIL21</v>
      </c>
      <c r="D248" s="52" t="str">
        <v>DS</v>
      </c>
      <c r="E248" s="52" t="str">
        <v>M</v>
      </c>
      <c r="F248" s="52" t="str">
        <v>5761</v>
      </c>
      <c r="G248" s="52" t="str">
        <v>&lt;Blank&gt;</v>
      </c>
      <c r="H248" s="53" t="str">
        <v>131236-WIL21-DS-M-5761</v>
      </c>
      <c r="I248" s="53" t="str">
        <v>SSN AUTOMATIC CONDENSATE DRAIN VALVE DATASHEET</v>
      </c>
    </row>
    <row r="249" spans="1:9" x14ac:dyDescent="0.35">
      <c r="A249" s="52" t="str">
        <v>Stage 2</v>
      </c>
      <c r="B249" s="52">
        <v>131236</v>
      </c>
      <c r="C249" s="52" t="str">
        <v>WIL21</v>
      </c>
      <c r="D249" s="52" t="str">
        <v>DS</v>
      </c>
      <c r="E249" s="52" t="str">
        <v>M</v>
      </c>
      <c r="F249" s="52" t="str">
        <v>0020</v>
      </c>
      <c r="G249" s="52" t="str">
        <v>&lt;Blank&gt;</v>
      </c>
      <c r="H249" s="53" t="str">
        <v>131236-WIL21-DS-M-0020</v>
      </c>
      <c r="I249" s="53" t="str">
        <v xml:space="preserve">CASCADE COUPLING DATASHEET </v>
      </c>
    </row>
    <row r="250" spans="1:9" x14ac:dyDescent="0.35">
      <c r="A250" s="52" t="str">
        <v>Deleted</v>
      </c>
      <c r="B250" s="52">
        <v>131236</v>
      </c>
      <c r="C250" s="52" t="str">
        <v>WIL21</v>
      </c>
      <c r="D250" s="52" t="str">
        <v>MS</v>
      </c>
      <c r="E250" s="52" t="str">
        <v>P</v>
      </c>
      <c r="F250" s="52" t="str">
        <v>0001</v>
      </c>
      <c r="G250" s="52" t="str">
        <v>&lt;Blank&gt;</v>
      </c>
      <c r="H250" s="53" t="str">
        <v>Deleted</v>
      </c>
      <c r="I250" s="53" t="str">
        <v>Performance Test Procedure</v>
      </c>
    </row>
    <row r="251" spans="1:9" x14ac:dyDescent="0.35">
      <c r="A251" s="52" t="str">
        <v>Deleted</v>
      </c>
      <c r="B251" s="52">
        <v>131236</v>
      </c>
      <c r="C251" s="52" t="str">
        <v>WIL21</v>
      </c>
      <c r="D251" s="52" t="str">
        <v>MS</v>
      </c>
      <c r="E251" s="52" t="str">
        <v>P</v>
      </c>
      <c r="F251" s="52" t="str">
        <v>0002</v>
      </c>
      <c r="G251" s="52" t="str">
        <v>&lt;Blank&gt;</v>
      </c>
      <c r="H251" s="53" t="str">
        <v>Deleted</v>
      </c>
      <c r="I251" s="53" t="str">
        <v>Commissioning Procedure</v>
      </c>
    </row>
    <row r="252" spans="1:9" x14ac:dyDescent="0.35">
      <c r="A252" s="52" t="str">
        <v>Deleted</v>
      </c>
      <c r="B252" s="52">
        <v>131236</v>
      </c>
      <c r="C252" s="52" t="str">
        <v>WIL21</v>
      </c>
      <c r="D252" s="52" t="str">
        <v>MS</v>
      </c>
      <c r="E252" s="52" t="str">
        <v>P</v>
      </c>
      <c r="F252" s="52" t="str">
        <v>0003</v>
      </c>
      <c r="G252" s="52" t="str">
        <v>&lt;Blank&gt;</v>
      </c>
      <c r="H252" s="53" t="str">
        <v>Deleted</v>
      </c>
      <c r="I252" s="53" t="str">
        <v>O&amp;M Manual</v>
      </c>
    </row>
    <row r="253" spans="1:9" x14ac:dyDescent="0.35">
      <c r="A253" s="52" t="str">
        <v>Deleted</v>
      </c>
      <c r="B253" s="52">
        <v>131236</v>
      </c>
      <c r="C253" s="52" t="str">
        <v>WIL21</v>
      </c>
      <c r="D253" s="52" t="str">
        <v>MS</v>
      </c>
      <c r="E253" s="52" t="str">
        <v>P</v>
      </c>
      <c r="F253" s="52" t="str">
        <v>0004</v>
      </c>
      <c r="G253" s="52" t="str">
        <v>&lt;Blank&gt;</v>
      </c>
      <c r="H253" s="53" t="str">
        <v>Deleted</v>
      </c>
      <c r="I253" s="53" t="str">
        <v>Training Manual</v>
      </c>
    </row>
    <row r="254" spans="1:9" x14ac:dyDescent="0.35">
      <c r="A254" s="52" t="str">
        <v>Deleted</v>
      </c>
      <c r="B254" s="52">
        <v>131236</v>
      </c>
      <c r="C254" s="52" t="str">
        <v>WIL21</v>
      </c>
      <c r="D254" s="52" t="str">
        <v>MS</v>
      </c>
      <c r="E254" s="52" t="str">
        <v>P</v>
      </c>
      <c r="F254" s="52" t="str">
        <v>0005</v>
      </c>
      <c r="G254" s="52" t="str">
        <v>&lt;Blank&gt;</v>
      </c>
      <c r="H254" s="53" t="str">
        <v>Deleted</v>
      </c>
      <c r="I254" s="53" t="str">
        <v>Diffuser O&amp;M Manual</v>
      </c>
    </row>
    <row r="255" spans="1:9" x14ac:dyDescent="0.35">
      <c r="A255" s="52" t="str">
        <v>Stage 1</v>
      </c>
      <c r="B255" s="52">
        <v>131236</v>
      </c>
      <c r="C255" s="52" t="str">
        <v>WIL21</v>
      </c>
      <c r="D255" s="52" t="str">
        <v>VI</v>
      </c>
      <c r="E255" s="52" t="str">
        <v>M</v>
      </c>
      <c r="F255" s="52" t="str">
        <v>0001</v>
      </c>
      <c r="G255" s="52" t="str">
        <v>&lt;Blank&gt;</v>
      </c>
      <c r="H255" s="53" t="str">
        <v>131236-WIL21-VI-M-0001</v>
      </c>
      <c r="I255" s="53" t="str">
        <v>Preliminary design and Vendor Approval for THP Package</v>
      </c>
    </row>
    <row r="256" spans="1:9" x14ac:dyDescent="0.35">
      <c r="A256" s="52" t="str">
        <v>Stage 1</v>
      </c>
      <c r="B256" s="52">
        <v>131236</v>
      </c>
      <c r="C256" s="52" t="str">
        <v>WIL21</v>
      </c>
      <c r="D256" s="52" t="str">
        <v>VI</v>
      </c>
      <c r="E256" s="52" t="str">
        <v>M</v>
      </c>
      <c r="F256" s="52" t="str">
        <v>0002</v>
      </c>
      <c r="G256" s="52" t="str">
        <v>&lt;Blank&gt;</v>
      </c>
      <c r="H256" s="53" t="str">
        <v>131236-WIL21-VI-M-0002</v>
      </c>
      <c r="I256" s="53" t="str">
        <v>PRELIMINARY DESIGN AND VENDOR APPROVAL DOCUMENT- THP SYSTEM VALVE PACKAGE (CAMBI SUPPLY)</v>
      </c>
    </row>
    <row r="257" spans="1:9" x14ac:dyDescent="0.35">
      <c r="A257" s="52" t="str">
        <v>Stage 1</v>
      </c>
      <c r="B257" s="52">
        <v>131236</v>
      </c>
      <c r="C257" s="52" t="str">
        <v>WIL21</v>
      </c>
      <c r="D257" s="52" t="str">
        <v>VI</v>
      </c>
      <c r="E257" s="52" t="str">
        <v>M</v>
      </c>
      <c r="F257" s="52" t="str">
        <v>0003</v>
      </c>
      <c r="G257" s="52" t="str">
        <v>&lt;Blank&gt;</v>
      </c>
      <c r="H257" s="53" t="str">
        <v>131236-WIL21-VI-M-0003</v>
      </c>
      <c r="I257" s="53" t="str">
        <v>PRELIMINARY DESIGN AND VENDOR APPROVAL DOCUMENT- G1 AND G2D BOOSTER PUMPS (CAMBI SUPPLY)</v>
      </c>
    </row>
    <row r="258" spans="1:9" x14ac:dyDescent="0.35">
      <c r="A258" s="52" t="str">
        <v>Stage 1</v>
      </c>
      <c r="B258" s="52">
        <v>131236</v>
      </c>
      <c r="C258" s="52" t="str">
        <v>WIL21</v>
      </c>
      <c r="D258" s="52" t="str">
        <v>VI</v>
      </c>
      <c r="E258" s="52" t="str">
        <v>M</v>
      </c>
      <c r="F258" s="52" t="str">
        <v>0004</v>
      </c>
      <c r="G258" s="52" t="str">
        <v>&lt;Blank&gt;</v>
      </c>
      <c r="H258" s="53" t="str">
        <v>131236-WIL21-VI-M-0004</v>
      </c>
      <c r="I258" s="53" t="str">
        <v>PRELIMINARY DESIGN AND VENDOR APPROVAL DOCUMENT- STEAM EQUIPTMENT PACKAGE</v>
      </c>
    </row>
    <row r="259" spans="1:9" x14ac:dyDescent="0.35">
      <c r="A259" s="52" t="str">
        <v>NA</v>
      </c>
      <c r="B259" s="52">
        <v>131236</v>
      </c>
      <c r="C259" s="52" t="str">
        <v>WIL21</v>
      </c>
      <c r="D259" s="52" t="str">
        <v>RT</v>
      </c>
      <c r="E259" s="52" t="str">
        <v>P</v>
      </c>
      <c r="F259" s="52" t="str">
        <v>0001</v>
      </c>
      <c r="G259" s="52" t="str">
        <v>&lt;Blank&gt;</v>
      </c>
      <c r="H259" s="53" t="str">
        <v>131236-WIL21-RT-P-0001</v>
      </c>
      <c r="I259" s="53" t="str">
        <v>Basis of Design Report - THP</v>
      </c>
    </row>
    <row r="260" spans="1:9" x14ac:dyDescent="0.35">
      <c r="A260" s="52" t="str">
        <v>NA</v>
      </c>
      <c r="B260" s="52">
        <v>131236</v>
      </c>
      <c r="C260" s="52" t="str">
        <v>WIL21</v>
      </c>
      <c r="D260" s="52" t="str">
        <v>RT</v>
      </c>
      <c r="E260" s="52" t="str">
        <v>P</v>
      </c>
      <c r="F260" s="52" t="str">
        <v>0002</v>
      </c>
      <c r="G260" s="52" t="str">
        <v>&lt;Blank&gt;</v>
      </c>
      <c r="H260" s="53" t="str">
        <v>131236-WIL21-RT-P-0002</v>
      </c>
      <c r="I260" s="53" t="str">
        <v>THP Detailed Design Report</v>
      </c>
    </row>
    <row r="261" spans="1:9" x14ac:dyDescent="0.35">
      <c r="A261" s="52" t="str">
        <v>NA</v>
      </c>
      <c r="B261" s="52">
        <v>131236</v>
      </c>
      <c r="C261" s="52" t="str">
        <v>WIL21</v>
      </c>
      <c r="D261" s="52" t="str">
        <v>PS</v>
      </c>
      <c r="E261" s="52" t="str">
        <v>P</v>
      </c>
      <c r="F261" s="52" t="str">
        <v>0001</v>
      </c>
      <c r="G261" s="52" t="str">
        <v>&lt;Blank&gt;</v>
      </c>
      <c r="H261" s="53" t="str">
        <v>131236-WIL21-PS-P-0001</v>
      </c>
      <c r="I261" s="53" t="str">
        <v>THERMAL HYDROLYSIS PROCESS PRESENTATION</v>
      </c>
    </row>
    <row r="262" spans="1:9" x14ac:dyDescent="0.35">
      <c r="A262" s="52" t="str">
        <v>NA</v>
      </c>
      <c r="B262" s="52">
        <v>131236</v>
      </c>
      <c r="C262" s="52" t="str">
        <v>WIL21</v>
      </c>
      <c r="D262" s="52" t="str">
        <v>RT</v>
      </c>
      <c r="E262" s="52" t="str">
        <v>P</v>
      </c>
      <c r="F262" s="52" t="str">
        <v>0003</v>
      </c>
      <c r="G262" s="52" t="str">
        <v>&lt;Blank&gt;</v>
      </c>
      <c r="H262" s="53" t="str">
        <v>131236-WIL21-RT-P-0003</v>
      </c>
      <c r="I262" s="53" t="str">
        <v>HAZOP Study Report - THP</v>
      </c>
    </row>
    <row r="263" spans="1:9" x14ac:dyDescent="0.35">
      <c r="A263" s="52" t="str">
        <v>NA</v>
      </c>
      <c r="B263" s="52">
        <v>131236</v>
      </c>
      <c r="C263" s="52" t="str">
        <v>WIL21</v>
      </c>
      <c r="D263" s="52" t="str">
        <v>RT</v>
      </c>
      <c r="E263" s="52" t="str">
        <v>Z</v>
      </c>
      <c r="F263" s="52" t="str">
        <v>0001</v>
      </c>
      <c r="G263" s="52" t="str">
        <v>&lt;Blank&gt;</v>
      </c>
      <c r="H263" s="53" t="str">
        <v>131236-WIL21-RT-Z-0001</v>
      </c>
      <c r="I263" s="53" t="str">
        <v>30% ALMOP Study Report for THP</v>
      </c>
    </row>
    <row r="264" spans="1:9" x14ac:dyDescent="0.35">
      <c r="A264" s="52" t="str">
        <v>Stage 2</v>
      </c>
      <c r="B264" s="52">
        <v>131236</v>
      </c>
      <c r="C264" s="52" t="str">
        <v>WIL21</v>
      </c>
      <c r="D264" s="52" t="str">
        <v>CH</v>
      </c>
      <c r="E264" s="52" t="str">
        <v>P</v>
      </c>
      <c r="F264" s="52" t="str">
        <v>0002</v>
      </c>
      <c r="G264" s="52" t="str">
        <v>&lt;Blank&gt;</v>
      </c>
      <c r="H264" s="53" t="str">
        <v>131236-WIL21-CH-P-0002</v>
      </c>
      <c r="I264" s="53" t="str">
        <v>PROCESS DESIGN BASIS</v>
      </c>
    </row>
    <row r="265" spans="1:9" x14ac:dyDescent="0.35">
      <c r="A265" s="52" t="str">
        <v>Stage 2</v>
      </c>
      <c r="B265" s="52">
        <v>131236</v>
      </c>
      <c r="C265" s="52" t="str">
        <v>WIL21</v>
      </c>
      <c r="D265" s="52" t="str">
        <v>SP</v>
      </c>
      <c r="E265" s="52" t="str">
        <v>P</v>
      </c>
      <c r="F265" s="52" t="str">
        <v>0001</v>
      </c>
      <c r="G265" s="52" t="str">
        <v>&lt;Blank&gt;</v>
      </c>
      <c r="H265" s="53" t="str">
        <v>131236-WIL21-SP-P-0001</v>
      </c>
      <c r="I265" s="53" t="str">
        <v>PROCESS CONTROL NARRATIVE - THP</v>
      </c>
    </row>
    <row r="266" spans="1:9" x14ac:dyDescent="0.35">
      <c r="A266" s="52" t="str">
        <v>Stage 2</v>
      </c>
      <c r="B266" s="52">
        <v>131236</v>
      </c>
      <c r="C266" s="52" t="str">
        <v>WIL21</v>
      </c>
      <c r="D266" s="52" t="str">
        <v>CH</v>
      </c>
      <c r="E266" s="52" t="str">
        <v>P</v>
      </c>
      <c r="F266" s="52" t="str">
        <v>0001</v>
      </c>
      <c r="G266" s="52" t="str">
        <v>&lt;Blank&gt;</v>
      </c>
      <c r="H266" s="53" t="str">
        <v>131236-WIL21-CH-P-0001</v>
      </c>
      <c r="I266" s="53" t="str">
        <v>PROCESS FUNCTIONAL DESCRIPTION</v>
      </c>
    </row>
    <row r="267" spans="1:9" x14ac:dyDescent="0.35">
      <c r="A267" s="52" t="str">
        <v>Stage 2</v>
      </c>
      <c r="B267" s="52">
        <v>131236</v>
      </c>
      <c r="C267" s="52" t="str">
        <v>WIL21</v>
      </c>
      <c r="D267" s="52" t="str">
        <v>CL</v>
      </c>
      <c r="E267" s="52" t="str">
        <v>P</v>
      </c>
      <c r="F267" s="52" t="str">
        <v>0001</v>
      </c>
      <c r="G267" s="52" t="str">
        <v>&lt;Blank&gt;</v>
      </c>
      <c r="H267" s="53" t="str">
        <v>131236-WIL21-CL-P-0001</v>
      </c>
      <c r="I267" s="53" t="str">
        <v>C4B COMPRESSED AIR CALCULATION SHEET</v>
      </c>
    </row>
    <row r="268" spans="1:9" x14ac:dyDescent="0.35">
      <c r="A268" s="52" t="str">
        <v>Stage 2</v>
      </c>
      <c r="B268" s="52">
        <v>131236</v>
      </c>
      <c r="C268" s="52" t="str">
        <v>WIL21</v>
      </c>
      <c r="D268" s="52" t="str">
        <v>CL</v>
      </c>
      <c r="E268" s="52" t="str">
        <v>P</v>
      </c>
      <c r="F268" s="52" t="str">
        <v>0007</v>
      </c>
      <c r="G268" s="52" t="str">
        <v>&lt;Blank&gt;</v>
      </c>
      <c r="H268" s="53" t="str">
        <v>131236-WIL21-CL-P-0007</v>
      </c>
      <c r="I268" s="53" t="str">
        <v>Steam Sparger Calculation</v>
      </c>
    </row>
    <row r="269" spans="1:9" x14ac:dyDescent="0.35">
      <c r="A269" s="52" t="str">
        <v>Stage 2</v>
      </c>
      <c r="B269" s="52">
        <v>131236</v>
      </c>
      <c r="C269" s="52" t="str">
        <v>WIL21</v>
      </c>
      <c r="D269" s="52" t="str">
        <v>CL</v>
      </c>
      <c r="E269" s="52" t="str">
        <v>P</v>
      </c>
      <c r="F269" s="52" t="str">
        <v>0014</v>
      </c>
      <c r="G269" s="52" t="str">
        <v>&lt;Blank&gt;</v>
      </c>
      <c r="H269" s="53" t="str">
        <v>131236-WIL21-CL-P-0014</v>
      </c>
      <c r="I269" s="53" t="str">
        <v>THP Steam Pressure Loss Calculation</v>
      </c>
    </row>
    <row r="270" spans="1:9" x14ac:dyDescent="0.35">
      <c r="A270" s="52" t="str">
        <v>Stage 2</v>
      </c>
      <c r="B270" s="52">
        <v>131236</v>
      </c>
      <c r="C270" s="52" t="str">
        <v>WIL21</v>
      </c>
      <c r="D270" s="52" t="str">
        <v>CL</v>
      </c>
      <c r="E270" s="52" t="str">
        <v>P</v>
      </c>
      <c r="F270" s="52" t="str">
        <v>0002</v>
      </c>
      <c r="G270" s="52" t="str">
        <v>&lt;Blank&gt;</v>
      </c>
      <c r="H270" s="53" t="str">
        <v>131236-WIL21-CL-P-0002</v>
      </c>
      <c r="I270" s="53" t="str">
        <v>C4B THP EQUIPMENT SIZING CALCULATION SHEET</v>
      </c>
    </row>
    <row r="271" spans="1:9" x14ac:dyDescent="0.35">
      <c r="A271" s="52" t="str">
        <v>Stage 2</v>
      </c>
      <c r="B271" s="52">
        <v>131236</v>
      </c>
      <c r="C271" s="52" t="str">
        <v>WIL21</v>
      </c>
      <c r="D271" s="52" t="str">
        <v>CL</v>
      </c>
      <c r="E271" s="52" t="str">
        <v>P</v>
      </c>
      <c r="F271" s="52" t="str">
        <v>0003</v>
      </c>
      <c r="G271" s="52" t="str">
        <v>&lt;Blank&gt;</v>
      </c>
      <c r="H271" s="53" t="str">
        <v>131236-WIL21-CL-P-0003</v>
      </c>
      <c r="I271" s="53" t="str">
        <v>Plant Drain Hydraulic Calculation</v>
      </c>
    </row>
    <row r="272" spans="1:9" x14ac:dyDescent="0.35">
      <c r="A272" s="52" t="str">
        <v>Stage 2</v>
      </c>
      <c r="B272" s="52">
        <v>131236</v>
      </c>
      <c r="C272" s="52" t="str">
        <v>WIL21</v>
      </c>
      <c r="D272" s="52" t="str">
        <v>CL</v>
      </c>
      <c r="E272" s="52" t="str">
        <v>P</v>
      </c>
      <c r="F272" s="52" t="str">
        <v>0004</v>
      </c>
      <c r="G272" s="52" t="str">
        <v>&lt;Blank&gt;</v>
      </c>
      <c r="H272" s="53" t="str">
        <v>131236-WIL21-CL-P-0004</v>
      </c>
      <c r="I272" s="53" t="str">
        <v>THP Feed Pump Pressure Loss Calculation</v>
      </c>
    </row>
    <row r="273" spans="1:9" x14ac:dyDescent="0.35">
      <c r="A273" s="52" t="str">
        <v>Stage 2</v>
      </c>
      <c r="B273" s="52">
        <v>131236</v>
      </c>
      <c r="C273" s="52" t="str">
        <v>WIL21</v>
      </c>
      <c r="D273" s="52" t="str">
        <v>CL</v>
      </c>
      <c r="E273" s="52" t="str">
        <v>P</v>
      </c>
      <c r="F273" s="52" t="str">
        <v>0006</v>
      </c>
      <c r="G273" s="52" t="str">
        <v>&lt;Blank&gt;</v>
      </c>
      <c r="H273" s="53" t="str">
        <v>131236-WIL21-CL-P-0006</v>
      </c>
      <c r="I273" s="53" t="str">
        <v>Air Compressor Pressure Loss Calculation</v>
      </c>
    </row>
    <row r="274" spans="1:9" x14ac:dyDescent="0.35">
      <c r="A274" s="52" t="str">
        <v>Stage 2</v>
      </c>
      <c r="B274" s="52">
        <v>131236</v>
      </c>
      <c r="C274" s="52" t="str">
        <v>WIL21</v>
      </c>
      <c r="D274" s="52" t="str">
        <v>CL</v>
      </c>
      <c r="E274" s="52" t="str">
        <v>P</v>
      </c>
      <c r="F274" s="52" t="str">
        <v>0008</v>
      </c>
      <c r="G274" s="52" t="str">
        <v>&lt;Blank&gt;</v>
      </c>
      <c r="H274" s="53" t="str">
        <v>131236-WIL21-CL-P-0008</v>
      </c>
      <c r="I274" s="53" t="str">
        <v>Desuperheater Calculation</v>
      </c>
    </row>
    <row r="275" spans="1:9" x14ac:dyDescent="0.35">
      <c r="A275" s="52" t="str">
        <v>Stage 2</v>
      </c>
      <c r="B275" s="52">
        <v>131236</v>
      </c>
      <c r="C275" s="52" t="str">
        <v>WIL21</v>
      </c>
      <c r="D275" s="52" t="str">
        <v>CL</v>
      </c>
      <c r="E275" s="52" t="str">
        <v>P</v>
      </c>
      <c r="F275" s="52" t="str">
        <v>0009</v>
      </c>
      <c r="G275" s="52" t="str">
        <v>&lt;Blank&gt;</v>
      </c>
      <c r="H275" s="53" t="str">
        <v>131236-WIL21-CL-P-0009</v>
      </c>
      <c r="I275" s="53" t="str">
        <v xml:space="preserve">Flash Tank Discharge Pump Pressure Loss Calculation </v>
      </c>
    </row>
    <row r="276" spans="1:9" x14ac:dyDescent="0.35">
      <c r="A276" s="52" t="str">
        <v>Stage 2</v>
      </c>
      <c r="B276" s="52">
        <v>131236</v>
      </c>
      <c r="C276" s="52" t="str">
        <v>WIL21</v>
      </c>
      <c r="D276" s="52" t="str">
        <v>CL</v>
      </c>
      <c r="E276" s="52" t="str">
        <v>P</v>
      </c>
      <c r="F276" s="52" t="str">
        <v>0010</v>
      </c>
      <c r="G276" s="52" t="str">
        <v>&lt;Blank&gt;</v>
      </c>
      <c r="H276" s="53" t="str">
        <v>131236-WIL21-CL-P-0010</v>
      </c>
      <c r="I276" s="53" t="str">
        <v xml:space="preserve">Precooler S2 Circ Pump Pressure Loss Calculation </v>
      </c>
    </row>
    <row r="277" spans="1:9" x14ac:dyDescent="0.35">
      <c r="A277" s="52" t="str">
        <v>Deleted</v>
      </c>
      <c r="B277" s="52">
        <v>131236</v>
      </c>
      <c r="C277" s="52" t="str">
        <v>WIL21</v>
      </c>
      <c r="D277" s="52" t="str">
        <v>CL</v>
      </c>
      <c r="E277" s="52" t="str">
        <v>P</v>
      </c>
      <c r="F277" s="52" t="str">
        <v>0011</v>
      </c>
      <c r="G277" s="52" t="str">
        <v>&lt;Blank&gt;</v>
      </c>
      <c r="H277" s="53" t="str">
        <v>Deleted</v>
      </c>
      <c r="I277" s="53" t="str">
        <v>THP Plant Process Water Hydraulic in C4B Courtyard</v>
      </c>
    </row>
    <row r="278" spans="1:9" x14ac:dyDescent="0.35">
      <c r="A278" s="52" t="str">
        <v>Deleted</v>
      </c>
      <c r="B278" s="52">
        <v>131236</v>
      </c>
      <c r="C278" s="52" t="str">
        <v>WIL21</v>
      </c>
      <c r="D278" s="52" t="str">
        <v>CL</v>
      </c>
      <c r="E278" s="52" t="str">
        <v>P</v>
      </c>
      <c r="F278" s="52" t="str">
        <v>0012</v>
      </c>
      <c r="G278" s="52" t="str">
        <v>&lt;Blank&gt;</v>
      </c>
      <c r="H278" s="53" t="str">
        <v>Deleted</v>
      </c>
      <c r="I278" s="53" t="str">
        <v>Steam Supply to THP System: Steam Trap and Condensate Header Calculation</v>
      </c>
    </row>
    <row r="279" spans="1:9" x14ac:dyDescent="0.35">
      <c r="A279" s="52" t="str">
        <v>Stage 2</v>
      </c>
      <c r="B279" s="52">
        <v>131236</v>
      </c>
      <c r="C279" s="52" t="str">
        <v>WIL21</v>
      </c>
      <c r="D279" s="52" t="str">
        <v>CL</v>
      </c>
      <c r="E279" s="52" t="str">
        <v>P</v>
      </c>
      <c r="F279" s="52" t="str">
        <v>0013</v>
      </c>
      <c r="G279" s="52" t="str">
        <v>&lt;Blank&gt;</v>
      </c>
      <c r="H279" s="53" t="str">
        <v>131236-WIL21-CL-P-0013</v>
      </c>
      <c r="I279" s="53" t="str">
        <v xml:space="preserve">THP Plant Hydraulics Calculation </v>
      </c>
    </row>
    <row r="280" spans="1:9" x14ac:dyDescent="0.35">
      <c r="A280" s="52" t="str">
        <v>Stage 2</v>
      </c>
      <c r="B280" s="52">
        <v>131236</v>
      </c>
      <c r="C280" s="52" t="str">
        <v>WIL21</v>
      </c>
      <c r="D280" s="52" t="str">
        <v>CL</v>
      </c>
      <c r="E280" s="52" t="str">
        <v>P</v>
      </c>
      <c r="F280" s="52" t="str">
        <v>0016</v>
      </c>
      <c r="G280" s="52" t="str">
        <v>&lt;Blank&gt;</v>
      </c>
      <c r="H280" s="53" t="str">
        <v>131236-WIL21-CL-P-0016</v>
      </c>
      <c r="I280" s="53" t="str">
        <v>HWR BYPASS CONTROL VAVLE SIZING CALCULATION IN C4B COURTYARD</v>
      </c>
    </row>
    <row r="281" spans="1:9" x14ac:dyDescent="0.35">
      <c r="A281" s="52" t="str">
        <v>Stage 2</v>
      </c>
      <c r="B281" s="52">
        <v>131236</v>
      </c>
      <c r="C281" s="52" t="str">
        <v>WIL21</v>
      </c>
      <c r="D281" s="52" t="str">
        <v>CL</v>
      </c>
      <c r="E281" s="52" t="str">
        <v>P</v>
      </c>
      <c r="F281" s="52" t="str">
        <v>0017</v>
      </c>
      <c r="G281" s="52" t="str">
        <v>&lt;Blank&gt;</v>
      </c>
      <c r="H281" s="53" t="str">
        <v>131236-WIL21-CL-P-0017</v>
      </c>
      <c r="I281" s="53" t="str">
        <v>G1 BOOSTER PUMP HYDRAULICS</v>
      </c>
    </row>
    <row r="282" spans="1:9" x14ac:dyDescent="0.35">
      <c r="A282" s="52" t="str">
        <v>Stage 2</v>
      </c>
      <c r="B282" s="52">
        <v>131236</v>
      </c>
      <c r="C282" s="52" t="str">
        <v>WIL21</v>
      </c>
      <c r="D282" s="52" t="str">
        <v>CL</v>
      </c>
      <c r="E282" s="52" t="str">
        <v>P</v>
      </c>
      <c r="F282" s="52" t="str">
        <v>0018</v>
      </c>
      <c r="G282" s="52" t="str">
        <v>&lt;Blank&gt;</v>
      </c>
      <c r="H282" s="53" t="str">
        <v>131236-WIL21-CL-P-0018</v>
      </c>
      <c r="I282" s="53" t="str">
        <v>G2D BOOSTER PUMP HYDRAULICS</v>
      </c>
    </row>
    <row r="283" spans="1:9" x14ac:dyDescent="0.35">
      <c r="A283" s="52" t="str">
        <v>Stage 2</v>
      </c>
      <c r="B283" s="52">
        <v>131236</v>
      </c>
      <c r="C283" s="52" t="str">
        <v>WIL21</v>
      </c>
      <c r="D283" s="52" t="str">
        <v>CL</v>
      </c>
      <c r="E283" s="52" t="str">
        <v>P</v>
      </c>
      <c r="F283" s="52" t="str">
        <v>0028</v>
      </c>
      <c r="G283" s="52" t="str">
        <v>&lt;Blank&gt;</v>
      </c>
      <c r="H283" s="53" t="str">
        <v>131236-WIL21-CL-P-0028</v>
      </c>
      <c r="I283" s="53" t="str">
        <v>DIGESTER FEED PUMP &amp; RING CIRCULATION PUMP PRESSURE LOSS CALCULATION</v>
      </c>
    </row>
    <row r="284" spans="1:9" x14ac:dyDescent="0.35">
      <c r="A284" s="52" t="str">
        <v>Deleted</v>
      </c>
      <c r="B284" s="52">
        <v>131236</v>
      </c>
      <c r="C284" s="52" t="str">
        <v>WIL21</v>
      </c>
      <c r="D284" s="52" t="str">
        <v>CL</v>
      </c>
      <c r="E284" s="52" t="str">
        <v>P</v>
      </c>
      <c r="F284" s="52" t="str">
        <v>0011</v>
      </c>
      <c r="G284" s="52" t="str">
        <v>&lt;Blank&gt;</v>
      </c>
      <c r="H284" s="53" t="str">
        <v>Deleted</v>
      </c>
      <c r="I284" s="53" t="str">
        <v>PROCESS WATER HYDRAULIC CALCULATION</v>
      </c>
    </row>
    <row r="285" spans="1:9" x14ac:dyDescent="0.35">
      <c r="A285" s="52" t="str">
        <v>Deleted</v>
      </c>
      <c r="B285" s="52">
        <v>131236</v>
      </c>
      <c r="C285" s="52" t="str">
        <v>WIL21</v>
      </c>
      <c r="D285" s="52" t="str">
        <v>SP</v>
      </c>
      <c r="E285" s="52" t="str">
        <v>P</v>
      </c>
      <c r="F285" s="52" t="str">
        <v>0002</v>
      </c>
      <c r="G285" s="52" t="str">
        <v>&lt;Blank&gt;</v>
      </c>
      <c r="H285" s="53" t="str">
        <v>Deleted</v>
      </c>
      <c r="I285" s="53" t="str">
        <v>Functional Design Specification - THP</v>
      </c>
    </row>
    <row r="286" spans="1:9" x14ac:dyDescent="0.35">
      <c r="A286" s="52" t="str">
        <v>Deleted</v>
      </c>
      <c r="B286" s="52">
        <v>131236</v>
      </c>
      <c r="C286" s="52" t="str">
        <v>WIL21</v>
      </c>
      <c r="D286" s="52" t="str">
        <v>SH</v>
      </c>
      <c r="E286" s="52" t="str">
        <v>P</v>
      </c>
      <c r="F286" s="52" t="str">
        <v>0002</v>
      </c>
      <c r="G286" s="52" t="str">
        <v>&lt;Blank&gt;</v>
      </c>
      <c r="H286" s="53" t="str">
        <v>Deleted</v>
      </c>
      <c r="I286" s="53" t="str">
        <v>Utility Consumption</v>
      </c>
    </row>
    <row r="287" spans="1:9" x14ac:dyDescent="0.35">
      <c r="A287" s="52" t="str">
        <v>Deleted</v>
      </c>
      <c r="B287" s="52">
        <v>131236</v>
      </c>
      <c r="C287" s="52" t="str">
        <v>WIL21</v>
      </c>
      <c r="D287" s="52" t="str">
        <v>CL</v>
      </c>
      <c r="E287" s="52" t="str">
        <v>P</v>
      </c>
      <c r="F287" s="52" t="str">
        <v>0003</v>
      </c>
      <c r="G287" s="52" t="str">
        <v>&lt;Blank&gt;</v>
      </c>
      <c r="H287" s="53" t="str">
        <v>Deleted</v>
      </c>
      <c r="I287" s="53" t="str">
        <v>PROCESS EQUIPMENT SIZING CALCULATION - STATIC EQUIPMENT</v>
      </c>
    </row>
    <row r="288" spans="1:9" x14ac:dyDescent="0.35">
      <c r="A288" s="52" t="str">
        <v>Deleted</v>
      </c>
      <c r="B288" s="52">
        <v>131236</v>
      </c>
      <c r="C288" s="52" t="str">
        <v>WIL21</v>
      </c>
      <c r="D288" s="52" t="str">
        <v>CL</v>
      </c>
      <c r="E288" s="52" t="str">
        <v>P</v>
      </c>
      <c r="F288" s="52" t="str">
        <v>0004</v>
      </c>
      <c r="G288" s="52" t="str">
        <v>&lt;Blank&gt;</v>
      </c>
      <c r="H288" s="53" t="str">
        <v>Deleted</v>
      </c>
      <c r="I288" s="53" t="str">
        <v>PROCESS EQUIPMENT SIZING CALCULATION - ROTATING EQUIPMENT</v>
      </c>
    </row>
    <row r="289" spans="1:9" x14ac:dyDescent="0.35">
      <c r="A289" s="52" t="str">
        <v>Deleted</v>
      </c>
      <c r="B289" s="52">
        <v>131236</v>
      </c>
      <c r="C289" s="52" t="str">
        <v>WIL21</v>
      </c>
      <c r="D289" s="52" t="str">
        <v>CL</v>
      </c>
      <c r="E289" s="52" t="str">
        <v>P</v>
      </c>
      <c r="F289" s="52" t="str">
        <v>&lt;Blank&gt;</v>
      </c>
      <c r="G289" s="52" t="str">
        <v>&lt;Blank&gt;</v>
      </c>
      <c r="H289" s="53" t="str">
        <v>Deleted</v>
      </c>
      <c r="I289" s="53" t="str">
        <v>PROCESS EQUIPMENT CALCULATION - THP FFED PUMP</v>
      </c>
    </row>
    <row r="290" spans="1:9" x14ac:dyDescent="0.35">
      <c r="A290" s="52" t="str">
        <v>Deleted</v>
      </c>
      <c r="B290" s="52">
        <v>131236</v>
      </c>
      <c r="C290" s="52" t="str">
        <v>WIL21</v>
      </c>
      <c r="D290" s="52" t="str">
        <v>CL</v>
      </c>
      <c r="E290" s="52" t="str">
        <v>P</v>
      </c>
      <c r="F290" s="52" t="str">
        <v>&lt;Blank&gt;</v>
      </c>
      <c r="G290" s="52" t="str">
        <v>&lt;Blank&gt;</v>
      </c>
      <c r="H290" s="53" t="str">
        <v>Deleted</v>
      </c>
      <c r="I290" s="53" t="str">
        <v>PROCESS EQUIPMENT CALCULATION - PULPER</v>
      </c>
    </row>
    <row r="291" spans="1:9" x14ac:dyDescent="0.35">
      <c r="A291" s="52" t="str">
        <v>Deleted</v>
      </c>
      <c r="B291" s="52">
        <v>131236</v>
      </c>
      <c r="C291" s="52" t="str">
        <v>WIL21</v>
      </c>
      <c r="D291" s="52" t="str">
        <v>CL</v>
      </c>
      <c r="E291" s="52" t="str">
        <v>P</v>
      </c>
      <c r="F291" s="52" t="str">
        <v>&lt;Blank&gt;</v>
      </c>
      <c r="G291" s="52" t="str">
        <v>&lt;Blank&gt;</v>
      </c>
      <c r="H291" s="53" t="str">
        <v>Deleted</v>
      </c>
      <c r="I291" s="53" t="str">
        <v>PROCESS EQUIPMENT CALCULATION - REACTOR FEED PUMP</v>
      </c>
    </row>
    <row r="292" spans="1:9" x14ac:dyDescent="0.35">
      <c r="A292" s="52" t="str">
        <v>Deleted</v>
      </c>
      <c r="B292" s="52">
        <v>131236</v>
      </c>
      <c r="C292" s="52" t="str">
        <v>WIL21</v>
      </c>
      <c r="D292" s="52" t="str">
        <v>CL</v>
      </c>
      <c r="E292" s="52" t="str">
        <v>P</v>
      </c>
      <c r="F292" s="52" t="str">
        <v>&lt;Blank&gt;</v>
      </c>
      <c r="G292" s="52" t="str">
        <v>&lt;Blank&gt;</v>
      </c>
      <c r="H292" s="53" t="str">
        <v>Deleted</v>
      </c>
      <c r="I292" s="53" t="str">
        <v>PROCESS EQUIPMENT CALCULATION - REACTOR</v>
      </c>
    </row>
    <row r="293" spans="1:9" x14ac:dyDescent="0.35">
      <c r="A293" s="52" t="str">
        <v>Deleted</v>
      </c>
      <c r="B293" s="52">
        <v>131236</v>
      </c>
      <c r="C293" s="52" t="str">
        <v>WIL21</v>
      </c>
      <c r="D293" s="52" t="str">
        <v>CL</v>
      </c>
      <c r="E293" s="52" t="str">
        <v>P</v>
      </c>
      <c r="F293" s="52" t="str">
        <v>&lt;Blank&gt;</v>
      </c>
      <c r="G293" s="52" t="str">
        <v>&lt;Blank&gt;</v>
      </c>
      <c r="H293" s="53" t="str">
        <v>Deleted</v>
      </c>
      <c r="I293" s="53" t="str">
        <v>PROCESS EQUIPMENT CALCULATION - FLASHTANK</v>
      </c>
    </row>
    <row r="294" spans="1:9" x14ac:dyDescent="0.35">
      <c r="A294" s="52" t="str">
        <v>Deleted</v>
      </c>
      <c r="B294" s="52">
        <v>131236</v>
      </c>
      <c r="C294" s="52" t="str">
        <v>WIL21</v>
      </c>
      <c r="D294" s="52" t="str">
        <v>CL</v>
      </c>
      <c r="E294" s="52" t="str">
        <v>P</v>
      </c>
      <c r="F294" s="52" t="str">
        <v>&lt;Blank&gt;</v>
      </c>
      <c r="G294" s="52" t="str">
        <v>&lt;Blank&gt;</v>
      </c>
      <c r="H294" s="53" t="str">
        <v>Deleted</v>
      </c>
      <c r="I294" s="53" t="str">
        <v>PROCESS EQUIPMENT CALCULATION - FLASHTANK DISCHARGE PUMP</v>
      </c>
    </row>
    <row r="295" spans="1:9" x14ac:dyDescent="0.35">
      <c r="A295" s="52" t="str">
        <v>Deleted</v>
      </c>
      <c r="B295" s="52">
        <v>131236</v>
      </c>
      <c r="C295" s="52" t="str">
        <v>WIL21</v>
      </c>
      <c r="D295" s="52" t="str">
        <v>CL</v>
      </c>
      <c r="E295" s="52" t="str">
        <v>P</v>
      </c>
      <c r="F295" s="52" t="str">
        <v>&lt;Blank&gt;</v>
      </c>
      <c r="G295" s="52" t="str">
        <v>&lt;Blank&gt;</v>
      </c>
      <c r="H295" s="53" t="str">
        <v>Deleted</v>
      </c>
      <c r="I295" s="53" t="str">
        <v>PROCESS EQUIPMENT CALCULATION - PROCESS GAS COOLER</v>
      </c>
    </row>
    <row r="296" spans="1:9" x14ac:dyDescent="0.35">
      <c r="A296" s="52" t="str">
        <v>Deleted</v>
      </c>
      <c r="B296" s="52">
        <v>131236</v>
      </c>
      <c r="C296" s="52" t="str">
        <v>WIL21</v>
      </c>
      <c r="D296" s="52" t="str">
        <v>CL</v>
      </c>
      <c r="E296" s="52" t="str">
        <v>P</v>
      </c>
      <c r="F296" s="52" t="str">
        <v>&lt;Blank&gt;</v>
      </c>
      <c r="G296" s="52" t="str">
        <v>&lt;Blank&gt;</v>
      </c>
      <c r="H296" s="53" t="str">
        <v>Deleted</v>
      </c>
      <c r="I296" s="53" t="str">
        <v>PROCESS EQUIPMENT CALCULATION - COMPRESSED PROCESS GAS DRUM</v>
      </c>
    </row>
    <row r="297" spans="1:9" x14ac:dyDescent="0.35">
      <c r="A297" s="52" t="str">
        <v>Deleted</v>
      </c>
      <c r="B297" s="52">
        <v>131236</v>
      </c>
      <c r="C297" s="52" t="str">
        <v>WIL21</v>
      </c>
      <c r="D297" s="52" t="str">
        <v>CL</v>
      </c>
      <c r="E297" s="52" t="str">
        <v>P</v>
      </c>
      <c r="F297" s="52" t="str">
        <v>&lt;Blank&gt;</v>
      </c>
      <c r="G297" s="52" t="str">
        <v>&lt;Blank&gt;</v>
      </c>
      <c r="H297" s="53" t="str">
        <v>Deleted</v>
      </c>
      <c r="I297" s="53" t="str">
        <v>PROCESS EQUIPMENT CALCULATION - PSG WATER PUMP</v>
      </c>
    </row>
    <row r="298" spans="1:9" x14ac:dyDescent="0.35">
      <c r="A298" s="52" t="str">
        <v>Deleted</v>
      </c>
      <c r="B298" s="52">
        <v>131236</v>
      </c>
      <c r="C298" s="52" t="str">
        <v>WIL21</v>
      </c>
      <c r="D298" s="52" t="str">
        <v>CL</v>
      </c>
      <c r="E298" s="52" t="str">
        <v>P</v>
      </c>
      <c r="F298" s="52" t="str">
        <v>&lt;Blank&gt;</v>
      </c>
      <c r="G298" s="52" t="str">
        <v>&lt;Blank&gt;</v>
      </c>
      <c r="H298" s="53" t="str">
        <v>Deleted</v>
      </c>
      <c r="I298" s="53" t="str">
        <v>PROCESS EQUIPMENT CALCULATION - PRESS GAS EJECTOR</v>
      </c>
    </row>
    <row r="299" spans="1:9" x14ac:dyDescent="0.35">
      <c r="A299" s="52" t="str">
        <v>Deleted</v>
      </c>
      <c r="B299" s="52">
        <v>131236</v>
      </c>
      <c r="C299" s="52" t="str">
        <v>WIL21</v>
      </c>
      <c r="D299" s="52" t="str">
        <v>CL</v>
      </c>
      <c r="E299" s="52" t="str">
        <v>P</v>
      </c>
      <c r="F299" s="52" t="str">
        <v>&lt;Blank&gt;</v>
      </c>
      <c r="G299" s="52" t="str">
        <v>&lt;Blank&gt;</v>
      </c>
      <c r="H299" s="53" t="str">
        <v>Deleted</v>
      </c>
      <c r="I299" s="53" t="str">
        <v>PROCESS EQUIPMENT CALCULATION - COOLER STAGE 1</v>
      </c>
    </row>
    <row r="300" spans="1:9" x14ac:dyDescent="0.35">
      <c r="A300" s="52" t="str">
        <v>Deleted</v>
      </c>
      <c r="B300" s="52">
        <v>131236</v>
      </c>
      <c r="C300" s="52" t="str">
        <v>WIL21</v>
      </c>
      <c r="D300" s="52" t="str">
        <v>CL</v>
      </c>
      <c r="E300" s="52" t="str">
        <v>P</v>
      </c>
      <c r="F300" s="52" t="str">
        <v>&lt;Blank&gt;</v>
      </c>
      <c r="G300" s="52" t="str">
        <v>&lt;Blank&gt;</v>
      </c>
      <c r="H300" s="53" t="str">
        <v>Deleted</v>
      </c>
      <c r="I300" s="53" t="str">
        <v>PROCESS EQUIPMENT CALCULATION - COOLER STAGE 2</v>
      </c>
    </row>
    <row r="301" spans="1:9" x14ac:dyDescent="0.35">
      <c r="A301" s="52" t="str">
        <v>Deleted</v>
      </c>
      <c r="B301" s="52">
        <v>131236</v>
      </c>
      <c r="C301" s="52" t="str">
        <v>WIL21</v>
      </c>
      <c r="D301" s="52" t="str">
        <v>CL</v>
      </c>
      <c r="E301" s="52" t="str">
        <v>P</v>
      </c>
      <c r="F301" s="52" t="str">
        <v>&lt;Blank&gt;</v>
      </c>
      <c r="G301" s="52" t="str">
        <v>&lt;Blank&gt;</v>
      </c>
      <c r="H301" s="53" t="str">
        <v>Deleted</v>
      </c>
      <c r="I301" s="53" t="str">
        <v>PROCESS EQUIPMENT CALCULATION - COOLER STAGE 2 RECIRCULATION PUMP</v>
      </c>
    </row>
    <row r="302" spans="1:9" x14ac:dyDescent="0.35">
      <c r="A302" s="52" t="str">
        <v>Deleted</v>
      </c>
      <c r="B302" s="52">
        <v>131236</v>
      </c>
      <c r="C302" s="52" t="str">
        <v>WIL21</v>
      </c>
      <c r="D302" s="52" t="str">
        <v>CL</v>
      </c>
      <c r="E302" s="52" t="str">
        <v>P</v>
      </c>
      <c r="F302" s="52" t="str">
        <v>&lt;Blank&gt;</v>
      </c>
      <c r="G302" s="52" t="str">
        <v>&lt;Blank&gt;</v>
      </c>
      <c r="H302" s="53" t="str">
        <v>Deleted</v>
      </c>
      <c r="I302" s="53" t="str">
        <v>PROCESS EQUIPMENT CALCULATION - DIGESTER FEED PUMP</v>
      </c>
    </row>
    <row r="303" spans="1:9" x14ac:dyDescent="0.35">
      <c r="A303" s="52" t="str">
        <v>Deleted</v>
      </c>
      <c r="B303" s="52">
        <v>131236</v>
      </c>
      <c r="C303" s="52" t="str">
        <v>WIL21</v>
      </c>
      <c r="D303" s="52" t="str">
        <v>CL</v>
      </c>
      <c r="E303" s="52" t="str">
        <v>P</v>
      </c>
      <c r="F303" s="52" t="str">
        <v>&lt;Blank&gt;</v>
      </c>
      <c r="G303" s="52" t="str">
        <v>&lt;Blank&gt;</v>
      </c>
      <c r="H303" s="53" t="str">
        <v>Deleted</v>
      </c>
      <c r="I303" s="53" t="str">
        <v>PROCESS EQUIPMENT CALCULATION - RING CIRCULATION PUMP</v>
      </c>
    </row>
    <row r="304" spans="1:9" x14ac:dyDescent="0.35">
      <c r="A304" s="52" t="str">
        <v>Deleted</v>
      </c>
      <c r="B304" s="52">
        <v>131236</v>
      </c>
      <c r="C304" s="52" t="str">
        <v>WIL21</v>
      </c>
      <c r="D304" s="52" t="str">
        <v>CL</v>
      </c>
      <c r="E304" s="52" t="str">
        <v>P</v>
      </c>
      <c r="F304" s="52" t="str">
        <v>&lt;Blank&gt;</v>
      </c>
      <c r="G304" s="52" t="str">
        <v>&lt;Blank&gt;</v>
      </c>
      <c r="H304" s="53" t="str">
        <v>Deleted</v>
      </c>
      <c r="I304" s="53" t="str">
        <v>PROCESS EQUIPMENT CALCULATION - STREAM DESUPERHEATER</v>
      </c>
    </row>
    <row r="305" spans="1:9" x14ac:dyDescent="0.35">
      <c r="A305" s="52" t="str">
        <v>Deleted</v>
      </c>
      <c r="B305" s="52">
        <v>131236</v>
      </c>
      <c r="C305" s="52" t="str">
        <v>WIL21</v>
      </c>
      <c r="D305" s="52" t="str">
        <v>CL</v>
      </c>
      <c r="E305" s="52" t="str">
        <v>P</v>
      </c>
      <c r="F305" s="52" t="str">
        <v>&lt;Blank&gt;</v>
      </c>
      <c r="G305" s="52" t="str">
        <v>&lt;Blank&gt;</v>
      </c>
      <c r="H305" s="53" t="str">
        <v>Deleted</v>
      </c>
      <c r="I305" s="53" t="str">
        <v xml:space="preserve">PROCESS EQUIPMENT CALCULATION - STREAM SPARGER </v>
      </c>
    </row>
    <row r="306" spans="1:9" x14ac:dyDescent="0.35">
      <c r="A306" s="52" t="str">
        <v>Deleted</v>
      </c>
      <c r="B306" s="52">
        <v>131236</v>
      </c>
      <c r="C306" s="52" t="str">
        <v>WIL21</v>
      </c>
      <c r="D306" s="52" t="str">
        <v>CH</v>
      </c>
      <c r="E306" s="52" t="str">
        <v>P</v>
      </c>
      <c r="F306" s="52" t="str">
        <v>&lt;Blank&gt;</v>
      </c>
      <c r="G306" s="52" t="str">
        <v>&lt;Blank&gt;</v>
      </c>
      <c r="H306" s="53" t="str">
        <v>Deleted</v>
      </c>
      <c r="I306" s="53" t="str">
        <v>System Description</v>
      </c>
    </row>
    <row r="307" spans="1:9" x14ac:dyDescent="0.35">
      <c r="A307" s="52" t="str">
        <v>Deleted</v>
      </c>
      <c r="B307" s="52">
        <v>131236</v>
      </c>
      <c r="C307" s="52" t="str">
        <v>WIL21</v>
      </c>
      <c r="D307" s="52" t="str">
        <v>CL</v>
      </c>
      <c r="E307" s="52" t="str">
        <v>P</v>
      </c>
      <c r="F307" s="52" t="str">
        <v>&lt;Blank&gt;</v>
      </c>
      <c r="G307" s="52" t="str">
        <v>&lt;Blank&gt;</v>
      </c>
      <c r="H307" s="53" t="str">
        <v>Deleted</v>
      </c>
      <c r="I307" s="53" t="str">
        <v xml:space="preserve">Heat Exchanger Calculation </v>
      </c>
    </row>
    <row r="308" spans="1:9" x14ac:dyDescent="0.35">
      <c r="A308" s="52" t="str">
        <v>Deleted</v>
      </c>
      <c r="B308" s="52">
        <v>131236</v>
      </c>
      <c r="C308" s="52" t="str">
        <v>WIL21</v>
      </c>
      <c r="D308" s="52" t="str">
        <v>CH</v>
      </c>
      <c r="E308" s="52" t="str">
        <v>P</v>
      </c>
      <c r="F308" s="52" t="str">
        <v>&lt;Blank&gt;</v>
      </c>
      <c r="G308" s="52" t="str">
        <v>&lt;Blank&gt;</v>
      </c>
      <c r="H308" s="53" t="str">
        <v>Deleted</v>
      </c>
      <c r="I308" s="53" t="str">
        <v xml:space="preserve">Process Control Narrative  </v>
      </c>
    </row>
    <row r="309" spans="1:9" x14ac:dyDescent="0.35">
      <c r="A309" s="52" t="str">
        <v>Deleted</v>
      </c>
      <c r="B309" s="52">
        <v>131236</v>
      </c>
      <c r="C309" s="52" t="str">
        <v>WIL21</v>
      </c>
      <c r="D309" s="52" t="str">
        <v>SP</v>
      </c>
      <c r="E309" s="52" t="str">
        <v>P</v>
      </c>
      <c r="F309" s="52" t="str">
        <v>0001</v>
      </c>
      <c r="G309" s="52" t="str">
        <v>&lt;Blank&gt;</v>
      </c>
      <c r="H309" s="53" t="str">
        <v>Deleted</v>
      </c>
      <c r="I309" s="53" t="str">
        <v>Isolation and Control Philosophy</v>
      </c>
    </row>
    <row r="310" spans="1:9" x14ac:dyDescent="0.35">
      <c r="A310" s="52" t="str">
        <v>Deleted</v>
      </c>
      <c r="B310" s="52">
        <v>131236</v>
      </c>
      <c r="C310" s="52" t="str">
        <v>WIL21</v>
      </c>
      <c r="D310" s="52" t="str">
        <v>CH</v>
      </c>
      <c r="E310" s="52" t="str">
        <v>P</v>
      </c>
      <c r="F310" s="52" t="str">
        <v>&lt;Blank&gt;</v>
      </c>
      <c r="G310" s="52" t="str">
        <v>&lt;Blank&gt;</v>
      </c>
      <c r="H310" s="53" t="str">
        <v>Deleted</v>
      </c>
      <c r="I310" s="53" t="str">
        <v>Hydraulic Analysis Line Sizing Calculation</v>
      </c>
    </row>
    <row r="311" spans="1:9" x14ac:dyDescent="0.35">
      <c r="A311" s="52" t="str">
        <v>Deleted</v>
      </c>
      <c r="B311" s="52">
        <v>131236</v>
      </c>
      <c r="C311" s="52" t="str">
        <v>WIL21</v>
      </c>
      <c r="D311" s="52" t="str">
        <v>CL</v>
      </c>
      <c r="E311" s="52" t="str">
        <v>P</v>
      </c>
      <c r="F311" s="52" t="str">
        <v>0016</v>
      </c>
      <c r="G311" s="52" t="str">
        <v>&lt;Blank&gt;</v>
      </c>
      <c r="H311" s="53" t="str">
        <v>Deleted</v>
      </c>
      <c r="I311" s="53" t="str">
        <v xml:space="preserve">HWR Bypass Control Valve </v>
      </c>
    </row>
    <row r="312" spans="1:9" x14ac:dyDescent="0.35">
      <c r="A312" s="52" t="str">
        <v>Deleted</v>
      </c>
      <c r="B312" s="52">
        <v>131236</v>
      </c>
      <c r="C312" s="52" t="str">
        <v>WIL21</v>
      </c>
      <c r="D312" s="52" t="str">
        <v>CL</v>
      </c>
      <c r="E312" s="52" t="str">
        <v>P</v>
      </c>
      <c r="F312" s="52" t="str">
        <v>0017</v>
      </c>
      <c r="G312" s="52" t="str">
        <v>&lt;Blank&gt;</v>
      </c>
      <c r="H312" s="53" t="str">
        <v>Deleted</v>
      </c>
      <c r="I312" s="53" t="str">
        <v xml:space="preserve">G1 Pump Hydraulic </v>
      </c>
    </row>
    <row r="313" spans="1:9" x14ac:dyDescent="0.35">
      <c r="A313" s="52" t="str">
        <v>Deleted</v>
      </c>
      <c r="B313" s="52">
        <v>131236</v>
      </c>
      <c r="C313" s="52" t="str">
        <v>WIL21</v>
      </c>
      <c r="D313" s="52" t="str">
        <v>CL</v>
      </c>
      <c r="E313" s="52" t="str">
        <v>P</v>
      </c>
      <c r="F313" s="52" t="str">
        <v>0018</v>
      </c>
      <c r="G313" s="52" t="str">
        <v>&lt;Blank&gt;</v>
      </c>
      <c r="H313" s="53" t="str">
        <v>Deleted</v>
      </c>
      <c r="I313" s="53" t="str">
        <v xml:space="preserve">G2D Booster Pump Hydraulic </v>
      </c>
    </row>
    <row r="314" spans="1:9" x14ac:dyDescent="0.35">
      <c r="A314" s="52" t="str">
        <v>Stage 2</v>
      </c>
      <c r="B314" s="52">
        <v>131236</v>
      </c>
      <c r="C314" s="52" t="str">
        <v>WIL21</v>
      </c>
      <c r="D314" s="52" t="str">
        <v>RT</v>
      </c>
      <c r="E314" s="52" t="str">
        <v>P</v>
      </c>
      <c r="F314" s="52" t="str">
        <v>0004</v>
      </c>
      <c r="G314" s="52" t="str">
        <v>&lt;Blank&gt;</v>
      </c>
      <c r="H314" s="53" t="str">
        <v>131236-WIL21-RT-P-0004</v>
      </c>
      <c r="I314" s="53" t="str">
        <v xml:space="preserve">H2S Dispersion Report </v>
      </c>
    </row>
    <row r="315" spans="1:9" x14ac:dyDescent="0.35">
      <c r="A315" s="52" t="str">
        <v>Stage 2</v>
      </c>
      <c r="B315" s="52">
        <v>131236</v>
      </c>
      <c r="C315" s="52" t="str">
        <v>WIL21</v>
      </c>
      <c r="D315" s="52" t="str">
        <v>DR</v>
      </c>
      <c r="E315" s="52" t="str">
        <v>P</v>
      </c>
      <c r="F315" s="52" t="str">
        <v>7001</v>
      </c>
      <c r="G315" s="52" t="str">
        <v>&lt;Blank&gt;</v>
      </c>
      <c r="H315" s="53" t="str">
        <v>131236-WIL21-DR-P-7001</v>
      </c>
      <c r="I315" s="53" t="str">
        <v>Process Flow Diagram with Mass Balance (THP)</v>
      </c>
    </row>
    <row r="316" spans="1:9" x14ac:dyDescent="0.35">
      <c r="A316" s="52" t="str">
        <v>Stage 2</v>
      </c>
      <c r="B316" s="52">
        <v>131236</v>
      </c>
      <c r="C316" s="52" t="str">
        <v>WIL21</v>
      </c>
      <c r="D316" s="52" t="str">
        <v>DR</v>
      </c>
      <c r="E316" s="52" t="str">
        <v>P</v>
      </c>
      <c r="F316" s="52" t="str">
        <v>7002</v>
      </c>
      <c r="G316" s="52" t="str">
        <v>&lt;Blank&gt;</v>
      </c>
      <c r="H316" s="53" t="str">
        <v>131236-WIL21-DR-P-7002</v>
      </c>
      <c r="I316" s="53" t="str">
        <v>Process Flow Diagram with Mass Balance (THP)</v>
      </c>
    </row>
    <row r="317" spans="1:9" x14ac:dyDescent="0.35">
      <c r="A317" s="52" t="str">
        <v>Stage 2</v>
      </c>
      <c r="B317" s="52">
        <v>131236</v>
      </c>
      <c r="C317" s="52" t="str">
        <v>WIL21</v>
      </c>
      <c r="D317" s="52" t="str">
        <v>DR</v>
      </c>
      <c r="E317" s="52" t="str">
        <v>P</v>
      </c>
      <c r="F317" s="52">
        <v>6000</v>
      </c>
      <c r="G317" s="52" t="str">
        <v>&lt;Blank&gt;</v>
      </c>
      <c r="H317" s="53" t="str">
        <v>131236-WIL21-DR-P-6000</v>
      </c>
      <c r="I317" s="53" t="str">
        <v>P&amp;ID - THP PULPER FEED PUMPS</v>
      </c>
    </row>
    <row r="318" spans="1:9" x14ac:dyDescent="0.35">
      <c r="A318" s="52" t="str">
        <v>Stage 2</v>
      </c>
      <c r="B318" s="52">
        <v>131236</v>
      </c>
      <c r="C318" s="52" t="str">
        <v>WIL21</v>
      </c>
      <c r="D318" s="52" t="str">
        <v>DR</v>
      </c>
      <c r="E318" s="52" t="str">
        <v>P</v>
      </c>
      <c r="F318" s="52">
        <v>6001</v>
      </c>
      <c r="G318" s="52" t="str">
        <v>&lt;Blank&gt;</v>
      </c>
      <c r="H318" s="53" t="str">
        <v>131236-WIL21-DR-P-6001</v>
      </c>
      <c r="I318" s="53" t="str">
        <v>P&amp;ID - THP TRAIN 1 PULPER</v>
      </c>
    </row>
    <row r="319" spans="1:9" x14ac:dyDescent="0.35">
      <c r="A319" s="52" t="str">
        <v>Stage 2</v>
      </c>
      <c r="B319" s="52">
        <v>131236</v>
      </c>
      <c r="C319" s="52" t="str">
        <v>WIL21</v>
      </c>
      <c r="D319" s="52" t="str">
        <v>DR</v>
      </c>
      <c r="E319" s="52" t="str">
        <v>P</v>
      </c>
      <c r="F319" s="52">
        <v>6002</v>
      </c>
      <c r="G319" s="52" t="str">
        <v>&lt;Blank&gt;</v>
      </c>
      <c r="H319" s="53" t="str">
        <v>131236-WIL21-DR-P-6002</v>
      </c>
      <c r="I319" s="53" t="str">
        <v>P&amp;ID - THP TRAIN 1 REACTOR FEED PUMPS</v>
      </c>
    </row>
    <row r="320" spans="1:9" x14ac:dyDescent="0.35">
      <c r="A320" s="52" t="str">
        <v>Stage 2</v>
      </c>
      <c r="B320" s="52">
        <v>131236</v>
      </c>
      <c r="C320" s="52" t="str">
        <v>WIL21</v>
      </c>
      <c r="D320" s="52" t="str">
        <v>DR</v>
      </c>
      <c r="E320" s="52" t="str">
        <v>P</v>
      </c>
      <c r="F320" s="52">
        <v>6003</v>
      </c>
      <c r="G320" s="52" t="str">
        <v>&lt;Blank&gt;</v>
      </c>
      <c r="H320" s="53" t="str">
        <v>131236-WIL21-DR-P-6003</v>
      </c>
      <c r="I320" s="53" t="str">
        <v>P&amp;ID - THP TRAIN 1 REACTOR A</v>
      </c>
    </row>
    <row r="321" spans="1:9" x14ac:dyDescent="0.35">
      <c r="A321" s="52" t="str">
        <v>Stage 2</v>
      </c>
      <c r="B321" s="52">
        <v>131236</v>
      </c>
      <c r="C321" s="52" t="str">
        <v>WIL21</v>
      </c>
      <c r="D321" s="52" t="str">
        <v>DR</v>
      </c>
      <c r="E321" s="52" t="str">
        <v>P</v>
      </c>
      <c r="F321" s="52">
        <v>6004</v>
      </c>
      <c r="G321" s="52" t="str">
        <v>&lt;Blank&gt;</v>
      </c>
      <c r="H321" s="53" t="str">
        <v>131236-WIL21-DR-P-6004</v>
      </c>
      <c r="I321" s="53" t="str">
        <v>P&amp;ID - THP TRAIN 1 REACTOR B</v>
      </c>
    </row>
    <row r="322" spans="1:9" x14ac:dyDescent="0.35">
      <c r="A322" s="52" t="str">
        <v>Stage 2</v>
      </c>
      <c r="B322" s="52">
        <v>131236</v>
      </c>
      <c r="C322" s="52" t="str">
        <v>WIL21</v>
      </c>
      <c r="D322" s="52" t="str">
        <v>DR</v>
      </c>
      <c r="E322" s="52" t="str">
        <v>P</v>
      </c>
      <c r="F322" s="52">
        <v>6005</v>
      </c>
      <c r="G322" s="52" t="str">
        <v>&lt;Blank&gt;</v>
      </c>
      <c r="H322" s="53" t="str">
        <v>131236-WIL21-DR-P-6005</v>
      </c>
      <c r="I322" s="53" t="str">
        <v>P&amp;ID - THP TRAIN 1 REACTOR C</v>
      </c>
    </row>
    <row r="323" spans="1:9" x14ac:dyDescent="0.35">
      <c r="A323" s="52" t="str">
        <v>Stage 2</v>
      </c>
      <c r="B323" s="52">
        <v>131236</v>
      </c>
      <c r="C323" s="52" t="str">
        <v>WIL21</v>
      </c>
      <c r="D323" s="52" t="str">
        <v>DR</v>
      </c>
      <c r="E323" s="52" t="str">
        <v>P</v>
      </c>
      <c r="F323" s="52">
        <v>6006</v>
      </c>
      <c r="G323" s="52" t="str">
        <v>&lt;Blank&gt;</v>
      </c>
      <c r="H323" s="53" t="str">
        <v>131236-WIL21-DR-P-6006</v>
      </c>
      <c r="I323" s="53" t="str">
        <v>P&amp;ID - THP TRAIN 1 REACTOR D</v>
      </c>
    </row>
    <row r="324" spans="1:9" x14ac:dyDescent="0.35">
      <c r="A324" s="52" t="str">
        <v>Stage 2</v>
      </c>
      <c r="B324" s="52">
        <v>131236</v>
      </c>
      <c r="C324" s="52" t="str">
        <v>WIL21</v>
      </c>
      <c r="D324" s="52" t="str">
        <v>DR</v>
      </c>
      <c r="E324" s="52" t="str">
        <v>P</v>
      </c>
      <c r="F324" s="52">
        <v>6007</v>
      </c>
      <c r="G324" s="52" t="str">
        <v>&lt;Blank&gt;</v>
      </c>
      <c r="H324" s="53" t="str">
        <v>131236-WIL21-DR-P-6007</v>
      </c>
      <c r="I324" s="53" t="str">
        <v>P&amp;ID - THP TRAIN 1 FLASHTANK</v>
      </c>
    </row>
    <row r="325" spans="1:9" x14ac:dyDescent="0.35">
      <c r="A325" s="52" t="str">
        <v>Stage 2</v>
      </c>
      <c r="B325" s="52">
        <v>131236</v>
      </c>
      <c r="C325" s="52" t="str">
        <v>WIL21</v>
      </c>
      <c r="D325" s="52" t="str">
        <v>DR</v>
      </c>
      <c r="E325" s="52" t="str">
        <v>P</v>
      </c>
      <c r="F325" s="52">
        <v>6008</v>
      </c>
      <c r="G325" s="52" t="str">
        <v>&lt;Blank&gt;</v>
      </c>
      <c r="H325" s="53" t="str">
        <v>131236-WIL21-DR-P-6008</v>
      </c>
      <c r="I325" s="53" t="str">
        <v>P&amp;ID - THP TRAIN 1 FLASHTANK DISCHARGE PUMPS</v>
      </c>
    </row>
    <row r="326" spans="1:9" x14ac:dyDescent="0.35">
      <c r="A326" s="52" t="str">
        <v>Stage 2</v>
      </c>
      <c r="B326" s="52">
        <v>131236</v>
      </c>
      <c r="C326" s="52" t="str">
        <v>WIL21</v>
      </c>
      <c r="D326" s="52" t="str">
        <v>DR</v>
      </c>
      <c r="E326" s="52" t="str">
        <v>P</v>
      </c>
      <c r="F326" s="52">
        <v>6009</v>
      </c>
      <c r="G326" s="52" t="str">
        <v>&lt;Blank&gt;</v>
      </c>
      <c r="H326" s="53" t="str">
        <v>131236-WIL21-DR-P-6009</v>
      </c>
      <c r="I326" s="53" t="str">
        <v>P&amp;ID - THP TRAIN 1 PROCESS GAS COOLER</v>
      </c>
    </row>
    <row r="327" spans="1:9" x14ac:dyDescent="0.35">
      <c r="A327" s="52" t="str">
        <v>Stage 2</v>
      </c>
      <c r="B327" s="52">
        <v>131236</v>
      </c>
      <c r="C327" s="52" t="str">
        <v>WIL21</v>
      </c>
      <c r="D327" s="52" t="str">
        <v>DR</v>
      </c>
      <c r="E327" s="52" t="str">
        <v>P</v>
      </c>
      <c r="F327" s="52">
        <v>6010</v>
      </c>
      <c r="G327" s="52" t="str">
        <v>&lt;Blank&gt;</v>
      </c>
      <c r="H327" s="53" t="str">
        <v>131236-WIL21-DR-P-6010</v>
      </c>
      <c r="I327" s="53" t="str">
        <v>P&amp;ID - THP TRAIN 1 PROCESS GAS SKID</v>
      </c>
    </row>
    <row r="328" spans="1:9" x14ac:dyDescent="0.35">
      <c r="A328" s="52" t="str">
        <v>Stage 2</v>
      </c>
      <c r="B328" s="52">
        <v>131236</v>
      </c>
      <c r="C328" s="52" t="str">
        <v>WIL21</v>
      </c>
      <c r="D328" s="52" t="str">
        <v>DR</v>
      </c>
      <c r="E328" s="52" t="str">
        <v>P</v>
      </c>
      <c r="F328" s="52">
        <v>6011</v>
      </c>
      <c r="G328" s="52" t="str">
        <v>&lt;Blank&gt;</v>
      </c>
      <c r="H328" s="53" t="str">
        <v>131236-WIL21-DR-P-6011</v>
      </c>
      <c r="I328" s="53" t="str">
        <v>P&amp;ID - THP TRAIN 1 STEAM HEADER</v>
      </c>
    </row>
    <row r="329" spans="1:9" x14ac:dyDescent="0.35">
      <c r="A329" s="52" t="str">
        <v>Stage 2</v>
      </c>
      <c r="B329" s="52">
        <v>131236</v>
      </c>
      <c r="C329" s="52" t="str">
        <v>WIL21</v>
      </c>
      <c r="D329" s="52" t="str">
        <v>DR</v>
      </c>
      <c r="E329" s="52" t="str">
        <v>P</v>
      </c>
      <c r="F329" s="52">
        <v>6012</v>
      </c>
      <c r="G329" s="52" t="str">
        <v>&lt;Blank&gt;</v>
      </c>
      <c r="H329" s="53" t="str">
        <v>131236-WIL21-DR-P-6012</v>
      </c>
      <c r="I329" s="53" t="str">
        <v>P&amp;ID - THP TRAIN 1 PRESSURIZED AIR</v>
      </c>
    </row>
    <row r="330" spans="1:9" x14ac:dyDescent="0.35">
      <c r="A330" s="52" t="str">
        <v>Stage 2</v>
      </c>
      <c r="B330" s="52">
        <v>131236</v>
      </c>
      <c r="C330" s="52" t="str">
        <v>WIL21</v>
      </c>
      <c r="D330" s="52" t="str">
        <v>DR</v>
      </c>
      <c r="E330" s="52" t="str">
        <v>P</v>
      </c>
      <c r="F330" s="52">
        <v>6013</v>
      </c>
      <c r="G330" s="52" t="str">
        <v>&lt;Blank&gt;</v>
      </c>
      <c r="H330" s="53" t="str">
        <v>131236-WIL21-DR-P-6013</v>
      </c>
      <c r="I330" s="53" t="str">
        <v>P&amp;ID - THP TRAIN 1 WATER DISTRIBUTION</v>
      </c>
    </row>
    <row r="331" spans="1:9" x14ac:dyDescent="0.35">
      <c r="A331" s="52" t="str">
        <v>Stage 2</v>
      </c>
      <c r="B331" s="52">
        <v>131236</v>
      </c>
      <c r="C331" s="52" t="str">
        <v>WIL21</v>
      </c>
      <c r="D331" s="52" t="str">
        <v>DR</v>
      </c>
      <c r="E331" s="52" t="str">
        <v>P</v>
      </c>
      <c r="F331" s="52">
        <v>6014</v>
      </c>
      <c r="G331" s="52" t="str">
        <v>&lt;Blank&gt;</v>
      </c>
      <c r="H331" s="53" t="str">
        <v>131236-WIL21-DR-P-6014</v>
      </c>
      <c r="I331" s="53" t="str">
        <v>P&amp;ID - THP TRAIN 1 CAISSON</v>
      </c>
    </row>
    <row r="332" spans="1:9" x14ac:dyDescent="0.35">
      <c r="A332" s="52" t="str">
        <v>Stage 2</v>
      </c>
      <c r="B332" s="52">
        <v>131236</v>
      </c>
      <c r="C332" s="52" t="str">
        <v>WIL21</v>
      </c>
      <c r="D332" s="52" t="str">
        <v>DR</v>
      </c>
      <c r="E332" s="52" t="str">
        <v>P</v>
      </c>
      <c r="F332" s="52">
        <v>6015</v>
      </c>
      <c r="G332" s="52" t="str">
        <v>&lt;Blank&gt;</v>
      </c>
      <c r="H332" s="53" t="str">
        <v>131236-WIL21-DR-P-6015</v>
      </c>
      <c r="I332" s="53" t="str">
        <v>P&amp;ID - THP TRAIN 1 SLUDGE PRECOOLER STAGE 1</v>
      </c>
    </row>
    <row r="333" spans="1:9" x14ac:dyDescent="0.35">
      <c r="A333" s="52" t="str">
        <v>Stage 2</v>
      </c>
      <c r="B333" s="52">
        <v>131236</v>
      </c>
      <c r="C333" s="52" t="str">
        <v>WIL21</v>
      </c>
      <c r="D333" s="52" t="str">
        <v>DR</v>
      </c>
      <c r="E333" s="52" t="str">
        <v>P</v>
      </c>
      <c r="F333" s="52">
        <v>6016</v>
      </c>
      <c r="G333" s="52" t="str">
        <v>&lt;Blank&gt;</v>
      </c>
      <c r="H333" s="53" t="str">
        <v>131236-WIL21-DR-P-6016</v>
      </c>
      <c r="I333" s="53" t="str">
        <v>P&amp;ID - THP TRAIN 1 SLUDGE PRECOOLER STAGE 2 RECIRCULATION PUMPS</v>
      </c>
    </row>
    <row r="334" spans="1:9" x14ac:dyDescent="0.35">
      <c r="A334" s="52" t="str">
        <v>Stage 2</v>
      </c>
      <c r="B334" s="52">
        <v>131236</v>
      </c>
      <c r="C334" s="52" t="str">
        <v>WIL21</v>
      </c>
      <c r="D334" s="52" t="str">
        <v>DR</v>
      </c>
      <c r="E334" s="52" t="str">
        <v>P</v>
      </c>
      <c r="F334" s="52">
        <v>6017</v>
      </c>
      <c r="G334" s="52" t="str">
        <v>&lt;Blank&gt;</v>
      </c>
      <c r="H334" s="53" t="str">
        <v>131236-WIL21-DR-P-6017</v>
      </c>
      <c r="I334" s="53" t="str">
        <v xml:space="preserve">P&amp;ID - THP TRAIN 1 SLUDGE PRECOOLER STAGE 2 </v>
      </c>
    </row>
    <row r="335" spans="1:9" x14ac:dyDescent="0.35">
      <c r="A335" s="52" t="str">
        <v>Stage 2</v>
      </c>
      <c r="B335" s="52">
        <v>131236</v>
      </c>
      <c r="C335" s="52" t="str">
        <v>WIL21</v>
      </c>
      <c r="D335" s="52" t="str">
        <v>DR</v>
      </c>
      <c r="E335" s="52" t="str">
        <v>P</v>
      </c>
      <c r="F335" s="52">
        <v>6018</v>
      </c>
      <c r="G335" s="52" t="str">
        <v>&lt;Blank&gt;</v>
      </c>
      <c r="H335" s="53" t="str">
        <v>131236-WIL21-DR-P-6018</v>
      </c>
      <c r="I335" s="53" t="str">
        <v>P&amp;ID - THP TRAIN 1 DIGESTER FEED PUMPS</v>
      </c>
    </row>
    <row r="336" spans="1:9" x14ac:dyDescent="0.35">
      <c r="A336" s="52" t="str">
        <v>Stage 2</v>
      </c>
      <c r="B336" s="52">
        <v>131236</v>
      </c>
      <c r="C336" s="52" t="str">
        <v>WIL21</v>
      </c>
      <c r="D336" s="52" t="str">
        <v>DR</v>
      </c>
      <c r="E336" s="52" t="str">
        <v>P</v>
      </c>
      <c r="F336" s="52">
        <v>6019</v>
      </c>
      <c r="G336" s="52" t="str">
        <v>&lt;Blank&gt;</v>
      </c>
      <c r="H336" s="53" t="str">
        <v>131236-WIL21-DR-P-6019</v>
      </c>
      <c r="I336" s="53" t="str">
        <v>P&amp;ID - THP TRAIN 2 PULPER</v>
      </c>
    </row>
    <row r="337" spans="1:9" x14ac:dyDescent="0.35">
      <c r="A337" s="52" t="str">
        <v>Stage 2</v>
      </c>
      <c r="B337" s="52">
        <v>131236</v>
      </c>
      <c r="C337" s="52" t="str">
        <v>WIL21</v>
      </c>
      <c r="D337" s="52" t="str">
        <v>DR</v>
      </c>
      <c r="E337" s="52" t="str">
        <v>P</v>
      </c>
      <c r="F337" s="52">
        <v>6020</v>
      </c>
      <c r="G337" s="52" t="str">
        <v>&lt;Blank&gt;</v>
      </c>
      <c r="H337" s="53" t="str">
        <v>131236-WIL21-DR-P-6020</v>
      </c>
      <c r="I337" s="53" t="str">
        <v>P&amp;ID - THP TRAIN 2 REACTOR FEED PUMPS</v>
      </c>
    </row>
    <row r="338" spans="1:9" x14ac:dyDescent="0.35">
      <c r="A338" s="52" t="str">
        <v>Stage 2</v>
      </c>
      <c r="B338" s="52">
        <v>131236</v>
      </c>
      <c r="C338" s="52" t="str">
        <v>WIL21</v>
      </c>
      <c r="D338" s="52" t="str">
        <v>DR</v>
      </c>
      <c r="E338" s="52" t="str">
        <v>P</v>
      </c>
      <c r="F338" s="52">
        <v>6021</v>
      </c>
      <c r="G338" s="52" t="str">
        <v>&lt;Blank&gt;</v>
      </c>
      <c r="H338" s="53" t="str">
        <v>131236-WIL21-DR-P-6021</v>
      </c>
      <c r="I338" s="53" t="str">
        <v>P&amp;ID - THP TRAIN 2 REACTOR A</v>
      </c>
    </row>
    <row r="339" spans="1:9" x14ac:dyDescent="0.35">
      <c r="A339" s="52" t="str">
        <v>Stage 2</v>
      </c>
      <c r="B339" s="52">
        <v>131236</v>
      </c>
      <c r="C339" s="52" t="str">
        <v>WIL21</v>
      </c>
      <c r="D339" s="52" t="str">
        <v>DR</v>
      </c>
      <c r="E339" s="52" t="str">
        <v>P</v>
      </c>
      <c r="F339" s="52">
        <v>6022</v>
      </c>
      <c r="G339" s="52" t="str">
        <v>&lt;Blank&gt;</v>
      </c>
      <c r="H339" s="53" t="str">
        <v>131236-WIL21-DR-P-6022</v>
      </c>
      <c r="I339" s="53" t="str">
        <v>P&amp;ID - THP TRAIN 2 REACTOR B</v>
      </c>
    </row>
    <row r="340" spans="1:9" x14ac:dyDescent="0.35">
      <c r="A340" s="52" t="str">
        <v>Stage 2</v>
      </c>
      <c r="B340" s="52">
        <v>131236</v>
      </c>
      <c r="C340" s="52" t="str">
        <v>WIL21</v>
      </c>
      <c r="D340" s="52" t="str">
        <v>DR</v>
      </c>
      <c r="E340" s="52" t="str">
        <v>P</v>
      </c>
      <c r="F340" s="52">
        <v>6023</v>
      </c>
      <c r="G340" s="52" t="str">
        <v>&lt;Blank&gt;</v>
      </c>
      <c r="H340" s="53" t="str">
        <v>131236-WIL21-DR-P-6023</v>
      </c>
      <c r="I340" s="53" t="str">
        <v>P&amp;ID - THP TRAIN 2 REACTOR C</v>
      </c>
    </row>
    <row r="341" spans="1:9" x14ac:dyDescent="0.35">
      <c r="A341" s="52" t="str">
        <v>Stage 2</v>
      </c>
      <c r="B341" s="52">
        <v>131236</v>
      </c>
      <c r="C341" s="52" t="str">
        <v>WIL21</v>
      </c>
      <c r="D341" s="52" t="str">
        <v>DR</v>
      </c>
      <c r="E341" s="52" t="str">
        <v>P</v>
      </c>
      <c r="F341" s="52">
        <v>6024</v>
      </c>
      <c r="G341" s="52" t="str">
        <v>&lt;Blank&gt;</v>
      </c>
      <c r="H341" s="53" t="str">
        <v>131236-WIL21-DR-P-6024</v>
      </c>
      <c r="I341" s="53" t="str">
        <v>P&amp;ID - THP TRAIN 2 REACTOR D</v>
      </c>
    </row>
    <row r="342" spans="1:9" x14ac:dyDescent="0.35">
      <c r="A342" s="52" t="str">
        <v>Stage 2</v>
      </c>
      <c r="B342" s="52">
        <v>131236</v>
      </c>
      <c r="C342" s="52" t="str">
        <v>WIL21</v>
      </c>
      <c r="D342" s="52" t="str">
        <v>DR</v>
      </c>
      <c r="E342" s="52" t="str">
        <v>P</v>
      </c>
      <c r="F342" s="52">
        <v>6025</v>
      </c>
      <c r="G342" s="52" t="str">
        <v>&lt;Blank&gt;</v>
      </c>
      <c r="H342" s="53" t="str">
        <v>131236-WIL21-DR-P-6025</v>
      </c>
      <c r="I342" s="53" t="str">
        <v>P&amp;ID - THP TRAIN 2 FLASHTANK</v>
      </c>
    </row>
    <row r="343" spans="1:9" x14ac:dyDescent="0.35">
      <c r="A343" s="52" t="str">
        <v>Stage 2</v>
      </c>
      <c r="B343" s="52">
        <v>131236</v>
      </c>
      <c r="C343" s="52" t="str">
        <v>WIL21</v>
      </c>
      <c r="D343" s="52" t="str">
        <v>DR</v>
      </c>
      <c r="E343" s="52" t="str">
        <v>P</v>
      </c>
      <c r="F343" s="52">
        <v>6026</v>
      </c>
      <c r="G343" s="52" t="str">
        <v>&lt;Blank&gt;</v>
      </c>
      <c r="H343" s="53" t="str">
        <v>131236-WIL21-DR-P-6026</v>
      </c>
      <c r="I343" s="53" t="str">
        <v>P&amp;ID - THP TRAIN 2 FLASHTANK DISCHARGE PUMPS</v>
      </c>
    </row>
    <row r="344" spans="1:9" x14ac:dyDescent="0.35">
      <c r="A344" s="52" t="str">
        <v>Stage 2</v>
      </c>
      <c r="B344" s="52">
        <v>131236</v>
      </c>
      <c r="C344" s="52" t="str">
        <v>WIL21</v>
      </c>
      <c r="D344" s="52" t="str">
        <v>DR</v>
      </c>
      <c r="E344" s="52" t="str">
        <v>P</v>
      </c>
      <c r="F344" s="52">
        <v>6027</v>
      </c>
      <c r="G344" s="52" t="str">
        <v>&lt;Blank&gt;</v>
      </c>
      <c r="H344" s="53" t="str">
        <v>131236-WIL21-DR-P-6027</v>
      </c>
      <c r="I344" s="53" t="str">
        <v>P&amp;ID - THP TRAIN 2 PROCESS GAS COOLER</v>
      </c>
    </row>
    <row r="345" spans="1:9" x14ac:dyDescent="0.35">
      <c r="A345" s="52" t="str">
        <v>Stage 2</v>
      </c>
      <c r="B345" s="52">
        <v>131236</v>
      </c>
      <c r="C345" s="52" t="str">
        <v>WIL21</v>
      </c>
      <c r="D345" s="52" t="str">
        <v>DR</v>
      </c>
      <c r="E345" s="52" t="str">
        <v>P</v>
      </c>
      <c r="F345" s="52">
        <v>6028</v>
      </c>
      <c r="G345" s="52" t="str">
        <v>&lt;Blank&gt;</v>
      </c>
      <c r="H345" s="53" t="str">
        <v>131236-WIL21-DR-P-6028</v>
      </c>
      <c r="I345" s="53" t="str">
        <v>P&amp;ID - THP TRAIN 2 PROCESS GAS SKID</v>
      </c>
    </row>
    <row r="346" spans="1:9" x14ac:dyDescent="0.35">
      <c r="A346" s="52" t="str">
        <v>Stage 2</v>
      </c>
      <c r="B346" s="52">
        <v>131236</v>
      </c>
      <c r="C346" s="52" t="str">
        <v>WIL21</v>
      </c>
      <c r="D346" s="52" t="str">
        <v>DR</v>
      </c>
      <c r="E346" s="52" t="str">
        <v>P</v>
      </c>
      <c r="F346" s="52">
        <v>6029</v>
      </c>
      <c r="G346" s="52" t="str">
        <v>&lt;Blank&gt;</v>
      </c>
      <c r="H346" s="53" t="str">
        <v>131236-WIL21-DR-P-6029</v>
      </c>
      <c r="I346" s="53" t="str">
        <v>P&amp;ID - THP TRAIN 2 STEAM HEADER</v>
      </c>
    </row>
    <row r="347" spans="1:9" x14ac:dyDescent="0.35">
      <c r="A347" s="52" t="str">
        <v>Stage 2</v>
      </c>
      <c r="B347" s="52">
        <v>131236</v>
      </c>
      <c r="C347" s="52" t="str">
        <v>WIL21</v>
      </c>
      <c r="D347" s="52" t="str">
        <v>DR</v>
      </c>
      <c r="E347" s="52" t="str">
        <v>P</v>
      </c>
      <c r="F347" s="52">
        <v>6030</v>
      </c>
      <c r="G347" s="52" t="str">
        <v>&lt;Blank&gt;</v>
      </c>
      <c r="H347" s="53" t="str">
        <v>131236-WIL21-DR-P-6030</v>
      </c>
      <c r="I347" s="53" t="str">
        <v>P&amp;ID - THP TRAIN 2 PRESSURIZED AIR</v>
      </c>
    </row>
    <row r="348" spans="1:9" x14ac:dyDescent="0.35">
      <c r="A348" s="52" t="str">
        <v>Stage 2</v>
      </c>
      <c r="B348" s="52">
        <v>131236</v>
      </c>
      <c r="C348" s="52" t="str">
        <v>WIL21</v>
      </c>
      <c r="D348" s="52" t="str">
        <v>DR</v>
      </c>
      <c r="E348" s="52" t="str">
        <v>P</v>
      </c>
      <c r="F348" s="52">
        <v>6031</v>
      </c>
      <c r="G348" s="52" t="str">
        <v>&lt;Blank&gt;</v>
      </c>
      <c r="H348" s="53" t="str">
        <v>131236-WIL21-DR-P-6031</v>
      </c>
      <c r="I348" s="53" t="str">
        <v>P&amp;ID - THP TRAIN 2 WATER DISTRIBUTION</v>
      </c>
    </row>
    <row r="349" spans="1:9" x14ac:dyDescent="0.35">
      <c r="A349" s="52" t="str">
        <v>Stage 2</v>
      </c>
      <c r="B349" s="52">
        <v>131236</v>
      </c>
      <c r="C349" s="52" t="str">
        <v>WIL21</v>
      </c>
      <c r="D349" s="52" t="str">
        <v>DR</v>
      </c>
      <c r="E349" s="52" t="str">
        <v>P</v>
      </c>
      <c r="F349" s="52">
        <v>6032</v>
      </c>
      <c r="G349" s="52" t="str">
        <v>&lt;Blank&gt;</v>
      </c>
      <c r="H349" s="53" t="str">
        <v>131236-WIL21-DR-P-6032</v>
      </c>
      <c r="I349" s="53" t="str">
        <v>P&amp;ID - THP TRAIN 2 CAISSON</v>
      </c>
    </row>
    <row r="350" spans="1:9" x14ac:dyDescent="0.35">
      <c r="A350" s="52" t="str">
        <v>Stage 2</v>
      </c>
      <c r="B350" s="52">
        <v>131236</v>
      </c>
      <c r="C350" s="52" t="str">
        <v>WIL21</v>
      </c>
      <c r="D350" s="52" t="str">
        <v>DR</v>
      </c>
      <c r="E350" s="52" t="str">
        <v>P</v>
      </c>
      <c r="F350" s="52">
        <v>6033</v>
      </c>
      <c r="G350" s="52" t="str">
        <v>&lt;Blank&gt;</v>
      </c>
      <c r="H350" s="53" t="str">
        <v>131236-WIL21-DR-P-6033</v>
      </c>
      <c r="I350" s="53" t="str">
        <v>P&amp;ID - THP TRAIN 2 SLUDGE PRECOOLER STAGE 1</v>
      </c>
    </row>
    <row r="351" spans="1:9" x14ac:dyDescent="0.35">
      <c r="A351" s="52" t="str">
        <v>Stage 2</v>
      </c>
      <c r="B351" s="52">
        <v>131236</v>
      </c>
      <c r="C351" s="52" t="str">
        <v>WIL21</v>
      </c>
      <c r="D351" s="52" t="str">
        <v>DR</v>
      </c>
      <c r="E351" s="52" t="str">
        <v>P</v>
      </c>
      <c r="F351" s="52">
        <v>6034</v>
      </c>
      <c r="G351" s="52" t="str">
        <v>&lt;Blank&gt;</v>
      </c>
      <c r="H351" s="53" t="str">
        <v>131236-WIL21-DR-P-6034</v>
      </c>
      <c r="I351" s="53" t="str">
        <v>P&amp;ID - THP TRAIN 2 SLUDGE PRECOOLER STAGE 2 RECIRCULATION PUMPS</v>
      </c>
    </row>
    <row r="352" spans="1:9" x14ac:dyDescent="0.35">
      <c r="A352" s="52" t="str">
        <v>Stage 2</v>
      </c>
      <c r="B352" s="52">
        <v>131236</v>
      </c>
      <c r="C352" s="52" t="str">
        <v>WIL21</v>
      </c>
      <c r="D352" s="52" t="str">
        <v>DR</v>
      </c>
      <c r="E352" s="52" t="str">
        <v>P</v>
      </c>
      <c r="F352" s="52">
        <v>6035</v>
      </c>
      <c r="G352" s="52" t="str">
        <v>&lt;Blank&gt;</v>
      </c>
      <c r="H352" s="53" t="str">
        <v>131236-WIL21-DR-P-6035</v>
      </c>
      <c r="I352" s="53" t="str">
        <v xml:space="preserve">P&amp;ID - THP TRAIN 2 SLUDGE PRECOOLER STAGE 2 </v>
      </c>
    </row>
    <row r="353" spans="1:9" x14ac:dyDescent="0.35">
      <c r="A353" s="52" t="str">
        <v>Stage 2</v>
      </c>
      <c r="B353" s="52">
        <v>131236</v>
      </c>
      <c r="C353" s="52" t="str">
        <v>WIL21</v>
      </c>
      <c r="D353" s="52" t="str">
        <v>DR</v>
      </c>
      <c r="E353" s="52" t="str">
        <v>P</v>
      </c>
      <c r="F353" s="52">
        <v>6036</v>
      </c>
      <c r="G353" s="52" t="str">
        <v>&lt;Blank&gt;</v>
      </c>
      <c r="H353" s="53" t="str">
        <v>131236-WIL21-DR-P-6036</v>
      </c>
      <c r="I353" s="53" t="str">
        <v>P&amp;ID - THP TRAIN 2 DIGESTER FEED PUMPS</v>
      </c>
    </row>
    <row r="354" spans="1:9" x14ac:dyDescent="0.35">
      <c r="A354" s="52" t="str">
        <v>Stage 2</v>
      </c>
      <c r="B354" s="52">
        <v>131236</v>
      </c>
      <c r="C354" s="52" t="str">
        <v>WIL21</v>
      </c>
      <c r="D354" s="52" t="str">
        <v>DR</v>
      </c>
      <c r="E354" s="52" t="str">
        <v>P</v>
      </c>
      <c r="F354" s="52">
        <v>6101</v>
      </c>
      <c r="G354" s="52" t="str">
        <v>&lt;Blank&gt;</v>
      </c>
      <c r="H354" s="53" t="str">
        <v>131236-WIL21-DR-P-6101</v>
      </c>
      <c r="I354" s="53" t="str">
        <v>P&amp;ID - THP PLANT 3</v>
      </c>
    </row>
    <row r="355" spans="1:9" x14ac:dyDescent="0.35">
      <c r="A355" s="52" t="str">
        <v>Stage 2</v>
      </c>
      <c r="B355" s="52">
        <v>131236</v>
      </c>
      <c r="C355" s="52" t="str">
        <v>WIL21</v>
      </c>
      <c r="D355" s="52" t="str">
        <v>DR</v>
      </c>
      <c r="E355" s="52" t="str">
        <v>P</v>
      </c>
      <c r="F355" s="52">
        <v>6121</v>
      </c>
      <c r="G355" s="52" t="str">
        <v>&lt;Blank&gt;</v>
      </c>
      <c r="H355" s="53" t="str">
        <v>131236-WIL21-DR-P-6121</v>
      </c>
      <c r="I355" s="53" t="str">
        <v>P&amp;ID - THP PLANT 4</v>
      </c>
    </row>
    <row r="356" spans="1:9" x14ac:dyDescent="0.35">
      <c r="A356" s="52" t="str">
        <v>Stage 2</v>
      </c>
      <c r="B356" s="52">
        <v>131236</v>
      </c>
      <c r="C356" s="52" t="str">
        <v>WIL21</v>
      </c>
      <c r="D356" s="52" t="str">
        <v>DR</v>
      </c>
      <c r="E356" s="52" t="str">
        <v>P</v>
      </c>
      <c r="F356" s="52">
        <v>6600</v>
      </c>
      <c r="G356" s="52" t="str">
        <v>&lt;Blank&gt;</v>
      </c>
      <c r="H356" s="53" t="str">
        <v>131236-WIL21-DR-P-6600</v>
      </c>
      <c r="I356" s="53" t="str">
        <v>P&amp;ID - THP COMPRESSED AIR SYSTEM</v>
      </c>
    </row>
    <row r="357" spans="1:9" x14ac:dyDescent="0.35">
      <c r="A357" s="52" t="str">
        <v>Stage 2</v>
      </c>
      <c r="B357" s="52">
        <v>131236</v>
      </c>
      <c r="C357" s="52" t="str">
        <v>WIL21</v>
      </c>
      <c r="D357" s="52" t="str">
        <v>DR</v>
      </c>
      <c r="E357" s="52" t="str">
        <v>P</v>
      </c>
      <c r="F357" s="52">
        <v>6601</v>
      </c>
      <c r="G357" s="52" t="str">
        <v>&lt;Blank&gt;</v>
      </c>
      <c r="H357" s="53" t="str">
        <v>131236-WIL21-DR-P-6601</v>
      </c>
      <c r="I357" s="53" t="str">
        <v>P&amp;ID - THP COMPRESSED AIR SYSTEM</v>
      </c>
    </row>
    <row r="358" spans="1:9" x14ac:dyDescent="0.35">
      <c r="A358" s="52" t="str">
        <v>Stage 2</v>
      </c>
      <c r="B358" s="52">
        <v>131236</v>
      </c>
      <c r="C358" s="52" t="str">
        <v>WIL21</v>
      </c>
      <c r="D358" s="52" t="str">
        <v>DR</v>
      </c>
      <c r="E358" s="52" t="str">
        <v>P</v>
      </c>
      <c r="F358" s="52">
        <v>6050</v>
      </c>
      <c r="G358" s="52" t="str">
        <v>&lt;Blank&gt;</v>
      </c>
      <c r="H358" s="53" t="str">
        <v>131236-WIL21-DR-P-6050</v>
      </c>
      <c r="I358" s="53" t="str">
        <v>P&amp;ID - THP STHP DISTRIBUTION</v>
      </c>
    </row>
    <row r="359" spans="1:9" x14ac:dyDescent="0.35">
      <c r="A359" s="52" t="str">
        <v>Stage 2</v>
      </c>
      <c r="B359" s="52">
        <v>131236</v>
      </c>
      <c r="C359" s="52" t="str">
        <v>WIL21</v>
      </c>
      <c r="D359" s="52" t="str">
        <v>DR</v>
      </c>
      <c r="E359" s="52" t="str">
        <v>P</v>
      </c>
      <c r="F359" s="52">
        <v>6400</v>
      </c>
      <c r="G359" s="52" t="str">
        <v>&lt;Blank&gt;</v>
      </c>
      <c r="H359" s="53" t="str">
        <v>131236-WIL21-DR-P-6400</v>
      </c>
      <c r="I359" s="53" t="str">
        <v>P&amp;ID - THP PROCESS GAS HEADER</v>
      </c>
    </row>
    <row r="360" spans="1:9" x14ac:dyDescent="0.35">
      <c r="A360" s="52" t="str">
        <v>Stage 2</v>
      </c>
      <c r="B360" s="52">
        <v>131236</v>
      </c>
      <c r="C360" s="52" t="str">
        <v>WIL21</v>
      </c>
      <c r="D360" s="52" t="str">
        <v>DR</v>
      </c>
      <c r="E360" s="52" t="str">
        <v>P</v>
      </c>
      <c r="F360" s="52">
        <v>6200</v>
      </c>
      <c r="G360" s="52" t="str">
        <v>&lt;Blank&gt;</v>
      </c>
      <c r="H360" s="53" t="str">
        <v>131236-WIL21-DR-P-6200</v>
      </c>
      <c r="I360" s="53" t="str">
        <v>P&amp;ID - THP AREA G2D NETWORK</v>
      </c>
    </row>
    <row r="361" spans="1:9" x14ac:dyDescent="0.35">
      <c r="A361" s="52" t="str">
        <v>Stage 2</v>
      </c>
      <c r="B361" s="52">
        <v>131236</v>
      </c>
      <c r="C361" s="52" t="str">
        <v>WIL21</v>
      </c>
      <c r="D361" s="52" t="str">
        <v>DR</v>
      </c>
      <c r="E361" s="52" t="str">
        <v>P</v>
      </c>
      <c r="F361" s="52">
        <v>6300</v>
      </c>
      <c r="G361" s="52" t="str">
        <v>&lt;Blank&gt;</v>
      </c>
      <c r="H361" s="53" t="str">
        <v>131236-WIL21-DR-P-6300</v>
      </c>
      <c r="I361" s="53" t="str">
        <v>P&amp;ID - THP PLANT DRAIN NETWORK</v>
      </c>
    </row>
    <row r="362" spans="1:9" x14ac:dyDescent="0.35">
      <c r="A362" s="52" t="str">
        <v>Stage 2</v>
      </c>
      <c r="B362" s="52">
        <v>131236</v>
      </c>
      <c r="C362" s="52" t="str">
        <v>WIL21</v>
      </c>
      <c r="D362" s="52" t="str">
        <v>DR</v>
      </c>
      <c r="E362" s="52" t="str">
        <v>P</v>
      </c>
      <c r="F362" s="52">
        <v>6063</v>
      </c>
      <c r="G362" s="52" t="str">
        <v>&lt;Blank&gt;</v>
      </c>
      <c r="H362" s="53" t="str">
        <v>131236-WIL21-DR-P-6063</v>
      </c>
      <c r="I362" s="53" t="str">
        <v>P&amp;ID - THP STEAM SPARGERS</v>
      </c>
    </row>
    <row r="363" spans="1:9" x14ac:dyDescent="0.35">
      <c r="A363" s="52" t="str">
        <v>Stage 2</v>
      </c>
      <c r="B363" s="52">
        <v>131236</v>
      </c>
      <c r="C363" s="52" t="str">
        <v>WIL21</v>
      </c>
      <c r="D363" s="52" t="str">
        <v>DR</v>
      </c>
      <c r="E363" s="52" t="str">
        <v>P</v>
      </c>
      <c r="F363" s="52" t="str">
        <v>6070</v>
      </c>
      <c r="G363" s="52" t="str">
        <v>&lt;Blank&gt;</v>
      </c>
      <c r="H363" s="53" t="str">
        <v>131236-WIL21-DR-P-6070</v>
      </c>
      <c r="I363" s="53" t="str">
        <v>P&amp;ID - THP HYDROLYSED SLUDGE RECIRCULATOIN PUMPS</v>
      </c>
    </row>
    <row r="364" spans="1:9" x14ac:dyDescent="0.35">
      <c r="A364" s="52" t="str">
        <v>Stage 2</v>
      </c>
      <c r="B364" s="52">
        <v>131236</v>
      </c>
      <c r="C364" s="52" t="str">
        <v>WIL21</v>
      </c>
      <c r="D364" s="52" t="str">
        <v>DR</v>
      </c>
      <c r="E364" s="52" t="str">
        <v>P</v>
      </c>
      <c r="F364" s="52">
        <v>6051</v>
      </c>
      <c r="G364" s="52" t="str">
        <v>&lt;Blank&gt;</v>
      </c>
      <c r="H364" s="53" t="str">
        <v>131236-WIL21-DR-P-6051</v>
      </c>
      <c r="I364" s="53" t="str">
        <v>P&amp;ID - THP STHP DISTRIBUTION</v>
      </c>
    </row>
    <row r="365" spans="1:9" x14ac:dyDescent="0.35">
      <c r="A365" s="52" t="str">
        <v>Deleted</v>
      </c>
      <c r="B365" s="52">
        <v>131236</v>
      </c>
      <c r="C365" s="52" t="str">
        <v>WIL21</v>
      </c>
      <c r="D365" s="52" t="str">
        <v>DR</v>
      </c>
      <c r="E365" s="52" t="str">
        <v>P</v>
      </c>
      <c r="F365" s="52" t="str">
        <v>&lt;Blank&gt;</v>
      </c>
      <c r="G365" s="52" t="str">
        <v>&lt;Blank&gt;</v>
      </c>
      <c r="H365" s="53" t="str">
        <v>Deleted</v>
      </c>
      <c r="I365" s="53" t="str">
        <v>Process &amp; Instrumentation Diagram</v>
      </c>
    </row>
    <row r="366" spans="1:9" x14ac:dyDescent="0.35">
      <c r="A366" s="52" t="str">
        <v>Deleted</v>
      </c>
      <c r="B366" s="52">
        <v>131236</v>
      </c>
      <c r="C366" s="52" t="str">
        <v>WIL21</v>
      </c>
      <c r="D366" s="52" t="str">
        <v>DR</v>
      </c>
      <c r="E366" s="52" t="str">
        <v>P</v>
      </c>
      <c r="F366" s="52">
        <v>8001</v>
      </c>
      <c r="G366" s="52" t="str">
        <v>&lt;Blank&gt;</v>
      </c>
      <c r="H366" s="53" t="str">
        <v>Deleted</v>
      </c>
      <c r="I366" s="53" t="str">
        <v>THP ATEX Zone Drawing</v>
      </c>
    </row>
    <row r="367" spans="1:9" x14ac:dyDescent="0.35">
      <c r="A367" s="52" t="str">
        <v>NA</v>
      </c>
      <c r="B367" s="52">
        <v>131236</v>
      </c>
      <c r="C367" s="52" t="str">
        <v>WIL21</v>
      </c>
      <c r="D367" s="52" t="str">
        <v>PS</v>
      </c>
      <c r="E367" s="52" t="str">
        <v>P</v>
      </c>
      <c r="F367" s="52" t="str">
        <v>0002</v>
      </c>
      <c r="G367" s="52" t="str">
        <v>&lt;Blank&gt;</v>
      </c>
      <c r="H367" s="53" t="str">
        <v>131236-WIL21-PS-P-0002</v>
      </c>
      <c r="I367" s="53" t="str">
        <v>THP FDS WORKSHOP PRESENTATION</v>
      </c>
    </row>
    <row r="368" spans="1:9" x14ac:dyDescent="0.35">
      <c r="A368" s="52" t="str">
        <v>Stage 2</v>
      </c>
      <c r="B368" s="52">
        <v>131236</v>
      </c>
      <c r="C368" s="52" t="str">
        <v>WIL21</v>
      </c>
      <c r="D368" s="52" t="str">
        <v>SP</v>
      </c>
      <c r="E368" s="52" t="str">
        <v>I</v>
      </c>
      <c r="F368" s="52" t="str">
        <v>0005</v>
      </c>
      <c r="G368" s="52" t="str">
        <v>&lt;Blank&gt;</v>
      </c>
      <c r="H368" s="53" t="str">
        <v>131236-WIL21-SP-I-0005</v>
      </c>
      <c r="I368" s="53" t="str">
        <v>MASTER CONTROL</v>
      </c>
    </row>
    <row r="369" spans="1:9" x14ac:dyDescent="0.35">
      <c r="A369" s="52" t="str">
        <v>Stage 2</v>
      </c>
      <c r="B369" s="52">
        <v>131236</v>
      </c>
      <c r="C369" s="52" t="str">
        <v>WIL21</v>
      </c>
      <c r="D369" s="52" t="str">
        <v>RT</v>
      </c>
      <c r="E369" s="52" t="str">
        <v>Z</v>
      </c>
      <c r="F369" s="52" t="str">
        <v>0003</v>
      </c>
      <c r="G369" s="52" t="str">
        <v>&lt;Blank&gt;</v>
      </c>
      <c r="H369" s="53" t="str">
        <v>131236-WIL21-RT-Z-0003</v>
      </c>
      <c r="I369" s="53" t="str">
        <v>80% THP ALMOP</v>
      </c>
    </row>
    <row r="370" spans="1:9" x14ac:dyDescent="0.35">
      <c r="A370" s="52" t="str">
        <v>Stage 2</v>
      </c>
      <c r="B370" s="52">
        <v>131236</v>
      </c>
      <c r="C370" s="52" t="str">
        <v>WIL21</v>
      </c>
      <c r="D370" s="52" t="str">
        <v>BQ</v>
      </c>
      <c r="E370" s="52" t="str">
        <v>P</v>
      </c>
      <c r="F370" s="52" t="str">
        <v>0003</v>
      </c>
      <c r="G370" s="52" t="str">
        <v>&lt;Blank&gt;</v>
      </c>
      <c r="H370" s="53" t="str">
        <v>131236-WIL21-BQ-P-0003</v>
      </c>
      <c r="I370" s="53" t="str">
        <v>Line List - THP</v>
      </c>
    </row>
    <row r="371" spans="1:9" x14ac:dyDescent="0.35">
      <c r="A371" s="52" t="str">
        <v>Stage 2</v>
      </c>
      <c r="B371" s="52">
        <v>131236</v>
      </c>
      <c r="C371" s="52" t="str">
        <v>WIL21</v>
      </c>
      <c r="D371" s="52" t="str">
        <v>BQ</v>
      </c>
      <c r="E371" s="52" t="str">
        <v>P</v>
      </c>
      <c r="F371" s="52" t="str">
        <v>0001</v>
      </c>
      <c r="G371" s="52" t="str">
        <v>&lt;Blank&gt;</v>
      </c>
      <c r="H371" s="53" t="str">
        <v>131236-WIL21-BQ-P-0001</v>
      </c>
      <c r="I371" s="53" t="str">
        <v>C4B THERMAL HYDROLYSIS PROCESS EQUIPMENT LIST</v>
      </c>
    </row>
    <row r="372" spans="1:9" x14ac:dyDescent="0.35">
      <c r="A372" s="52" t="str">
        <v>Stage 2</v>
      </c>
      <c r="B372" s="52">
        <v>131236</v>
      </c>
      <c r="C372" s="52" t="str">
        <v>WIL21</v>
      </c>
      <c r="D372" s="52" t="str">
        <v>BQ</v>
      </c>
      <c r="E372" s="52" t="str">
        <v>P</v>
      </c>
      <c r="F372" s="52" t="str">
        <v>0002</v>
      </c>
      <c r="G372" s="52" t="str">
        <v>&lt;Blank&gt;</v>
      </c>
      <c r="H372" s="53" t="str">
        <v>131236-WIL21-BQ-P-0002</v>
      </c>
      <c r="I372" s="53" t="str">
        <v>C4B THP Valve List</v>
      </c>
    </row>
    <row r="373" spans="1:9" x14ac:dyDescent="0.35">
      <c r="A373" s="52" t="str">
        <v>Deleted</v>
      </c>
      <c r="B373" s="52">
        <v>131236</v>
      </c>
      <c r="C373" s="52" t="str">
        <v>WIL21</v>
      </c>
      <c r="D373" s="52" t="str">
        <v>BQ</v>
      </c>
      <c r="E373" s="52" t="str">
        <v>P</v>
      </c>
      <c r="F373" s="52" t="str">
        <v>0001</v>
      </c>
      <c r="G373" s="52" t="str">
        <v>&lt;Blank&gt;</v>
      </c>
      <c r="H373" s="53" t="str">
        <v>Deleted</v>
      </c>
      <c r="I373" s="53" t="str">
        <v>Equipment List</v>
      </c>
    </row>
    <row r="374" spans="1:9" x14ac:dyDescent="0.35">
      <c r="A374" s="52" t="str">
        <v>Deleted</v>
      </c>
      <c r="B374" s="52">
        <v>131236</v>
      </c>
      <c r="C374" s="52" t="str">
        <v>WIL21</v>
      </c>
      <c r="D374" s="52" t="str">
        <v>BQ</v>
      </c>
      <c r="E374" s="52" t="str">
        <v>P</v>
      </c>
      <c r="F374" s="52" t="str">
        <v>&lt;Blank&gt;</v>
      </c>
      <c r="G374" s="52" t="str">
        <v>&lt;Blank&gt;</v>
      </c>
      <c r="H374" s="53" t="str">
        <v>Deleted</v>
      </c>
      <c r="I374" s="53" t="str">
        <v>Pipe Line List</v>
      </c>
    </row>
    <row r="375" spans="1:9" x14ac:dyDescent="0.35">
      <c r="A375" s="52" t="str">
        <v>Deleted</v>
      </c>
      <c r="B375" s="52">
        <v>131236</v>
      </c>
      <c r="C375" s="52" t="str">
        <v>WIL21</v>
      </c>
      <c r="D375" s="52" t="str">
        <v>BQ</v>
      </c>
      <c r="E375" s="52" t="str">
        <v>P</v>
      </c>
      <c r="F375" s="52" t="str">
        <v>&lt;Blank&gt;</v>
      </c>
      <c r="G375" s="52" t="str">
        <v>&lt;Blank&gt;</v>
      </c>
      <c r="H375" s="53" t="str">
        <v>Deleted</v>
      </c>
      <c r="I375" s="53" t="str">
        <v>Instrument List</v>
      </c>
    </row>
    <row r="376" spans="1:9" x14ac:dyDescent="0.35">
      <c r="A376" s="52" t="str">
        <v>Deleted</v>
      </c>
      <c r="B376" s="52">
        <v>131236</v>
      </c>
      <c r="C376" s="52" t="str">
        <v>WIL21</v>
      </c>
      <c r="D376" s="52" t="str">
        <v>CH</v>
      </c>
      <c r="E376" s="52" t="str">
        <v>P</v>
      </c>
      <c r="F376" s="52" t="str">
        <v>&lt;Blank&gt;</v>
      </c>
      <c r="G376" s="52" t="str">
        <v>&lt;Blank&gt;</v>
      </c>
      <c r="H376" s="53" t="str">
        <v>Deleted</v>
      </c>
      <c r="I376" s="53" t="str">
        <v>Termination Point List</v>
      </c>
    </row>
    <row r="377" spans="1:9" x14ac:dyDescent="0.35">
      <c r="A377" s="52" t="str">
        <v>Deleted</v>
      </c>
      <c r="B377" s="52">
        <v>131236</v>
      </c>
      <c r="C377" s="52" t="str">
        <v>WIL21</v>
      </c>
      <c r="D377" s="52" t="str">
        <v>CH</v>
      </c>
      <c r="E377" s="52" t="str">
        <v>P</v>
      </c>
      <c r="F377" s="52" t="str">
        <v>&lt;Blank&gt;</v>
      </c>
      <c r="G377" s="52" t="str">
        <v>&lt;Blank&gt;</v>
      </c>
      <c r="H377" s="53" t="str">
        <v>Deleted</v>
      </c>
      <c r="I377" s="53" t="str">
        <v>Alarm List</v>
      </c>
    </row>
    <row r="378" spans="1:9" x14ac:dyDescent="0.35">
      <c r="A378" s="52" t="str">
        <v>Stage 2</v>
      </c>
      <c r="B378" s="52">
        <v>131236</v>
      </c>
      <c r="C378" s="52" t="str">
        <v>WIL21</v>
      </c>
      <c r="D378" s="52" t="str">
        <v>DS</v>
      </c>
      <c r="E378" s="52" t="str">
        <v>M</v>
      </c>
      <c r="F378" s="52" t="str">
        <v>0001</v>
      </c>
      <c r="G378" s="52" t="str">
        <v>&lt;Blank&gt;</v>
      </c>
      <c r="H378" s="53" t="str">
        <v>131236-WIL21-DS-M-0001</v>
      </c>
      <c r="I378" s="53" t="str">
        <v>Safety Valve Datasheet</v>
      </c>
    </row>
    <row r="379" spans="1:9" x14ac:dyDescent="0.35">
      <c r="A379" s="52" t="str">
        <v>Stage 2</v>
      </c>
      <c r="B379" s="52">
        <v>131236</v>
      </c>
      <c r="C379" s="52" t="str">
        <v>WIL21</v>
      </c>
      <c r="D379" s="52" t="str">
        <v>DS</v>
      </c>
      <c r="E379" s="52" t="str">
        <v>M</v>
      </c>
      <c r="F379" s="52" t="str">
        <v>0047</v>
      </c>
      <c r="G379" s="52" t="str">
        <v>&lt;Blank&gt;</v>
      </c>
      <c r="H379" s="53" t="str">
        <v>131236-WIL21-DS-M-0047</v>
      </c>
      <c r="I379" s="53" t="str">
        <v>PRESSURE REDUCING VALVE DATASHEET - INSTRUMENT AIR FOR THP TRAIN 1/2 AREA,STEAM SPARGER AREA, THP FEED PUMP AREA</v>
      </c>
    </row>
    <row r="380" spans="1:9" x14ac:dyDescent="0.35">
      <c r="A380" s="52" t="str">
        <v>Deleted</v>
      </c>
      <c r="B380" s="52">
        <v>131236</v>
      </c>
      <c r="C380" s="52" t="str">
        <v>WIL21</v>
      </c>
      <c r="D380" s="52" t="str">
        <v>DS</v>
      </c>
      <c r="E380" s="52" t="str">
        <v>M</v>
      </c>
      <c r="F380" s="52">
        <v>5754</v>
      </c>
      <c r="G380" s="52" t="str">
        <v>&lt;Blank&gt;</v>
      </c>
      <c r="H380" s="53" t="str">
        <v>Deleted</v>
      </c>
      <c r="I380" s="53" t="str">
        <v>PRESSURE REDUCING VALVE DATASHEET - INSTRUMENT AIR FOR COMPRESSED AIR SYSTEM</v>
      </c>
    </row>
    <row r="381" spans="1:9" x14ac:dyDescent="0.35">
      <c r="A381" s="52" t="str">
        <v>Stage 2</v>
      </c>
      <c r="B381" s="52">
        <v>131236</v>
      </c>
      <c r="C381" s="52" t="str">
        <v>WIL21</v>
      </c>
      <c r="D381" s="52" t="str">
        <v>DS</v>
      </c>
      <c r="E381" s="52" t="str">
        <v>M</v>
      </c>
      <c r="F381" s="52" t="str">
        <v>0040</v>
      </c>
      <c r="G381" s="52" t="str">
        <v>&lt;Blank&gt;</v>
      </c>
      <c r="H381" s="53" t="str">
        <v>131236-WIL21-DS-M-0040</v>
      </c>
      <c r="I381" s="53" t="str">
        <v>THP HWR BYPASS CONTROL VALVE</v>
      </c>
    </row>
    <row r="382" spans="1:9" x14ac:dyDescent="0.35">
      <c r="A382" s="52" t="str">
        <v>Deleted</v>
      </c>
      <c r="B382" s="52">
        <v>131236</v>
      </c>
      <c r="C382" s="52" t="str">
        <v>WIL21</v>
      </c>
      <c r="D382" s="52" t="str">
        <v>DS</v>
      </c>
      <c r="E382" s="52" t="str">
        <v>P</v>
      </c>
      <c r="F382" s="52" t="str">
        <v>0001</v>
      </c>
      <c r="G382" s="52" t="str">
        <v>&lt;Blank&gt;</v>
      </c>
      <c r="H382" s="53" t="str">
        <v>Deleted</v>
      </c>
      <c r="I382" s="53" t="str">
        <v>Control Valve Datasheet</v>
      </c>
    </row>
    <row r="383" spans="1:9" x14ac:dyDescent="0.35">
      <c r="A383" s="52" t="str">
        <v>Deleted</v>
      </c>
      <c r="B383" s="52">
        <v>131236</v>
      </c>
      <c r="C383" s="52" t="str">
        <v>WIL21</v>
      </c>
      <c r="D383" s="52" t="str">
        <v>DS</v>
      </c>
      <c r="E383" s="52" t="str">
        <v>P</v>
      </c>
      <c r="F383" s="52" t="str">
        <v>&lt;Blank&gt;</v>
      </c>
      <c r="G383" s="52" t="str">
        <v>&lt;Blank&gt;</v>
      </c>
      <c r="H383" s="53" t="str">
        <v>Deleted</v>
      </c>
      <c r="I383" s="53" t="str">
        <v>Ball Valve Datasheet</v>
      </c>
    </row>
    <row r="384" spans="1:9" x14ac:dyDescent="0.35">
      <c r="A384" s="52" t="str">
        <v>Deleted</v>
      </c>
      <c r="B384" s="52">
        <v>131236</v>
      </c>
      <c r="C384" s="52" t="str">
        <v>WIL21</v>
      </c>
      <c r="D384" s="52" t="str">
        <v>DS</v>
      </c>
      <c r="E384" s="52" t="str">
        <v>P</v>
      </c>
      <c r="F384" s="52" t="str">
        <v>&lt;Blank&gt;</v>
      </c>
      <c r="G384" s="52" t="str">
        <v>&lt;Blank&gt;</v>
      </c>
      <c r="H384" s="53" t="str">
        <v>Deleted</v>
      </c>
      <c r="I384" s="53" t="str">
        <v>Check Valve Datasheet</v>
      </c>
    </row>
    <row r="385" spans="1:9" x14ac:dyDescent="0.35">
      <c r="A385" s="52" t="str">
        <v>Deleted</v>
      </c>
      <c r="B385" s="52">
        <v>131236</v>
      </c>
      <c r="C385" s="52" t="str">
        <v>WIL21</v>
      </c>
      <c r="D385" s="52" t="str">
        <v>DS</v>
      </c>
      <c r="E385" s="52" t="str">
        <v>P</v>
      </c>
      <c r="F385" s="52" t="str">
        <v>&lt;Blank&gt;</v>
      </c>
      <c r="G385" s="52" t="str">
        <v>&lt;Blank&gt;</v>
      </c>
      <c r="H385" s="53" t="str">
        <v>Deleted</v>
      </c>
      <c r="I385" s="53" t="str">
        <v>Gate Valve Datasheet</v>
      </c>
    </row>
    <row r="386" spans="1:9" x14ac:dyDescent="0.35">
      <c r="A386" s="52" t="str">
        <v>Deleted</v>
      </c>
      <c r="B386" s="52">
        <v>131236</v>
      </c>
      <c r="C386" s="52" t="str">
        <v>WIL21</v>
      </c>
      <c r="D386" s="52" t="str">
        <v>MS</v>
      </c>
      <c r="E386" s="52" t="str">
        <v>P</v>
      </c>
      <c r="F386" s="52" t="str">
        <v>0001</v>
      </c>
      <c r="G386" s="52" t="str">
        <v>&lt;Blank&gt;</v>
      </c>
      <c r="H386" s="53" t="str">
        <v>Deleted</v>
      </c>
      <c r="I386" s="53" t="str">
        <v>ste</v>
      </c>
    </row>
    <row r="387" spans="1:9" x14ac:dyDescent="0.35">
      <c r="A387" s="52" t="str">
        <v>Deleted</v>
      </c>
      <c r="B387" s="52">
        <v>131236</v>
      </c>
      <c r="C387" s="52" t="str">
        <v>WIL21</v>
      </c>
      <c r="D387" s="52" t="str">
        <v>MS</v>
      </c>
      <c r="E387" s="52" t="str">
        <v>P</v>
      </c>
      <c r="F387" s="52" t="str">
        <v>0002</v>
      </c>
      <c r="G387" s="52" t="str">
        <v>&lt;Blank&gt;</v>
      </c>
      <c r="H387" s="53" t="str">
        <v>Deleted</v>
      </c>
      <c r="I387" s="53" t="str">
        <v>Commissioning Procedure</v>
      </c>
    </row>
    <row r="388" spans="1:9" x14ac:dyDescent="0.35">
      <c r="A388" s="52" t="str">
        <v>Deleted</v>
      </c>
      <c r="B388" s="52">
        <v>131236</v>
      </c>
      <c r="C388" s="52" t="str">
        <v>WIL21</v>
      </c>
      <c r="D388" s="52" t="str">
        <v>MS</v>
      </c>
      <c r="E388" s="52" t="str">
        <v>P</v>
      </c>
      <c r="F388" s="52" t="str">
        <v>0003</v>
      </c>
      <c r="G388" s="52" t="str">
        <v>&lt;Blank&gt;</v>
      </c>
      <c r="H388" s="53" t="str">
        <v>Deleted</v>
      </c>
      <c r="I388" s="53" t="str">
        <v>Training Manual</v>
      </c>
    </row>
    <row r="389" spans="1:9" x14ac:dyDescent="0.35">
      <c r="A389" s="52" t="str">
        <v>Deleted</v>
      </c>
      <c r="B389" s="52">
        <v>131236</v>
      </c>
      <c r="C389" s="52" t="str">
        <v>WIL21</v>
      </c>
      <c r="D389" s="52" t="str">
        <v>MS</v>
      </c>
      <c r="E389" s="52" t="str">
        <v>P</v>
      </c>
      <c r="F389" s="52" t="str">
        <v>0004</v>
      </c>
      <c r="G389" s="52" t="str">
        <v>&lt;Blank&gt;</v>
      </c>
      <c r="H389" s="53" t="str">
        <v>Deleted</v>
      </c>
      <c r="I389" s="53" t="str">
        <v>Performance Test Procedure</v>
      </c>
    </row>
    <row r="390" spans="1:9" x14ac:dyDescent="0.35">
      <c r="A390" s="52" t="str">
        <v>NA</v>
      </c>
      <c r="B390" s="52">
        <v>131236</v>
      </c>
      <c r="C390" s="52" t="str">
        <v>WIL21</v>
      </c>
      <c r="D390" s="52" t="str">
        <v>SN</v>
      </c>
      <c r="E390" s="52" t="str">
        <v>IM</v>
      </c>
      <c r="F390" s="52" t="str">
        <v>xxxx</v>
      </c>
      <c r="G390" s="52" t="str">
        <v>&lt;Blank&gt;</v>
      </c>
      <c r="H390" s="53" t="str">
        <v>131236-WIL21-SN-IM-xxxx</v>
      </c>
      <c r="I390" s="53" t="str">
        <v>&lt;Blank&gt;</v>
      </c>
    </row>
    <row r="391" spans="1:9" x14ac:dyDescent="0.35">
      <c r="A391" s="52" t="str">
        <v>NA</v>
      </c>
      <c r="B391" s="52">
        <v>131236</v>
      </c>
      <c r="C391" s="52" t="str">
        <v>WIL21</v>
      </c>
      <c r="D391" s="52" t="str">
        <v>SN</v>
      </c>
      <c r="E391" s="52" t="str">
        <v>IM</v>
      </c>
      <c r="F391" s="52" t="str">
        <v>xxxx</v>
      </c>
      <c r="G391" s="52" t="str">
        <v>&lt;Blank&gt;</v>
      </c>
      <c r="H391" s="53" t="str">
        <v>131236-WIL21-SN-IM-xxxx</v>
      </c>
      <c r="I391" s="53" t="str">
        <v>&lt;Blank&gt;</v>
      </c>
    </row>
    <row r="392" spans="1:9" x14ac:dyDescent="0.35">
      <c r="A392" s="52" t="str">
        <v>NA</v>
      </c>
      <c r="B392" s="52">
        <v>131236</v>
      </c>
      <c r="C392" s="52" t="str">
        <v>WIL21</v>
      </c>
      <c r="D392" s="52" t="str">
        <v>SN</v>
      </c>
      <c r="E392" s="52" t="str">
        <v>IM</v>
      </c>
      <c r="F392" s="52" t="str">
        <v>xxxx</v>
      </c>
      <c r="G392" s="52" t="str">
        <v>&lt;Blank&gt;</v>
      </c>
      <c r="H392" s="53" t="str">
        <v>131236-WIL21-SN-IM-xxxx</v>
      </c>
      <c r="I392" s="53" t="str">
        <v>&lt;Blank&gt;</v>
      </c>
    </row>
    <row r="393" spans="1:9" x14ac:dyDescent="0.35">
      <c r="A393" s="52" t="str">
        <v>NA</v>
      </c>
      <c r="B393" s="52">
        <v>131236</v>
      </c>
      <c r="C393" s="52" t="str">
        <v>WIL21</v>
      </c>
      <c r="D393" s="52" t="str">
        <v>SN</v>
      </c>
      <c r="E393" s="52" t="str">
        <v>IM</v>
      </c>
      <c r="F393" s="52" t="str">
        <v>xxxx</v>
      </c>
      <c r="G393" s="52" t="str">
        <v>&lt;Blank&gt;</v>
      </c>
      <c r="H393" s="53" t="str">
        <v>131236-WIL21-SN-IM-xxxx</v>
      </c>
      <c r="I393" s="53" t="str">
        <v>&lt;Blank&gt;</v>
      </c>
    </row>
    <row r="394" spans="1:9" x14ac:dyDescent="0.35">
      <c r="A394" s="52" t="str">
        <v>NA</v>
      </c>
      <c r="B394" s="52">
        <v>131236</v>
      </c>
      <c r="C394" s="52" t="str">
        <v>WIL21</v>
      </c>
      <c r="D394" s="52" t="str">
        <v>SN</v>
      </c>
      <c r="E394" s="52" t="str">
        <v>IM</v>
      </c>
      <c r="F394" s="52" t="str">
        <v>xxxx</v>
      </c>
      <c r="G394" s="52" t="str">
        <v>&lt;Blank&gt;</v>
      </c>
      <c r="H394" s="53" t="str">
        <v>131236-WIL21-SN-IM-xxxx</v>
      </c>
      <c r="I394" s="53" t="str">
        <v>&lt;Blank&gt;</v>
      </c>
    </row>
    <row r="395" spans="1:9" x14ac:dyDescent="0.35">
      <c r="A395" s="52" t="str">
        <v>NA</v>
      </c>
      <c r="B395" s="52">
        <v>131236</v>
      </c>
      <c r="C395" s="52" t="str">
        <v>WIL21</v>
      </c>
      <c r="D395" s="52" t="str">
        <v>SN</v>
      </c>
      <c r="E395" s="52" t="str">
        <v>IM</v>
      </c>
      <c r="F395" s="52" t="str">
        <v>xxxx</v>
      </c>
      <c r="G395" s="52" t="str">
        <v>&lt;Blank&gt;</v>
      </c>
      <c r="H395" s="53" t="str">
        <v>131236-WIL21-SN-IM-xxxx</v>
      </c>
      <c r="I395" s="53" t="str">
        <v>&lt;Blank&gt;</v>
      </c>
    </row>
    <row r="396" spans="1:9" x14ac:dyDescent="0.35">
      <c r="A396" s="52" t="str">
        <v>NA</v>
      </c>
      <c r="B396" s="52">
        <v>131236</v>
      </c>
      <c r="C396" s="52" t="str">
        <v>WIL21</v>
      </c>
      <c r="D396" s="52" t="str">
        <v>SN</v>
      </c>
      <c r="E396" s="52" t="str">
        <v>IM</v>
      </c>
      <c r="F396" s="52" t="str">
        <v>xxxx</v>
      </c>
      <c r="G396" s="52" t="str">
        <v>&lt;Blank&gt;</v>
      </c>
      <c r="H396" s="53" t="str">
        <v>131236-WIL21-SN-IM-xxxx</v>
      </c>
      <c r="I396" s="53" t="str">
        <v>&lt;Blank&gt;</v>
      </c>
    </row>
    <row r="397" spans="1:9" x14ac:dyDescent="0.35">
      <c r="A397" s="52" t="str">
        <v>NA</v>
      </c>
      <c r="B397" s="52">
        <v>131236</v>
      </c>
      <c r="C397" s="52" t="str">
        <v>WIL21</v>
      </c>
      <c r="D397" s="52" t="str">
        <v>SN</v>
      </c>
      <c r="E397" s="52" t="str">
        <v>IM</v>
      </c>
      <c r="F397" s="52" t="str">
        <v>xxxx</v>
      </c>
      <c r="G397" s="52" t="str">
        <v>&lt;Blank&gt;</v>
      </c>
      <c r="H397" s="53" t="str">
        <v>131236-WIL21-SN-IM-xxxx</v>
      </c>
      <c r="I397" s="53" t="str">
        <v>&lt;Blank&gt;</v>
      </c>
    </row>
    <row r="398" spans="1:9" x14ac:dyDescent="0.35">
      <c r="A398" s="52" t="str">
        <v>NA</v>
      </c>
      <c r="B398" s="52">
        <v>131236</v>
      </c>
      <c r="C398" s="52" t="str">
        <v>WIL21</v>
      </c>
      <c r="D398" s="52" t="str">
        <v>SN</v>
      </c>
      <c r="E398" s="52" t="str">
        <v>IM</v>
      </c>
      <c r="F398" s="52" t="str">
        <v>xxxx</v>
      </c>
      <c r="G398" s="52" t="str">
        <v>&lt;Blank&gt;</v>
      </c>
      <c r="H398" s="53" t="str">
        <v>131236-WIL21-SN-IM-xxxx</v>
      </c>
      <c r="I398" s="53" t="str">
        <v>&lt;Blank&gt;</v>
      </c>
    </row>
    <row r="399" spans="1:9" x14ac:dyDescent="0.35">
      <c r="A399" s="52" t="str">
        <v>NA</v>
      </c>
      <c r="B399" s="52">
        <v>131236</v>
      </c>
      <c r="C399" s="52" t="str">
        <v>WIL21</v>
      </c>
      <c r="D399" s="52" t="str">
        <v>SN</v>
      </c>
      <c r="E399" s="52" t="str">
        <v>IM</v>
      </c>
      <c r="F399" s="52" t="str">
        <v>xxxx</v>
      </c>
      <c r="G399" s="52" t="str">
        <v>&lt;Blank&gt;</v>
      </c>
      <c r="H399" s="53" t="str">
        <v>131236-WIL21-SN-IM-xxxx</v>
      </c>
      <c r="I399" s="53" t="str">
        <v>&lt;Blank&gt;</v>
      </c>
    </row>
    <row r="400" spans="1:9" x14ac:dyDescent="0.35">
      <c r="A400" s="52" t="str">
        <v>NA</v>
      </c>
      <c r="B400" s="52">
        <v>131236</v>
      </c>
      <c r="C400" s="52" t="str">
        <v>WIL21</v>
      </c>
      <c r="D400" s="52" t="str">
        <v>SN</v>
      </c>
      <c r="E400" s="52" t="str">
        <v>IM</v>
      </c>
      <c r="F400" s="52" t="str">
        <v>xxxx</v>
      </c>
      <c r="G400" s="52" t="str">
        <v>&lt;Blank&gt;</v>
      </c>
      <c r="H400" s="53" t="str">
        <v>131236-WIL21-SN-IM-xxxx</v>
      </c>
      <c r="I400" s="53" t="str">
        <v>&lt;Blank&gt;</v>
      </c>
    </row>
    <row r="401" spans="1:9" x14ac:dyDescent="0.35">
      <c r="A401" s="52" t="str">
        <v>NA</v>
      </c>
      <c r="B401" s="52">
        <v>131236</v>
      </c>
      <c r="C401" s="52" t="str">
        <v>WIL21</v>
      </c>
      <c r="D401" s="52" t="str">
        <v>SN</v>
      </c>
      <c r="E401" s="52" t="str">
        <v>IM</v>
      </c>
      <c r="F401" s="52" t="str">
        <v>xxxx</v>
      </c>
      <c r="G401" s="52" t="str">
        <v>&lt;Blank&gt;</v>
      </c>
      <c r="H401" s="53" t="str">
        <v>131236-WIL21-SN-IM-xxxx</v>
      </c>
      <c r="I401" s="53" t="str">
        <v>&lt;Blank&gt;</v>
      </c>
    </row>
    <row r="402" spans="1:9" x14ac:dyDescent="0.35">
      <c r="A402" s="52" t="str">
        <v>NA</v>
      </c>
      <c r="B402" s="52">
        <v>131236</v>
      </c>
      <c r="C402" s="52" t="str">
        <v>WIL21</v>
      </c>
      <c r="D402" s="52" t="str">
        <v>SN</v>
      </c>
      <c r="E402" s="52" t="str">
        <v>IM</v>
      </c>
      <c r="F402" s="52" t="str">
        <v>xxxx</v>
      </c>
      <c r="G402" s="52" t="str">
        <v>&lt;Blank&gt;</v>
      </c>
      <c r="H402" s="53" t="str">
        <v>131236-WIL21-SN-IM-xxxx</v>
      </c>
      <c r="I402" s="53" t="str">
        <v>&lt;Blank&gt;</v>
      </c>
    </row>
    <row r="403" spans="1:9" x14ac:dyDescent="0.35">
      <c r="A403" s="52" t="str">
        <v>NA</v>
      </c>
      <c r="B403" s="52">
        <v>131236</v>
      </c>
      <c r="C403" s="52" t="str">
        <v>WIL21</v>
      </c>
      <c r="D403" s="52" t="str">
        <v>SN</v>
      </c>
      <c r="E403" s="52" t="str">
        <v>IM</v>
      </c>
      <c r="F403" s="52" t="str">
        <v>xxxx</v>
      </c>
      <c r="G403" s="52" t="str">
        <v>&lt;Blank&gt;</v>
      </c>
      <c r="H403" s="53" t="str">
        <v>131236-WIL21-SN-IM-xxxx</v>
      </c>
      <c r="I403" s="53" t="str">
        <v>&lt;Blank&gt;</v>
      </c>
    </row>
    <row r="404" spans="1:9" x14ac:dyDescent="0.35">
      <c r="A404" s="52" t="str">
        <v>NA</v>
      </c>
      <c r="B404" s="52">
        <v>131236</v>
      </c>
      <c r="C404" s="52" t="str">
        <v>WIL21</v>
      </c>
      <c r="D404" s="52" t="str">
        <v>SN</v>
      </c>
      <c r="E404" s="52" t="str">
        <v>IM</v>
      </c>
      <c r="F404" s="52" t="str">
        <v>xxxx</v>
      </c>
      <c r="G404" s="52" t="str">
        <v>&lt;Blank&gt;</v>
      </c>
      <c r="H404" s="53" t="str">
        <v>131236-WIL21-SN-IM-xxxx</v>
      </c>
      <c r="I404" s="53" t="str">
        <v>&lt;Blank&gt;</v>
      </c>
    </row>
    <row r="405" spans="1:9" x14ac:dyDescent="0.35">
      <c r="A405" s="52" t="str">
        <v>NA</v>
      </c>
      <c r="B405" s="52">
        <v>131236</v>
      </c>
      <c r="C405" s="52" t="str">
        <v>WIL21</v>
      </c>
      <c r="D405" s="52" t="str">
        <v>SN</v>
      </c>
      <c r="E405" s="52" t="str">
        <v>IM</v>
      </c>
      <c r="F405" s="52" t="str">
        <v>xxxx</v>
      </c>
      <c r="G405" s="52" t="str">
        <v>&lt;Blank&gt;</v>
      </c>
      <c r="H405" s="53" t="str">
        <v>131236-WIL21-SN-IM-xxxx</v>
      </c>
      <c r="I405" s="53" t="str">
        <v>&lt;Blank&gt;</v>
      </c>
    </row>
    <row r="406" spans="1:9" x14ac:dyDescent="0.35">
      <c r="A406" s="52" t="str">
        <v>NA</v>
      </c>
      <c r="B406" s="52">
        <v>131236</v>
      </c>
      <c r="C406" s="52" t="str">
        <v>WIL21</v>
      </c>
      <c r="D406" s="52" t="str">
        <v>SN</v>
      </c>
      <c r="E406" s="52" t="str">
        <v>IM</v>
      </c>
      <c r="F406" s="52" t="str">
        <v>xxxx</v>
      </c>
      <c r="G406" s="52" t="str">
        <v>&lt;Blank&gt;</v>
      </c>
      <c r="H406" s="53" t="str">
        <v>131236-WIL21-SN-IM-xxxx</v>
      </c>
      <c r="I406" s="53" t="str">
        <v>&lt;Blank&gt;</v>
      </c>
    </row>
    <row r="407" spans="1:9" x14ac:dyDescent="0.35">
      <c r="A407" s="52" t="str">
        <v>NA</v>
      </c>
      <c r="B407" s="52">
        <v>131236</v>
      </c>
      <c r="C407" s="52" t="str">
        <v>WIL21</v>
      </c>
      <c r="D407" s="52" t="str">
        <v>SN</v>
      </c>
      <c r="E407" s="52" t="str">
        <v>IM</v>
      </c>
      <c r="F407" s="52" t="str">
        <v>xxxx</v>
      </c>
      <c r="G407" s="52" t="str">
        <v>&lt;Blank&gt;</v>
      </c>
      <c r="H407" s="53" t="str">
        <v>131236-WIL21-SN-IM-xxxx</v>
      </c>
      <c r="I407" s="53" t="str">
        <v>&lt;Blank&gt;</v>
      </c>
    </row>
    <row r="408" spans="1:9" x14ac:dyDescent="0.35">
      <c r="A408" s="52" t="str">
        <v>NA</v>
      </c>
      <c r="B408" s="52">
        <v>131236</v>
      </c>
      <c r="C408" s="52" t="str">
        <v>WIL21</v>
      </c>
      <c r="D408" s="52" t="str">
        <v>SN</v>
      </c>
      <c r="E408" s="52" t="str">
        <v>IM</v>
      </c>
      <c r="F408" s="52" t="str">
        <v>xxxx</v>
      </c>
      <c r="G408" s="52" t="str">
        <v>&lt;Blank&gt;</v>
      </c>
      <c r="H408" s="53" t="str">
        <v>131236-WIL21-SN-IM-xxxx</v>
      </c>
      <c r="I408" s="53" t="str">
        <v>&lt;Blank&gt;</v>
      </c>
    </row>
    <row r="409" spans="1:9" x14ac:dyDescent="0.35">
      <c r="A409" s="52" t="str">
        <v>NA</v>
      </c>
      <c r="B409" s="52">
        <v>131236</v>
      </c>
      <c r="C409" s="52" t="str">
        <v>WIL21</v>
      </c>
      <c r="D409" s="52" t="str">
        <v>SN</v>
      </c>
      <c r="E409" s="52" t="str">
        <v>IM</v>
      </c>
      <c r="F409" s="52" t="str">
        <v>xxxx</v>
      </c>
      <c r="G409" s="52" t="str">
        <v>&lt;Blank&gt;</v>
      </c>
      <c r="H409" s="53" t="str">
        <v>131236-WIL21-SN-IM-xxxx</v>
      </c>
      <c r="I409" s="53" t="str">
        <v>&lt;Blank&gt;</v>
      </c>
    </row>
    <row r="410" spans="1:9" x14ac:dyDescent="0.35">
      <c r="A410" s="52" t="str">
        <v>NA</v>
      </c>
      <c r="B410" s="52">
        <v>131236</v>
      </c>
      <c r="C410" s="52" t="str">
        <v>WIL21</v>
      </c>
      <c r="D410" s="52" t="str">
        <v>SN</v>
      </c>
      <c r="E410" s="52" t="str">
        <v>IM</v>
      </c>
      <c r="F410" s="52" t="str">
        <v>xxxx</v>
      </c>
      <c r="G410" s="52" t="str">
        <v>&lt;Blank&gt;</v>
      </c>
      <c r="H410" s="53" t="str">
        <v>131236-WIL21-SN-IM-xxxx</v>
      </c>
      <c r="I410" s="53" t="str">
        <v>&lt;Blank&gt;</v>
      </c>
    </row>
    <row r="411" spans="1:9" x14ac:dyDescent="0.35">
      <c r="A411" s="52" t="str">
        <v>NA</v>
      </c>
      <c r="B411" s="52">
        <v>131236</v>
      </c>
      <c r="C411" s="52" t="str">
        <v>WIL21</v>
      </c>
      <c r="D411" s="52" t="str">
        <v>SN</v>
      </c>
      <c r="E411" s="52" t="str">
        <v>IM</v>
      </c>
      <c r="F411" s="52" t="str">
        <v>xxxx</v>
      </c>
      <c r="G411" s="52" t="str">
        <v>&lt;Blank&gt;</v>
      </c>
      <c r="H411" s="53" t="str">
        <v>131236-WIL21-SN-IM-xxxx</v>
      </c>
      <c r="I411" s="53" t="str">
        <v>&lt;Blank&gt;</v>
      </c>
    </row>
    <row r="412" spans="1:9" x14ac:dyDescent="0.35">
      <c r="A412" s="52" t="str">
        <v>NA</v>
      </c>
      <c r="B412" s="52">
        <v>131236</v>
      </c>
      <c r="C412" s="52" t="str">
        <v>WIL21</v>
      </c>
      <c r="D412" s="52" t="str">
        <v>SN</v>
      </c>
      <c r="E412" s="52" t="str">
        <v>IM</v>
      </c>
      <c r="F412" s="52" t="str">
        <v>xxxx</v>
      </c>
      <c r="G412" s="52" t="str">
        <v>&lt;Blank&gt;</v>
      </c>
      <c r="H412" s="53" t="str">
        <v>131236-WIL21-SN-IM-xxxx</v>
      </c>
      <c r="I412" s="53" t="str">
        <v>&lt;Blank&gt;</v>
      </c>
    </row>
    <row r="413" spans="1:9" x14ac:dyDescent="0.35">
      <c r="A413" s="52" t="str">
        <v>NA</v>
      </c>
      <c r="B413" s="52">
        <v>131236</v>
      </c>
      <c r="C413" s="52" t="str">
        <v>WIL21</v>
      </c>
      <c r="D413" s="52" t="str">
        <v>SN</v>
      </c>
      <c r="E413" s="52" t="str">
        <v>IM</v>
      </c>
      <c r="F413" s="52" t="str">
        <v>xxxx</v>
      </c>
      <c r="G413" s="52" t="str">
        <v>&lt;Blank&gt;</v>
      </c>
      <c r="H413" s="53" t="str">
        <v>131236-WIL21-SN-IM-xxxx</v>
      </c>
      <c r="I413" s="53" t="str">
        <v>&lt;Blank&gt;</v>
      </c>
    </row>
    <row r="414" spans="1:9" x14ac:dyDescent="0.35">
      <c r="A414" s="52" t="str">
        <v>NA</v>
      </c>
      <c r="B414" s="52">
        <v>131236</v>
      </c>
      <c r="C414" s="52" t="str">
        <v>WIL21</v>
      </c>
      <c r="D414" s="52" t="str">
        <v>SN</v>
      </c>
      <c r="E414" s="52" t="str">
        <v>IM</v>
      </c>
      <c r="F414" s="52" t="str">
        <v>xxxx</v>
      </c>
      <c r="G414" s="52" t="str">
        <v>&lt;Blank&gt;</v>
      </c>
      <c r="H414" s="53" t="str">
        <v>131236-WIL21-SN-IM-xxxx</v>
      </c>
      <c r="I414" s="53" t="str">
        <v>&lt;Blank&gt;</v>
      </c>
    </row>
    <row r="415" spans="1:9" x14ac:dyDescent="0.35">
      <c r="A415" s="52" t="str">
        <v>NA</v>
      </c>
      <c r="B415" s="52">
        <v>131236</v>
      </c>
      <c r="C415" s="52" t="str">
        <v>WIL21</v>
      </c>
      <c r="D415" s="52" t="str">
        <v>SN</v>
      </c>
      <c r="E415" s="52" t="str">
        <v>IM</v>
      </c>
      <c r="F415" s="52" t="str">
        <v>xxxx</v>
      </c>
      <c r="G415" s="52" t="str">
        <v>&lt;Blank&gt;</v>
      </c>
      <c r="H415" s="53" t="str">
        <v>131236-WIL21-SN-IM-xxxx</v>
      </c>
      <c r="I415" s="53" t="str">
        <v>&lt;Blank&gt;</v>
      </c>
    </row>
    <row r="416" spans="1:9" x14ac:dyDescent="0.35">
      <c r="A416" s="52" t="str">
        <v>NA</v>
      </c>
      <c r="B416" s="52">
        <v>131236</v>
      </c>
      <c r="C416" s="52" t="str">
        <v>WIL21</v>
      </c>
      <c r="D416" s="52" t="str">
        <v>SN</v>
      </c>
      <c r="E416" s="52" t="str">
        <v>IM</v>
      </c>
      <c r="F416" s="52" t="str">
        <v>xxxx</v>
      </c>
      <c r="G416" s="52" t="str">
        <v>&lt;Blank&gt;</v>
      </c>
      <c r="H416" s="53" t="str">
        <v>131236-WIL21-SN-IM-xxxx</v>
      </c>
      <c r="I416" s="53" t="str">
        <v>&lt;Blank&gt;</v>
      </c>
    </row>
    <row r="417" spans="1:9" x14ac:dyDescent="0.35">
      <c r="A417" s="52" t="str">
        <v>NA</v>
      </c>
      <c r="B417" s="52">
        <v>131236</v>
      </c>
      <c r="C417" s="52" t="str">
        <v>WIL21</v>
      </c>
      <c r="D417" s="52" t="str">
        <v>SN</v>
      </c>
      <c r="E417" s="52" t="str">
        <v>IM</v>
      </c>
      <c r="F417" s="52" t="str">
        <v>xxxx</v>
      </c>
      <c r="G417" s="52" t="str">
        <v>&lt;Blank&gt;</v>
      </c>
      <c r="H417" s="53" t="str">
        <v>131236-WIL21-SN-IM-xxxx</v>
      </c>
      <c r="I417" s="53" t="str">
        <v>&lt;Blank&gt;</v>
      </c>
    </row>
    <row r="418" spans="1:9" x14ac:dyDescent="0.35">
      <c r="A418" s="52" t="str">
        <v>NA</v>
      </c>
      <c r="B418" s="52">
        <v>131236</v>
      </c>
      <c r="C418" s="52" t="str">
        <v>WIL21</v>
      </c>
      <c r="D418" s="52" t="str">
        <v>SN</v>
      </c>
      <c r="E418" s="52" t="str">
        <v>IM</v>
      </c>
      <c r="F418" s="52" t="str">
        <v>xxxx</v>
      </c>
      <c r="G418" s="52" t="str">
        <v>&lt;Blank&gt;</v>
      </c>
      <c r="H418" s="53" t="str">
        <v>131236-WIL21-SN-IM-xxxx</v>
      </c>
      <c r="I418" s="53" t="str">
        <v>&lt;Blank&gt;</v>
      </c>
    </row>
    <row r="419" spans="1:9" x14ac:dyDescent="0.35">
      <c r="A419" s="52" t="str">
        <v>NA</v>
      </c>
      <c r="B419" s="52">
        <v>131236</v>
      </c>
      <c r="C419" s="52" t="str">
        <v>WIL21</v>
      </c>
      <c r="D419" s="52" t="str">
        <v>SN</v>
      </c>
      <c r="E419" s="52" t="str">
        <v>IM</v>
      </c>
      <c r="F419" s="52" t="str">
        <v>xxxx</v>
      </c>
      <c r="G419" s="52" t="str">
        <v>&lt;Blank&gt;</v>
      </c>
      <c r="H419" s="53" t="str">
        <v>131236-WIL21-SN-IM-xxxx</v>
      </c>
      <c r="I419" s="53" t="str">
        <v>&lt;Blank&gt;</v>
      </c>
    </row>
    <row r="420" spans="1:9" x14ac:dyDescent="0.35">
      <c r="A420" s="52" t="str">
        <v>NA</v>
      </c>
      <c r="B420" s="52">
        <v>131236</v>
      </c>
      <c r="C420" s="52" t="str">
        <v>WIL21</v>
      </c>
      <c r="D420" s="52" t="str">
        <v>SN</v>
      </c>
      <c r="E420" s="52" t="str">
        <v>IM</v>
      </c>
      <c r="F420" s="52" t="str">
        <v>xxxx</v>
      </c>
      <c r="G420" s="52" t="str">
        <v>&lt;Blank&gt;</v>
      </c>
      <c r="H420" s="53" t="str">
        <v>131236-WIL21-SN-IM-xxxx</v>
      </c>
      <c r="I420" s="53" t="str">
        <v>&lt;Blank&gt;</v>
      </c>
    </row>
    <row r="421" spans="1:9" x14ac:dyDescent="0.35">
      <c r="A421" s="52" t="str">
        <v>NA</v>
      </c>
      <c r="B421" s="52">
        <v>131236</v>
      </c>
      <c r="C421" s="52" t="str">
        <v>WIL21</v>
      </c>
      <c r="D421" s="52" t="str">
        <v>SN</v>
      </c>
      <c r="E421" s="52" t="str">
        <v>IM</v>
      </c>
      <c r="F421" s="52" t="str">
        <v>xxxx</v>
      </c>
      <c r="G421" s="52" t="str">
        <v>&lt;Blank&gt;</v>
      </c>
      <c r="H421" s="53" t="str">
        <v>131236-WIL21-SN-IM-xxxx</v>
      </c>
      <c r="I421" s="53" t="str">
        <v>&lt;Blank&gt;</v>
      </c>
    </row>
    <row r="422" spans="1:9" x14ac:dyDescent="0.35">
      <c r="A422" s="52" t="str">
        <v>NA</v>
      </c>
      <c r="B422" s="52">
        <v>131236</v>
      </c>
      <c r="C422" s="52" t="str">
        <v>WIL21</v>
      </c>
      <c r="D422" s="52" t="str">
        <v>SN</v>
      </c>
      <c r="E422" s="52" t="str">
        <v>IM</v>
      </c>
      <c r="F422" s="52" t="str">
        <v>xxxx</v>
      </c>
      <c r="G422" s="52" t="str">
        <v>&lt;Blank&gt;</v>
      </c>
      <c r="H422" s="53" t="str">
        <v>131236-WIL21-SN-IM-xxxx</v>
      </c>
      <c r="I422" s="53" t="str">
        <v>&lt;Blank&gt;</v>
      </c>
    </row>
    <row r="423" spans="1:9" x14ac:dyDescent="0.35">
      <c r="A423" s="52" t="str">
        <v>NA</v>
      </c>
      <c r="B423" s="52">
        <v>131236</v>
      </c>
      <c r="C423" s="52" t="str">
        <v>WIL21</v>
      </c>
      <c r="D423" s="52" t="str">
        <v>SN</v>
      </c>
      <c r="E423" s="52" t="str">
        <v>IM</v>
      </c>
      <c r="F423" s="52" t="str">
        <v>xxxx</v>
      </c>
      <c r="G423" s="52" t="str">
        <v>&lt;Blank&gt;</v>
      </c>
      <c r="H423" s="53" t="str">
        <v>131236-WIL21-SN-IM-xxxx</v>
      </c>
      <c r="I423" s="53" t="str">
        <v>&lt;Blank&gt;</v>
      </c>
    </row>
    <row r="424" spans="1:9" x14ac:dyDescent="0.35">
      <c r="A424" s="52" t="str">
        <v>NA</v>
      </c>
      <c r="B424" s="52">
        <v>131236</v>
      </c>
      <c r="C424" s="52" t="str">
        <v>WIL21</v>
      </c>
      <c r="D424" s="52" t="str">
        <v>SN</v>
      </c>
      <c r="E424" s="52" t="str">
        <v>IM</v>
      </c>
      <c r="F424" s="52" t="str">
        <v>xxxx</v>
      </c>
      <c r="G424" s="52" t="str">
        <v>&lt;Blank&gt;</v>
      </c>
      <c r="H424" s="53" t="str">
        <v>131236-WIL21-SN-IM-xxxx</v>
      </c>
      <c r="I424" s="53" t="str">
        <v>&lt;Blank&gt;</v>
      </c>
    </row>
    <row r="425" spans="1:9" x14ac:dyDescent="0.35">
      <c r="A425" s="52" t="str">
        <v>NA</v>
      </c>
      <c r="B425" s="52">
        <v>131236</v>
      </c>
      <c r="C425" s="52" t="str">
        <v>WIL21</v>
      </c>
      <c r="D425" s="52" t="str">
        <v>SN</v>
      </c>
      <c r="E425" s="52" t="str">
        <v>IM</v>
      </c>
      <c r="F425" s="52" t="str">
        <v>xxxx</v>
      </c>
      <c r="G425" s="52" t="str">
        <v>&lt;Blank&gt;</v>
      </c>
      <c r="H425" s="53" t="str">
        <v>131236-WIL21-SN-IM-xxxx</v>
      </c>
      <c r="I425" s="53" t="str">
        <v>&lt;Blank&gt;</v>
      </c>
    </row>
    <row r="426" spans="1:9" x14ac:dyDescent="0.35">
      <c r="A426" s="52" t="str">
        <v>NA</v>
      </c>
      <c r="B426" s="52">
        <v>131236</v>
      </c>
      <c r="C426" s="52" t="str">
        <v>WIL21</v>
      </c>
      <c r="D426" s="52" t="str">
        <v>SN</v>
      </c>
      <c r="E426" s="52" t="str">
        <v>IM</v>
      </c>
      <c r="F426" s="52" t="str">
        <v>xxxx</v>
      </c>
      <c r="G426" s="52" t="str">
        <v>&lt;Blank&gt;</v>
      </c>
      <c r="H426" s="53" t="str">
        <v>131236-WIL21-SN-IM-xxxx</v>
      </c>
      <c r="I426" s="53" t="str">
        <v>&lt;Blank&gt;</v>
      </c>
    </row>
    <row r="427" spans="1:9" x14ac:dyDescent="0.35">
      <c r="A427" s="52" t="str">
        <v>NA</v>
      </c>
      <c r="B427" s="52">
        <v>131236</v>
      </c>
      <c r="C427" s="52" t="str">
        <v>WIL21</v>
      </c>
      <c r="D427" s="52" t="str">
        <v>SN</v>
      </c>
      <c r="E427" s="52" t="str">
        <v>IM</v>
      </c>
      <c r="F427" s="52" t="str">
        <v>xxxx</v>
      </c>
      <c r="G427" s="52" t="str">
        <v>&lt;Blank&gt;</v>
      </c>
      <c r="H427" s="53" t="str">
        <v>131236-WIL21-SN-IM-xxxx</v>
      </c>
      <c r="I427" s="53" t="str">
        <v>&lt;Blank&gt;</v>
      </c>
    </row>
    <row r="428" spans="1:9" x14ac:dyDescent="0.35">
      <c r="A428" s="52" t="str">
        <v>NA</v>
      </c>
      <c r="B428" s="52">
        <v>131236</v>
      </c>
      <c r="C428" s="52" t="str">
        <v>WIL21</v>
      </c>
      <c r="D428" s="52" t="str">
        <v>SN</v>
      </c>
      <c r="E428" s="52" t="str">
        <v>IM</v>
      </c>
      <c r="F428" s="52" t="str">
        <v>xxxx</v>
      </c>
      <c r="G428" s="52" t="str">
        <v>&lt;Blank&gt;</v>
      </c>
      <c r="H428" s="53" t="str">
        <v>131236-WIL21-SN-IM-xxxx</v>
      </c>
      <c r="I428" s="53" t="str">
        <v>&lt;Blank&gt;</v>
      </c>
    </row>
    <row r="429" spans="1:9" x14ac:dyDescent="0.35">
      <c r="A429" s="52" t="str">
        <v>NA</v>
      </c>
      <c r="B429" s="52">
        <v>131236</v>
      </c>
      <c r="C429" s="52" t="str">
        <v>WIL21</v>
      </c>
      <c r="D429" s="52" t="str">
        <v>SN</v>
      </c>
      <c r="E429" s="52" t="str">
        <v>IM</v>
      </c>
      <c r="F429" s="52" t="str">
        <v>xxxx</v>
      </c>
      <c r="G429" s="52" t="str">
        <v>&lt;Blank&gt;</v>
      </c>
      <c r="H429" s="53" t="str">
        <v>131236-WIL21-SN-IM-xxxx</v>
      </c>
      <c r="I429" s="53" t="str">
        <v>&lt;Blank&gt;</v>
      </c>
    </row>
    <row r="430" spans="1:9" x14ac:dyDescent="0.35">
      <c r="A430" s="52" t="str">
        <v>NA</v>
      </c>
      <c r="B430" s="52">
        <v>131236</v>
      </c>
      <c r="C430" s="52" t="str">
        <v>WIL21</v>
      </c>
      <c r="D430" s="52" t="str">
        <v>SN</v>
      </c>
      <c r="E430" s="52" t="str">
        <v>IM</v>
      </c>
      <c r="F430" s="52" t="str">
        <v>xxxx</v>
      </c>
      <c r="G430" s="52" t="str">
        <v>&lt;Blank&gt;</v>
      </c>
      <c r="H430" s="53" t="str">
        <v>131236-WIL21-SN-IM-xxxx</v>
      </c>
      <c r="I430" s="53" t="str">
        <v>&lt;Blank&gt;</v>
      </c>
    </row>
    <row r="431" spans="1:9" x14ac:dyDescent="0.35">
      <c r="A431" s="52" t="str">
        <v>NA</v>
      </c>
      <c r="B431" s="52">
        <v>131236</v>
      </c>
      <c r="C431" s="52" t="str">
        <v>WIL21</v>
      </c>
      <c r="D431" s="52" t="str">
        <v>SN</v>
      </c>
      <c r="E431" s="52" t="str">
        <v>IM</v>
      </c>
      <c r="F431" s="52" t="str">
        <v>xxxx</v>
      </c>
      <c r="G431" s="52" t="str">
        <v>&lt;Blank&gt;</v>
      </c>
      <c r="H431" s="53" t="str">
        <v>131236-WIL21-SN-IM-xxxx</v>
      </c>
      <c r="I431" s="53" t="str">
        <v>&lt;Blank&gt;</v>
      </c>
    </row>
    <row r="432" spans="1:9" x14ac:dyDescent="0.35">
      <c r="A432" s="52" t="str">
        <v>NA</v>
      </c>
      <c r="B432" s="52">
        <v>131236</v>
      </c>
      <c r="C432" s="52" t="str">
        <v>WIL21</v>
      </c>
      <c r="D432" s="52" t="str">
        <v>SN</v>
      </c>
      <c r="E432" s="52" t="str">
        <v>IM</v>
      </c>
      <c r="F432" s="52" t="str">
        <v>xxxx</v>
      </c>
      <c r="G432" s="52" t="str">
        <v>&lt;Blank&gt;</v>
      </c>
      <c r="H432" s="53" t="str">
        <v>131236-WIL21-SN-IM-xxxx</v>
      </c>
      <c r="I432" s="53" t="str">
        <v>&lt;Blank&gt;</v>
      </c>
    </row>
    <row r="433" spans="1:9" x14ac:dyDescent="0.35">
      <c r="A433" s="52" t="str">
        <v>NA</v>
      </c>
      <c r="B433" s="52">
        <v>131236</v>
      </c>
      <c r="C433" s="52" t="str">
        <v>WIL21</v>
      </c>
      <c r="D433" s="52" t="str">
        <v>SN</v>
      </c>
      <c r="E433" s="52" t="str">
        <v>IM</v>
      </c>
      <c r="F433" s="52" t="str">
        <v>xxxx</v>
      </c>
      <c r="G433" s="52" t="str">
        <v>&lt;Blank&gt;</v>
      </c>
      <c r="H433" s="53" t="str">
        <v>131236-WIL21-SN-IM-xxxx</v>
      </c>
      <c r="I433" s="53" t="str">
        <v>&lt;Blank&gt;</v>
      </c>
    </row>
    <row r="434" spans="1:9" x14ac:dyDescent="0.35">
      <c r="A434" s="52" t="str">
        <v>NA</v>
      </c>
      <c r="B434" s="52">
        <v>131236</v>
      </c>
      <c r="C434" s="52" t="str">
        <v>WIL21</v>
      </c>
      <c r="D434" s="52" t="str">
        <v>SN</v>
      </c>
      <c r="E434" s="52" t="str">
        <v>IM</v>
      </c>
      <c r="F434" s="52" t="str">
        <v>xxxx</v>
      </c>
      <c r="G434" s="52" t="str">
        <v>&lt;Blank&gt;</v>
      </c>
      <c r="H434" s="53" t="str">
        <v>131236-WIL21-SN-IM-xxxx</v>
      </c>
      <c r="I434" s="53" t="str">
        <v>&lt;Blank&gt;</v>
      </c>
    </row>
    <row r="435" spans="1:9" x14ac:dyDescent="0.35">
      <c r="A435" s="52" t="str">
        <v>NA</v>
      </c>
      <c r="B435" s="52">
        <v>131236</v>
      </c>
      <c r="C435" s="52" t="str">
        <v>WIL21</v>
      </c>
      <c r="D435" s="52" t="str">
        <v>SN</v>
      </c>
      <c r="E435" s="52" t="str">
        <v>IM</v>
      </c>
      <c r="F435" s="52" t="str">
        <v>xxxx</v>
      </c>
      <c r="G435" s="52" t="str">
        <v>&lt;Blank&gt;</v>
      </c>
      <c r="H435" s="53" t="str">
        <v>131236-WIL21-SN-IM-xxxx</v>
      </c>
      <c r="I435" s="53" t="str">
        <v>&lt;Blank&gt;</v>
      </c>
    </row>
    <row r="436" spans="1:9" x14ac:dyDescent="0.35">
      <c r="A436" s="52" t="str">
        <v>NA</v>
      </c>
      <c r="B436" s="52">
        <v>131236</v>
      </c>
      <c r="C436" s="52" t="str">
        <v>WIL21</v>
      </c>
      <c r="D436" s="52" t="str">
        <v>SN</v>
      </c>
      <c r="E436" s="52" t="str">
        <v>IM</v>
      </c>
      <c r="F436" s="52" t="str">
        <v>xxxx</v>
      </c>
      <c r="G436" s="52" t="str">
        <v>&lt;Blank&gt;</v>
      </c>
      <c r="H436" s="53" t="str">
        <v>131236-WIL21-SN-IM-xxxx</v>
      </c>
      <c r="I436" s="53" t="str">
        <v>&lt;Blank&gt;</v>
      </c>
    </row>
    <row r="437" spans="1:9" x14ac:dyDescent="0.35">
      <c r="A437" s="52" t="str">
        <v>NA</v>
      </c>
      <c r="B437" s="52">
        <v>131236</v>
      </c>
      <c r="C437" s="52" t="str">
        <v>WIL21</v>
      </c>
      <c r="D437" s="52" t="str">
        <v>SN</v>
      </c>
      <c r="E437" s="52" t="str">
        <v>IM</v>
      </c>
      <c r="F437" s="52" t="str">
        <v>xxxx</v>
      </c>
      <c r="G437" s="52" t="str">
        <v>&lt;Blank&gt;</v>
      </c>
      <c r="H437" s="53" t="str">
        <v>131236-WIL21-SN-IM-xxxx</v>
      </c>
      <c r="I437" s="53" t="str">
        <v>&lt;Blank&gt;</v>
      </c>
    </row>
    <row r="438" spans="1:9" x14ac:dyDescent="0.35">
      <c r="A438" s="52" t="str">
        <v>NA</v>
      </c>
      <c r="B438" s="52">
        <v>131236</v>
      </c>
      <c r="C438" s="52" t="str">
        <v>WIL21</v>
      </c>
      <c r="D438" s="52" t="str">
        <v>SN</v>
      </c>
      <c r="E438" s="52" t="str">
        <v>IM</v>
      </c>
      <c r="F438" s="52" t="str">
        <v>xxxx</v>
      </c>
      <c r="G438" s="52" t="str">
        <v>&lt;Blank&gt;</v>
      </c>
      <c r="H438" s="53" t="str">
        <v>131236-WIL21-SN-IM-xxxx</v>
      </c>
      <c r="I438" s="53" t="str">
        <v>&lt;Blank&gt;</v>
      </c>
    </row>
    <row r="439" spans="1:9" x14ac:dyDescent="0.35">
      <c r="A439" s="52" t="str">
        <v>NA</v>
      </c>
      <c r="B439" s="52">
        <v>131236</v>
      </c>
      <c r="C439" s="52" t="str">
        <v>WIL21</v>
      </c>
      <c r="D439" s="52" t="str">
        <v>SN</v>
      </c>
      <c r="E439" s="52" t="str">
        <v>IM</v>
      </c>
      <c r="F439" s="52" t="str">
        <v>xxxx</v>
      </c>
      <c r="G439" s="52" t="str">
        <v>&lt;Blank&gt;</v>
      </c>
      <c r="H439" s="53" t="str">
        <v>131236-WIL21-SN-IM-xxxx</v>
      </c>
      <c r="I439" s="53" t="str">
        <v>&lt;Blank&gt;</v>
      </c>
    </row>
    <row r="440" spans="1:9" x14ac:dyDescent="0.35">
      <c r="A440" s="52" t="str">
        <v>NA</v>
      </c>
      <c r="B440" s="52">
        <v>131236</v>
      </c>
      <c r="C440" s="52" t="str">
        <v>WIL21</v>
      </c>
      <c r="D440" s="52" t="str">
        <v>SN</v>
      </c>
      <c r="E440" s="52" t="str">
        <v>IM</v>
      </c>
      <c r="F440" s="52" t="str">
        <v>xxxx</v>
      </c>
      <c r="G440" s="52" t="str">
        <v>&lt;Blank&gt;</v>
      </c>
      <c r="H440" s="53" t="str">
        <v>131236-WIL21-SN-IM-xxxx</v>
      </c>
      <c r="I440" s="53" t="str">
        <v>&lt;Blank&gt;</v>
      </c>
    </row>
    <row r="441" spans="1:9" x14ac:dyDescent="0.35">
      <c r="A441" s="52" t="str">
        <v>NA</v>
      </c>
      <c r="B441" s="52">
        <v>131236</v>
      </c>
      <c r="C441" s="52" t="str">
        <v>WIL21</v>
      </c>
      <c r="D441" s="52" t="str">
        <v>SN</v>
      </c>
      <c r="E441" s="52" t="str">
        <v>IM</v>
      </c>
      <c r="F441" s="52" t="str">
        <v>xxxx</v>
      </c>
      <c r="G441" s="52" t="str">
        <v>&lt;Blank&gt;</v>
      </c>
      <c r="H441" s="53" t="str">
        <v>131236-WIL21-SN-IM-xxxx</v>
      </c>
      <c r="I441" s="53" t="str">
        <v>&lt;Blank&gt;</v>
      </c>
    </row>
    <row r="442" spans="1:9" x14ac:dyDescent="0.35">
      <c r="A442" s="52" t="str">
        <v>NA</v>
      </c>
      <c r="B442" s="52">
        <v>131236</v>
      </c>
      <c r="C442" s="52" t="str">
        <v>WIL21</v>
      </c>
      <c r="D442" s="52" t="str">
        <v>SN</v>
      </c>
      <c r="E442" s="52" t="str">
        <v>IM</v>
      </c>
      <c r="F442" s="52" t="str">
        <v>xxxx</v>
      </c>
      <c r="G442" s="52" t="str">
        <v>&lt;Blank&gt;</v>
      </c>
      <c r="H442" s="53" t="str">
        <v>131236-WIL21-SN-IM-xxxx</v>
      </c>
      <c r="I442" s="53" t="str">
        <v>&lt;Blank&gt;</v>
      </c>
    </row>
    <row r="443" spans="1:9" x14ac:dyDescent="0.35">
      <c r="A443" s="52" t="str">
        <v>NA</v>
      </c>
      <c r="B443" s="52">
        <v>131236</v>
      </c>
      <c r="C443" s="52" t="str">
        <v>WIL21</v>
      </c>
      <c r="D443" s="52" t="str">
        <v>SN</v>
      </c>
      <c r="E443" s="52" t="str">
        <v>IM</v>
      </c>
      <c r="F443" s="52" t="str">
        <v>xxxx</v>
      </c>
      <c r="G443" s="52" t="str">
        <v>&lt;Blank&gt;</v>
      </c>
      <c r="H443" s="53" t="str">
        <v>131236-WIL21-SN-IM-xxxx</v>
      </c>
      <c r="I443" s="53" t="str">
        <v>&lt;Blank&gt;</v>
      </c>
    </row>
    <row r="444" spans="1:9" x14ac:dyDescent="0.35">
      <c r="A444" s="52" t="str">
        <v>NA</v>
      </c>
      <c r="B444" s="52">
        <v>131236</v>
      </c>
      <c r="C444" s="52" t="str">
        <v>WIL21</v>
      </c>
      <c r="D444" s="52" t="str">
        <v>SN</v>
      </c>
      <c r="E444" s="52" t="str">
        <v>IM</v>
      </c>
      <c r="F444" s="52" t="str">
        <v>xxxx</v>
      </c>
      <c r="G444" s="52" t="str">
        <v>&lt;Blank&gt;</v>
      </c>
      <c r="H444" s="53" t="str">
        <v>131236-WIL21-SN-IM-xxxx</v>
      </c>
      <c r="I444" s="53" t="str">
        <v>&lt;Blank&gt;</v>
      </c>
    </row>
    <row r="445" spans="1:9" x14ac:dyDescent="0.35">
      <c r="A445" s="52" t="str">
        <v>NA</v>
      </c>
      <c r="B445" s="52">
        <v>131236</v>
      </c>
      <c r="C445" s="52" t="str">
        <v>WIL21</v>
      </c>
      <c r="D445" s="52" t="str">
        <v>SN</v>
      </c>
      <c r="E445" s="52" t="str">
        <v>IM</v>
      </c>
      <c r="F445" s="52" t="str">
        <v>xxxx</v>
      </c>
      <c r="G445" s="52" t="str">
        <v>&lt;Blank&gt;</v>
      </c>
      <c r="H445" s="53" t="str">
        <v>131236-WIL21-SN-IM-xxxx</v>
      </c>
      <c r="I445" s="53" t="str">
        <v>&lt;Blank&gt;</v>
      </c>
    </row>
    <row r="446" spans="1:9" x14ac:dyDescent="0.35">
      <c r="A446" s="52" t="str">
        <v>NA</v>
      </c>
      <c r="B446" s="52">
        <v>131236</v>
      </c>
      <c r="C446" s="52" t="str">
        <v>WIL21</v>
      </c>
      <c r="D446" s="52" t="str">
        <v>SN</v>
      </c>
      <c r="E446" s="52" t="str">
        <v>IM</v>
      </c>
      <c r="F446" s="52" t="str">
        <v>xxxx</v>
      </c>
      <c r="G446" s="52" t="str">
        <v>&lt;Blank&gt;</v>
      </c>
      <c r="H446" s="53" t="str">
        <v>131236-WIL21-SN-IM-xxxx</v>
      </c>
      <c r="I446" s="53" t="str">
        <v>&lt;Blank&gt;</v>
      </c>
    </row>
    <row r="447" spans="1:9" x14ac:dyDescent="0.35">
      <c r="A447" s="52" t="str">
        <v>NA</v>
      </c>
      <c r="B447" s="52">
        <v>131236</v>
      </c>
      <c r="C447" s="52" t="str">
        <v>WIL21</v>
      </c>
      <c r="D447" s="52" t="str">
        <v>SN</v>
      </c>
      <c r="E447" s="52" t="str">
        <v>IM</v>
      </c>
      <c r="F447" s="52" t="str">
        <v>xxxx</v>
      </c>
      <c r="G447" s="52" t="str">
        <v>&lt;Blank&gt;</v>
      </c>
      <c r="H447" s="53" t="str">
        <v>131236-WIL21-SN-IM-xxxx</v>
      </c>
      <c r="I447" s="53" t="str">
        <v>&lt;Blank&gt;</v>
      </c>
    </row>
    <row r="448" spans="1:9" x14ac:dyDescent="0.35">
      <c r="A448" s="52" t="str">
        <v>NA</v>
      </c>
      <c r="B448" s="52">
        <v>131236</v>
      </c>
      <c r="C448" s="52" t="str">
        <v>WIL21</v>
      </c>
      <c r="D448" s="52" t="str">
        <v>SN</v>
      </c>
      <c r="E448" s="52" t="str">
        <v>IM</v>
      </c>
      <c r="F448" s="52" t="str">
        <v>xxxx</v>
      </c>
      <c r="G448" s="52" t="str">
        <v>&lt;Blank&gt;</v>
      </c>
      <c r="H448" s="53" t="str">
        <v>131236-WIL21-SN-IM-xxxx</v>
      </c>
      <c r="I448" s="53" t="str">
        <v>&lt;Blank&gt;</v>
      </c>
    </row>
    <row r="449" spans="1:9" x14ac:dyDescent="0.35">
      <c r="A449" s="52" t="str">
        <v>NA</v>
      </c>
      <c r="B449" s="52">
        <v>131236</v>
      </c>
      <c r="C449" s="52" t="str">
        <v>WIL21</v>
      </c>
      <c r="D449" s="52" t="str">
        <v>SN</v>
      </c>
      <c r="E449" s="52" t="str">
        <v>IM</v>
      </c>
      <c r="F449" s="52" t="str">
        <v>xxxx</v>
      </c>
      <c r="G449" s="52" t="str">
        <v>&lt;Blank&gt;</v>
      </c>
      <c r="H449" s="53" t="str">
        <v>131236-WIL21-SN-IM-xxxx</v>
      </c>
      <c r="I449" s="53" t="str">
        <v>&lt;Blank&gt;</v>
      </c>
    </row>
  </sheetData>
  <mergeCells count="1">
    <mergeCell ref="C1:I6"/>
  </mergeCells>
  <conditionalFormatting sqref="A1:B5">
    <cfRule type="expression" dxfId="10" priority="3">
      <formula>_xlfn.ISFORMULA(A1)</formula>
    </cfRule>
  </conditionalFormatting>
  <conditionalFormatting sqref="A7:H7">
    <cfRule type="expression" dxfId="9" priority="4">
      <formula>_xlfn.ISFORMULA(A7)</formula>
    </cfRule>
  </conditionalFormatting>
  <conditionalFormatting sqref="H1:H1048576">
    <cfRule type="duplicateValues" dxfId="8" priority="1"/>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xr:uid="{66DC57A2-62B4-4D5E-8CD7-194E3D267703}">
          <x14:formula1>
            <xm:f>Code!$K:$K</xm:f>
          </x14:formula1>
          <xm:sqref>B1</xm:sqref>
        </x14:dataValidation>
        <x14:dataValidation type="list" allowBlank="1" showInputMessage="1" showErrorMessage="1" xr:uid="{39F72606-A7CA-4F95-AE51-B43C3CE0A6A0}">
          <x14:formula1>
            <xm:f>Code!$N:$N</xm:f>
          </x14:formula1>
          <xm:sqref>B2</xm:sqref>
        </x14:dataValidation>
        <x14:dataValidation type="list" allowBlank="1" showInputMessage="1" showErrorMessage="1" xr:uid="{8F407433-60E9-41F1-A39B-A2D750E88E43}">
          <x14:formula1>
            <xm:f>Code!$Q:$Q</xm:f>
          </x14:formula1>
          <xm:sqref>B3</xm:sqref>
        </x14:dataValidation>
        <x14:dataValidation type="list" allowBlank="1" showInputMessage="1" showErrorMessage="1" xr:uid="{9001C770-B745-4043-8619-63025DF09022}">
          <x14:formula1>
            <xm:f>Code!$T:$T</xm:f>
          </x14:formula1>
          <xm:sqref>B4</xm:sqref>
        </x14:dataValidation>
        <x14:dataValidation type="list" allowBlank="1" showInputMessage="1" showErrorMessage="1" xr:uid="{980C644D-BA4A-4C19-96BC-7FC285A1FDCD}">
          <x14:formula1>
            <xm:f>Code!$E:$E</xm:f>
          </x14:formula1>
          <xm:sqref>B6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288DE-7C13-4098-B016-D01098E42966}">
  <dimension ref="A1:Y38"/>
  <sheetViews>
    <sheetView workbookViewId="0">
      <selection activeCell="U2" sqref="U2:Y15"/>
    </sheetView>
  </sheetViews>
  <sheetFormatPr defaultRowHeight="14.5" x14ac:dyDescent="0.35"/>
  <cols>
    <col min="2" max="2" width="8.7265625" customWidth="1"/>
    <col min="3" max="3" width="14.1796875" bestFit="1" customWidth="1"/>
    <col min="4" max="4" width="12" bestFit="1" customWidth="1"/>
    <col min="5" max="5" width="10.7265625" bestFit="1" customWidth="1"/>
    <col min="6" max="6" width="7.1796875" bestFit="1" customWidth="1"/>
    <col min="7" max="7" width="11.7265625" style="11" bestFit="1" customWidth="1"/>
    <col min="8" max="8" width="12.54296875" style="11" bestFit="1" customWidth="1"/>
    <col min="9" max="9" width="8.54296875" style="11" bestFit="1" customWidth="1"/>
    <col min="10" max="10" width="9.26953125" style="11" bestFit="1" customWidth="1"/>
    <col min="11" max="11" width="8.7265625" style="11"/>
    <col min="12" max="12" width="5.1796875" style="11" customWidth="1"/>
    <col min="13" max="13" width="23.1796875" style="15" bestFit="1" customWidth="1"/>
    <col min="14" max="14" width="29.1796875" style="15" customWidth="1"/>
    <col min="15" max="16" width="8.453125" style="15" customWidth="1"/>
    <col min="17" max="17" width="9" style="15" bestFit="1" customWidth="1"/>
    <col min="18" max="18" width="11.453125" style="15" bestFit="1" customWidth="1"/>
    <col min="19" max="19" width="20.1796875" style="17" bestFit="1" customWidth="1"/>
    <col min="20" max="20" width="24.54296875" style="17" customWidth="1"/>
    <col min="21" max="21" width="18.54296875" style="17" bestFit="1" customWidth="1"/>
    <col min="22" max="22" width="13.81640625" style="11" bestFit="1" customWidth="1"/>
    <col min="23" max="23" width="22.453125" style="11" bestFit="1" customWidth="1"/>
    <col min="24" max="24" width="18.54296875" style="17" bestFit="1" customWidth="1"/>
    <col min="25" max="25" width="19.81640625" style="11" bestFit="1" customWidth="1"/>
  </cols>
  <sheetData>
    <row r="1" spans="1:25" s="12" customFormat="1" x14ac:dyDescent="0.35">
      <c r="A1" s="13" t="s">
        <v>225</v>
      </c>
      <c r="B1" s="14" t="s">
        <v>237</v>
      </c>
      <c r="C1" s="14" t="s">
        <v>30</v>
      </c>
      <c r="D1" s="14" t="s">
        <v>260</v>
      </c>
      <c r="E1" s="14" t="s">
        <v>270</v>
      </c>
      <c r="F1" s="14" t="s">
        <v>281</v>
      </c>
      <c r="G1" s="13" t="s">
        <v>75</v>
      </c>
      <c r="H1" s="13" t="s">
        <v>303</v>
      </c>
      <c r="I1" s="13" t="s">
        <v>315</v>
      </c>
      <c r="J1" s="13" t="s">
        <v>327</v>
      </c>
      <c r="K1" s="13" t="s">
        <v>334</v>
      </c>
      <c r="L1" s="13" t="s">
        <v>340</v>
      </c>
      <c r="M1" s="13" t="s">
        <v>346</v>
      </c>
      <c r="N1" s="13" t="s">
        <v>352</v>
      </c>
      <c r="O1" s="13" t="s">
        <v>358</v>
      </c>
      <c r="P1" s="14" t="s">
        <v>364</v>
      </c>
      <c r="Q1" s="14" t="s">
        <v>370</v>
      </c>
      <c r="R1" s="14" t="s">
        <v>376</v>
      </c>
      <c r="S1" s="27" t="s">
        <v>380</v>
      </c>
      <c r="T1" s="27" t="s">
        <v>384</v>
      </c>
      <c r="U1" s="27" t="s">
        <v>388</v>
      </c>
      <c r="V1" s="14" t="s">
        <v>392</v>
      </c>
      <c r="W1" s="14" t="s">
        <v>44</v>
      </c>
      <c r="X1" s="16" t="s">
        <v>399</v>
      </c>
      <c r="Y1" s="14" t="s">
        <v>403</v>
      </c>
    </row>
    <row r="2" spans="1:25" x14ac:dyDescent="0.35">
      <c r="A2" s="11" t="str">
        <f>IF($M2="","",MAX($A$1:A1)+1)</f>
        <v/>
      </c>
      <c r="M2" s="34" t="str">
        <f t="shared" ref="M2:M15" si="0">IF(B2="Deleted","Deleted",_xlfn.TEXTJOIN("-",TRUE,G2,H2,I2,J2,IF(K2="","",TEXT(K2,"0000"))))</f>
        <v/>
      </c>
      <c r="U2" s="21" t="str" cm="1">
        <f t="array" ref="U2">IF(OR(M2="", M2="Deleted"), "", _xlfn.LET(
  _xlpm.dates,
  _xlfn._xlws.FILTER(
    [1]SubmittalLog!$H$1:$H$4000,
    [1]SubmittalLog!$E$1:$E$4000=M2,
    ""
  ),
  _xlpm.min_date, IFERROR(MIN(_xlpm.dates), ""),
  IF(_xlpm.min_date=0, "", _xlpm.min_date)
))</f>
        <v/>
      </c>
      <c r="V2" s="63" t="str" cm="1">
        <f t="array" ref="V2">IF(OR(M2="", M2="Deleted"), "", IFERROR(
  _xlfn.TEXTJOIN(", ", TRUE,
    _xlfn.MAP(
      _xlfn.UNIQUE(
        _xlfn._xlws.FILTER(
          [1]SubmittalLog!$B$1:$B$4000,
          ([1]SubmittalLog!$E$1:$E$4000=M2) *
          ([1]SubmittalLog!$B$1:$B$4000&lt;&gt;""),
          ""
        )
      ),
      _xlfn.LAMBDA(_xlpm.val, TEXT(_xlpm.val, "000000"))
    )
  ),
""))</f>
        <v/>
      </c>
      <c r="W2" s="40" t="str" cm="1">
        <f t="array" ref="W2">IF(OR(M2="", M2="Deleted"), "", _xlfn.LET(
  _xlpm.doc_col, [1]SubmittalLog!$E$1:$E$4000,
  _xlpm.date_col, [1]SubmittalLog!$H$1:$H$4000,
  _xlpm.status_col, [1]SubmittalLog!$N$1:$N$4000,
  _xlpm.latest_date, _xlfn.MAXIFS(_xlpm.date_col, _xlpm.doc_col, M2),
  IF(_xlpm.latest_date=0, "NFS",
    _xlfn.LET(
      _xlpm.res, _xlfn.XLOOKUP(M2 &amp; "|" &amp; _xlpm.latest_date, _xlpm.doc_col &amp; "|" &amp; _xlpm.date_col, _xlpm.status_col, ""),
      IF(OR(_xlpm.res="", _xlpm.res=0), "", _xlpm.res)
    )
  )
))</f>
        <v/>
      </c>
      <c r="X2" s="39" t="str">
        <f>IF(OR(M2="", M2="Deleted"), "", _xlfn.LET(
  _xlpm.doc_col, [1]SubmittalLog!$E$1:$E$4000,
  _xlpm.date_col, [1]SubmittalLog!$H$1:$H$4000,
  _xlpm.status_col, [1]SubmittalLog!$O$1:$O$4000,
  _xlpm.first_app_date, _xlfn.MINIFS(_xlpm.date_col, _xlpm.doc_col, M2, _xlpm.status_col, "APP"),
  _xlpm.first_awc_date, _xlfn.MINIFS(_xlpm.date_col, _xlpm.doc_col, M2, _xlpm.status_col, "AWC"),
  _xlpm.earliest_date, IF(
    AND(_xlpm.first_app_date=0, _xlpm.first_awc_date=0), 0,
    IF(_xlpm.first_app_date=0, _xlpm.first_awc_date,
    IF(_xlpm.first_awc_date=0, _xlpm.first_app_date,
    MIN(_xlpm.first_app_date, _xlpm.first_awc_date)))
  ),
  IF(_xlpm.earliest_date=0, "", _xlpm.earliest_date)
))</f>
        <v/>
      </c>
      <c r="Y2" s="40" t="str" cm="1">
        <f t="array" ref="Y2">IF(OR(M2="", M2="Deleted"), "", _xlfn.LET(
  _xlpm.doc_col, [1]SubmittalLog!$E$1:$E$4000,
  _xlpm.date_col, [1]SubmittalLog!$H$1:$H$4000,
  _xlpm.status_col, [1]SubmittalLog!$O$1:$O$4000,
  _xlpm.has_sub, COUNTIF(_xlpm.doc_col, M2),
  _xlpm.latest_reviewed_date, _xlfn.MAXIFS(_xlpm.date_col, _xlpm.doc_col, M2, _xlpm.status_col, "&lt;&gt;"),
  IF(_xlpm.has_sub=0, "",
    IF(_xlpm.latest_reviewed_date=0, "",
      _xlfn.LET(
        _xlpm.res, _xlfn.XLOOKUP(1, (_xlpm.doc_col=M2) * (_xlpm.date_col=_xlpm.latest_reviewed_date) * (_xlpm.status_col&lt;&gt;""), _xlpm.status_col, ""),
        IF(OR(_xlpm.res="", _xlpm.res=0), "", _xlpm.res)
      )
    )
  )
))</f>
        <v/>
      </c>
    </row>
    <row r="3" spans="1:25" x14ac:dyDescent="0.35">
      <c r="A3" s="11">
        <f>IF($M3="","",MAX($A$1:A2)+1)</f>
        <v>1</v>
      </c>
      <c r="B3" t="s">
        <v>213</v>
      </c>
      <c r="C3" t="s">
        <v>79</v>
      </c>
      <c r="G3" s="11">
        <v>131236</v>
      </c>
      <c r="H3" s="11" t="s">
        <v>59</v>
      </c>
      <c r="I3" s="11" t="s">
        <v>442</v>
      </c>
      <c r="J3" s="11" t="s">
        <v>206</v>
      </c>
      <c r="K3" s="11" t="s">
        <v>3466</v>
      </c>
      <c r="M3" s="34" t="str">
        <f t="shared" si="0"/>
        <v>131236-WIL21-SN-IM-xxxx</v>
      </c>
      <c r="P3" s="15" t="s">
        <v>3467</v>
      </c>
      <c r="R3" s="15" t="s">
        <v>3467</v>
      </c>
      <c r="S3" s="17">
        <v>46024</v>
      </c>
      <c r="U3" s="21" t="str" cm="1">
        <f t="array" ref="U3">IF(OR(M3="", M3="Deleted"), "", _xlfn.LET(
  _xlpm.dates,
  _xlfn._xlws.FILTER(
    [1]SubmittalLog!$H$1:$H$4000,
    [1]SubmittalLog!$E$1:$E$4000=M3,
    ""
  ),
  _xlpm.min_date, IFERROR(MIN(_xlpm.dates), ""),
  IF(_xlpm.min_date=0, "", _xlpm.min_date)
))</f>
        <v/>
      </c>
      <c r="V3" s="63" t="str" cm="1">
        <f t="array" ref="V3">IF(OR(M3="", M3="Deleted"), "", IFERROR(
  _xlfn.TEXTJOIN(", ", TRUE,
    _xlfn.MAP(
      _xlfn.UNIQUE(
        _xlfn._xlws.FILTER(
          [1]SubmittalLog!$B$1:$B$4000,
          ([1]SubmittalLog!$E$1:$E$4000=M3) *
          ([1]SubmittalLog!$B$1:$B$4000&lt;&gt;""),
          ""
        )
      ),
      _xlfn.LAMBDA(_xlpm.val, TEXT(_xlpm.val, "000000"))
    )
  ),
""))</f>
        <v/>
      </c>
      <c r="W3" s="40" t="str" cm="1">
        <f t="array" ref="W3">IF(OR(M3="", M3="Deleted"), "", _xlfn.LET(
  _xlpm.doc_col, [1]SubmittalLog!$E$1:$E$4000,
  _xlpm.date_col, [1]SubmittalLog!$H$1:$H$4000,
  _xlpm.status_col, [1]SubmittalLog!$N$1:$N$4000,
  _xlpm.latest_date, _xlfn.MAXIFS(_xlpm.date_col, _xlpm.doc_col, M3),
  IF(_xlpm.latest_date=0, "NFS",
    _xlfn.LET(
      _xlpm.res, _xlfn.XLOOKUP(M3 &amp; "|" &amp; _xlpm.latest_date, _xlpm.doc_col &amp; "|" &amp; _xlpm.date_col, _xlpm.status_col, ""),
      IF(OR(_xlpm.res="", _xlpm.res=0), "", _xlpm.res)
    )
  )
))</f>
        <v>NFS</v>
      </c>
      <c r="X3" s="39" t="str">
        <f>IF(OR(M3="", M3="Deleted"), "", _xlfn.LET(
  _xlpm.doc_col, [1]SubmittalLog!$E$1:$E$4000,
  _xlpm.date_col, [1]SubmittalLog!$H$1:$H$4000,
  _xlpm.status_col, [1]SubmittalLog!$O$1:$O$4000,
  _xlpm.first_app_date, _xlfn.MINIFS(_xlpm.date_col, _xlpm.doc_col, M3, _xlpm.status_col, "APP"),
  _xlpm.first_awc_date, _xlfn.MINIFS(_xlpm.date_col, _xlpm.doc_col, M3, _xlpm.status_col, "AWC"),
  _xlpm.earliest_date, IF(
    AND(_xlpm.first_app_date=0, _xlpm.first_awc_date=0), 0,
    IF(_xlpm.first_app_date=0, _xlpm.first_awc_date,
    IF(_xlpm.first_awc_date=0, _xlpm.first_app_date,
    MIN(_xlpm.first_app_date, _xlpm.first_awc_date)))
  ),
  IF(_xlpm.earliest_date=0, "", _xlpm.earliest_date)
))</f>
        <v/>
      </c>
      <c r="Y3" s="40" t="str" cm="1">
        <f t="array" ref="Y3">IF(OR(M3="", M3="Deleted"), "", _xlfn.LET(
  _xlpm.doc_col, [1]SubmittalLog!$E$1:$E$4000,
  _xlpm.date_col, [1]SubmittalLog!$H$1:$H$4000,
  _xlpm.status_col, [1]SubmittalLog!$O$1:$O$4000,
  _xlpm.has_sub, COUNTIF(_xlpm.doc_col, M3),
  _xlpm.latest_reviewed_date, _xlfn.MAXIFS(_xlpm.date_col, _xlpm.doc_col, M3, _xlpm.status_col, "&lt;&gt;"),
  IF(_xlpm.has_sub=0, "",
    IF(_xlpm.latest_reviewed_date=0, "",
      _xlfn.LET(
        _xlpm.res, _xlfn.XLOOKUP(1, (_xlpm.doc_col=M3) * (_xlpm.date_col=_xlpm.latest_reviewed_date) * (_xlpm.status_col&lt;&gt;""), _xlpm.status_col, ""),
        IF(OR(_xlpm.res="", _xlpm.res=0), "", _xlpm.res)
      )
    )
  )
))</f>
        <v/>
      </c>
    </row>
    <row r="4" spans="1:25" x14ac:dyDescent="0.35">
      <c r="A4" s="11">
        <f>IF($M4="","",MAX($A$1:A3)+1)</f>
        <v>2</v>
      </c>
      <c r="B4" t="s">
        <v>213</v>
      </c>
      <c r="C4" t="s">
        <v>79</v>
      </c>
      <c r="G4" s="11">
        <v>131236</v>
      </c>
      <c r="H4" s="11" t="s">
        <v>59</v>
      </c>
      <c r="I4" s="11" t="s">
        <v>442</v>
      </c>
      <c r="J4" s="11" t="s">
        <v>206</v>
      </c>
      <c r="K4" s="11" t="s">
        <v>3466</v>
      </c>
      <c r="M4" s="34" t="str">
        <f t="shared" si="0"/>
        <v>131236-WIL21-SN-IM-xxxx</v>
      </c>
      <c r="P4" s="15" t="s">
        <v>3467</v>
      </c>
      <c r="R4" s="15" t="s">
        <v>3467</v>
      </c>
      <c r="S4" s="17">
        <v>46025</v>
      </c>
      <c r="U4" s="21" t="str" cm="1">
        <f t="array" ref="U4">IF(OR(M4="", M4="Deleted"), "", _xlfn.LET(
  _xlpm.dates,
  _xlfn._xlws.FILTER(
    [1]SubmittalLog!$H$1:$H$4000,
    [1]SubmittalLog!$E$1:$E$4000=M4,
    ""
  ),
  _xlpm.min_date, IFERROR(MIN(_xlpm.dates), ""),
  IF(_xlpm.min_date=0, "", _xlpm.min_date)
))</f>
        <v/>
      </c>
      <c r="V4" s="63" t="str" cm="1">
        <f t="array" ref="V4">IF(OR(M4="", M4="Deleted"), "", IFERROR(
  _xlfn.TEXTJOIN(", ", TRUE,
    _xlfn.MAP(
      _xlfn.UNIQUE(
        _xlfn._xlws.FILTER(
          [1]SubmittalLog!$B$1:$B$4000,
          ([1]SubmittalLog!$E$1:$E$4000=M4) *
          ([1]SubmittalLog!$B$1:$B$4000&lt;&gt;""),
          ""
        )
      ),
      _xlfn.LAMBDA(_xlpm.val, TEXT(_xlpm.val, "000000"))
    )
  ),
""))</f>
        <v/>
      </c>
      <c r="W4" s="40" t="str" cm="1">
        <f t="array" ref="W4">IF(OR(M4="", M4="Deleted"), "", _xlfn.LET(
  _xlpm.doc_col, [1]SubmittalLog!$E$1:$E$4000,
  _xlpm.date_col, [1]SubmittalLog!$H$1:$H$4000,
  _xlpm.status_col, [1]SubmittalLog!$N$1:$N$4000,
  _xlpm.latest_date, _xlfn.MAXIFS(_xlpm.date_col, _xlpm.doc_col, M4),
  IF(_xlpm.latest_date=0, "NFS",
    _xlfn.LET(
      _xlpm.res, _xlfn.XLOOKUP(M4 &amp; "|" &amp; _xlpm.latest_date, _xlpm.doc_col &amp; "|" &amp; _xlpm.date_col, _xlpm.status_col, ""),
      IF(OR(_xlpm.res="", _xlpm.res=0), "", _xlpm.res)
    )
  )
))</f>
        <v>NFS</v>
      </c>
      <c r="X4" s="39" t="str">
        <f>IF(OR(M4="", M4="Deleted"), "", _xlfn.LET(
  _xlpm.doc_col, [1]SubmittalLog!$E$1:$E$4000,
  _xlpm.date_col, [1]SubmittalLog!$H$1:$H$4000,
  _xlpm.status_col, [1]SubmittalLog!$O$1:$O$4000,
  _xlpm.first_app_date, _xlfn.MINIFS(_xlpm.date_col, _xlpm.doc_col, M4, _xlpm.status_col, "APP"),
  _xlpm.first_awc_date, _xlfn.MINIFS(_xlpm.date_col, _xlpm.doc_col, M4, _xlpm.status_col, "AWC"),
  _xlpm.earliest_date, IF(
    AND(_xlpm.first_app_date=0, _xlpm.first_awc_date=0), 0,
    IF(_xlpm.first_app_date=0, _xlpm.first_awc_date,
    IF(_xlpm.first_awc_date=0, _xlpm.first_app_date,
    MIN(_xlpm.first_app_date, _xlpm.first_awc_date)))
  ),
  IF(_xlpm.earliest_date=0, "", _xlpm.earliest_date)
))</f>
        <v/>
      </c>
      <c r="Y4" s="40" t="str" cm="1">
        <f t="array" ref="Y4">IF(OR(M4="", M4="Deleted"), "", _xlfn.LET(
  _xlpm.doc_col, [1]SubmittalLog!$E$1:$E$4000,
  _xlpm.date_col, [1]SubmittalLog!$H$1:$H$4000,
  _xlpm.status_col, [1]SubmittalLog!$O$1:$O$4000,
  _xlpm.has_sub, COUNTIF(_xlpm.doc_col, M4),
  _xlpm.latest_reviewed_date, _xlfn.MAXIFS(_xlpm.date_col, _xlpm.doc_col, M4, _xlpm.status_col, "&lt;&gt;"),
  IF(_xlpm.has_sub=0, "",
    IF(_xlpm.latest_reviewed_date=0, "",
      _xlfn.LET(
        _xlpm.res, _xlfn.XLOOKUP(1, (_xlpm.doc_col=M4) * (_xlpm.date_col=_xlpm.latest_reviewed_date) * (_xlpm.status_col&lt;&gt;""), _xlpm.status_col, ""),
        IF(OR(_xlpm.res="", _xlpm.res=0), "", _xlpm.res)
      )
    )
  )
))</f>
        <v/>
      </c>
    </row>
    <row r="5" spans="1:25" x14ac:dyDescent="0.35">
      <c r="A5" s="11">
        <f>IF($M5="","",MAX($A$1:A4)+1)</f>
        <v>3</v>
      </c>
      <c r="B5" t="s">
        <v>213</v>
      </c>
      <c r="C5" t="s">
        <v>79</v>
      </c>
      <c r="G5" s="11">
        <v>131236</v>
      </c>
      <c r="H5" s="11" t="s">
        <v>59</v>
      </c>
      <c r="I5" s="11" t="s">
        <v>442</v>
      </c>
      <c r="J5" s="11" t="s">
        <v>206</v>
      </c>
      <c r="K5" s="11" t="s">
        <v>3466</v>
      </c>
      <c r="M5" s="34" t="str">
        <f t="shared" si="0"/>
        <v>131236-WIL21-SN-IM-xxxx</v>
      </c>
      <c r="P5" s="15" t="s">
        <v>3467</v>
      </c>
      <c r="R5" s="15" t="s">
        <v>3467</v>
      </c>
      <c r="S5" s="17">
        <v>46026</v>
      </c>
      <c r="U5" s="21" t="str" cm="1">
        <f t="array" ref="U5">IF(OR(M5="", M5="Deleted"), "", _xlfn.LET(
  _xlpm.dates,
  _xlfn._xlws.FILTER(
    [1]SubmittalLog!$H$1:$H$4000,
    [1]SubmittalLog!$E$1:$E$4000=M5,
    ""
  ),
  _xlpm.min_date, IFERROR(MIN(_xlpm.dates), ""),
  IF(_xlpm.min_date=0, "", _xlpm.min_date)
))</f>
        <v/>
      </c>
      <c r="V5" s="63" t="str" cm="1">
        <f t="array" ref="V5">IF(OR(M5="", M5="Deleted"), "", IFERROR(
  _xlfn.TEXTJOIN(", ", TRUE,
    _xlfn.MAP(
      _xlfn.UNIQUE(
        _xlfn._xlws.FILTER(
          [1]SubmittalLog!$B$1:$B$4000,
          ([1]SubmittalLog!$E$1:$E$4000=M5) *
          ([1]SubmittalLog!$B$1:$B$4000&lt;&gt;""),
          ""
        )
      ),
      _xlfn.LAMBDA(_xlpm.val, TEXT(_xlpm.val, "000000"))
    )
  ),
""))</f>
        <v/>
      </c>
      <c r="W5" s="40" t="str" cm="1">
        <f t="array" ref="W5">IF(OR(M5="", M5="Deleted"), "", _xlfn.LET(
  _xlpm.doc_col, [1]SubmittalLog!$E$1:$E$4000,
  _xlpm.date_col, [1]SubmittalLog!$H$1:$H$4000,
  _xlpm.status_col, [1]SubmittalLog!$N$1:$N$4000,
  _xlpm.latest_date, _xlfn.MAXIFS(_xlpm.date_col, _xlpm.doc_col, M5),
  IF(_xlpm.latest_date=0, "NFS",
    _xlfn.LET(
      _xlpm.res, _xlfn.XLOOKUP(M5 &amp; "|" &amp; _xlpm.latest_date, _xlpm.doc_col &amp; "|" &amp; _xlpm.date_col, _xlpm.status_col, ""),
      IF(OR(_xlpm.res="", _xlpm.res=0), "", _xlpm.res)
    )
  )
))</f>
        <v>NFS</v>
      </c>
      <c r="X5" s="39" t="str">
        <f>IF(OR(M5="", M5="Deleted"), "", _xlfn.LET(
  _xlpm.doc_col, [1]SubmittalLog!$E$1:$E$4000,
  _xlpm.date_col, [1]SubmittalLog!$H$1:$H$4000,
  _xlpm.status_col, [1]SubmittalLog!$O$1:$O$4000,
  _xlpm.first_app_date, _xlfn.MINIFS(_xlpm.date_col, _xlpm.doc_col, M5, _xlpm.status_col, "APP"),
  _xlpm.first_awc_date, _xlfn.MINIFS(_xlpm.date_col, _xlpm.doc_col, M5, _xlpm.status_col, "AWC"),
  _xlpm.earliest_date, IF(
    AND(_xlpm.first_app_date=0, _xlpm.first_awc_date=0), 0,
    IF(_xlpm.first_app_date=0, _xlpm.first_awc_date,
    IF(_xlpm.first_awc_date=0, _xlpm.first_app_date,
    MIN(_xlpm.first_app_date, _xlpm.first_awc_date)))
  ),
  IF(_xlpm.earliest_date=0, "", _xlpm.earliest_date)
))</f>
        <v/>
      </c>
      <c r="Y5" s="40" t="str" cm="1">
        <f t="array" ref="Y5">IF(OR(M5="", M5="Deleted"), "", _xlfn.LET(
  _xlpm.doc_col, [1]SubmittalLog!$E$1:$E$4000,
  _xlpm.date_col, [1]SubmittalLog!$H$1:$H$4000,
  _xlpm.status_col, [1]SubmittalLog!$O$1:$O$4000,
  _xlpm.has_sub, COUNTIF(_xlpm.doc_col, M5),
  _xlpm.latest_reviewed_date, _xlfn.MAXIFS(_xlpm.date_col, _xlpm.doc_col, M5, _xlpm.status_col, "&lt;&gt;"),
  IF(_xlpm.has_sub=0, "",
    IF(_xlpm.latest_reviewed_date=0, "",
      _xlfn.LET(
        _xlpm.res, _xlfn.XLOOKUP(1, (_xlpm.doc_col=M5) * (_xlpm.date_col=_xlpm.latest_reviewed_date) * (_xlpm.status_col&lt;&gt;""), _xlpm.status_col, ""),
        IF(OR(_xlpm.res="", _xlpm.res=0), "", _xlpm.res)
      )
    )
  )
))</f>
        <v/>
      </c>
    </row>
    <row r="6" spans="1:25" x14ac:dyDescent="0.35">
      <c r="A6" s="11">
        <f>IF($M6="","",MAX($A$1:A5)+1)</f>
        <v>4</v>
      </c>
      <c r="B6" t="s">
        <v>213</v>
      </c>
      <c r="C6" t="s">
        <v>79</v>
      </c>
      <c r="G6" s="11">
        <v>131236</v>
      </c>
      <c r="H6" s="11" t="s">
        <v>59</v>
      </c>
      <c r="I6" s="11" t="s">
        <v>442</v>
      </c>
      <c r="J6" s="11" t="s">
        <v>206</v>
      </c>
      <c r="K6" s="11" t="s">
        <v>3466</v>
      </c>
      <c r="M6" s="34" t="str">
        <f t="shared" si="0"/>
        <v>131236-WIL21-SN-IM-xxxx</v>
      </c>
      <c r="P6" s="15" t="s">
        <v>3467</v>
      </c>
      <c r="R6" s="15" t="s">
        <v>3467</v>
      </c>
      <c r="S6" s="17">
        <v>46027</v>
      </c>
      <c r="U6" s="21" t="str" cm="1">
        <f t="array" ref="U6">IF(OR(M6="", M6="Deleted"), "", _xlfn.LET(
  _xlpm.dates,
  _xlfn._xlws.FILTER(
    [1]SubmittalLog!$H$1:$H$4000,
    [1]SubmittalLog!$E$1:$E$4000=M6,
    ""
  ),
  _xlpm.min_date, IFERROR(MIN(_xlpm.dates), ""),
  IF(_xlpm.min_date=0, "", _xlpm.min_date)
))</f>
        <v/>
      </c>
      <c r="V6" s="63" t="str" cm="1">
        <f t="array" ref="V6">IF(OR(M6="", M6="Deleted"), "", IFERROR(
  _xlfn.TEXTJOIN(", ", TRUE,
    _xlfn.MAP(
      _xlfn.UNIQUE(
        _xlfn._xlws.FILTER(
          [1]SubmittalLog!$B$1:$B$4000,
          ([1]SubmittalLog!$E$1:$E$4000=M6) *
          ([1]SubmittalLog!$B$1:$B$4000&lt;&gt;""),
          ""
        )
      ),
      _xlfn.LAMBDA(_xlpm.val, TEXT(_xlpm.val, "000000"))
    )
  ),
""))</f>
        <v/>
      </c>
      <c r="W6" s="40" t="str" cm="1">
        <f t="array" ref="W6">IF(OR(M6="", M6="Deleted"), "", _xlfn.LET(
  _xlpm.doc_col, [1]SubmittalLog!$E$1:$E$4000,
  _xlpm.date_col, [1]SubmittalLog!$H$1:$H$4000,
  _xlpm.status_col, [1]SubmittalLog!$N$1:$N$4000,
  _xlpm.latest_date, _xlfn.MAXIFS(_xlpm.date_col, _xlpm.doc_col, M6),
  IF(_xlpm.latest_date=0, "NFS",
    _xlfn.LET(
      _xlpm.res, _xlfn.XLOOKUP(M6 &amp; "|" &amp; _xlpm.latest_date, _xlpm.doc_col &amp; "|" &amp; _xlpm.date_col, _xlpm.status_col, ""),
      IF(OR(_xlpm.res="", _xlpm.res=0), "", _xlpm.res)
    )
  )
))</f>
        <v>NFS</v>
      </c>
      <c r="X6" s="39" t="str">
        <f>IF(OR(M6="", M6="Deleted"), "", _xlfn.LET(
  _xlpm.doc_col, [1]SubmittalLog!$E$1:$E$4000,
  _xlpm.date_col, [1]SubmittalLog!$H$1:$H$4000,
  _xlpm.status_col, [1]SubmittalLog!$O$1:$O$4000,
  _xlpm.first_app_date, _xlfn.MINIFS(_xlpm.date_col, _xlpm.doc_col, M6, _xlpm.status_col, "APP"),
  _xlpm.first_awc_date, _xlfn.MINIFS(_xlpm.date_col, _xlpm.doc_col, M6, _xlpm.status_col, "AWC"),
  _xlpm.earliest_date, IF(
    AND(_xlpm.first_app_date=0, _xlpm.first_awc_date=0), 0,
    IF(_xlpm.first_app_date=0, _xlpm.first_awc_date,
    IF(_xlpm.first_awc_date=0, _xlpm.first_app_date,
    MIN(_xlpm.first_app_date, _xlpm.first_awc_date)))
  ),
  IF(_xlpm.earliest_date=0, "", _xlpm.earliest_date)
))</f>
        <v/>
      </c>
      <c r="Y6" s="40" t="str" cm="1">
        <f t="array" ref="Y6">IF(OR(M6="", M6="Deleted"), "", _xlfn.LET(
  _xlpm.doc_col, [1]SubmittalLog!$E$1:$E$4000,
  _xlpm.date_col, [1]SubmittalLog!$H$1:$H$4000,
  _xlpm.status_col, [1]SubmittalLog!$O$1:$O$4000,
  _xlpm.has_sub, COUNTIF(_xlpm.doc_col, M6),
  _xlpm.latest_reviewed_date, _xlfn.MAXIFS(_xlpm.date_col, _xlpm.doc_col, M6, _xlpm.status_col, "&lt;&gt;"),
  IF(_xlpm.has_sub=0, "",
    IF(_xlpm.latest_reviewed_date=0, "",
      _xlfn.LET(
        _xlpm.res, _xlfn.XLOOKUP(1, (_xlpm.doc_col=M6) * (_xlpm.date_col=_xlpm.latest_reviewed_date) * (_xlpm.status_col&lt;&gt;""), _xlpm.status_col, ""),
        IF(OR(_xlpm.res="", _xlpm.res=0), "", _xlpm.res)
      )
    )
  )
))</f>
        <v/>
      </c>
    </row>
    <row r="7" spans="1:25" x14ac:dyDescent="0.35">
      <c r="A7" s="11">
        <f>IF($M7="","",MAX($A$1:A6)+1)</f>
        <v>5</v>
      </c>
      <c r="B7" t="s">
        <v>213</v>
      </c>
      <c r="C7" t="s">
        <v>79</v>
      </c>
      <c r="G7" s="11">
        <v>131236</v>
      </c>
      <c r="H7" s="11" t="s">
        <v>59</v>
      </c>
      <c r="I7" s="11" t="s">
        <v>442</v>
      </c>
      <c r="J7" s="11" t="s">
        <v>206</v>
      </c>
      <c r="K7" s="11" t="s">
        <v>3466</v>
      </c>
      <c r="M7" s="34" t="str">
        <f t="shared" si="0"/>
        <v>131236-WIL21-SN-IM-xxxx</v>
      </c>
      <c r="P7" s="15" t="s">
        <v>3467</v>
      </c>
      <c r="R7" s="15" t="s">
        <v>3467</v>
      </c>
      <c r="S7" s="17">
        <v>46028</v>
      </c>
      <c r="U7" s="21" t="str" cm="1">
        <f t="array" ref="U7">IF(OR(M7="", M7="Deleted"), "", _xlfn.LET(
  _xlpm.dates,
  _xlfn._xlws.FILTER(
    [1]SubmittalLog!$H$1:$H$4000,
    [1]SubmittalLog!$E$1:$E$4000=M7,
    ""
  ),
  _xlpm.min_date, IFERROR(MIN(_xlpm.dates), ""),
  IF(_xlpm.min_date=0, "", _xlpm.min_date)
))</f>
        <v/>
      </c>
      <c r="V7" s="63" t="str" cm="1">
        <f t="array" ref="V7">IF(OR(M7="", M7="Deleted"), "", IFERROR(
  _xlfn.TEXTJOIN(", ", TRUE,
    _xlfn.MAP(
      _xlfn.UNIQUE(
        _xlfn._xlws.FILTER(
          [1]SubmittalLog!$B$1:$B$4000,
          ([1]SubmittalLog!$E$1:$E$4000=M7) *
          ([1]SubmittalLog!$B$1:$B$4000&lt;&gt;""),
          ""
        )
      ),
      _xlfn.LAMBDA(_xlpm.val, TEXT(_xlpm.val, "000000"))
    )
  ),
""))</f>
        <v/>
      </c>
      <c r="W7" s="40" t="str" cm="1">
        <f t="array" ref="W7">IF(OR(M7="", M7="Deleted"), "", _xlfn.LET(
  _xlpm.doc_col, [1]SubmittalLog!$E$1:$E$4000,
  _xlpm.date_col, [1]SubmittalLog!$H$1:$H$4000,
  _xlpm.status_col, [1]SubmittalLog!$N$1:$N$4000,
  _xlpm.latest_date, _xlfn.MAXIFS(_xlpm.date_col, _xlpm.doc_col, M7),
  IF(_xlpm.latest_date=0, "NFS",
    _xlfn.LET(
      _xlpm.res, _xlfn.XLOOKUP(M7 &amp; "|" &amp; _xlpm.latest_date, _xlpm.doc_col &amp; "|" &amp; _xlpm.date_col, _xlpm.status_col, ""),
      IF(OR(_xlpm.res="", _xlpm.res=0), "", _xlpm.res)
    )
  )
))</f>
        <v>NFS</v>
      </c>
      <c r="X7" s="39" t="str">
        <f>IF(OR(M7="", M7="Deleted"), "", _xlfn.LET(
  _xlpm.doc_col, [1]SubmittalLog!$E$1:$E$4000,
  _xlpm.date_col, [1]SubmittalLog!$H$1:$H$4000,
  _xlpm.status_col, [1]SubmittalLog!$O$1:$O$4000,
  _xlpm.first_app_date, _xlfn.MINIFS(_xlpm.date_col, _xlpm.doc_col, M7, _xlpm.status_col, "APP"),
  _xlpm.first_awc_date, _xlfn.MINIFS(_xlpm.date_col, _xlpm.doc_col, M7, _xlpm.status_col, "AWC"),
  _xlpm.earliest_date, IF(
    AND(_xlpm.first_app_date=0, _xlpm.first_awc_date=0), 0,
    IF(_xlpm.first_app_date=0, _xlpm.first_awc_date,
    IF(_xlpm.first_awc_date=0, _xlpm.first_app_date,
    MIN(_xlpm.first_app_date, _xlpm.first_awc_date)))
  ),
  IF(_xlpm.earliest_date=0, "", _xlpm.earliest_date)
))</f>
        <v/>
      </c>
      <c r="Y7" s="40" t="str" cm="1">
        <f t="array" ref="Y7">IF(OR(M7="", M7="Deleted"), "", _xlfn.LET(
  _xlpm.doc_col, [1]SubmittalLog!$E$1:$E$4000,
  _xlpm.date_col, [1]SubmittalLog!$H$1:$H$4000,
  _xlpm.status_col, [1]SubmittalLog!$O$1:$O$4000,
  _xlpm.has_sub, COUNTIF(_xlpm.doc_col, M7),
  _xlpm.latest_reviewed_date, _xlfn.MAXIFS(_xlpm.date_col, _xlpm.doc_col, M7, _xlpm.status_col, "&lt;&gt;"),
  IF(_xlpm.has_sub=0, "",
    IF(_xlpm.latest_reviewed_date=0, "",
      _xlfn.LET(
        _xlpm.res, _xlfn.XLOOKUP(1, (_xlpm.doc_col=M7) * (_xlpm.date_col=_xlpm.latest_reviewed_date) * (_xlpm.status_col&lt;&gt;""), _xlpm.status_col, ""),
        IF(OR(_xlpm.res="", _xlpm.res=0), "", _xlpm.res)
      )
    )
  )
))</f>
        <v/>
      </c>
    </row>
    <row r="8" spans="1:25" x14ac:dyDescent="0.35">
      <c r="A8" s="11">
        <f>IF($M8="","",MAX($A$1:A7)+1)</f>
        <v>6</v>
      </c>
      <c r="B8" t="s">
        <v>213</v>
      </c>
      <c r="C8" t="s">
        <v>79</v>
      </c>
      <c r="G8" s="11">
        <v>131236</v>
      </c>
      <c r="H8" s="11" t="s">
        <v>59</v>
      </c>
      <c r="I8" s="11" t="s">
        <v>442</v>
      </c>
      <c r="J8" s="11" t="s">
        <v>206</v>
      </c>
      <c r="K8" s="11" t="s">
        <v>3466</v>
      </c>
      <c r="M8" s="34" t="str">
        <f t="shared" si="0"/>
        <v>131236-WIL21-SN-IM-xxxx</v>
      </c>
      <c r="P8" s="15" t="s">
        <v>3467</v>
      </c>
      <c r="R8" s="15" t="s">
        <v>3467</v>
      </c>
      <c r="S8" s="17">
        <v>46029</v>
      </c>
      <c r="U8" s="21" t="str" cm="1">
        <f t="array" ref="U8">IF(OR(M8="", M8="Deleted"), "", _xlfn.LET(
  _xlpm.dates,
  _xlfn._xlws.FILTER(
    [1]SubmittalLog!$H$1:$H$4000,
    [1]SubmittalLog!$E$1:$E$4000=M8,
    ""
  ),
  _xlpm.min_date, IFERROR(MIN(_xlpm.dates), ""),
  IF(_xlpm.min_date=0, "", _xlpm.min_date)
))</f>
        <v/>
      </c>
      <c r="V8" s="63" t="str" cm="1">
        <f t="array" ref="V8">IF(OR(M8="", M8="Deleted"), "", IFERROR(
  _xlfn.TEXTJOIN(", ", TRUE,
    _xlfn.MAP(
      _xlfn.UNIQUE(
        _xlfn._xlws.FILTER(
          [1]SubmittalLog!$B$1:$B$4000,
          ([1]SubmittalLog!$E$1:$E$4000=M8) *
          ([1]SubmittalLog!$B$1:$B$4000&lt;&gt;""),
          ""
        )
      ),
      _xlfn.LAMBDA(_xlpm.val, TEXT(_xlpm.val, "000000"))
    )
  ),
""))</f>
        <v/>
      </c>
      <c r="W8" s="40" t="str" cm="1">
        <f t="array" ref="W8">IF(OR(M8="", M8="Deleted"), "", _xlfn.LET(
  _xlpm.doc_col, [1]SubmittalLog!$E$1:$E$4000,
  _xlpm.date_col, [1]SubmittalLog!$H$1:$H$4000,
  _xlpm.status_col, [1]SubmittalLog!$N$1:$N$4000,
  _xlpm.latest_date, _xlfn.MAXIFS(_xlpm.date_col, _xlpm.doc_col, M8),
  IF(_xlpm.latest_date=0, "NFS",
    _xlfn.LET(
      _xlpm.res, _xlfn.XLOOKUP(M8 &amp; "|" &amp; _xlpm.latest_date, _xlpm.doc_col &amp; "|" &amp; _xlpm.date_col, _xlpm.status_col, ""),
      IF(OR(_xlpm.res="", _xlpm.res=0), "", _xlpm.res)
    )
  )
))</f>
        <v>NFS</v>
      </c>
      <c r="X8" s="39" t="str">
        <f>IF(OR(M8="", M8="Deleted"), "", _xlfn.LET(
  _xlpm.doc_col, [1]SubmittalLog!$E$1:$E$4000,
  _xlpm.date_col, [1]SubmittalLog!$H$1:$H$4000,
  _xlpm.status_col, [1]SubmittalLog!$O$1:$O$4000,
  _xlpm.first_app_date, _xlfn.MINIFS(_xlpm.date_col, _xlpm.doc_col, M8, _xlpm.status_col, "APP"),
  _xlpm.first_awc_date, _xlfn.MINIFS(_xlpm.date_col, _xlpm.doc_col, M8, _xlpm.status_col, "AWC"),
  _xlpm.earliest_date, IF(
    AND(_xlpm.first_app_date=0, _xlpm.first_awc_date=0), 0,
    IF(_xlpm.first_app_date=0, _xlpm.first_awc_date,
    IF(_xlpm.first_awc_date=0, _xlpm.first_app_date,
    MIN(_xlpm.first_app_date, _xlpm.first_awc_date)))
  ),
  IF(_xlpm.earliest_date=0, "", _xlpm.earliest_date)
))</f>
        <v/>
      </c>
      <c r="Y8" s="40" t="str" cm="1">
        <f t="array" ref="Y8">IF(OR(M8="", M8="Deleted"), "", _xlfn.LET(
  _xlpm.doc_col, [1]SubmittalLog!$E$1:$E$4000,
  _xlpm.date_col, [1]SubmittalLog!$H$1:$H$4000,
  _xlpm.status_col, [1]SubmittalLog!$O$1:$O$4000,
  _xlpm.has_sub, COUNTIF(_xlpm.doc_col, M8),
  _xlpm.latest_reviewed_date, _xlfn.MAXIFS(_xlpm.date_col, _xlpm.doc_col, M8, _xlpm.status_col, "&lt;&gt;"),
  IF(_xlpm.has_sub=0, "",
    IF(_xlpm.latest_reviewed_date=0, "",
      _xlfn.LET(
        _xlpm.res, _xlfn.XLOOKUP(1, (_xlpm.doc_col=M8) * (_xlpm.date_col=_xlpm.latest_reviewed_date) * (_xlpm.status_col&lt;&gt;""), _xlpm.status_col, ""),
        IF(OR(_xlpm.res="", _xlpm.res=0), "", _xlpm.res)
      )
    )
  )
))</f>
        <v/>
      </c>
    </row>
    <row r="9" spans="1:25" x14ac:dyDescent="0.35">
      <c r="A9" s="11" t="str">
        <f>IF($M9="","",MAX($A$1:A8)+1)</f>
        <v/>
      </c>
      <c r="M9" s="34" t="str">
        <f t="shared" si="0"/>
        <v/>
      </c>
      <c r="U9" s="21" t="str" cm="1">
        <f t="array" ref="U9">IF(OR(M9="", M9="Deleted"), "", _xlfn.LET(
  _xlpm.dates,
  _xlfn._xlws.FILTER(
    [1]SubmittalLog!$H$1:$H$4000,
    [1]SubmittalLog!$E$1:$E$4000=M9,
    ""
  ),
  _xlpm.min_date, IFERROR(MIN(_xlpm.dates), ""),
  IF(_xlpm.min_date=0, "", _xlpm.min_date)
))</f>
        <v/>
      </c>
      <c r="V9" s="63" t="str" cm="1">
        <f t="array" ref="V9">IF(OR(M9="", M9="Deleted"), "", IFERROR(
  _xlfn.TEXTJOIN(", ", TRUE,
    _xlfn.MAP(
      _xlfn.UNIQUE(
        _xlfn._xlws.FILTER(
          [1]SubmittalLog!$B$1:$B$4000,
          ([1]SubmittalLog!$E$1:$E$4000=M9) *
          ([1]SubmittalLog!$B$1:$B$4000&lt;&gt;""),
          ""
        )
      ),
      _xlfn.LAMBDA(_xlpm.val, TEXT(_xlpm.val, "000000"))
    )
  ),
""))</f>
        <v/>
      </c>
      <c r="W9" s="40" t="str" cm="1">
        <f t="array" ref="W9">IF(OR(M9="", M9="Deleted"), "", _xlfn.LET(
  _xlpm.doc_col, [1]SubmittalLog!$E$1:$E$4000,
  _xlpm.date_col, [1]SubmittalLog!$H$1:$H$4000,
  _xlpm.status_col, [1]SubmittalLog!$N$1:$N$4000,
  _xlpm.latest_date, _xlfn.MAXIFS(_xlpm.date_col, _xlpm.doc_col, M9),
  IF(_xlpm.latest_date=0, "NFS",
    _xlfn.LET(
      _xlpm.res, _xlfn.XLOOKUP(M9 &amp; "|" &amp; _xlpm.latest_date, _xlpm.doc_col &amp; "|" &amp; _xlpm.date_col, _xlpm.status_col, ""),
      IF(OR(_xlpm.res="", _xlpm.res=0), "", _xlpm.res)
    )
  )
))</f>
        <v/>
      </c>
      <c r="X9" s="39" t="str">
        <f>IF(OR(M9="", M9="Deleted"), "", _xlfn.LET(
  _xlpm.doc_col, [1]SubmittalLog!$E$1:$E$4000,
  _xlpm.date_col, [1]SubmittalLog!$H$1:$H$4000,
  _xlpm.status_col, [1]SubmittalLog!$O$1:$O$4000,
  _xlpm.first_app_date, _xlfn.MINIFS(_xlpm.date_col, _xlpm.doc_col, M9, _xlpm.status_col, "APP"),
  _xlpm.first_awc_date, _xlfn.MINIFS(_xlpm.date_col, _xlpm.doc_col, M9, _xlpm.status_col, "AWC"),
  _xlpm.earliest_date, IF(
    AND(_xlpm.first_app_date=0, _xlpm.first_awc_date=0), 0,
    IF(_xlpm.first_app_date=0, _xlpm.first_awc_date,
    IF(_xlpm.first_awc_date=0, _xlpm.first_app_date,
    MIN(_xlpm.first_app_date, _xlpm.first_awc_date)))
  ),
  IF(_xlpm.earliest_date=0, "", _xlpm.earliest_date)
))</f>
        <v/>
      </c>
      <c r="Y9" s="40" t="str" cm="1">
        <f t="array" ref="Y9">IF(OR(M9="", M9="Deleted"), "", _xlfn.LET(
  _xlpm.doc_col, [1]SubmittalLog!$E$1:$E$4000,
  _xlpm.date_col, [1]SubmittalLog!$H$1:$H$4000,
  _xlpm.status_col, [1]SubmittalLog!$O$1:$O$4000,
  _xlpm.has_sub, COUNTIF(_xlpm.doc_col, M9),
  _xlpm.latest_reviewed_date, _xlfn.MAXIFS(_xlpm.date_col, _xlpm.doc_col, M9, _xlpm.status_col, "&lt;&gt;"),
  IF(_xlpm.has_sub=0, "",
    IF(_xlpm.latest_reviewed_date=0, "",
      _xlfn.LET(
        _xlpm.res, _xlfn.XLOOKUP(1, (_xlpm.doc_col=M9) * (_xlpm.date_col=_xlpm.latest_reviewed_date) * (_xlpm.status_col&lt;&gt;""), _xlpm.status_col, ""),
        IF(OR(_xlpm.res="", _xlpm.res=0), "", _xlpm.res)
      )
    )
  )
))</f>
        <v/>
      </c>
    </row>
    <row r="10" spans="1:25" x14ac:dyDescent="0.35">
      <c r="A10" s="11">
        <f>IF($M10="","",MAX($A$1:A9)+1)</f>
        <v>7</v>
      </c>
      <c r="B10" t="s">
        <v>213</v>
      </c>
      <c r="C10" t="s">
        <v>79</v>
      </c>
      <c r="G10" s="11">
        <v>131236</v>
      </c>
      <c r="H10" s="11" t="s">
        <v>59</v>
      </c>
      <c r="I10" s="11" t="s">
        <v>442</v>
      </c>
      <c r="J10" s="11" t="s">
        <v>206</v>
      </c>
      <c r="K10" s="11" t="s">
        <v>3466</v>
      </c>
      <c r="M10" s="34" t="str">
        <f t="shared" si="0"/>
        <v>131236-WIL21-SN-IM-xxxx</v>
      </c>
      <c r="P10" s="15" t="s">
        <v>3467</v>
      </c>
      <c r="R10" s="15" t="s">
        <v>3467</v>
      </c>
      <c r="S10" s="17">
        <v>46031</v>
      </c>
      <c r="U10" s="21" t="str" cm="1">
        <f t="array" ref="U10">IF(OR(M10="", M10="Deleted"), "", _xlfn.LET(
  _xlpm.dates,
  _xlfn._xlws.FILTER(
    [1]SubmittalLog!$H$1:$H$4000,
    [1]SubmittalLog!$E$1:$E$4000=M10,
    ""
  ),
  _xlpm.min_date, IFERROR(MIN(_xlpm.dates), ""),
  IF(_xlpm.min_date=0, "", _xlpm.min_date)
))</f>
        <v/>
      </c>
      <c r="V10" s="63" t="str" cm="1">
        <f t="array" ref="V10">IF(OR(M10="", M10="Deleted"), "", IFERROR(
  _xlfn.TEXTJOIN(", ", TRUE,
    _xlfn.MAP(
      _xlfn.UNIQUE(
        _xlfn._xlws.FILTER(
          [1]SubmittalLog!$B$1:$B$4000,
          ([1]SubmittalLog!$E$1:$E$4000=M10) *
          ([1]SubmittalLog!$B$1:$B$4000&lt;&gt;""),
          ""
        )
      ),
      _xlfn.LAMBDA(_xlpm.val, TEXT(_xlpm.val, "000000"))
    )
  ),
""))</f>
        <v/>
      </c>
      <c r="W10" s="40" t="str" cm="1">
        <f t="array" ref="W10">IF(OR(M10="", M10="Deleted"), "", _xlfn.LET(
  _xlpm.doc_col, [1]SubmittalLog!$E$1:$E$4000,
  _xlpm.date_col, [1]SubmittalLog!$H$1:$H$4000,
  _xlpm.status_col, [1]SubmittalLog!$N$1:$N$4000,
  _xlpm.latest_date, _xlfn.MAXIFS(_xlpm.date_col, _xlpm.doc_col, M10),
  IF(_xlpm.latest_date=0, "NFS",
    _xlfn.LET(
      _xlpm.res, _xlfn.XLOOKUP(M10 &amp; "|" &amp; _xlpm.latest_date, _xlpm.doc_col &amp; "|" &amp; _xlpm.date_col, _xlpm.status_col, ""),
      IF(OR(_xlpm.res="", _xlpm.res=0), "", _xlpm.res)
    )
  )
))</f>
        <v>NFS</v>
      </c>
      <c r="X10" s="39" t="str">
        <f>IF(OR(M10="", M10="Deleted"), "", _xlfn.LET(
  _xlpm.doc_col, [1]SubmittalLog!$E$1:$E$4000,
  _xlpm.date_col, [1]SubmittalLog!$H$1:$H$4000,
  _xlpm.status_col, [1]SubmittalLog!$O$1:$O$4000,
  _xlpm.first_app_date, _xlfn.MINIFS(_xlpm.date_col, _xlpm.doc_col, M10, _xlpm.status_col, "APP"),
  _xlpm.first_awc_date, _xlfn.MINIFS(_xlpm.date_col, _xlpm.doc_col, M10, _xlpm.status_col, "AWC"),
  _xlpm.earliest_date, IF(
    AND(_xlpm.first_app_date=0, _xlpm.first_awc_date=0), 0,
    IF(_xlpm.first_app_date=0, _xlpm.first_awc_date,
    IF(_xlpm.first_awc_date=0, _xlpm.first_app_date,
    MIN(_xlpm.first_app_date, _xlpm.first_awc_date)))
  ),
  IF(_xlpm.earliest_date=0, "", _xlpm.earliest_date)
))</f>
        <v/>
      </c>
      <c r="Y10" s="40" t="str" cm="1">
        <f t="array" ref="Y10">IF(OR(M10="", M10="Deleted"), "", _xlfn.LET(
  _xlpm.doc_col, [1]SubmittalLog!$E$1:$E$4000,
  _xlpm.date_col, [1]SubmittalLog!$H$1:$H$4000,
  _xlpm.status_col, [1]SubmittalLog!$O$1:$O$4000,
  _xlpm.has_sub, COUNTIF(_xlpm.doc_col, M10),
  _xlpm.latest_reviewed_date, _xlfn.MAXIFS(_xlpm.date_col, _xlpm.doc_col, M10, _xlpm.status_col, "&lt;&gt;"),
  IF(_xlpm.has_sub=0, "",
    IF(_xlpm.latest_reviewed_date=0, "",
      _xlfn.LET(
        _xlpm.res, _xlfn.XLOOKUP(1, (_xlpm.doc_col=M10) * (_xlpm.date_col=_xlpm.latest_reviewed_date) * (_xlpm.status_col&lt;&gt;""), _xlpm.status_col, ""),
        IF(OR(_xlpm.res="", _xlpm.res=0), "", _xlpm.res)
      )
    )
  )
))</f>
        <v/>
      </c>
    </row>
    <row r="11" spans="1:25" x14ac:dyDescent="0.35">
      <c r="A11" s="11">
        <f>IF($M11="","",MAX($A$1:A10)+1)</f>
        <v>8</v>
      </c>
      <c r="B11" t="s">
        <v>213</v>
      </c>
      <c r="C11" t="s">
        <v>79</v>
      </c>
      <c r="G11" s="11">
        <v>131236</v>
      </c>
      <c r="H11" s="11" t="s">
        <v>59</v>
      </c>
      <c r="I11" s="11" t="s">
        <v>442</v>
      </c>
      <c r="J11" s="11" t="s">
        <v>206</v>
      </c>
      <c r="K11" s="11" t="s">
        <v>3466</v>
      </c>
      <c r="M11" s="34" t="str">
        <f t="shared" si="0"/>
        <v>131236-WIL21-SN-IM-xxxx</v>
      </c>
      <c r="P11" s="15" t="s">
        <v>3467</v>
      </c>
      <c r="R11" s="15" t="s">
        <v>3467</v>
      </c>
      <c r="S11" s="17">
        <v>46032</v>
      </c>
      <c r="U11" s="21" t="str" cm="1">
        <f t="array" ref="U11">IF(OR(M11="", M11="Deleted"), "", _xlfn.LET(
  _xlpm.dates,
  _xlfn._xlws.FILTER(
    [1]SubmittalLog!$H$1:$H$4000,
    [1]SubmittalLog!$E$1:$E$4000=M11,
    ""
  ),
  _xlpm.min_date, IFERROR(MIN(_xlpm.dates), ""),
  IF(_xlpm.min_date=0, "", _xlpm.min_date)
))</f>
        <v/>
      </c>
      <c r="V11" s="63" t="str" cm="1">
        <f t="array" ref="V11">IF(OR(M11="", M11="Deleted"), "", IFERROR(
  _xlfn.TEXTJOIN(", ", TRUE,
    _xlfn.MAP(
      _xlfn.UNIQUE(
        _xlfn._xlws.FILTER(
          [1]SubmittalLog!$B$1:$B$4000,
          ([1]SubmittalLog!$E$1:$E$4000=M11) *
          ([1]SubmittalLog!$B$1:$B$4000&lt;&gt;""),
          ""
        )
      ),
      _xlfn.LAMBDA(_xlpm.val, TEXT(_xlpm.val, "000000"))
    )
  ),
""))</f>
        <v/>
      </c>
      <c r="W11" s="40" t="str" cm="1">
        <f t="array" ref="W11">IF(OR(M11="", M11="Deleted"), "", _xlfn.LET(
  _xlpm.doc_col, [1]SubmittalLog!$E$1:$E$4000,
  _xlpm.date_col, [1]SubmittalLog!$H$1:$H$4000,
  _xlpm.status_col, [1]SubmittalLog!$N$1:$N$4000,
  _xlpm.latest_date, _xlfn.MAXIFS(_xlpm.date_col, _xlpm.doc_col, M11),
  IF(_xlpm.latest_date=0, "NFS",
    _xlfn.LET(
      _xlpm.res, _xlfn.XLOOKUP(M11 &amp; "|" &amp; _xlpm.latest_date, _xlpm.doc_col &amp; "|" &amp; _xlpm.date_col, _xlpm.status_col, ""),
      IF(OR(_xlpm.res="", _xlpm.res=0), "", _xlpm.res)
    )
  )
))</f>
        <v>NFS</v>
      </c>
      <c r="X11" s="39" t="str">
        <f>IF(OR(M11="", M11="Deleted"), "", _xlfn.LET(
  _xlpm.doc_col, [1]SubmittalLog!$E$1:$E$4000,
  _xlpm.date_col, [1]SubmittalLog!$H$1:$H$4000,
  _xlpm.status_col, [1]SubmittalLog!$O$1:$O$4000,
  _xlpm.first_app_date, _xlfn.MINIFS(_xlpm.date_col, _xlpm.doc_col, M11, _xlpm.status_col, "APP"),
  _xlpm.first_awc_date, _xlfn.MINIFS(_xlpm.date_col, _xlpm.doc_col, M11, _xlpm.status_col, "AWC"),
  _xlpm.earliest_date, IF(
    AND(_xlpm.first_app_date=0, _xlpm.first_awc_date=0), 0,
    IF(_xlpm.first_app_date=0, _xlpm.first_awc_date,
    IF(_xlpm.first_awc_date=0, _xlpm.first_app_date,
    MIN(_xlpm.first_app_date, _xlpm.first_awc_date)))
  ),
  IF(_xlpm.earliest_date=0, "", _xlpm.earliest_date)
))</f>
        <v/>
      </c>
      <c r="Y11" s="40" t="str" cm="1">
        <f t="array" ref="Y11">IF(OR(M11="", M11="Deleted"), "", _xlfn.LET(
  _xlpm.doc_col, [1]SubmittalLog!$E$1:$E$4000,
  _xlpm.date_col, [1]SubmittalLog!$H$1:$H$4000,
  _xlpm.status_col, [1]SubmittalLog!$O$1:$O$4000,
  _xlpm.has_sub, COUNTIF(_xlpm.doc_col, M11),
  _xlpm.latest_reviewed_date, _xlfn.MAXIFS(_xlpm.date_col, _xlpm.doc_col, M11, _xlpm.status_col, "&lt;&gt;"),
  IF(_xlpm.has_sub=0, "",
    IF(_xlpm.latest_reviewed_date=0, "",
      _xlfn.LET(
        _xlpm.res, _xlfn.XLOOKUP(1, (_xlpm.doc_col=M11) * (_xlpm.date_col=_xlpm.latest_reviewed_date) * (_xlpm.status_col&lt;&gt;""), _xlpm.status_col, ""),
        IF(OR(_xlpm.res="", _xlpm.res=0), "", _xlpm.res)
      )
    )
  )
))</f>
        <v/>
      </c>
    </row>
    <row r="12" spans="1:25" x14ac:dyDescent="0.35">
      <c r="A12" s="11">
        <f>IF($M12="","",MAX($A$1:A11)+1)</f>
        <v>9</v>
      </c>
      <c r="B12" t="s">
        <v>213</v>
      </c>
      <c r="C12" t="s">
        <v>79</v>
      </c>
      <c r="G12" s="11">
        <v>131236</v>
      </c>
      <c r="H12" s="11" t="s">
        <v>59</v>
      </c>
      <c r="I12" s="11" t="s">
        <v>442</v>
      </c>
      <c r="J12" s="11" t="s">
        <v>206</v>
      </c>
      <c r="K12" s="11" t="s">
        <v>3466</v>
      </c>
      <c r="M12" s="34" t="str">
        <f t="shared" si="0"/>
        <v>131236-WIL21-SN-IM-xxxx</v>
      </c>
      <c r="P12" s="15" t="s">
        <v>3467</v>
      </c>
      <c r="R12" s="15" t="s">
        <v>3467</v>
      </c>
      <c r="S12" s="17">
        <v>46033</v>
      </c>
      <c r="U12" s="21" t="str" cm="1">
        <f t="array" ref="U12">IF(OR(M12="", M12="Deleted"), "", _xlfn.LET(
  _xlpm.dates,
  _xlfn._xlws.FILTER(
    [1]SubmittalLog!$H$1:$H$4000,
    [1]SubmittalLog!$E$1:$E$4000=M12,
    ""
  ),
  _xlpm.min_date, IFERROR(MIN(_xlpm.dates), ""),
  IF(_xlpm.min_date=0, "", _xlpm.min_date)
))</f>
        <v/>
      </c>
      <c r="V12" s="63" t="str" cm="1">
        <f t="array" ref="V12">IF(OR(M12="", M12="Deleted"), "", IFERROR(
  _xlfn.TEXTJOIN(", ", TRUE,
    _xlfn.MAP(
      _xlfn.UNIQUE(
        _xlfn._xlws.FILTER(
          [1]SubmittalLog!$B$1:$B$4000,
          ([1]SubmittalLog!$E$1:$E$4000=M12) *
          ([1]SubmittalLog!$B$1:$B$4000&lt;&gt;""),
          ""
        )
      ),
      _xlfn.LAMBDA(_xlpm.val, TEXT(_xlpm.val, "000000"))
    )
  ),
""))</f>
        <v/>
      </c>
      <c r="W12" s="40" t="str" cm="1">
        <f t="array" ref="W12">IF(OR(M12="", M12="Deleted"), "", _xlfn.LET(
  _xlpm.doc_col, [1]SubmittalLog!$E$1:$E$4000,
  _xlpm.date_col, [1]SubmittalLog!$H$1:$H$4000,
  _xlpm.status_col, [1]SubmittalLog!$N$1:$N$4000,
  _xlpm.latest_date, _xlfn.MAXIFS(_xlpm.date_col, _xlpm.doc_col, M12),
  IF(_xlpm.latest_date=0, "NFS",
    _xlfn.LET(
      _xlpm.res, _xlfn.XLOOKUP(M12 &amp; "|" &amp; _xlpm.latest_date, _xlpm.doc_col &amp; "|" &amp; _xlpm.date_col, _xlpm.status_col, ""),
      IF(OR(_xlpm.res="", _xlpm.res=0), "", _xlpm.res)
    )
  )
))</f>
        <v>NFS</v>
      </c>
      <c r="X12" s="39" t="str">
        <f>IF(OR(M12="", M12="Deleted"), "", _xlfn.LET(
  _xlpm.doc_col, [1]SubmittalLog!$E$1:$E$4000,
  _xlpm.date_col, [1]SubmittalLog!$H$1:$H$4000,
  _xlpm.status_col, [1]SubmittalLog!$O$1:$O$4000,
  _xlpm.first_app_date, _xlfn.MINIFS(_xlpm.date_col, _xlpm.doc_col, M12, _xlpm.status_col, "APP"),
  _xlpm.first_awc_date, _xlfn.MINIFS(_xlpm.date_col, _xlpm.doc_col, M12, _xlpm.status_col, "AWC"),
  _xlpm.earliest_date, IF(
    AND(_xlpm.first_app_date=0, _xlpm.first_awc_date=0), 0,
    IF(_xlpm.first_app_date=0, _xlpm.first_awc_date,
    IF(_xlpm.first_awc_date=0, _xlpm.first_app_date,
    MIN(_xlpm.first_app_date, _xlpm.first_awc_date)))
  ),
  IF(_xlpm.earliest_date=0, "", _xlpm.earliest_date)
))</f>
        <v/>
      </c>
      <c r="Y12" s="40" t="str" cm="1">
        <f t="array" ref="Y12">IF(OR(M12="", M12="Deleted"), "", _xlfn.LET(
  _xlpm.doc_col, [1]SubmittalLog!$E$1:$E$4000,
  _xlpm.date_col, [1]SubmittalLog!$H$1:$H$4000,
  _xlpm.status_col, [1]SubmittalLog!$O$1:$O$4000,
  _xlpm.has_sub, COUNTIF(_xlpm.doc_col, M12),
  _xlpm.latest_reviewed_date, _xlfn.MAXIFS(_xlpm.date_col, _xlpm.doc_col, M12, _xlpm.status_col, "&lt;&gt;"),
  IF(_xlpm.has_sub=0, "",
    IF(_xlpm.latest_reviewed_date=0, "",
      _xlfn.LET(
        _xlpm.res, _xlfn.XLOOKUP(1, (_xlpm.doc_col=M12) * (_xlpm.date_col=_xlpm.latest_reviewed_date) * (_xlpm.status_col&lt;&gt;""), _xlpm.status_col, ""),
        IF(OR(_xlpm.res="", _xlpm.res=0), "", _xlpm.res)
      )
    )
  )
))</f>
        <v/>
      </c>
    </row>
    <row r="13" spans="1:25" x14ac:dyDescent="0.35">
      <c r="A13" s="11">
        <f>IF($M13="","",MAX($A$1:A12)+1)</f>
        <v>10</v>
      </c>
      <c r="B13" t="s">
        <v>213</v>
      </c>
      <c r="C13" t="s">
        <v>79</v>
      </c>
      <c r="G13" s="11">
        <v>131236</v>
      </c>
      <c r="H13" s="11" t="s">
        <v>59</v>
      </c>
      <c r="I13" s="11" t="s">
        <v>442</v>
      </c>
      <c r="J13" s="11" t="s">
        <v>206</v>
      </c>
      <c r="K13" s="11" t="s">
        <v>3466</v>
      </c>
      <c r="M13" s="34" t="str">
        <f t="shared" si="0"/>
        <v>131236-WIL21-SN-IM-xxxx</v>
      </c>
      <c r="P13" s="15" t="s">
        <v>3467</v>
      </c>
      <c r="R13" s="15" t="s">
        <v>3467</v>
      </c>
      <c r="S13" s="17">
        <v>46034</v>
      </c>
      <c r="U13" s="21" t="str" cm="1">
        <f t="array" ref="U13">IF(OR(M13="", M13="Deleted"), "", _xlfn.LET(
  _xlpm.dates,
  _xlfn._xlws.FILTER(
    [1]SubmittalLog!$H$1:$H$4000,
    [1]SubmittalLog!$E$1:$E$4000=M13,
    ""
  ),
  _xlpm.min_date, IFERROR(MIN(_xlpm.dates), ""),
  IF(_xlpm.min_date=0, "", _xlpm.min_date)
))</f>
        <v/>
      </c>
      <c r="V13" s="63" t="str" cm="1">
        <f t="array" ref="V13">IF(OR(M13="", M13="Deleted"), "", IFERROR(
  _xlfn.TEXTJOIN(", ", TRUE,
    _xlfn.MAP(
      _xlfn.UNIQUE(
        _xlfn._xlws.FILTER(
          [1]SubmittalLog!$B$1:$B$4000,
          ([1]SubmittalLog!$E$1:$E$4000=M13) *
          ([1]SubmittalLog!$B$1:$B$4000&lt;&gt;""),
          ""
        )
      ),
      _xlfn.LAMBDA(_xlpm.val, TEXT(_xlpm.val, "000000"))
    )
  ),
""))</f>
        <v/>
      </c>
      <c r="W13" s="40" t="str" cm="1">
        <f t="array" ref="W13">IF(OR(M13="", M13="Deleted"), "", _xlfn.LET(
  _xlpm.doc_col, [1]SubmittalLog!$E$1:$E$4000,
  _xlpm.date_col, [1]SubmittalLog!$H$1:$H$4000,
  _xlpm.status_col, [1]SubmittalLog!$N$1:$N$4000,
  _xlpm.latest_date, _xlfn.MAXIFS(_xlpm.date_col, _xlpm.doc_col, M13),
  IF(_xlpm.latest_date=0, "NFS",
    _xlfn.LET(
      _xlpm.res, _xlfn.XLOOKUP(M13 &amp; "|" &amp; _xlpm.latest_date, _xlpm.doc_col &amp; "|" &amp; _xlpm.date_col, _xlpm.status_col, ""),
      IF(OR(_xlpm.res="", _xlpm.res=0), "", _xlpm.res)
    )
  )
))</f>
        <v>NFS</v>
      </c>
      <c r="X13" s="39" t="str">
        <f>IF(OR(M13="", M13="Deleted"), "", _xlfn.LET(
  _xlpm.doc_col, [1]SubmittalLog!$E$1:$E$4000,
  _xlpm.date_col, [1]SubmittalLog!$H$1:$H$4000,
  _xlpm.status_col, [1]SubmittalLog!$O$1:$O$4000,
  _xlpm.first_app_date, _xlfn.MINIFS(_xlpm.date_col, _xlpm.doc_col, M13, _xlpm.status_col, "APP"),
  _xlpm.first_awc_date, _xlfn.MINIFS(_xlpm.date_col, _xlpm.doc_col, M13, _xlpm.status_col, "AWC"),
  _xlpm.earliest_date, IF(
    AND(_xlpm.first_app_date=0, _xlpm.first_awc_date=0), 0,
    IF(_xlpm.first_app_date=0, _xlpm.first_awc_date,
    IF(_xlpm.first_awc_date=0, _xlpm.first_app_date,
    MIN(_xlpm.first_app_date, _xlpm.first_awc_date)))
  ),
  IF(_xlpm.earliest_date=0, "", _xlpm.earliest_date)
))</f>
        <v/>
      </c>
      <c r="Y13" s="40" t="str" cm="1">
        <f t="array" ref="Y13">IF(OR(M13="", M13="Deleted"), "", _xlfn.LET(
  _xlpm.doc_col, [1]SubmittalLog!$E$1:$E$4000,
  _xlpm.date_col, [1]SubmittalLog!$H$1:$H$4000,
  _xlpm.status_col, [1]SubmittalLog!$O$1:$O$4000,
  _xlpm.has_sub, COUNTIF(_xlpm.doc_col, M13),
  _xlpm.latest_reviewed_date, _xlfn.MAXIFS(_xlpm.date_col, _xlpm.doc_col, M13, _xlpm.status_col, "&lt;&gt;"),
  IF(_xlpm.has_sub=0, "",
    IF(_xlpm.latest_reviewed_date=0, "",
      _xlfn.LET(
        _xlpm.res, _xlfn.XLOOKUP(1, (_xlpm.doc_col=M13) * (_xlpm.date_col=_xlpm.latest_reviewed_date) * (_xlpm.status_col&lt;&gt;""), _xlpm.status_col, ""),
        IF(OR(_xlpm.res="", _xlpm.res=0), "", _xlpm.res)
      )
    )
  )
))</f>
        <v/>
      </c>
    </row>
    <row r="14" spans="1:25" x14ac:dyDescent="0.35">
      <c r="A14" s="11">
        <f>IF($M14="","",MAX($A$1:A13)+1)</f>
        <v>11</v>
      </c>
      <c r="B14" t="s">
        <v>213</v>
      </c>
      <c r="C14" t="s">
        <v>79</v>
      </c>
      <c r="G14" s="11">
        <v>131236</v>
      </c>
      <c r="H14" s="11" t="s">
        <v>59</v>
      </c>
      <c r="I14" s="11" t="s">
        <v>442</v>
      </c>
      <c r="J14" s="11" t="s">
        <v>206</v>
      </c>
      <c r="K14" s="11" t="s">
        <v>3466</v>
      </c>
      <c r="M14" s="34" t="str">
        <f t="shared" si="0"/>
        <v>131236-WIL21-SN-IM-xxxx</v>
      </c>
      <c r="P14" s="15" t="s">
        <v>3467</v>
      </c>
      <c r="R14" s="15" t="s">
        <v>3467</v>
      </c>
      <c r="S14" s="17">
        <v>46035</v>
      </c>
      <c r="U14" s="21" t="str" cm="1">
        <f t="array" ref="U14">IF(OR(M14="", M14="Deleted"), "", _xlfn.LET(
  _xlpm.dates,
  _xlfn._xlws.FILTER(
    [1]SubmittalLog!$H$1:$H$4000,
    [1]SubmittalLog!$E$1:$E$4000=M14,
    ""
  ),
  _xlpm.min_date, IFERROR(MIN(_xlpm.dates), ""),
  IF(_xlpm.min_date=0, "", _xlpm.min_date)
))</f>
        <v/>
      </c>
      <c r="V14" s="63" t="str" cm="1">
        <f t="array" ref="V14">IF(OR(M14="", M14="Deleted"), "", IFERROR(
  _xlfn.TEXTJOIN(", ", TRUE,
    _xlfn.MAP(
      _xlfn.UNIQUE(
        _xlfn._xlws.FILTER(
          [1]SubmittalLog!$B$1:$B$4000,
          ([1]SubmittalLog!$E$1:$E$4000=M14) *
          ([1]SubmittalLog!$B$1:$B$4000&lt;&gt;""),
          ""
        )
      ),
      _xlfn.LAMBDA(_xlpm.val, TEXT(_xlpm.val, "000000"))
    )
  ),
""))</f>
        <v/>
      </c>
      <c r="W14" s="40" t="str" cm="1">
        <f t="array" ref="W14">IF(OR(M14="", M14="Deleted"), "", _xlfn.LET(
  _xlpm.doc_col, [1]SubmittalLog!$E$1:$E$4000,
  _xlpm.date_col, [1]SubmittalLog!$H$1:$H$4000,
  _xlpm.status_col, [1]SubmittalLog!$N$1:$N$4000,
  _xlpm.latest_date, _xlfn.MAXIFS(_xlpm.date_col, _xlpm.doc_col, M14),
  IF(_xlpm.latest_date=0, "NFS",
    _xlfn.LET(
      _xlpm.res, _xlfn.XLOOKUP(M14 &amp; "|" &amp; _xlpm.latest_date, _xlpm.doc_col &amp; "|" &amp; _xlpm.date_col, _xlpm.status_col, ""),
      IF(OR(_xlpm.res="", _xlpm.res=0), "", _xlpm.res)
    )
  )
))</f>
        <v>NFS</v>
      </c>
      <c r="X14" s="39" t="str">
        <f>IF(OR(M14="", M14="Deleted"), "", _xlfn.LET(
  _xlpm.doc_col, [1]SubmittalLog!$E$1:$E$4000,
  _xlpm.date_col, [1]SubmittalLog!$H$1:$H$4000,
  _xlpm.status_col, [1]SubmittalLog!$O$1:$O$4000,
  _xlpm.first_app_date, _xlfn.MINIFS(_xlpm.date_col, _xlpm.doc_col, M14, _xlpm.status_col, "APP"),
  _xlpm.first_awc_date, _xlfn.MINIFS(_xlpm.date_col, _xlpm.doc_col, M14, _xlpm.status_col, "AWC"),
  _xlpm.earliest_date, IF(
    AND(_xlpm.first_app_date=0, _xlpm.first_awc_date=0), 0,
    IF(_xlpm.first_app_date=0, _xlpm.first_awc_date,
    IF(_xlpm.first_awc_date=0, _xlpm.first_app_date,
    MIN(_xlpm.first_app_date, _xlpm.first_awc_date)))
  ),
  IF(_xlpm.earliest_date=0, "", _xlpm.earliest_date)
))</f>
        <v/>
      </c>
      <c r="Y14" s="40" t="str" cm="1">
        <f t="array" ref="Y14">IF(OR(M14="", M14="Deleted"), "", _xlfn.LET(
  _xlpm.doc_col, [1]SubmittalLog!$E$1:$E$4000,
  _xlpm.date_col, [1]SubmittalLog!$H$1:$H$4000,
  _xlpm.status_col, [1]SubmittalLog!$O$1:$O$4000,
  _xlpm.has_sub, COUNTIF(_xlpm.doc_col, M14),
  _xlpm.latest_reviewed_date, _xlfn.MAXIFS(_xlpm.date_col, _xlpm.doc_col, M14, _xlpm.status_col, "&lt;&gt;"),
  IF(_xlpm.has_sub=0, "",
    IF(_xlpm.latest_reviewed_date=0, "",
      _xlfn.LET(
        _xlpm.res, _xlfn.XLOOKUP(1, (_xlpm.doc_col=M14) * (_xlpm.date_col=_xlpm.latest_reviewed_date) * (_xlpm.status_col&lt;&gt;""), _xlpm.status_col, ""),
        IF(OR(_xlpm.res="", _xlpm.res=0), "", _xlpm.res)
      )
    )
  )
))</f>
        <v/>
      </c>
    </row>
    <row r="15" spans="1:25" x14ac:dyDescent="0.35">
      <c r="A15" s="11">
        <f>IF($M15="","",MAX($A$1:A14)+1)</f>
        <v>12</v>
      </c>
      <c r="B15" t="s">
        <v>213</v>
      </c>
      <c r="C15" t="s">
        <v>79</v>
      </c>
      <c r="G15" s="11">
        <v>131236</v>
      </c>
      <c r="H15" s="11" t="s">
        <v>59</v>
      </c>
      <c r="I15" s="11" t="s">
        <v>442</v>
      </c>
      <c r="J15" s="11" t="s">
        <v>206</v>
      </c>
      <c r="K15" s="11" t="s">
        <v>3466</v>
      </c>
      <c r="M15" s="34" t="str">
        <f t="shared" si="0"/>
        <v>131236-WIL21-SN-IM-xxxx</v>
      </c>
      <c r="P15" s="15" t="s">
        <v>3467</v>
      </c>
      <c r="R15" s="15" t="s">
        <v>3467</v>
      </c>
      <c r="S15" s="17">
        <v>46036</v>
      </c>
      <c r="U15" s="21" t="str" cm="1">
        <f t="array" ref="U15">IF(OR(M15="", M15="Deleted"), "", _xlfn.LET(
  _xlpm.dates,
  _xlfn._xlws.FILTER(
    [1]SubmittalLog!$H$1:$H$4000,
    [1]SubmittalLog!$E$1:$E$4000=M15,
    ""
  ),
  _xlpm.min_date, IFERROR(MIN(_xlpm.dates), ""),
  IF(_xlpm.min_date=0, "", _xlpm.min_date)
))</f>
        <v/>
      </c>
      <c r="V15" s="63" t="str" cm="1">
        <f t="array" ref="V15">IF(OR(M15="", M15="Deleted"), "", IFERROR(
  _xlfn.TEXTJOIN(", ", TRUE,
    _xlfn.MAP(
      _xlfn.UNIQUE(
        _xlfn._xlws.FILTER(
          [1]SubmittalLog!$B$1:$B$4000,
          ([1]SubmittalLog!$E$1:$E$4000=M15) *
          ([1]SubmittalLog!$B$1:$B$4000&lt;&gt;""),
          ""
        )
      ),
      _xlfn.LAMBDA(_xlpm.val, TEXT(_xlpm.val, "000000"))
    )
  ),
""))</f>
        <v/>
      </c>
      <c r="W15" s="40" t="str" cm="1">
        <f t="array" ref="W15">IF(OR(M15="", M15="Deleted"), "", _xlfn.LET(
  _xlpm.doc_col, [1]SubmittalLog!$E$1:$E$4000,
  _xlpm.date_col, [1]SubmittalLog!$H$1:$H$4000,
  _xlpm.status_col, [1]SubmittalLog!$N$1:$N$4000,
  _xlpm.latest_date, _xlfn.MAXIFS(_xlpm.date_col, _xlpm.doc_col, M15),
  IF(_xlpm.latest_date=0, "NFS",
    _xlfn.LET(
      _xlpm.res, _xlfn.XLOOKUP(M15 &amp; "|" &amp; _xlpm.latest_date, _xlpm.doc_col &amp; "|" &amp; _xlpm.date_col, _xlpm.status_col, ""),
      IF(OR(_xlpm.res="", _xlpm.res=0), "", _xlpm.res)
    )
  )
))</f>
        <v>NFS</v>
      </c>
      <c r="X15" s="39" t="str">
        <f>IF(OR(M15="", M15="Deleted"), "", _xlfn.LET(
  _xlpm.doc_col, [1]SubmittalLog!$E$1:$E$4000,
  _xlpm.date_col, [1]SubmittalLog!$H$1:$H$4000,
  _xlpm.status_col, [1]SubmittalLog!$O$1:$O$4000,
  _xlpm.first_app_date, _xlfn.MINIFS(_xlpm.date_col, _xlpm.doc_col, M15, _xlpm.status_col, "APP"),
  _xlpm.first_awc_date, _xlfn.MINIFS(_xlpm.date_col, _xlpm.doc_col, M15, _xlpm.status_col, "AWC"),
  _xlpm.earliest_date, IF(
    AND(_xlpm.first_app_date=0, _xlpm.first_awc_date=0), 0,
    IF(_xlpm.first_app_date=0, _xlpm.first_awc_date,
    IF(_xlpm.first_awc_date=0, _xlpm.first_app_date,
    MIN(_xlpm.first_app_date, _xlpm.first_awc_date)))
  ),
  IF(_xlpm.earliest_date=0, "", _xlpm.earliest_date)
))</f>
        <v/>
      </c>
      <c r="Y15" s="40" t="str" cm="1">
        <f t="array" ref="Y15">IF(OR(M15="", M15="Deleted"), "", _xlfn.LET(
  _xlpm.doc_col, [1]SubmittalLog!$E$1:$E$4000,
  _xlpm.date_col, [1]SubmittalLog!$H$1:$H$4000,
  _xlpm.status_col, [1]SubmittalLog!$O$1:$O$4000,
  _xlpm.has_sub, COUNTIF(_xlpm.doc_col, M15),
  _xlpm.latest_reviewed_date, _xlfn.MAXIFS(_xlpm.date_col, _xlpm.doc_col, M15, _xlpm.status_col, "&lt;&gt;"),
  IF(_xlpm.has_sub=0, "",
    IF(_xlpm.latest_reviewed_date=0, "",
      _xlfn.LET(
        _xlpm.res, _xlfn.XLOOKUP(1, (_xlpm.doc_col=M15) * (_xlpm.date_col=_xlpm.latest_reviewed_date) * (_xlpm.status_col&lt;&gt;""), _xlpm.status_col, ""),
        IF(OR(_xlpm.res="", _xlpm.res=0), "", _xlpm.res)
      )
    )
  )
))</f>
        <v/>
      </c>
    </row>
    <row r="16" spans="1:25" x14ac:dyDescent="0.35">
      <c r="A16" s="11"/>
    </row>
    <row r="17" spans="1:1" x14ac:dyDescent="0.35">
      <c r="A17" s="11"/>
    </row>
    <row r="18" spans="1:1" x14ac:dyDescent="0.35">
      <c r="A18" s="11"/>
    </row>
    <row r="19" spans="1:1" x14ac:dyDescent="0.35">
      <c r="A19" s="11"/>
    </row>
    <row r="20" spans="1:1" x14ac:dyDescent="0.35">
      <c r="A20" s="11"/>
    </row>
    <row r="21" spans="1:1" x14ac:dyDescent="0.35">
      <c r="A21" s="11"/>
    </row>
    <row r="22" spans="1:1" x14ac:dyDescent="0.35">
      <c r="A22" s="11"/>
    </row>
    <row r="23" spans="1:1" x14ac:dyDescent="0.35">
      <c r="A23" s="11"/>
    </row>
    <row r="24" spans="1:1" x14ac:dyDescent="0.35">
      <c r="A24" s="11"/>
    </row>
    <row r="25" spans="1:1" x14ac:dyDescent="0.35">
      <c r="A25" s="11"/>
    </row>
    <row r="26" spans="1:1" x14ac:dyDescent="0.35">
      <c r="A26" s="11"/>
    </row>
    <row r="27" spans="1:1" x14ac:dyDescent="0.35">
      <c r="A27" s="11"/>
    </row>
    <row r="28" spans="1:1" x14ac:dyDescent="0.35">
      <c r="A28" s="11"/>
    </row>
    <row r="29" spans="1:1" x14ac:dyDescent="0.35">
      <c r="A29" s="11"/>
    </row>
    <row r="30" spans="1:1" x14ac:dyDescent="0.35">
      <c r="A30" s="11"/>
    </row>
    <row r="31" spans="1:1" x14ac:dyDescent="0.35">
      <c r="A31" s="11"/>
    </row>
    <row r="32" spans="1:1" x14ac:dyDescent="0.35">
      <c r="A32" s="11"/>
    </row>
    <row r="33" spans="1:1" x14ac:dyDescent="0.35">
      <c r="A33" s="11"/>
    </row>
    <row r="34" spans="1:1" x14ac:dyDescent="0.35">
      <c r="A34" s="11"/>
    </row>
    <row r="35" spans="1:1" x14ac:dyDescent="0.35">
      <c r="A35" s="11"/>
    </row>
    <row r="36" spans="1:1" x14ac:dyDescent="0.35">
      <c r="A36" s="11"/>
    </row>
    <row r="37" spans="1:1" x14ac:dyDescent="0.35">
      <c r="A37" s="11"/>
    </row>
    <row r="38" spans="1:1" x14ac:dyDescent="0.35">
      <c r="A38" s="11"/>
    </row>
  </sheetData>
  <autoFilter ref="A1:Y38" xr:uid="{59E288DE-7C13-4098-B016-D01098E42966}"/>
  <phoneticPr fontId="8" type="noConversion"/>
  <conditionalFormatting sqref="A1:XFD1048576">
    <cfRule type="expression" dxfId="7" priority="1">
      <formula>_xlfn.ISFORMULA(A1)</formula>
    </cfRule>
  </conditionalFormatting>
  <dataValidations count="2">
    <dataValidation type="date" operator="greaterThan" allowBlank="1" showInputMessage="1" showErrorMessage="1" sqref="S2:T1048576 U16:U1048576" xr:uid="{B474CF0A-4842-4916-B2B0-6331948AFA60}">
      <formula1>45658</formula1>
    </dataValidation>
    <dataValidation type="list" allowBlank="1" showInputMessage="1" showErrorMessage="1" sqref="R2:R1048576 P2:P1048576" xr:uid="{A9F0405B-39EF-47EB-BFFF-92A67F180771}">
      <formula1>"YES,NO"</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8">
        <x14:dataValidation type="list" allowBlank="1" showInputMessage="1" showErrorMessage="1" xr:uid="{6F302301-E060-45EB-97A6-BE3033843A9A}">
          <x14:formula1>
            <xm:f>BQ!$A:$A</xm:f>
          </x14:formula1>
          <xm:sqref>E2:E1048576</xm:sqref>
        </x14:dataValidation>
        <x14:dataValidation type="list" allowBlank="1" showInputMessage="1" showErrorMessage="1" xr:uid="{A2DF1230-0EEB-4A95-A631-CA8C570C904C}">
          <x14:formula1>
            <xm:f>Code!$E:$E</xm:f>
          </x14:formula1>
          <xm:sqref>B2:B1048576</xm:sqref>
        </x14:dataValidation>
        <x14:dataValidation type="list" allowBlank="1" showInputMessage="1" showErrorMessage="1" xr:uid="{611EB3CD-D883-4A5B-A8B0-7C6D07665D66}">
          <x14:formula1>
            <xm:f>Code!$H:$H</xm:f>
          </x14:formula1>
          <xm:sqref>C2:C1048576</xm:sqref>
        </x14:dataValidation>
        <x14:dataValidation type="list" allowBlank="1" showInputMessage="1" showErrorMessage="1" xr:uid="{4E43301C-509D-4533-9470-39BDFE8FC271}">
          <x14:formula1>
            <xm:f>Code!$N:$N</xm:f>
          </x14:formula1>
          <xm:sqref>H2:H1048576</xm:sqref>
        </x14:dataValidation>
        <x14:dataValidation type="list" allowBlank="1" showInputMessage="1" showErrorMessage="1" xr:uid="{39577F81-5891-4CE8-8EB2-DB66E56FC160}">
          <x14:formula1>
            <xm:f>Code!$Q:$Q</xm:f>
          </x14:formula1>
          <xm:sqref>I2:I1048576</xm:sqref>
        </x14:dataValidation>
        <x14:dataValidation type="list" allowBlank="1" showInputMessage="1" showErrorMessage="1" xr:uid="{50BCAC87-79AE-4B47-A9EE-E188C1CFE3CA}">
          <x14:formula1>
            <xm:f>Code!$T:$T</xm:f>
          </x14:formula1>
          <xm:sqref>J2:J1048576</xm:sqref>
        </x14:dataValidation>
        <x14:dataValidation type="list" allowBlank="1" showInputMessage="1" showErrorMessage="1" xr:uid="{BC0D84B8-9651-4C90-8AE3-E69F4F20564F}">
          <x14:formula1>
            <xm:f>Code!$K:$K</xm:f>
          </x14:formula1>
          <xm:sqref>G2:G1048576</xm:sqref>
        </x14:dataValidation>
        <x14:dataValidation type="list" allowBlank="1" showInputMessage="1" showErrorMessage="1" xr:uid="{E537724F-755E-454B-8F93-B417F79E52E2}">
          <x14:formula1>
            <xm:f>Code!$Z:$Z</xm:f>
          </x14:formula1>
          <xm:sqref>Q2:Q1048576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659F7-F219-492F-97CD-4E048CFB4923}">
  <dimension ref="A1:Y38"/>
  <sheetViews>
    <sheetView topLeftCell="N1" workbookViewId="0">
      <selection activeCell="U2" sqref="U2:Y15"/>
    </sheetView>
  </sheetViews>
  <sheetFormatPr defaultRowHeight="14.5" x14ac:dyDescent="0.35"/>
  <cols>
    <col min="3" max="3" width="14.1796875" bestFit="1" customWidth="1"/>
    <col min="4" max="4" width="12" bestFit="1" customWidth="1"/>
    <col min="5" max="5" width="10.7265625" bestFit="1" customWidth="1"/>
    <col min="6" max="6" width="7.1796875" bestFit="1" customWidth="1"/>
    <col min="7" max="7" width="11.7265625" style="11" bestFit="1" customWidth="1"/>
    <col min="8" max="8" width="12.54296875" style="11" bestFit="1" customWidth="1"/>
    <col min="9" max="9" width="8.54296875" style="11" bestFit="1" customWidth="1"/>
    <col min="10" max="10" width="9.26953125" style="11" bestFit="1" customWidth="1"/>
    <col min="11" max="11" width="8.7265625" style="11"/>
    <col min="12" max="12" width="5.1796875" style="11" customWidth="1"/>
    <col min="13" max="13" width="23.1796875" style="15" bestFit="1" customWidth="1"/>
    <col min="14" max="14" width="29.1796875" style="15" customWidth="1"/>
    <col min="15" max="16" width="8.453125" style="15" customWidth="1"/>
    <col min="17" max="17" width="9" style="15" bestFit="1" customWidth="1"/>
    <col min="18" max="18" width="11.453125" style="15" bestFit="1" customWidth="1"/>
    <col min="19" max="19" width="20.1796875" style="17" bestFit="1" customWidth="1"/>
    <col min="20" max="20" width="24.54296875" style="17" customWidth="1"/>
    <col min="21" max="21" width="18.54296875" style="17" bestFit="1" customWidth="1"/>
    <col min="22" max="22" width="13.81640625" style="11" bestFit="1" customWidth="1"/>
    <col min="23" max="23" width="22.453125" style="11" bestFit="1" customWidth="1"/>
    <col min="24" max="24" width="18.54296875" style="17" bestFit="1" customWidth="1"/>
    <col min="25" max="25" width="19.81640625" style="11" bestFit="1" customWidth="1"/>
  </cols>
  <sheetData>
    <row r="1" spans="1:25" s="12" customFormat="1" x14ac:dyDescent="0.35">
      <c r="A1" s="13" t="s">
        <v>225</v>
      </c>
      <c r="B1" s="14" t="s">
        <v>237</v>
      </c>
      <c r="C1" s="14" t="s">
        <v>30</v>
      </c>
      <c r="D1" s="14" t="s">
        <v>260</v>
      </c>
      <c r="E1" s="14" t="s">
        <v>270</v>
      </c>
      <c r="F1" s="14" t="s">
        <v>281</v>
      </c>
      <c r="G1" s="13" t="s">
        <v>75</v>
      </c>
      <c r="H1" s="13" t="s">
        <v>303</v>
      </c>
      <c r="I1" s="13" t="s">
        <v>315</v>
      </c>
      <c r="J1" s="13" t="s">
        <v>327</v>
      </c>
      <c r="K1" s="13" t="s">
        <v>334</v>
      </c>
      <c r="L1" s="13" t="s">
        <v>340</v>
      </c>
      <c r="M1" s="13" t="s">
        <v>346</v>
      </c>
      <c r="N1" s="13" t="s">
        <v>352</v>
      </c>
      <c r="O1" s="13" t="s">
        <v>358</v>
      </c>
      <c r="P1" s="14" t="s">
        <v>364</v>
      </c>
      <c r="Q1" s="14" t="s">
        <v>370</v>
      </c>
      <c r="R1" s="14" t="s">
        <v>376</v>
      </c>
      <c r="S1" s="27" t="s">
        <v>380</v>
      </c>
      <c r="T1" s="27" t="s">
        <v>384</v>
      </c>
      <c r="U1" s="27" t="s">
        <v>388</v>
      </c>
      <c r="V1" s="14" t="s">
        <v>392</v>
      </c>
      <c r="W1" s="14" t="s">
        <v>44</v>
      </c>
      <c r="X1" s="16" t="s">
        <v>399</v>
      </c>
      <c r="Y1" s="14" t="s">
        <v>403</v>
      </c>
    </row>
    <row r="2" spans="1:25" x14ac:dyDescent="0.35">
      <c r="A2" s="11" t="str">
        <f>IF($M2="","",MAX($A$1:A1)+1)</f>
        <v/>
      </c>
      <c r="M2" s="34" t="str">
        <f t="shared" ref="M2:M15" si="0">IF(B2="Deleted","Deleted",_xlfn.TEXTJOIN("-",TRUE,G2,H2,I2,J2,IF(K2="","",TEXT(K2,"0000"))))</f>
        <v/>
      </c>
      <c r="U2" s="21" t="str" cm="1">
        <f t="array" ref="U2">IF(OR(M2="", M2="Deleted"), "", _xlfn.LET(
  _xlpm.dates,
  _xlfn._xlws.FILTER(
    [1]SubmittalLog!$H$1:$H$4000,
    [1]SubmittalLog!$E$1:$E$4000=M2,
    ""
  ),
  _xlpm.min_date, IFERROR(MIN(_xlpm.dates), ""),
  IF(_xlpm.min_date=0, "", _xlpm.min_date)
))</f>
        <v/>
      </c>
      <c r="V2" s="63" t="str" cm="1">
        <f t="array" ref="V2">IF(OR(M2="", M2="Deleted"), "", IFERROR(
  _xlfn.TEXTJOIN(", ", TRUE,
    _xlfn.MAP(
      _xlfn.UNIQUE(
        _xlfn._xlws.FILTER(
          [1]SubmittalLog!$B$1:$B$4000,
          ([1]SubmittalLog!$E$1:$E$4000=M2) *
          ([1]SubmittalLog!$B$1:$B$4000&lt;&gt;""),
          ""
        )
      ),
      _xlfn.LAMBDA(_xlpm.val, TEXT(_xlpm.val, "000000"))
    )
  ),
""))</f>
        <v/>
      </c>
      <c r="W2" s="40" t="str" cm="1">
        <f t="array" ref="W2">IF(OR(M2="", M2="Deleted"), "", _xlfn.LET(
  _xlpm.doc_col, [1]SubmittalLog!$E$1:$E$4000,
  _xlpm.date_col, [1]SubmittalLog!$H$1:$H$4000,
  _xlpm.status_col, [1]SubmittalLog!$N$1:$N$4000,
  _xlpm.latest_date, _xlfn.MAXIFS(_xlpm.date_col, _xlpm.doc_col, M2),
  IF(_xlpm.latest_date=0, "NFS",
    _xlfn.LET(
      _xlpm.res, _xlfn.XLOOKUP(M2 &amp; "|" &amp; _xlpm.latest_date, _xlpm.doc_col &amp; "|" &amp; _xlpm.date_col, _xlpm.status_col, ""),
      IF(OR(_xlpm.res="", _xlpm.res=0), "", _xlpm.res)
    )
  )
))</f>
        <v/>
      </c>
      <c r="X2" s="39" t="str">
        <f>IF(OR(M2="", M2="Deleted"), "", _xlfn.LET(
  _xlpm.doc_col, [1]SubmittalLog!$E$1:$E$4000,
  _xlpm.date_col, [1]SubmittalLog!$H$1:$H$4000,
  _xlpm.status_col, [1]SubmittalLog!$O$1:$O$4000,
  _xlpm.first_app_date, _xlfn.MINIFS(_xlpm.date_col, _xlpm.doc_col, M2, _xlpm.status_col, "APP"),
  _xlpm.first_awc_date, _xlfn.MINIFS(_xlpm.date_col, _xlpm.doc_col, M2, _xlpm.status_col, "AWC"),
  _xlpm.earliest_date, IF(
    AND(_xlpm.first_app_date=0, _xlpm.first_awc_date=0), 0,
    IF(_xlpm.first_app_date=0, _xlpm.first_awc_date,
    IF(_xlpm.first_awc_date=0, _xlpm.first_app_date,
    MIN(_xlpm.first_app_date, _xlpm.first_awc_date)))
  ),
  IF(_xlpm.earliest_date=0, "", _xlpm.earliest_date)
))</f>
        <v/>
      </c>
      <c r="Y2" s="40" t="str" cm="1">
        <f t="array" ref="Y2">IF(OR(M2="", M2="Deleted"), "", _xlfn.LET(
  _xlpm.doc_col, [1]SubmittalLog!$E$1:$E$4000,
  _xlpm.date_col, [1]SubmittalLog!$H$1:$H$4000,
  _xlpm.status_col, [1]SubmittalLog!$O$1:$O$4000,
  _xlpm.has_sub, COUNTIF(_xlpm.doc_col, M2),
  _xlpm.latest_reviewed_date, _xlfn.MAXIFS(_xlpm.date_col, _xlpm.doc_col, M2, _xlpm.status_col, "&lt;&gt;"),
  IF(_xlpm.has_sub=0, "",
    IF(_xlpm.latest_reviewed_date=0, "",
      _xlfn.LET(
        _xlpm.res, _xlfn.XLOOKUP(1, (_xlpm.doc_col=M2) * (_xlpm.date_col=_xlpm.latest_reviewed_date) * (_xlpm.status_col&lt;&gt;""), _xlpm.status_col, ""),
        IF(OR(_xlpm.res="", _xlpm.res=0), "", _xlpm.res)
      )
    )
  )
))</f>
        <v/>
      </c>
    </row>
    <row r="3" spans="1:25" x14ac:dyDescent="0.35">
      <c r="A3" s="11">
        <f>IF($M3="","",MAX($A$1:A2)+1)</f>
        <v>1</v>
      </c>
      <c r="B3" t="s">
        <v>213</v>
      </c>
      <c r="C3" t="s">
        <v>202</v>
      </c>
      <c r="G3" s="11">
        <v>131236</v>
      </c>
      <c r="H3" s="11" t="s">
        <v>59</v>
      </c>
      <c r="I3" s="11" t="s">
        <v>442</v>
      </c>
      <c r="J3" s="11" t="s">
        <v>206</v>
      </c>
      <c r="K3" s="11" t="s">
        <v>3466</v>
      </c>
      <c r="M3" s="34" t="str">
        <f t="shared" si="0"/>
        <v>131236-WIL21-SN-IM-xxxx</v>
      </c>
      <c r="P3" s="15" t="s">
        <v>3467</v>
      </c>
      <c r="R3" s="15" t="s">
        <v>3467</v>
      </c>
      <c r="S3" s="17">
        <v>46024</v>
      </c>
      <c r="U3" s="21" t="str" cm="1">
        <f t="array" ref="U3">IF(OR(M3="", M3="Deleted"), "", _xlfn.LET(
  _xlpm.dates,
  _xlfn._xlws.FILTER(
    [1]SubmittalLog!$H$1:$H$4000,
    [1]SubmittalLog!$E$1:$E$4000=M3,
    ""
  ),
  _xlpm.min_date, IFERROR(MIN(_xlpm.dates), ""),
  IF(_xlpm.min_date=0, "", _xlpm.min_date)
))</f>
        <v/>
      </c>
      <c r="V3" s="63" t="str" cm="1">
        <f t="array" ref="V3">IF(OR(M3="", M3="Deleted"), "", IFERROR(
  _xlfn.TEXTJOIN(", ", TRUE,
    _xlfn.MAP(
      _xlfn.UNIQUE(
        _xlfn._xlws.FILTER(
          [1]SubmittalLog!$B$1:$B$4000,
          ([1]SubmittalLog!$E$1:$E$4000=M3) *
          ([1]SubmittalLog!$B$1:$B$4000&lt;&gt;""),
          ""
        )
      ),
      _xlfn.LAMBDA(_xlpm.val, TEXT(_xlpm.val, "000000"))
    )
  ),
""))</f>
        <v/>
      </c>
      <c r="W3" s="40" t="str" cm="1">
        <f t="array" ref="W3">IF(OR(M3="", M3="Deleted"), "", _xlfn.LET(
  _xlpm.doc_col, [1]SubmittalLog!$E$1:$E$4000,
  _xlpm.date_col, [1]SubmittalLog!$H$1:$H$4000,
  _xlpm.status_col, [1]SubmittalLog!$N$1:$N$4000,
  _xlpm.latest_date, _xlfn.MAXIFS(_xlpm.date_col, _xlpm.doc_col, M3),
  IF(_xlpm.latest_date=0, "NFS",
    _xlfn.LET(
      _xlpm.res, _xlfn.XLOOKUP(M3 &amp; "|" &amp; _xlpm.latest_date, _xlpm.doc_col &amp; "|" &amp; _xlpm.date_col, _xlpm.status_col, ""),
      IF(OR(_xlpm.res="", _xlpm.res=0), "", _xlpm.res)
    )
  )
))</f>
        <v>NFS</v>
      </c>
      <c r="X3" s="39" t="str">
        <f>IF(OR(M3="", M3="Deleted"), "", _xlfn.LET(
  _xlpm.doc_col, [1]SubmittalLog!$E$1:$E$4000,
  _xlpm.date_col, [1]SubmittalLog!$H$1:$H$4000,
  _xlpm.status_col, [1]SubmittalLog!$O$1:$O$4000,
  _xlpm.first_app_date, _xlfn.MINIFS(_xlpm.date_col, _xlpm.doc_col, M3, _xlpm.status_col, "APP"),
  _xlpm.first_awc_date, _xlfn.MINIFS(_xlpm.date_col, _xlpm.doc_col, M3, _xlpm.status_col, "AWC"),
  _xlpm.earliest_date, IF(
    AND(_xlpm.first_app_date=0, _xlpm.first_awc_date=0), 0,
    IF(_xlpm.first_app_date=0, _xlpm.first_awc_date,
    IF(_xlpm.first_awc_date=0, _xlpm.first_app_date,
    MIN(_xlpm.first_app_date, _xlpm.first_awc_date)))
  ),
  IF(_xlpm.earliest_date=0, "", _xlpm.earliest_date)
))</f>
        <v/>
      </c>
      <c r="Y3" s="40" t="str" cm="1">
        <f t="array" ref="Y3">IF(OR(M3="", M3="Deleted"), "", _xlfn.LET(
  _xlpm.doc_col, [1]SubmittalLog!$E$1:$E$4000,
  _xlpm.date_col, [1]SubmittalLog!$H$1:$H$4000,
  _xlpm.status_col, [1]SubmittalLog!$O$1:$O$4000,
  _xlpm.has_sub, COUNTIF(_xlpm.doc_col, M3),
  _xlpm.latest_reviewed_date, _xlfn.MAXIFS(_xlpm.date_col, _xlpm.doc_col, M3, _xlpm.status_col, "&lt;&gt;"),
  IF(_xlpm.has_sub=0, "",
    IF(_xlpm.latest_reviewed_date=0, "",
      _xlfn.LET(
        _xlpm.res, _xlfn.XLOOKUP(1, (_xlpm.doc_col=M3) * (_xlpm.date_col=_xlpm.latest_reviewed_date) * (_xlpm.status_col&lt;&gt;""), _xlpm.status_col, ""),
        IF(OR(_xlpm.res="", _xlpm.res=0), "", _xlpm.res)
      )
    )
  )
))</f>
        <v/>
      </c>
    </row>
    <row r="4" spans="1:25" x14ac:dyDescent="0.35">
      <c r="A4" s="11">
        <f>IF($M4="","",MAX($A$1:A3)+1)</f>
        <v>2</v>
      </c>
      <c r="B4" t="s">
        <v>213</v>
      </c>
      <c r="C4" t="s">
        <v>202</v>
      </c>
      <c r="G4" s="11">
        <v>131236</v>
      </c>
      <c r="H4" s="11" t="s">
        <v>59</v>
      </c>
      <c r="I4" s="11" t="s">
        <v>442</v>
      </c>
      <c r="J4" s="11" t="s">
        <v>206</v>
      </c>
      <c r="K4" s="11" t="s">
        <v>3466</v>
      </c>
      <c r="M4" s="34" t="str">
        <f t="shared" si="0"/>
        <v>131236-WIL21-SN-IM-xxxx</v>
      </c>
      <c r="P4" s="15" t="s">
        <v>3467</v>
      </c>
      <c r="R4" s="15" t="s">
        <v>3467</v>
      </c>
      <c r="S4" s="17">
        <v>46025</v>
      </c>
      <c r="U4" s="21" t="str" cm="1">
        <f t="array" ref="U4">IF(OR(M4="", M4="Deleted"), "", _xlfn.LET(
  _xlpm.dates,
  _xlfn._xlws.FILTER(
    [1]SubmittalLog!$H$1:$H$4000,
    [1]SubmittalLog!$E$1:$E$4000=M4,
    ""
  ),
  _xlpm.min_date, IFERROR(MIN(_xlpm.dates), ""),
  IF(_xlpm.min_date=0, "", _xlpm.min_date)
))</f>
        <v/>
      </c>
      <c r="V4" s="63" t="str" cm="1">
        <f t="array" ref="V4">IF(OR(M4="", M4="Deleted"), "", IFERROR(
  _xlfn.TEXTJOIN(", ", TRUE,
    _xlfn.MAP(
      _xlfn.UNIQUE(
        _xlfn._xlws.FILTER(
          [1]SubmittalLog!$B$1:$B$4000,
          ([1]SubmittalLog!$E$1:$E$4000=M4) *
          ([1]SubmittalLog!$B$1:$B$4000&lt;&gt;""),
          ""
        )
      ),
      _xlfn.LAMBDA(_xlpm.val, TEXT(_xlpm.val, "000000"))
    )
  ),
""))</f>
        <v/>
      </c>
      <c r="W4" s="40" t="str" cm="1">
        <f t="array" ref="W4">IF(OR(M4="", M4="Deleted"), "", _xlfn.LET(
  _xlpm.doc_col, [1]SubmittalLog!$E$1:$E$4000,
  _xlpm.date_col, [1]SubmittalLog!$H$1:$H$4000,
  _xlpm.status_col, [1]SubmittalLog!$N$1:$N$4000,
  _xlpm.latest_date, _xlfn.MAXIFS(_xlpm.date_col, _xlpm.doc_col, M4),
  IF(_xlpm.latest_date=0, "NFS",
    _xlfn.LET(
      _xlpm.res, _xlfn.XLOOKUP(M4 &amp; "|" &amp; _xlpm.latest_date, _xlpm.doc_col &amp; "|" &amp; _xlpm.date_col, _xlpm.status_col, ""),
      IF(OR(_xlpm.res="", _xlpm.res=0), "", _xlpm.res)
    )
  )
))</f>
        <v>NFS</v>
      </c>
      <c r="X4" s="39" t="str">
        <f>IF(OR(M4="", M4="Deleted"), "", _xlfn.LET(
  _xlpm.doc_col, [1]SubmittalLog!$E$1:$E$4000,
  _xlpm.date_col, [1]SubmittalLog!$H$1:$H$4000,
  _xlpm.status_col, [1]SubmittalLog!$O$1:$O$4000,
  _xlpm.first_app_date, _xlfn.MINIFS(_xlpm.date_col, _xlpm.doc_col, M4, _xlpm.status_col, "APP"),
  _xlpm.first_awc_date, _xlfn.MINIFS(_xlpm.date_col, _xlpm.doc_col, M4, _xlpm.status_col, "AWC"),
  _xlpm.earliest_date, IF(
    AND(_xlpm.first_app_date=0, _xlpm.first_awc_date=0), 0,
    IF(_xlpm.first_app_date=0, _xlpm.first_awc_date,
    IF(_xlpm.first_awc_date=0, _xlpm.first_app_date,
    MIN(_xlpm.first_app_date, _xlpm.first_awc_date)))
  ),
  IF(_xlpm.earliest_date=0, "", _xlpm.earliest_date)
))</f>
        <v/>
      </c>
      <c r="Y4" s="40" t="str" cm="1">
        <f t="array" ref="Y4">IF(OR(M4="", M4="Deleted"), "", _xlfn.LET(
  _xlpm.doc_col, [1]SubmittalLog!$E$1:$E$4000,
  _xlpm.date_col, [1]SubmittalLog!$H$1:$H$4000,
  _xlpm.status_col, [1]SubmittalLog!$O$1:$O$4000,
  _xlpm.has_sub, COUNTIF(_xlpm.doc_col, M4),
  _xlpm.latest_reviewed_date, _xlfn.MAXIFS(_xlpm.date_col, _xlpm.doc_col, M4, _xlpm.status_col, "&lt;&gt;"),
  IF(_xlpm.has_sub=0, "",
    IF(_xlpm.latest_reviewed_date=0, "",
      _xlfn.LET(
        _xlpm.res, _xlfn.XLOOKUP(1, (_xlpm.doc_col=M4) * (_xlpm.date_col=_xlpm.latest_reviewed_date) * (_xlpm.status_col&lt;&gt;""), _xlpm.status_col, ""),
        IF(OR(_xlpm.res="", _xlpm.res=0), "", _xlpm.res)
      )
    )
  )
))</f>
        <v/>
      </c>
    </row>
    <row r="5" spans="1:25" x14ac:dyDescent="0.35">
      <c r="A5" s="11">
        <f>IF($M5="","",MAX($A$1:A4)+1)</f>
        <v>3</v>
      </c>
      <c r="B5" t="s">
        <v>213</v>
      </c>
      <c r="C5" t="s">
        <v>202</v>
      </c>
      <c r="G5" s="11">
        <v>131236</v>
      </c>
      <c r="H5" s="11" t="s">
        <v>59</v>
      </c>
      <c r="I5" s="11" t="s">
        <v>442</v>
      </c>
      <c r="J5" s="11" t="s">
        <v>206</v>
      </c>
      <c r="K5" s="11" t="s">
        <v>3466</v>
      </c>
      <c r="M5" s="34" t="str">
        <f t="shared" si="0"/>
        <v>131236-WIL21-SN-IM-xxxx</v>
      </c>
      <c r="P5" s="15" t="s">
        <v>3467</v>
      </c>
      <c r="R5" s="15" t="s">
        <v>3467</v>
      </c>
      <c r="S5" s="17">
        <v>46026</v>
      </c>
      <c r="U5" s="21" t="str" cm="1">
        <f t="array" ref="U5">IF(OR(M5="", M5="Deleted"), "", _xlfn.LET(
  _xlpm.dates,
  _xlfn._xlws.FILTER(
    [1]SubmittalLog!$H$1:$H$4000,
    [1]SubmittalLog!$E$1:$E$4000=M5,
    ""
  ),
  _xlpm.min_date, IFERROR(MIN(_xlpm.dates), ""),
  IF(_xlpm.min_date=0, "", _xlpm.min_date)
))</f>
        <v/>
      </c>
      <c r="V5" s="63" t="str" cm="1">
        <f t="array" ref="V5">IF(OR(M5="", M5="Deleted"), "", IFERROR(
  _xlfn.TEXTJOIN(", ", TRUE,
    _xlfn.MAP(
      _xlfn.UNIQUE(
        _xlfn._xlws.FILTER(
          [1]SubmittalLog!$B$1:$B$4000,
          ([1]SubmittalLog!$E$1:$E$4000=M5) *
          ([1]SubmittalLog!$B$1:$B$4000&lt;&gt;""),
          ""
        )
      ),
      _xlfn.LAMBDA(_xlpm.val, TEXT(_xlpm.val, "000000"))
    )
  ),
""))</f>
        <v/>
      </c>
      <c r="W5" s="40" t="str" cm="1">
        <f t="array" ref="W5">IF(OR(M5="", M5="Deleted"), "", _xlfn.LET(
  _xlpm.doc_col, [1]SubmittalLog!$E$1:$E$4000,
  _xlpm.date_col, [1]SubmittalLog!$H$1:$H$4000,
  _xlpm.status_col, [1]SubmittalLog!$N$1:$N$4000,
  _xlpm.latest_date, _xlfn.MAXIFS(_xlpm.date_col, _xlpm.doc_col, M5),
  IF(_xlpm.latest_date=0, "NFS",
    _xlfn.LET(
      _xlpm.res, _xlfn.XLOOKUP(M5 &amp; "|" &amp; _xlpm.latest_date, _xlpm.doc_col &amp; "|" &amp; _xlpm.date_col, _xlpm.status_col, ""),
      IF(OR(_xlpm.res="", _xlpm.res=0), "", _xlpm.res)
    )
  )
))</f>
        <v>NFS</v>
      </c>
      <c r="X5" s="39" t="str">
        <f>IF(OR(M5="", M5="Deleted"), "", _xlfn.LET(
  _xlpm.doc_col, [1]SubmittalLog!$E$1:$E$4000,
  _xlpm.date_col, [1]SubmittalLog!$H$1:$H$4000,
  _xlpm.status_col, [1]SubmittalLog!$O$1:$O$4000,
  _xlpm.first_app_date, _xlfn.MINIFS(_xlpm.date_col, _xlpm.doc_col, M5, _xlpm.status_col, "APP"),
  _xlpm.first_awc_date, _xlfn.MINIFS(_xlpm.date_col, _xlpm.doc_col, M5, _xlpm.status_col, "AWC"),
  _xlpm.earliest_date, IF(
    AND(_xlpm.first_app_date=0, _xlpm.first_awc_date=0), 0,
    IF(_xlpm.first_app_date=0, _xlpm.first_awc_date,
    IF(_xlpm.first_awc_date=0, _xlpm.first_app_date,
    MIN(_xlpm.first_app_date, _xlpm.first_awc_date)))
  ),
  IF(_xlpm.earliest_date=0, "", _xlpm.earliest_date)
))</f>
        <v/>
      </c>
      <c r="Y5" s="40" t="str" cm="1">
        <f t="array" ref="Y5">IF(OR(M5="", M5="Deleted"), "", _xlfn.LET(
  _xlpm.doc_col, [1]SubmittalLog!$E$1:$E$4000,
  _xlpm.date_col, [1]SubmittalLog!$H$1:$H$4000,
  _xlpm.status_col, [1]SubmittalLog!$O$1:$O$4000,
  _xlpm.has_sub, COUNTIF(_xlpm.doc_col, M5),
  _xlpm.latest_reviewed_date, _xlfn.MAXIFS(_xlpm.date_col, _xlpm.doc_col, M5, _xlpm.status_col, "&lt;&gt;"),
  IF(_xlpm.has_sub=0, "",
    IF(_xlpm.latest_reviewed_date=0, "",
      _xlfn.LET(
        _xlpm.res, _xlfn.XLOOKUP(1, (_xlpm.doc_col=M5) * (_xlpm.date_col=_xlpm.latest_reviewed_date) * (_xlpm.status_col&lt;&gt;""), _xlpm.status_col, ""),
        IF(OR(_xlpm.res="", _xlpm.res=0), "", _xlpm.res)
      )
    )
  )
))</f>
        <v/>
      </c>
    </row>
    <row r="6" spans="1:25" x14ac:dyDescent="0.35">
      <c r="A6" s="11">
        <f>IF($M6="","",MAX($A$1:A5)+1)</f>
        <v>4</v>
      </c>
      <c r="B6" t="s">
        <v>213</v>
      </c>
      <c r="C6" t="s">
        <v>202</v>
      </c>
      <c r="G6" s="11">
        <v>131236</v>
      </c>
      <c r="H6" s="11" t="s">
        <v>59</v>
      </c>
      <c r="I6" s="11" t="s">
        <v>442</v>
      </c>
      <c r="J6" s="11" t="s">
        <v>206</v>
      </c>
      <c r="K6" s="11" t="s">
        <v>3466</v>
      </c>
      <c r="M6" s="34" t="str">
        <f t="shared" si="0"/>
        <v>131236-WIL21-SN-IM-xxxx</v>
      </c>
      <c r="P6" s="15" t="s">
        <v>3467</v>
      </c>
      <c r="R6" s="15" t="s">
        <v>3467</v>
      </c>
      <c r="S6" s="17">
        <v>46027</v>
      </c>
      <c r="U6" s="21" t="str" cm="1">
        <f t="array" ref="U6">IF(OR(M6="", M6="Deleted"), "", _xlfn.LET(
  _xlpm.dates,
  _xlfn._xlws.FILTER(
    [1]SubmittalLog!$H$1:$H$4000,
    [1]SubmittalLog!$E$1:$E$4000=M6,
    ""
  ),
  _xlpm.min_date, IFERROR(MIN(_xlpm.dates), ""),
  IF(_xlpm.min_date=0, "", _xlpm.min_date)
))</f>
        <v/>
      </c>
      <c r="V6" s="63" t="str" cm="1">
        <f t="array" ref="V6">IF(OR(M6="", M6="Deleted"), "", IFERROR(
  _xlfn.TEXTJOIN(", ", TRUE,
    _xlfn.MAP(
      _xlfn.UNIQUE(
        _xlfn._xlws.FILTER(
          [1]SubmittalLog!$B$1:$B$4000,
          ([1]SubmittalLog!$E$1:$E$4000=M6) *
          ([1]SubmittalLog!$B$1:$B$4000&lt;&gt;""),
          ""
        )
      ),
      _xlfn.LAMBDA(_xlpm.val, TEXT(_xlpm.val, "000000"))
    )
  ),
""))</f>
        <v/>
      </c>
      <c r="W6" s="40" t="str" cm="1">
        <f t="array" ref="W6">IF(OR(M6="", M6="Deleted"), "", _xlfn.LET(
  _xlpm.doc_col, [1]SubmittalLog!$E$1:$E$4000,
  _xlpm.date_col, [1]SubmittalLog!$H$1:$H$4000,
  _xlpm.status_col, [1]SubmittalLog!$N$1:$N$4000,
  _xlpm.latest_date, _xlfn.MAXIFS(_xlpm.date_col, _xlpm.doc_col, M6),
  IF(_xlpm.latest_date=0, "NFS",
    _xlfn.LET(
      _xlpm.res, _xlfn.XLOOKUP(M6 &amp; "|" &amp; _xlpm.latest_date, _xlpm.doc_col &amp; "|" &amp; _xlpm.date_col, _xlpm.status_col, ""),
      IF(OR(_xlpm.res="", _xlpm.res=0), "", _xlpm.res)
    )
  )
))</f>
        <v>NFS</v>
      </c>
      <c r="X6" s="39" t="str">
        <f>IF(OR(M6="", M6="Deleted"), "", _xlfn.LET(
  _xlpm.doc_col, [1]SubmittalLog!$E$1:$E$4000,
  _xlpm.date_col, [1]SubmittalLog!$H$1:$H$4000,
  _xlpm.status_col, [1]SubmittalLog!$O$1:$O$4000,
  _xlpm.first_app_date, _xlfn.MINIFS(_xlpm.date_col, _xlpm.doc_col, M6, _xlpm.status_col, "APP"),
  _xlpm.first_awc_date, _xlfn.MINIFS(_xlpm.date_col, _xlpm.doc_col, M6, _xlpm.status_col, "AWC"),
  _xlpm.earliest_date, IF(
    AND(_xlpm.first_app_date=0, _xlpm.first_awc_date=0), 0,
    IF(_xlpm.first_app_date=0, _xlpm.first_awc_date,
    IF(_xlpm.first_awc_date=0, _xlpm.first_app_date,
    MIN(_xlpm.first_app_date, _xlpm.first_awc_date)))
  ),
  IF(_xlpm.earliest_date=0, "", _xlpm.earliest_date)
))</f>
        <v/>
      </c>
      <c r="Y6" s="40" t="str" cm="1">
        <f t="array" ref="Y6">IF(OR(M6="", M6="Deleted"), "", _xlfn.LET(
  _xlpm.doc_col, [1]SubmittalLog!$E$1:$E$4000,
  _xlpm.date_col, [1]SubmittalLog!$H$1:$H$4000,
  _xlpm.status_col, [1]SubmittalLog!$O$1:$O$4000,
  _xlpm.has_sub, COUNTIF(_xlpm.doc_col, M6),
  _xlpm.latest_reviewed_date, _xlfn.MAXIFS(_xlpm.date_col, _xlpm.doc_col, M6, _xlpm.status_col, "&lt;&gt;"),
  IF(_xlpm.has_sub=0, "",
    IF(_xlpm.latest_reviewed_date=0, "",
      _xlfn.LET(
        _xlpm.res, _xlfn.XLOOKUP(1, (_xlpm.doc_col=M6) * (_xlpm.date_col=_xlpm.latest_reviewed_date) * (_xlpm.status_col&lt;&gt;""), _xlpm.status_col, ""),
        IF(OR(_xlpm.res="", _xlpm.res=0), "", _xlpm.res)
      )
    )
  )
))</f>
        <v/>
      </c>
    </row>
    <row r="7" spans="1:25" x14ac:dyDescent="0.35">
      <c r="A7" s="11">
        <f>IF($M7="","",MAX($A$1:A6)+1)</f>
        <v>5</v>
      </c>
      <c r="B7" t="s">
        <v>213</v>
      </c>
      <c r="C7" t="s">
        <v>202</v>
      </c>
      <c r="G7" s="11">
        <v>131236</v>
      </c>
      <c r="H7" s="11" t="s">
        <v>59</v>
      </c>
      <c r="I7" s="11" t="s">
        <v>442</v>
      </c>
      <c r="J7" s="11" t="s">
        <v>206</v>
      </c>
      <c r="K7" s="11" t="s">
        <v>3466</v>
      </c>
      <c r="M7" s="34" t="str">
        <f t="shared" si="0"/>
        <v>131236-WIL21-SN-IM-xxxx</v>
      </c>
      <c r="P7" s="15" t="s">
        <v>3467</v>
      </c>
      <c r="R7" s="15" t="s">
        <v>3467</v>
      </c>
      <c r="S7" s="17">
        <v>46028</v>
      </c>
      <c r="U7" s="21" t="str" cm="1">
        <f t="array" ref="U7">IF(OR(M7="", M7="Deleted"), "", _xlfn.LET(
  _xlpm.dates,
  _xlfn._xlws.FILTER(
    [1]SubmittalLog!$H$1:$H$4000,
    [1]SubmittalLog!$E$1:$E$4000=M7,
    ""
  ),
  _xlpm.min_date, IFERROR(MIN(_xlpm.dates), ""),
  IF(_xlpm.min_date=0, "", _xlpm.min_date)
))</f>
        <v/>
      </c>
      <c r="V7" s="63" t="str" cm="1">
        <f t="array" ref="V7">IF(OR(M7="", M7="Deleted"), "", IFERROR(
  _xlfn.TEXTJOIN(", ", TRUE,
    _xlfn.MAP(
      _xlfn.UNIQUE(
        _xlfn._xlws.FILTER(
          [1]SubmittalLog!$B$1:$B$4000,
          ([1]SubmittalLog!$E$1:$E$4000=M7) *
          ([1]SubmittalLog!$B$1:$B$4000&lt;&gt;""),
          ""
        )
      ),
      _xlfn.LAMBDA(_xlpm.val, TEXT(_xlpm.val, "000000"))
    )
  ),
""))</f>
        <v/>
      </c>
      <c r="W7" s="40" t="str" cm="1">
        <f t="array" ref="W7">IF(OR(M7="", M7="Deleted"), "", _xlfn.LET(
  _xlpm.doc_col, [1]SubmittalLog!$E$1:$E$4000,
  _xlpm.date_col, [1]SubmittalLog!$H$1:$H$4000,
  _xlpm.status_col, [1]SubmittalLog!$N$1:$N$4000,
  _xlpm.latest_date, _xlfn.MAXIFS(_xlpm.date_col, _xlpm.doc_col, M7),
  IF(_xlpm.latest_date=0, "NFS",
    _xlfn.LET(
      _xlpm.res, _xlfn.XLOOKUP(M7 &amp; "|" &amp; _xlpm.latest_date, _xlpm.doc_col &amp; "|" &amp; _xlpm.date_col, _xlpm.status_col, ""),
      IF(OR(_xlpm.res="", _xlpm.res=0), "", _xlpm.res)
    )
  )
))</f>
        <v>NFS</v>
      </c>
      <c r="X7" s="39" t="str">
        <f>IF(OR(M7="", M7="Deleted"), "", _xlfn.LET(
  _xlpm.doc_col, [1]SubmittalLog!$E$1:$E$4000,
  _xlpm.date_col, [1]SubmittalLog!$H$1:$H$4000,
  _xlpm.status_col, [1]SubmittalLog!$O$1:$O$4000,
  _xlpm.first_app_date, _xlfn.MINIFS(_xlpm.date_col, _xlpm.doc_col, M7, _xlpm.status_col, "APP"),
  _xlpm.first_awc_date, _xlfn.MINIFS(_xlpm.date_col, _xlpm.doc_col, M7, _xlpm.status_col, "AWC"),
  _xlpm.earliest_date, IF(
    AND(_xlpm.first_app_date=0, _xlpm.first_awc_date=0), 0,
    IF(_xlpm.first_app_date=0, _xlpm.first_awc_date,
    IF(_xlpm.first_awc_date=0, _xlpm.first_app_date,
    MIN(_xlpm.first_app_date, _xlpm.first_awc_date)))
  ),
  IF(_xlpm.earliest_date=0, "", _xlpm.earliest_date)
))</f>
        <v/>
      </c>
      <c r="Y7" s="40" t="str" cm="1">
        <f t="array" ref="Y7">IF(OR(M7="", M7="Deleted"), "", _xlfn.LET(
  _xlpm.doc_col, [1]SubmittalLog!$E$1:$E$4000,
  _xlpm.date_col, [1]SubmittalLog!$H$1:$H$4000,
  _xlpm.status_col, [1]SubmittalLog!$O$1:$O$4000,
  _xlpm.has_sub, COUNTIF(_xlpm.doc_col, M7),
  _xlpm.latest_reviewed_date, _xlfn.MAXIFS(_xlpm.date_col, _xlpm.doc_col, M7, _xlpm.status_col, "&lt;&gt;"),
  IF(_xlpm.has_sub=0, "",
    IF(_xlpm.latest_reviewed_date=0, "",
      _xlfn.LET(
        _xlpm.res, _xlfn.XLOOKUP(1, (_xlpm.doc_col=M7) * (_xlpm.date_col=_xlpm.latest_reviewed_date) * (_xlpm.status_col&lt;&gt;""), _xlpm.status_col, ""),
        IF(OR(_xlpm.res="", _xlpm.res=0), "", _xlpm.res)
      )
    )
  )
))</f>
        <v/>
      </c>
    </row>
    <row r="8" spans="1:25" x14ac:dyDescent="0.35">
      <c r="A8" s="11">
        <f>IF($M8="","",MAX($A$1:A7)+1)</f>
        <v>6</v>
      </c>
      <c r="B8" t="s">
        <v>213</v>
      </c>
      <c r="C8" t="s">
        <v>202</v>
      </c>
      <c r="G8" s="11">
        <v>131236</v>
      </c>
      <c r="H8" s="11" t="s">
        <v>59</v>
      </c>
      <c r="I8" s="11" t="s">
        <v>442</v>
      </c>
      <c r="J8" s="11" t="s">
        <v>206</v>
      </c>
      <c r="K8" s="11" t="s">
        <v>3466</v>
      </c>
      <c r="M8" s="34" t="str">
        <f t="shared" si="0"/>
        <v>131236-WIL21-SN-IM-xxxx</v>
      </c>
      <c r="P8" s="15" t="s">
        <v>3467</v>
      </c>
      <c r="R8" s="15" t="s">
        <v>3467</v>
      </c>
      <c r="S8" s="17">
        <v>46029</v>
      </c>
      <c r="U8" s="21" t="str" cm="1">
        <f t="array" ref="U8">IF(OR(M8="", M8="Deleted"), "", _xlfn.LET(
  _xlpm.dates,
  _xlfn._xlws.FILTER(
    [1]SubmittalLog!$H$1:$H$4000,
    [1]SubmittalLog!$E$1:$E$4000=M8,
    ""
  ),
  _xlpm.min_date, IFERROR(MIN(_xlpm.dates), ""),
  IF(_xlpm.min_date=0, "", _xlpm.min_date)
))</f>
        <v/>
      </c>
      <c r="V8" s="63" t="str" cm="1">
        <f t="array" ref="V8">IF(OR(M8="", M8="Deleted"), "", IFERROR(
  _xlfn.TEXTJOIN(", ", TRUE,
    _xlfn.MAP(
      _xlfn.UNIQUE(
        _xlfn._xlws.FILTER(
          [1]SubmittalLog!$B$1:$B$4000,
          ([1]SubmittalLog!$E$1:$E$4000=M8) *
          ([1]SubmittalLog!$B$1:$B$4000&lt;&gt;""),
          ""
        )
      ),
      _xlfn.LAMBDA(_xlpm.val, TEXT(_xlpm.val, "000000"))
    )
  ),
""))</f>
        <v/>
      </c>
      <c r="W8" s="40" t="str" cm="1">
        <f t="array" ref="W8">IF(OR(M8="", M8="Deleted"), "", _xlfn.LET(
  _xlpm.doc_col, [1]SubmittalLog!$E$1:$E$4000,
  _xlpm.date_col, [1]SubmittalLog!$H$1:$H$4000,
  _xlpm.status_col, [1]SubmittalLog!$N$1:$N$4000,
  _xlpm.latest_date, _xlfn.MAXIFS(_xlpm.date_col, _xlpm.doc_col, M8),
  IF(_xlpm.latest_date=0, "NFS",
    _xlfn.LET(
      _xlpm.res, _xlfn.XLOOKUP(M8 &amp; "|" &amp; _xlpm.latest_date, _xlpm.doc_col &amp; "|" &amp; _xlpm.date_col, _xlpm.status_col, ""),
      IF(OR(_xlpm.res="", _xlpm.res=0), "", _xlpm.res)
    )
  )
))</f>
        <v>NFS</v>
      </c>
      <c r="X8" s="39" t="str">
        <f>IF(OR(M8="", M8="Deleted"), "", _xlfn.LET(
  _xlpm.doc_col, [1]SubmittalLog!$E$1:$E$4000,
  _xlpm.date_col, [1]SubmittalLog!$H$1:$H$4000,
  _xlpm.status_col, [1]SubmittalLog!$O$1:$O$4000,
  _xlpm.first_app_date, _xlfn.MINIFS(_xlpm.date_col, _xlpm.doc_col, M8, _xlpm.status_col, "APP"),
  _xlpm.first_awc_date, _xlfn.MINIFS(_xlpm.date_col, _xlpm.doc_col, M8, _xlpm.status_col, "AWC"),
  _xlpm.earliest_date, IF(
    AND(_xlpm.first_app_date=0, _xlpm.first_awc_date=0), 0,
    IF(_xlpm.first_app_date=0, _xlpm.first_awc_date,
    IF(_xlpm.first_awc_date=0, _xlpm.first_app_date,
    MIN(_xlpm.first_app_date, _xlpm.first_awc_date)))
  ),
  IF(_xlpm.earliest_date=0, "", _xlpm.earliest_date)
))</f>
        <v/>
      </c>
      <c r="Y8" s="40" t="str" cm="1">
        <f t="array" ref="Y8">IF(OR(M8="", M8="Deleted"), "", _xlfn.LET(
  _xlpm.doc_col, [1]SubmittalLog!$E$1:$E$4000,
  _xlpm.date_col, [1]SubmittalLog!$H$1:$H$4000,
  _xlpm.status_col, [1]SubmittalLog!$O$1:$O$4000,
  _xlpm.has_sub, COUNTIF(_xlpm.doc_col, M8),
  _xlpm.latest_reviewed_date, _xlfn.MAXIFS(_xlpm.date_col, _xlpm.doc_col, M8, _xlpm.status_col, "&lt;&gt;"),
  IF(_xlpm.has_sub=0, "",
    IF(_xlpm.latest_reviewed_date=0, "",
      _xlfn.LET(
        _xlpm.res, _xlfn.XLOOKUP(1, (_xlpm.doc_col=M8) * (_xlpm.date_col=_xlpm.latest_reviewed_date) * (_xlpm.status_col&lt;&gt;""), _xlpm.status_col, ""),
        IF(OR(_xlpm.res="", _xlpm.res=0), "", _xlpm.res)
      )
    )
  )
))</f>
        <v/>
      </c>
    </row>
    <row r="9" spans="1:25" x14ac:dyDescent="0.35">
      <c r="A9" s="11" t="str">
        <f>IF($M9="","",MAX($A$1:A8)+1)</f>
        <v/>
      </c>
      <c r="M9" s="34" t="str">
        <f t="shared" si="0"/>
        <v/>
      </c>
      <c r="U9" s="21" t="str" cm="1">
        <f t="array" ref="U9">IF(OR(M9="", M9="Deleted"), "", _xlfn.LET(
  _xlpm.dates,
  _xlfn._xlws.FILTER(
    [1]SubmittalLog!$H$1:$H$4000,
    [1]SubmittalLog!$E$1:$E$4000=M9,
    ""
  ),
  _xlpm.min_date, IFERROR(MIN(_xlpm.dates), ""),
  IF(_xlpm.min_date=0, "", _xlpm.min_date)
))</f>
        <v/>
      </c>
      <c r="V9" s="63" t="str" cm="1">
        <f t="array" ref="V9">IF(OR(M9="", M9="Deleted"), "", IFERROR(
  _xlfn.TEXTJOIN(", ", TRUE,
    _xlfn.MAP(
      _xlfn.UNIQUE(
        _xlfn._xlws.FILTER(
          [1]SubmittalLog!$B$1:$B$4000,
          ([1]SubmittalLog!$E$1:$E$4000=M9) *
          ([1]SubmittalLog!$B$1:$B$4000&lt;&gt;""),
          ""
        )
      ),
      _xlfn.LAMBDA(_xlpm.val, TEXT(_xlpm.val, "000000"))
    )
  ),
""))</f>
        <v/>
      </c>
      <c r="W9" s="40" t="str" cm="1">
        <f t="array" ref="W9">IF(OR(M9="", M9="Deleted"), "", _xlfn.LET(
  _xlpm.doc_col, [1]SubmittalLog!$E$1:$E$4000,
  _xlpm.date_col, [1]SubmittalLog!$H$1:$H$4000,
  _xlpm.status_col, [1]SubmittalLog!$N$1:$N$4000,
  _xlpm.latest_date, _xlfn.MAXIFS(_xlpm.date_col, _xlpm.doc_col, M9),
  IF(_xlpm.latest_date=0, "NFS",
    _xlfn.LET(
      _xlpm.res, _xlfn.XLOOKUP(M9 &amp; "|" &amp; _xlpm.latest_date, _xlpm.doc_col &amp; "|" &amp; _xlpm.date_col, _xlpm.status_col, ""),
      IF(OR(_xlpm.res="", _xlpm.res=0), "", _xlpm.res)
    )
  )
))</f>
        <v/>
      </c>
      <c r="X9" s="39" t="str">
        <f>IF(OR(M9="", M9="Deleted"), "", _xlfn.LET(
  _xlpm.doc_col, [1]SubmittalLog!$E$1:$E$4000,
  _xlpm.date_col, [1]SubmittalLog!$H$1:$H$4000,
  _xlpm.status_col, [1]SubmittalLog!$O$1:$O$4000,
  _xlpm.first_app_date, _xlfn.MINIFS(_xlpm.date_col, _xlpm.doc_col, M9, _xlpm.status_col, "APP"),
  _xlpm.first_awc_date, _xlfn.MINIFS(_xlpm.date_col, _xlpm.doc_col, M9, _xlpm.status_col, "AWC"),
  _xlpm.earliest_date, IF(
    AND(_xlpm.first_app_date=0, _xlpm.first_awc_date=0), 0,
    IF(_xlpm.first_app_date=0, _xlpm.first_awc_date,
    IF(_xlpm.first_awc_date=0, _xlpm.first_app_date,
    MIN(_xlpm.first_app_date, _xlpm.first_awc_date)))
  ),
  IF(_xlpm.earliest_date=0, "", _xlpm.earliest_date)
))</f>
        <v/>
      </c>
      <c r="Y9" s="40" t="str" cm="1">
        <f t="array" ref="Y9">IF(OR(M9="", M9="Deleted"), "", _xlfn.LET(
  _xlpm.doc_col, [1]SubmittalLog!$E$1:$E$4000,
  _xlpm.date_col, [1]SubmittalLog!$H$1:$H$4000,
  _xlpm.status_col, [1]SubmittalLog!$O$1:$O$4000,
  _xlpm.has_sub, COUNTIF(_xlpm.doc_col, M9),
  _xlpm.latest_reviewed_date, _xlfn.MAXIFS(_xlpm.date_col, _xlpm.doc_col, M9, _xlpm.status_col, "&lt;&gt;"),
  IF(_xlpm.has_sub=0, "",
    IF(_xlpm.latest_reviewed_date=0, "",
      _xlfn.LET(
        _xlpm.res, _xlfn.XLOOKUP(1, (_xlpm.doc_col=M9) * (_xlpm.date_col=_xlpm.latest_reviewed_date) * (_xlpm.status_col&lt;&gt;""), _xlpm.status_col, ""),
        IF(OR(_xlpm.res="", _xlpm.res=0), "", _xlpm.res)
      )
    )
  )
))</f>
        <v/>
      </c>
    </row>
    <row r="10" spans="1:25" x14ac:dyDescent="0.35">
      <c r="A10" s="11">
        <f>IF($M10="","",MAX($A$1:A9)+1)</f>
        <v>7</v>
      </c>
      <c r="B10" t="s">
        <v>213</v>
      </c>
      <c r="C10" t="s">
        <v>202</v>
      </c>
      <c r="G10" s="11">
        <v>131236</v>
      </c>
      <c r="H10" s="11" t="s">
        <v>59</v>
      </c>
      <c r="I10" s="11" t="s">
        <v>442</v>
      </c>
      <c r="J10" s="11" t="s">
        <v>206</v>
      </c>
      <c r="K10" s="11" t="s">
        <v>3466</v>
      </c>
      <c r="M10" s="34" t="str">
        <f t="shared" si="0"/>
        <v>131236-WIL21-SN-IM-xxxx</v>
      </c>
      <c r="P10" s="15" t="s">
        <v>3467</v>
      </c>
      <c r="R10" s="15" t="s">
        <v>3467</v>
      </c>
      <c r="S10" s="17">
        <v>46031</v>
      </c>
      <c r="U10" s="21" t="str" cm="1">
        <f t="array" ref="U10">IF(OR(M10="", M10="Deleted"), "", _xlfn.LET(
  _xlpm.dates,
  _xlfn._xlws.FILTER(
    [1]SubmittalLog!$H$1:$H$4000,
    [1]SubmittalLog!$E$1:$E$4000=M10,
    ""
  ),
  _xlpm.min_date, IFERROR(MIN(_xlpm.dates), ""),
  IF(_xlpm.min_date=0, "", _xlpm.min_date)
))</f>
        <v/>
      </c>
      <c r="V10" s="63" t="str" cm="1">
        <f t="array" ref="V10">IF(OR(M10="", M10="Deleted"), "", IFERROR(
  _xlfn.TEXTJOIN(", ", TRUE,
    _xlfn.MAP(
      _xlfn.UNIQUE(
        _xlfn._xlws.FILTER(
          [1]SubmittalLog!$B$1:$B$4000,
          ([1]SubmittalLog!$E$1:$E$4000=M10) *
          ([1]SubmittalLog!$B$1:$B$4000&lt;&gt;""),
          ""
        )
      ),
      _xlfn.LAMBDA(_xlpm.val, TEXT(_xlpm.val, "000000"))
    )
  ),
""))</f>
        <v/>
      </c>
      <c r="W10" s="40" t="str" cm="1">
        <f t="array" ref="W10">IF(OR(M10="", M10="Deleted"), "", _xlfn.LET(
  _xlpm.doc_col, [1]SubmittalLog!$E$1:$E$4000,
  _xlpm.date_col, [1]SubmittalLog!$H$1:$H$4000,
  _xlpm.status_col, [1]SubmittalLog!$N$1:$N$4000,
  _xlpm.latest_date, _xlfn.MAXIFS(_xlpm.date_col, _xlpm.doc_col, M10),
  IF(_xlpm.latest_date=0, "NFS",
    _xlfn.LET(
      _xlpm.res, _xlfn.XLOOKUP(M10 &amp; "|" &amp; _xlpm.latest_date, _xlpm.doc_col &amp; "|" &amp; _xlpm.date_col, _xlpm.status_col, ""),
      IF(OR(_xlpm.res="", _xlpm.res=0), "", _xlpm.res)
    )
  )
))</f>
        <v>NFS</v>
      </c>
      <c r="X10" s="39" t="str">
        <f>IF(OR(M10="", M10="Deleted"), "", _xlfn.LET(
  _xlpm.doc_col, [1]SubmittalLog!$E$1:$E$4000,
  _xlpm.date_col, [1]SubmittalLog!$H$1:$H$4000,
  _xlpm.status_col, [1]SubmittalLog!$O$1:$O$4000,
  _xlpm.first_app_date, _xlfn.MINIFS(_xlpm.date_col, _xlpm.doc_col, M10, _xlpm.status_col, "APP"),
  _xlpm.first_awc_date, _xlfn.MINIFS(_xlpm.date_col, _xlpm.doc_col, M10, _xlpm.status_col, "AWC"),
  _xlpm.earliest_date, IF(
    AND(_xlpm.first_app_date=0, _xlpm.first_awc_date=0), 0,
    IF(_xlpm.first_app_date=0, _xlpm.first_awc_date,
    IF(_xlpm.first_awc_date=0, _xlpm.first_app_date,
    MIN(_xlpm.first_app_date, _xlpm.first_awc_date)))
  ),
  IF(_xlpm.earliest_date=0, "", _xlpm.earliest_date)
))</f>
        <v/>
      </c>
      <c r="Y10" s="40" t="str" cm="1">
        <f t="array" ref="Y10">IF(OR(M10="", M10="Deleted"), "", _xlfn.LET(
  _xlpm.doc_col, [1]SubmittalLog!$E$1:$E$4000,
  _xlpm.date_col, [1]SubmittalLog!$H$1:$H$4000,
  _xlpm.status_col, [1]SubmittalLog!$O$1:$O$4000,
  _xlpm.has_sub, COUNTIF(_xlpm.doc_col, M10),
  _xlpm.latest_reviewed_date, _xlfn.MAXIFS(_xlpm.date_col, _xlpm.doc_col, M10, _xlpm.status_col, "&lt;&gt;"),
  IF(_xlpm.has_sub=0, "",
    IF(_xlpm.latest_reviewed_date=0, "",
      _xlfn.LET(
        _xlpm.res, _xlfn.XLOOKUP(1, (_xlpm.doc_col=M10) * (_xlpm.date_col=_xlpm.latest_reviewed_date) * (_xlpm.status_col&lt;&gt;""), _xlpm.status_col, ""),
        IF(OR(_xlpm.res="", _xlpm.res=0), "", _xlpm.res)
      )
    )
  )
))</f>
        <v/>
      </c>
    </row>
    <row r="11" spans="1:25" x14ac:dyDescent="0.35">
      <c r="A11" s="11">
        <f>IF($M11="","",MAX($A$1:A10)+1)</f>
        <v>8</v>
      </c>
      <c r="B11" t="s">
        <v>213</v>
      </c>
      <c r="C11" t="s">
        <v>202</v>
      </c>
      <c r="G11" s="11">
        <v>131236</v>
      </c>
      <c r="H11" s="11" t="s">
        <v>59</v>
      </c>
      <c r="I11" s="11" t="s">
        <v>442</v>
      </c>
      <c r="J11" s="11" t="s">
        <v>206</v>
      </c>
      <c r="K11" s="11" t="s">
        <v>3466</v>
      </c>
      <c r="M11" s="34" t="str">
        <f t="shared" si="0"/>
        <v>131236-WIL21-SN-IM-xxxx</v>
      </c>
      <c r="P11" s="15" t="s">
        <v>3467</v>
      </c>
      <c r="R11" s="15" t="s">
        <v>3467</v>
      </c>
      <c r="S11" s="17">
        <v>46032</v>
      </c>
      <c r="U11" s="21" t="str" cm="1">
        <f t="array" ref="U11">IF(OR(M11="", M11="Deleted"), "", _xlfn.LET(
  _xlpm.dates,
  _xlfn._xlws.FILTER(
    [1]SubmittalLog!$H$1:$H$4000,
    [1]SubmittalLog!$E$1:$E$4000=M11,
    ""
  ),
  _xlpm.min_date, IFERROR(MIN(_xlpm.dates), ""),
  IF(_xlpm.min_date=0, "", _xlpm.min_date)
))</f>
        <v/>
      </c>
      <c r="V11" s="63" t="str" cm="1">
        <f t="array" ref="V11">IF(OR(M11="", M11="Deleted"), "", IFERROR(
  _xlfn.TEXTJOIN(", ", TRUE,
    _xlfn.MAP(
      _xlfn.UNIQUE(
        _xlfn._xlws.FILTER(
          [1]SubmittalLog!$B$1:$B$4000,
          ([1]SubmittalLog!$E$1:$E$4000=M11) *
          ([1]SubmittalLog!$B$1:$B$4000&lt;&gt;""),
          ""
        )
      ),
      _xlfn.LAMBDA(_xlpm.val, TEXT(_xlpm.val, "000000"))
    )
  ),
""))</f>
        <v/>
      </c>
      <c r="W11" s="40" t="str" cm="1">
        <f t="array" ref="W11">IF(OR(M11="", M11="Deleted"), "", _xlfn.LET(
  _xlpm.doc_col, [1]SubmittalLog!$E$1:$E$4000,
  _xlpm.date_col, [1]SubmittalLog!$H$1:$H$4000,
  _xlpm.status_col, [1]SubmittalLog!$N$1:$N$4000,
  _xlpm.latest_date, _xlfn.MAXIFS(_xlpm.date_col, _xlpm.doc_col, M11),
  IF(_xlpm.latest_date=0, "NFS",
    _xlfn.LET(
      _xlpm.res, _xlfn.XLOOKUP(M11 &amp; "|" &amp; _xlpm.latest_date, _xlpm.doc_col &amp; "|" &amp; _xlpm.date_col, _xlpm.status_col, ""),
      IF(OR(_xlpm.res="", _xlpm.res=0), "", _xlpm.res)
    )
  )
))</f>
        <v>NFS</v>
      </c>
      <c r="X11" s="39" t="str">
        <f>IF(OR(M11="", M11="Deleted"), "", _xlfn.LET(
  _xlpm.doc_col, [1]SubmittalLog!$E$1:$E$4000,
  _xlpm.date_col, [1]SubmittalLog!$H$1:$H$4000,
  _xlpm.status_col, [1]SubmittalLog!$O$1:$O$4000,
  _xlpm.first_app_date, _xlfn.MINIFS(_xlpm.date_col, _xlpm.doc_col, M11, _xlpm.status_col, "APP"),
  _xlpm.first_awc_date, _xlfn.MINIFS(_xlpm.date_col, _xlpm.doc_col, M11, _xlpm.status_col, "AWC"),
  _xlpm.earliest_date, IF(
    AND(_xlpm.first_app_date=0, _xlpm.first_awc_date=0), 0,
    IF(_xlpm.first_app_date=0, _xlpm.first_awc_date,
    IF(_xlpm.first_awc_date=0, _xlpm.first_app_date,
    MIN(_xlpm.first_app_date, _xlpm.first_awc_date)))
  ),
  IF(_xlpm.earliest_date=0, "", _xlpm.earliest_date)
))</f>
        <v/>
      </c>
      <c r="Y11" s="40" t="str" cm="1">
        <f t="array" ref="Y11">IF(OR(M11="", M11="Deleted"), "", _xlfn.LET(
  _xlpm.doc_col, [1]SubmittalLog!$E$1:$E$4000,
  _xlpm.date_col, [1]SubmittalLog!$H$1:$H$4000,
  _xlpm.status_col, [1]SubmittalLog!$O$1:$O$4000,
  _xlpm.has_sub, COUNTIF(_xlpm.doc_col, M11),
  _xlpm.latest_reviewed_date, _xlfn.MAXIFS(_xlpm.date_col, _xlpm.doc_col, M11, _xlpm.status_col, "&lt;&gt;"),
  IF(_xlpm.has_sub=0, "",
    IF(_xlpm.latest_reviewed_date=0, "",
      _xlfn.LET(
        _xlpm.res, _xlfn.XLOOKUP(1, (_xlpm.doc_col=M11) * (_xlpm.date_col=_xlpm.latest_reviewed_date) * (_xlpm.status_col&lt;&gt;""), _xlpm.status_col, ""),
        IF(OR(_xlpm.res="", _xlpm.res=0), "", _xlpm.res)
      )
    )
  )
))</f>
        <v/>
      </c>
    </row>
    <row r="12" spans="1:25" x14ac:dyDescent="0.35">
      <c r="A12" s="11">
        <f>IF($M12="","",MAX($A$1:A11)+1)</f>
        <v>9</v>
      </c>
      <c r="B12" t="s">
        <v>213</v>
      </c>
      <c r="C12" t="s">
        <v>202</v>
      </c>
      <c r="G12" s="11">
        <v>131236</v>
      </c>
      <c r="H12" s="11" t="s">
        <v>59</v>
      </c>
      <c r="I12" s="11" t="s">
        <v>442</v>
      </c>
      <c r="J12" s="11" t="s">
        <v>206</v>
      </c>
      <c r="K12" s="11" t="s">
        <v>3466</v>
      </c>
      <c r="M12" s="34" t="str">
        <f t="shared" si="0"/>
        <v>131236-WIL21-SN-IM-xxxx</v>
      </c>
      <c r="P12" s="15" t="s">
        <v>3467</v>
      </c>
      <c r="R12" s="15" t="s">
        <v>3467</v>
      </c>
      <c r="S12" s="17">
        <v>46033</v>
      </c>
      <c r="U12" s="21" t="str" cm="1">
        <f t="array" ref="U12">IF(OR(M12="", M12="Deleted"), "", _xlfn.LET(
  _xlpm.dates,
  _xlfn._xlws.FILTER(
    [1]SubmittalLog!$H$1:$H$4000,
    [1]SubmittalLog!$E$1:$E$4000=M12,
    ""
  ),
  _xlpm.min_date, IFERROR(MIN(_xlpm.dates), ""),
  IF(_xlpm.min_date=0, "", _xlpm.min_date)
))</f>
        <v/>
      </c>
      <c r="V12" s="63" t="str" cm="1">
        <f t="array" ref="V12">IF(OR(M12="", M12="Deleted"), "", IFERROR(
  _xlfn.TEXTJOIN(", ", TRUE,
    _xlfn.MAP(
      _xlfn.UNIQUE(
        _xlfn._xlws.FILTER(
          [1]SubmittalLog!$B$1:$B$4000,
          ([1]SubmittalLog!$E$1:$E$4000=M12) *
          ([1]SubmittalLog!$B$1:$B$4000&lt;&gt;""),
          ""
        )
      ),
      _xlfn.LAMBDA(_xlpm.val, TEXT(_xlpm.val, "000000"))
    )
  ),
""))</f>
        <v/>
      </c>
      <c r="W12" s="40" t="str" cm="1">
        <f t="array" ref="W12">IF(OR(M12="", M12="Deleted"), "", _xlfn.LET(
  _xlpm.doc_col, [1]SubmittalLog!$E$1:$E$4000,
  _xlpm.date_col, [1]SubmittalLog!$H$1:$H$4000,
  _xlpm.status_col, [1]SubmittalLog!$N$1:$N$4000,
  _xlpm.latest_date, _xlfn.MAXIFS(_xlpm.date_col, _xlpm.doc_col, M12),
  IF(_xlpm.latest_date=0, "NFS",
    _xlfn.LET(
      _xlpm.res, _xlfn.XLOOKUP(M12 &amp; "|" &amp; _xlpm.latest_date, _xlpm.doc_col &amp; "|" &amp; _xlpm.date_col, _xlpm.status_col, ""),
      IF(OR(_xlpm.res="", _xlpm.res=0), "", _xlpm.res)
    )
  )
))</f>
        <v>NFS</v>
      </c>
      <c r="X12" s="39" t="str">
        <f>IF(OR(M12="", M12="Deleted"), "", _xlfn.LET(
  _xlpm.doc_col, [1]SubmittalLog!$E$1:$E$4000,
  _xlpm.date_col, [1]SubmittalLog!$H$1:$H$4000,
  _xlpm.status_col, [1]SubmittalLog!$O$1:$O$4000,
  _xlpm.first_app_date, _xlfn.MINIFS(_xlpm.date_col, _xlpm.doc_col, M12, _xlpm.status_col, "APP"),
  _xlpm.first_awc_date, _xlfn.MINIFS(_xlpm.date_col, _xlpm.doc_col, M12, _xlpm.status_col, "AWC"),
  _xlpm.earliest_date, IF(
    AND(_xlpm.first_app_date=0, _xlpm.first_awc_date=0), 0,
    IF(_xlpm.first_app_date=0, _xlpm.first_awc_date,
    IF(_xlpm.first_awc_date=0, _xlpm.first_app_date,
    MIN(_xlpm.first_app_date, _xlpm.first_awc_date)))
  ),
  IF(_xlpm.earliest_date=0, "", _xlpm.earliest_date)
))</f>
        <v/>
      </c>
      <c r="Y12" s="40" t="str" cm="1">
        <f t="array" ref="Y12">IF(OR(M12="", M12="Deleted"), "", _xlfn.LET(
  _xlpm.doc_col, [1]SubmittalLog!$E$1:$E$4000,
  _xlpm.date_col, [1]SubmittalLog!$H$1:$H$4000,
  _xlpm.status_col, [1]SubmittalLog!$O$1:$O$4000,
  _xlpm.has_sub, COUNTIF(_xlpm.doc_col, M12),
  _xlpm.latest_reviewed_date, _xlfn.MAXIFS(_xlpm.date_col, _xlpm.doc_col, M12, _xlpm.status_col, "&lt;&gt;"),
  IF(_xlpm.has_sub=0, "",
    IF(_xlpm.latest_reviewed_date=0, "",
      _xlfn.LET(
        _xlpm.res, _xlfn.XLOOKUP(1, (_xlpm.doc_col=M12) * (_xlpm.date_col=_xlpm.latest_reviewed_date) * (_xlpm.status_col&lt;&gt;""), _xlpm.status_col, ""),
        IF(OR(_xlpm.res="", _xlpm.res=0), "", _xlpm.res)
      )
    )
  )
))</f>
        <v/>
      </c>
    </row>
    <row r="13" spans="1:25" x14ac:dyDescent="0.35">
      <c r="A13" s="11">
        <f>IF($M13="","",MAX($A$1:A12)+1)</f>
        <v>10</v>
      </c>
      <c r="B13" t="s">
        <v>213</v>
      </c>
      <c r="C13" t="s">
        <v>202</v>
      </c>
      <c r="G13" s="11">
        <v>131236</v>
      </c>
      <c r="H13" s="11" t="s">
        <v>59</v>
      </c>
      <c r="I13" s="11" t="s">
        <v>442</v>
      </c>
      <c r="J13" s="11" t="s">
        <v>206</v>
      </c>
      <c r="K13" s="11" t="s">
        <v>3466</v>
      </c>
      <c r="M13" s="34" t="str">
        <f t="shared" si="0"/>
        <v>131236-WIL21-SN-IM-xxxx</v>
      </c>
      <c r="P13" s="15" t="s">
        <v>3467</v>
      </c>
      <c r="R13" s="15" t="s">
        <v>3467</v>
      </c>
      <c r="S13" s="17">
        <v>46034</v>
      </c>
      <c r="U13" s="21" t="str" cm="1">
        <f t="array" ref="U13">IF(OR(M13="", M13="Deleted"), "", _xlfn.LET(
  _xlpm.dates,
  _xlfn._xlws.FILTER(
    [1]SubmittalLog!$H$1:$H$4000,
    [1]SubmittalLog!$E$1:$E$4000=M13,
    ""
  ),
  _xlpm.min_date, IFERROR(MIN(_xlpm.dates), ""),
  IF(_xlpm.min_date=0, "", _xlpm.min_date)
))</f>
        <v/>
      </c>
      <c r="V13" s="63" t="str" cm="1">
        <f t="array" ref="V13">IF(OR(M13="", M13="Deleted"), "", IFERROR(
  _xlfn.TEXTJOIN(", ", TRUE,
    _xlfn.MAP(
      _xlfn.UNIQUE(
        _xlfn._xlws.FILTER(
          [1]SubmittalLog!$B$1:$B$4000,
          ([1]SubmittalLog!$E$1:$E$4000=M13) *
          ([1]SubmittalLog!$B$1:$B$4000&lt;&gt;""),
          ""
        )
      ),
      _xlfn.LAMBDA(_xlpm.val, TEXT(_xlpm.val, "000000"))
    )
  ),
""))</f>
        <v/>
      </c>
      <c r="W13" s="40" t="str" cm="1">
        <f t="array" ref="W13">IF(OR(M13="", M13="Deleted"), "", _xlfn.LET(
  _xlpm.doc_col, [1]SubmittalLog!$E$1:$E$4000,
  _xlpm.date_col, [1]SubmittalLog!$H$1:$H$4000,
  _xlpm.status_col, [1]SubmittalLog!$N$1:$N$4000,
  _xlpm.latest_date, _xlfn.MAXIFS(_xlpm.date_col, _xlpm.doc_col, M13),
  IF(_xlpm.latest_date=0, "NFS",
    _xlfn.LET(
      _xlpm.res, _xlfn.XLOOKUP(M13 &amp; "|" &amp; _xlpm.latest_date, _xlpm.doc_col &amp; "|" &amp; _xlpm.date_col, _xlpm.status_col, ""),
      IF(OR(_xlpm.res="", _xlpm.res=0), "", _xlpm.res)
    )
  )
))</f>
        <v>NFS</v>
      </c>
      <c r="X13" s="39" t="str">
        <f>IF(OR(M13="", M13="Deleted"), "", _xlfn.LET(
  _xlpm.doc_col, [1]SubmittalLog!$E$1:$E$4000,
  _xlpm.date_col, [1]SubmittalLog!$H$1:$H$4000,
  _xlpm.status_col, [1]SubmittalLog!$O$1:$O$4000,
  _xlpm.first_app_date, _xlfn.MINIFS(_xlpm.date_col, _xlpm.doc_col, M13, _xlpm.status_col, "APP"),
  _xlpm.first_awc_date, _xlfn.MINIFS(_xlpm.date_col, _xlpm.doc_col, M13, _xlpm.status_col, "AWC"),
  _xlpm.earliest_date, IF(
    AND(_xlpm.first_app_date=0, _xlpm.first_awc_date=0), 0,
    IF(_xlpm.first_app_date=0, _xlpm.first_awc_date,
    IF(_xlpm.first_awc_date=0, _xlpm.first_app_date,
    MIN(_xlpm.first_app_date, _xlpm.first_awc_date)))
  ),
  IF(_xlpm.earliest_date=0, "", _xlpm.earliest_date)
))</f>
        <v/>
      </c>
      <c r="Y13" s="40" t="str" cm="1">
        <f t="array" ref="Y13">IF(OR(M13="", M13="Deleted"), "", _xlfn.LET(
  _xlpm.doc_col, [1]SubmittalLog!$E$1:$E$4000,
  _xlpm.date_col, [1]SubmittalLog!$H$1:$H$4000,
  _xlpm.status_col, [1]SubmittalLog!$O$1:$O$4000,
  _xlpm.has_sub, COUNTIF(_xlpm.doc_col, M13),
  _xlpm.latest_reviewed_date, _xlfn.MAXIFS(_xlpm.date_col, _xlpm.doc_col, M13, _xlpm.status_col, "&lt;&gt;"),
  IF(_xlpm.has_sub=0, "",
    IF(_xlpm.latest_reviewed_date=0, "",
      _xlfn.LET(
        _xlpm.res, _xlfn.XLOOKUP(1, (_xlpm.doc_col=M13) * (_xlpm.date_col=_xlpm.latest_reviewed_date) * (_xlpm.status_col&lt;&gt;""), _xlpm.status_col, ""),
        IF(OR(_xlpm.res="", _xlpm.res=0), "", _xlpm.res)
      )
    )
  )
))</f>
        <v/>
      </c>
    </row>
    <row r="14" spans="1:25" x14ac:dyDescent="0.35">
      <c r="A14" s="11">
        <f>IF($M14="","",MAX($A$1:A13)+1)</f>
        <v>11</v>
      </c>
      <c r="B14" t="s">
        <v>213</v>
      </c>
      <c r="C14" t="s">
        <v>202</v>
      </c>
      <c r="G14" s="11">
        <v>131236</v>
      </c>
      <c r="H14" s="11" t="s">
        <v>59</v>
      </c>
      <c r="I14" s="11" t="s">
        <v>442</v>
      </c>
      <c r="J14" s="11" t="s">
        <v>206</v>
      </c>
      <c r="K14" s="11" t="s">
        <v>3466</v>
      </c>
      <c r="M14" s="34" t="str">
        <f t="shared" si="0"/>
        <v>131236-WIL21-SN-IM-xxxx</v>
      </c>
      <c r="P14" s="15" t="s">
        <v>3467</v>
      </c>
      <c r="R14" s="15" t="s">
        <v>3467</v>
      </c>
      <c r="S14" s="17">
        <v>46035</v>
      </c>
      <c r="U14" s="21" t="str" cm="1">
        <f t="array" ref="U14">IF(OR(M14="", M14="Deleted"), "", _xlfn.LET(
  _xlpm.dates,
  _xlfn._xlws.FILTER(
    [1]SubmittalLog!$H$1:$H$4000,
    [1]SubmittalLog!$E$1:$E$4000=M14,
    ""
  ),
  _xlpm.min_date, IFERROR(MIN(_xlpm.dates), ""),
  IF(_xlpm.min_date=0, "", _xlpm.min_date)
))</f>
        <v/>
      </c>
      <c r="V14" s="63" t="str" cm="1">
        <f t="array" ref="V14">IF(OR(M14="", M14="Deleted"), "", IFERROR(
  _xlfn.TEXTJOIN(", ", TRUE,
    _xlfn.MAP(
      _xlfn.UNIQUE(
        _xlfn._xlws.FILTER(
          [1]SubmittalLog!$B$1:$B$4000,
          ([1]SubmittalLog!$E$1:$E$4000=M14) *
          ([1]SubmittalLog!$B$1:$B$4000&lt;&gt;""),
          ""
        )
      ),
      _xlfn.LAMBDA(_xlpm.val, TEXT(_xlpm.val, "000000"))
    )
  ),
""))</f>
        <v/>
      </c>
      <c r="W14" s="40" t="str" cm="1">
        <f t="array" ref="W14">IF(OR(M14="", M14="Deleted"), "", _xlfn.LET(
  _xlpm.doc_col, [1]SubmittalLog!$E$1:$E$4000,
  _xlpm.date_col, [1]SubmittalLog!$H$1:$H$4000,
  _xlpm.status_col, [1]SubmittalLog!$N$1:$N$4000,
  _xlpm.latest_date, _xlfn.MAXIFS(_xlpm.date_col, _xlpm.doc_col, M14),
  IF(_xlpm.latest_date=0, "NFS",
    _xlfn.LET(
      _xlpm.res, _xlfn.XLOOKUP(M14 &amp; "|" &amp; _xlpm.latest_date, _xlpm.doc_col &amp; "|" &amp; _xlpm.date_col, _xlpm.status_col, ""),
      IF(OR(_xlpm.res="", _xlpm.res=0), "", _xlpm.res)
    )
  )
))</f>
        <v>NFS</v>
      </c>
      <c r="X14" s="39" t="str">
        <f>IF(OR(M14="", M14="Deleted"), "", _xlfn.LET(
  _xlpm.doc_col, [1]SubmittalLog!$E$1:$E$4000,
  _xlpm.date_col, [1]SubmittalLog!$H$1:$H$4000,
  _xlpm.status_col, [1]SubmittalLog!$O$1:$O$4000,
  _xlpm.first_app_date, _xlfn.MINIFS(_xlpm.date_col, _xlpm.doc_col, M14, _xlpm.status_col, "APP"),
  _xlpm.first_awc_date, _xlfn.MINIFS(_xlpm.date_col, _xlpm.doc_col, M14, _xlpm.status_col, "AWC"),
  _xlpm.earliest_date, IF(
    AND(_xlpm.first_app_date=0, _xlpm.first_awc_date=0), 0,
    IF(_xlpm.first_app_date=0, _xlpm.first_awc_date,
    IF(_xlpm.first_awc_date=0, _xlpm.first_app_date,
    MIN(_xlpm.first_app_date, _xlpm.first_awc_date)))
  ),
  IF(_xlpm.earliest_date=0, "", _xlpm.earliest_date)
))</f>
        <v/>
      </c>
      <c r="Y14" s="40" t="str" cm="1">
        <f t="array" ref="Y14">IF(OR(M14="", M14="Deleted"), "", _xlfn.LET(
  _xlpm.doc_col, [1]SubmittalLog!$E$1:$E$4000,
  _xlpm.date_col, [1]SubmittalLog!$H$1:$H$4000,
  _xlpm.status_col, [1]SubmittalLog!$O$1:$O$4000,
  _xlpm.has_sub, COUNTIF(_xlpm.doc_col, M14),
  _xlpm.latest_reviewed_date, _xlfn.MAXIFS(_xlpm.date_col, _xlpm.doc_col, M14, _xlpm.status_col, "&lt;&gt;"),
  IF(_xlpm.has_sub=0, "",
    IF(_xlpm.latest_reviewed_date=0, "",
      _xlfn.LET(
        _xlpm.res, _xlfn.XLOOKUP(1, (_xlpm.doc_col=M14) * (_xlpm.date_col=_xlpm.latest_reviewed_date) * (_xlpm.status_col&lt;&gt;""), _xlpm.status_col, ""),
        IF(OR(_xlpm.res="", _xlpm.res=0), "", _xlpm.res)
      )
    )
  )
))</f>
        <v/>
      </c>
    </row>
    <row r="15" spans="1:25" x14ac:dyDescent="0.35">
      <c r="A15" s="11">
        <f>IF($M15="","",MAX($A$1:A14)+1)</f>
        <v>12</v>
      </c>
      <c r="B15" t="s">
        <v>213</v>
      </c>
      <c r="C15" t="s">
        <v>202</v>
      </c>
      <c r="G15" s="11">
        <v>131236</v>
      </c>
      <c r="H15" s="11" t="s">
        <v>59</v>
      </c>
      <c r="I15" s="11" t="s">
        <v>442</v>
      </c>
      <c r="J15" s="11" t="s">
        <v>206</v>
      </c>
      <c r="K15" s="11" t="s">
        <v>3466</v>
      </c>
      <c r="M15" s="34" t="str">
        <f t="shared" si="0"/>
        <v>131236-WIL21-SN-IM-xxxx</v>
      </c>
      <c r="P15" s="15" t="s">
        <v>3467</v>
      </c>
      <c r="R15" s="15" t="s">
        <v>3467</v>
      </c>
      <c r="S15" s="17">
        <v>46036</v>
      </c>
      <c r="U15" s="21" t="str" cm="1">
        <f t="array" ref="U15">IF(OR(M15="", M15="Deleted"), "", _xlfn.LET(
  _xlpm.dates,
  _xlfn._xlws.FILTER(
    [1]SubmittalLog!$H$1:$H$4000,
    [1]SubmittalLog!$E$1:$E$4000=M15,
    ""
  ),
  _xlpm.min_date, IFERROR(MIN(_xlpm.dates), ""),
  IF(_xlpm.min_date=0, "", _xlpm.min_date)
))</f>
        <v/>
      </c>
      <c r="V15" s="63" t="str" cm="1">
        <f t="array" ref="V15">IF(OR(M15="", M15="Deleted"), "", IFERROR(
  _xlfn.TEXTJOIN(", ", TRUE,
    _xlfn.MAP(
      _xlfn.UNIQUE(
        _xlfn._xlws.FILTER(
          [1]SubmittalLog!$B$1:$B$4000,
          ([1]SubmittalLog!$E$1:$E$4000=M15) *
          ([1]SubmittalLog!$B$1:$B$4000&lt;&gt;""),
          ""
        )
      ),
      _xlfn.LAMBDA(_xlpm.val, TEXT(_xlpm.val, "000000"))
    )
  ),
""))</f>
        <v/>
      </c>
      <c r="W15" s="40" t="str" cm="1">
        <f t="array" ref="W15">IF(OR(M15="", M15="Deleted"), "", _xlfn.LET(
  _xlpm.doc_col, [1]SubmittalLog!$E$1:$E$4000,
  _xlpm.date_col, [1]SubmittalLog!$H$1:$H$4000,
  _xlpm.status_col, [1]SubmittalLog!$N$1:$N$4000,
  _xlpm.latest_date, _xlfn.MAXIFS(_xlpm.date_col, _xlpm.doc_col, M15),
  IF(_xlpm.latest_date=0, "NFS",
    _xlfn.LET(
      _xlpm.res, _xlfn.XLOOKUP(M15 &amp; "|" &amp; _xlpm.latest_date, _xlpm.doc_col &amp; "|" &amp; _xlpm.date_col, _xlpm.status_col, ""),
      IF(OR(_xlpm.res="", _xlpm.res=0), "", _xlpm.res)
    )
  )
))</f>
        <v>NFS</v>
      </c>
      <c r="X15" s="39" t="str">
        <f>IF(OR(M15="", M15="Deleted"), "", _xlfn.LET(
  _xlpm.doc_col, [1]SubmittalLog!$E$1:$E$4000,
  _xlpm.date_col, [1]SubmittalLog!$H$1:$H$4000,
  _xlpm.status_col, [1]SubmittalLog!$O$1:$O$4000,
  _xlpm.first_app_date, _xlfn.MINIFS(_xlpm.date_col, _xlpm.doc_col, M15, _xlpm.status_col, "APP"),
  _xlpm.first_awc_date, _xlfn.MINIFS(_xlpm.date_col, _xlpm.doc_col, M15, _xlpm.status_col, "AWC"),
  _xlpm.earliest_date, IF(
    AND(_xlpm.first_app_date=0, _xlpm.first_awc_date=0), 0,
    IF(_xlpm.first_app_date=0, _xlpm.first_awc_date,
    IF(_xlpm.first_awc_date=0, _xlpm.first_app_date,
    MIN(_xlpm.first_app_date, _xlpm.first_awc_date)))
  ),
  IF(_xlpm.earliest_date=0, "", _xlpm.earliest_date)
))</f>
        <v/>
      </c>
      <c r="Y15" s="40" t="str" cm="1">
        <f t="array" ref="Y15">IF(OR(M15="", M15="Deleted"), "", _xlfn.LET(
  _xlpm.doc_col, [1]SubmittalLog!$E$1:$E$4000,
  _xlpm.date_col, [1]SubmittalLog!$H$1:$H$4000,
  _xlpm.status_col, [1]SubmittalLog!$O$1:$O$4000,
  _xlpm.has_sub, COUNTIF(_xlpm.doc_col, M15),
  _xlpm.latest_reviewed_date, _xlfn.MAXIFS(_xlpm.date_col, _xlpm.doc_col, M15, _xlpm.status_col, "&lt;&gt;"),
  IF(_xlpm.has_sub=0, "",
    IF(_xlpm.latest_reviewed_date=0, "",
      _xlfn.LET(
        _xlpm.res, _xlfn.XLOOKUP(1, (_xlpm.doc_col=M15) * (_xlpm.date_col=_xlpm.latest_reviewed_date) * (_xlpm.status_col&lt;&gt;""), _xlpm.status_col, ""),
        IF(OR(_xlpm.res="", _xlpm.res=0), "", _xlpm.res)
      )
    )
  )
))</f>
        <v/>
      </c>
    </row>
    <row r="16" spans="1:25" x14ac:dyDescent="0.35">
      <c r="A16" s="11"/>
    </row>
    <row r="17" spans="1:1" x14ac:dyDescent="0.35">
      <c r="A17" s="11"/>
    </row>
    <row r="18" spans="1:1" x14ac:dyDescent="0.35">
      <c r="A18" s="11"/>
    </row>
    <row r="19" spans="1:1" x14ac:dyDescent="0.35">
      <c r="A19" s="11"/>
    </row>
    <row r="20" spans="1:1" x14ac:dyDescent="0.35">
      <c r="A20" s="11"/>
    </row>
    <row r="21" spans="1:1" x14ac:dyDescent="0.35">
      <c r="A21" s="11"/>
    </row>
    <row r="22" spans="1:1" x14ac:dyDescent="0.35">
      <c r="A22" s="11"/>
    </row>
    <row r="23" spans="1:1" x14ac:dyDescent="0.35">
      <c r="A23" s="11"/>
    </row>
    <row r="24" spans="1:1" x14ac:dyDescent="0.35">
      <c r="A24" s="11"/>
    </row>
    <row r="25" spans="1:1" x14ac:dyDescent="0.35">
      <c r="A25" s="11"/>
    </row>
    <row r="26" spans="1:1" x14ac:dyDescent="0.35">
      <c r="A26" s="11"/>
    </row>
    <row r="27" spans="1:1" x14ac:dyDescent="0.35">
      <c r="A27" s="11"/>
    </row>
    <row r="28" spans="1:1" x14ac:dyDescent="0.35">
      <c r="A28" s="11"/>
    </row>
    <row r="29" spans="1:1" x14ac:dyDescent="0.35">
      <c r="A29" s="11"/>
    </row>
    <row r="30" spans="1:1" x14ac:dyDescent="0.35">
      <c r="A30" s="11"/>
    </row>
    <row r="31" spans="1:1" x14ac:dyDescent="0.35">
      <c r="A31" s="11"/>
    </row>
    <row r="32" spans="1:1" x14ac:dyDescent="0.35">
      <c r="A32" s="11"/>
    </row>
    <row r="33" spans="1:1" x14ac:dyDescent="0.35">
      <c r="A33" s="11"/>
    </row>
    <row r="34" spans="1:1" x14ac:dyDescent="0.35">
      <c r="A34" s="11"/>
    </row>
    <row r="35" spans="1:1" x14ac:dyDescent="0.35">
      <c r="A35" s="11"/>
    </row>
    <row r="36" spans="1:1" x14ac:dyDescent="0.35">
      <c r="A36" s="11"/>
    </row>
    <row r="37" spans="1:1" x14ac:dyDescent="0.35">
      <c r="A37" s="11"/>
    </row>
    <row r="38" spans="1:1" x14ac:dyDescent="0.35">
      <c r="A38" s="11"/>
    </row>
  </sheetData>
  <conditionalFormatting sqref="A1:XFD1048576">
    <cfRule type="expression" dxfId="6" priority="1">
      <formula>_xlfn.ISFORMULA(A1)</formula>
    </cfRule>
  </conditionalFormatting>
  <dataValidations count="2">
    <dataValidation type="list" allowBlank="1" showInputMessage="1" showErrorMessage="1" sqref="R2:R1048576 P2:P1048576" xr:uid="{6875AF42-0A9B-4EDA-AE43-9776E0DCA34D}">
      <formula1>"YES,NO"</formula1>
    </dataValidation>
    <dataValidation type="date" operator="greaterThan" allowBlank="1" showInputMessage="1" showErrorMessage="1" sqref="S2:T1048576 U16:U1048576" xr:uid="{7F68CCA8-DF98-405A-807D-0E8FF8DE4CFD}">
      <formula1>45658</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8">
        <x14:dataValidation type="list" allowBlank="1" showInputMessage="1" showErrorMessage="1" xr:uid="{AC12A1D1-A5F5-4D6B-A59A-24B9629A3980}">
          <x14:formula1>
            <xm:f>BQ!$A:$A</xm:f>
          </x14:formula1>
          <xm:sqref>E2:E1048576</xm:sqref>
        </x14:dataValidation>
        <x14:dataValidation type="list" allowBlank="1" showInputMessage="1" showErrorMessage="1" xr:uid="{C2E6F947-D4F8-48BD-8582-84592A276857}">
          <x14:formula1>
            <xm:f>Code!$K:$K</xm:f>
          </x14:formula1>
          <xm:sqref>G2:G1048576</xm:sqref>
        </x14:dataValidation>
        <x14:dataValidation type="list" allowBlank="1" showInputMessage="1" showErrorMessage="1" xr:uid="{6EFF958D-99D2-438E-891F-5DC18C578FA8}">
          <x14:formula1>
            <xm:f>Code!$T:$T</xm:f>
          </x14:formula1>
          <xm:sqref>J2:J1048576</xm:sqref>
        </x14:dataValidation>
        <x14:dataValidation type="list" allowBlank="1" showInputMessage="1" showErrorMessage="1" xr:uid="{CF2651E6-0FE5-406C-A367-313385CB0317}">
          <x14:formula1>
            <xm:f>Code!$Q:$Q</xm:f>
          </x14:formula1>
          <xm:sqref>I2:I1048576</xm:sqref>
        </x14:dataValidation>
        <x14:dataValidation type="list" allowBlank="1" showInputMessage="1" showErrorMessage="1" xr:uid="{5788BB61-CABC-4202-B071-6A24F386B377}">
          <x14:formula1>
            <xm:f>Code!$N:$N</xm:f>
          </x14:formula1>
          <xm:sqref>H2:H1048576</xm:sqref>
        </x14:dataValidation>
        <x14:dataValidation type="list" allowBlank="1" showInputMessage="1" showErrorMessage="1" xr:uid="{4FE8840B-459E-4232-A944-6AF7EC5DE369}">
          <x14:formula1>
            <xm:f>Code!$H:$H</xm:f>
          </x14:formula1>
          <xm:sqref>C2:C1048576</xm:sqref>
        </x14:dataValidation>
        <x14:dataValidation type="list" allowBlank="1" showInputMessage="1" showErrorMessage="1" xr:uid="{417906D5-E6E6-429F-B18A-ECB4B5CC3F01}">
          <x14:formula1>
            <xm:f>Code!$E:$E</xm:f>
          </x14:formula1>
          <xm:sqref>B2:B1048576</xm:sqref>
        </x14:dataValidation>
        <x14:dataValidation type="list" allowBlank="1" showInputMessage="1" showErrorMessage="1" xr:uid="{4E158030-88BD-49CC-B5A2-A225F45D022A}">
          <x14:formula1>
            <xm:f>Code!$Z:$Z</xm:f>
          </x14:formula1>
          <xm:sqref>Q2:Q1048576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ECDA1E-5E6C-4081-96D8-4BE17D5DCF24}">
  <dimension ref="A1:Y404"/>
  <sheetViews>
    <sheetView workbookViewId="0">
      <pane ySplit="1" topLeftCell="A333" activePane="bottomLeft" state="frozen"/>
      <selection activeCell="L30" sqref="L30"/>
      <selection pane="bottomLeft" activeCell="Y339" sqref="Y339"/>
    </sheetView>
  </sheetViews>
  <sheetFormatPr defaultColWidth="8.7265625" defaultRowHeight="14.5" x14ac:dyDescent="0.35"/>
  <cols>
    <col min="1" max="2" width="8.7265625" style="23"/>
    <col min="3" max="3" width="14.1796875" style="23" bestFit="1" customWidth="1"/>
    <col min="4" max="4" width="18.26953125" style="23" customWidth="1"/>
    <col min="5" max="5" width="10.7265625" style="23" bestFit="1" customWidth="1"/>
    <col min="6" max="6" width="29.54296875" style="23" customWidth="1"/>
    <col min="7" max="7" width="11.7265625" style="33" bestFit="1" customWidth="1"/>
    <col min="8" max="8" width="12.54296875" style="33" bestFit="1" customWidth="1"/>
    <col min="9" max="9" width="8.54296875" style="33" bestFit="1" customWidth="1"/>
    <col min="10" max="10" width="9.26953125" style="33" bestFit="1" customWidth="1"/>
    <col min="11" max="11" width="12.453125" style="51" bestFit="1" customWidth="1"/>
    <col min="12" max="12" width="5.1796875" style="33" customWidth="1"/>
    <col min="13" max="13" width="26.81640625" style="34" customWidth="1"/>
    <col min="14" max="14" width="76.7265625" style="34" customWidth="1"/>
    <col min="15" max="16" width="8.453125" style="34" customWidth="1"/>
    <col min="17" max="17" width="9" style="34" bestFit="1" customWidth="1"/>
    <col min="18" max="18" width="11.453125" style="34" bestFit="1" customWidth="1"/>
    <col min="19" max="19" width="20.1796875" style="35" bestFit="1" customWidth="1"/>
    <col min="20" max="20" width="24.54296875" style="35" customWidth="1"/>
    <col min="21" max="21" width="18.54296875" style="39" bestFit="1" customWidth="1"/>
    <col min="22" max="22" width="21" style="63" customWidth="1"/>
    <col min="23" max="23" width="27" style="40" bestFit="1" customWidth="1"/>
    <col min="24" max="24" width="18.54296875" style="39" bestFit="1" customWidth="1"/>
    <col min="25" max="25" width="19.81640625" style="40" bestFit="1" customWidth="1"/>
    <col min="26" max="16384" width="8.7265625" style="23"/>
  </cols>
  <sheetData>
    <row r="1" spans="1:25" s="32" customFormat="1" x14ac:dyDescent="0.35">
      <c r="A1" s="29" t="s">
        <v>225</v>
      </c>
      <c r="B1" s="30" t="s">
        <v>237</v>
      </c>
      <c r="C1" s="30" t="s">
        <v>30</v>
      </c>
      <c r="D1" s="30" t="s">
        <v>260</v>
      </c>
      <c r="E1" s="30" t="s">
        <v>270</v>
      </c>
      <c r="F1" s="30" t="s">
        <v>281</v>
      </c>
      <c r="G1" s="29" t="s">
        <v>75</v>
      </c>
      <c r="H1" s="29" t="s">
        <v>303</v>
      </c>
      <c r="I1" s="29" t="s">
        <v>315</v>
      </c>
      <c r="J1" s="29" t="s">
        <v>327</v>
      </c>
      <c r="K1" s="50" t="s">
        <v>334</v>
      </c>
      <c r="L1" s="29" t="s">
        <v>340</v>
      </c>
      <c r="M1" s="29" t="s">
        <v>346</v>
      </c>
      <c r="N1" s="29" t="s">
        <v>352</v>
      </c>
      <c r="O1" s="29" t="s">
        <v>358</v>
      </c>
      <c r="P1" s="30" t="s">
        <v>364</v>
      </c>
      <c r="Q1" s="30" t="s">
        <v>370</v>
      </c>
      <c r="R1" s="30" t="s">
        <v>376</v>
      </c>
      <c r="S1" s="31" t="s">
        <v>380</v>
      </c>
      <c r="T1" s="31" t="s">
        <v>384</v>
      </c>
      <c r="U1" s="36" t="s">
        <v>388</v>
      </c>
      <c r="V1" s="62" t="s">
        <v>392</v>
      </c>
      <c r="W1" s="14" t="s">
        <v>44</v>
      </c>
      <c r="X1" s="38" t="s">
        <v>399</v>
      </c>
      <c r="Y1" s="37" t="s">
        <v>403</v>
      </c>
    </row>
    <row r="2" spans="1:25" x14ac:dyDescent="0.35">
      <c r="A2" s="33" t="str">
        <f>IF($M2="","",MAX($A$1:A1)+1)</f>
        <v/>
      </c>
      <c r="M2" s="34" t="str">
        <f>IF(B2="Deleted","Deleted",_xlfn.TEXTJOIN("-",TRUE,G2,H2,I2,J2,IF(K2="","",TEXT(K2,"0000"))))</f>
        <v/>
      </c>
      <c r="N2" s="26"/>
      <c r="U2" s="64" t="str" cm="1">
        <f t="array" ref="U2">IF(OR(M2="", M2="Deleted"), "", _xlfn.LET(
  _xlpm.dates,
  _xlfn._xlws.FILTER(
    [1]SubmittalLog!$H$1:$H$4000,
    [1]SubmittalLog!$E$1:$E$4000=M2,
    ""
  ),
  _xlpm.min_date, IFERROR(MIN(_xlpm.dates), ""),
  IF(_xlpm.min_date=0, "", _xlpm.min_date)
))</f>
        <v/>
      </c>
      <c r="V2" s="63" t="str" cm="1">
        <f t="array" ref="V2">IF(OR(M2="", M2="Deleted"), "", IFERROR(
  _xlfn.TEXTJOIN(", ", TRUE,
    _xlfn.MAP(
      _xlfn.UNIQUE(
        _xlfn._xlws.FILTER(
          [1]SubmittalLog!$B$1:$B$4000,
          ([1]SubmittalLog!$E$1:$E$4000=M2) *
          ([1]SubmittalLog!$B$1:$B$4000&lt;&gt;""),
          ""
        )
      ),
      _xlfn.LAMBDA(_xlpm.val, TEXT(_xlpm.val, "000000"))
    )
  ),
""))</f>
        <v/>
      </c>
      <c r="W2" s="40" t="str" cm="1">
        <f t="array" ref="W2">IF(OR(M2="", M2="Deleted"), "", _xlfn.LET(
  _xlpm.doc_col, [1]SubmittalLog!$E$1:$E$4000,
  _xlpm.date_col, [1]SubmittalLog!$H$1:$H$4000,
  _xlpm.status_col, [1]SubmittalLog!$N$1:$N$4000,
  _xlpm.latest_date, _xlfn.MAXIFS(_xlpm.date_col, _xlpm.doc_col, M2),
  IF(_xlpm.latest_date=0, "NFS",
    _xlfn.LET(
      _xlpm.res, _xlfn.XLOOKUP(M2 &amp; "|" &amp; _xlpm.latest_date, _xlpm.doc_col &amp; "|" &amp; _xlpm.date_col, _xlpm.status_col, ""),
      IF(OR(_xlpm.res="", _xlpm.res=0), "", _xlpm.res)
    )
  )
))</f>
        <v/>
      </c>
      <c r="X2" s="39" t="str">
        <f>IF(OR(M2="", M2="Deleted"), "", _xlfn.LET(
  _xlpm.doc_col, [1]SubmittalLog!$E$1:$E$4000,
  _xlpm.date_col, [1]SubmittalLog!$H$1:$H$4000,
  _xlpm.status_col, [1]SubmittalLog!$O$1:$O$4000,
  _xlpm.first_app_date, _xlfn.MINIFS(_xlpm.date_col, _xlpm.doc_col, M2, _xlpm.status_col, "APP"),
  _xlpm.first_awc_date, _xlfn.MINIFS(_xlpm.date_col, _xlpm.doc_col, M2, _xlpm.status_col, "AWC"),
  _xlpm.earliest_date, IF(
    AND(_xlpm.first_app_date=0, _xlpm.first_awc_date=0), 0,
    IF(_xlpm.first_app_date=0, _xlpm.first_awc_date,
    IF(_xlpm.first_awc_date=0, _xlpm.first_app_date,
    MIN(_xlpm.first_app_date, _xlpm.first_awc_date)))
  ),
  IF(_xlpm.earliest_date=0, "", _xlpm.earliest_date)
))</f>
        <v/>
      </c>
      <c r="Y2" s="40" t="str" cm="1">
        <f t="array" ref="Y2">IF(OR(M2="", M2="Deleted"), "", _xlfn.LET(
  _xlpm.doc_col, [1]SubmittalLog!$E$1:$E$4000,
  _xlpm.date_col, [1]SubmittalLog!$H$1:$H$4000,
  _xlpm.status_col, [1]SubmittalLog!$O$1:$O$4000,
  _xlpm.has_sub, COUNTIF(_xlpm.doc_col, M2),
  _xlpm.latest_reviewed_date, _xlfn.MAXIFS(_xlpm.date_col, _xlpm.doc_col, M2, _xlpm.status_col, "&lt;&gt;"),
  IF(_xlpm.has_sub=0, "",
    IF(_xlpm.latest_reviewed_date=0, "",
      _xlfn.LET(
        _xlpm.res, _xlfn.XLOOKUP(1, (_xlpm.doc_col=M2) * (_xlpm.date_col=_xlpm.latest_reviewed_date) * (_xlpm.status_col&lt;&gt;""), _xlpm.status_col, ""),
        IF(OR(_xlpm.res="", _xlpm.res=0), "", _xlpm.res)
      )
    )
  )
))</f>
        <v/>
      </c>
    </row>
    <row r="3" spans="1:25" x14ac:dyDescent="0.35">
      <c r="A3" s="33" t="str">
        <f>IF($M3="","",MAX($A$1:A2)+1)</f>
        <v/>
      </c>
      <c r="M3" s="34" t="str">
        <f t="shared" ref="M3:M66" si="0">IF(B3="Deleted","Deleted",_xlfn.TEXTJOIN("-",TRUE,G3,H3,I3,J3,IF(K3="","",TEXT(K3,"0000"))))</f>
        <v/>
      </c>
      <c r="N3" s="26" t="s">
        <v>3468</v>
      </c>
      <c r="U3" s="64" t="str" cm="1">
        <f t="array" ref="U3">IF(OR(M3="", M3="Deleted"), "", _xlfn.LET(
  _xlpm.dates,
  _xlfn._xlws.FILTER(
    [1]SubmittalLog!$H$1:$H$4000,
    [1]SubmittalLog!$E$1:$E$4000=M3,
    ""
  ),
  _xlpm.min_date, IFERROR(MIN(_xlpm.dates), ""),
  IF(_xlpm.min_date=0, "", _xlpm.min_date)
))</f>
        <v/>
      </c>
      <c r="V3" s="63" t="str" cm="1">
        <f t="array" ref="V3">IF(OR(M3="", M3="Deleted"), "", IFERROR(
  _xlfn.TEXTJOIN(", ", TRUE,
    _xlfn.MAP(
      _xlfn.UNIQUE(
        _xlfn._xlws.FILTER(
          [1]SubmittalLog!$B$1:$B$4000,
          ([1]SubmittalLog!$E$1:$E$4000=M3) *
          ([1]SubmittalLog!$B$1:$B$4000&lt;&gt;""),
          ""
        )
      ),
      _xlfn.LAMBDA(_xlpm.val, TEXT(_xlpm.val, "000000"))
    )
  ),
""))</f>
        <v/>
      </c>
      <c r="W3" s="40" t="str" cm="1">
        <f t="array" ref="W3">IF(OR(M3="", M3="Deleted"), "", _xlfn.LET(
  _xlpm.doc_col, [1]SubmittalLog!$E$1:$E$4000,
  _xlpm.date_col, [1]SubmittalLog!$H$1:$H$4000,
  _xlpm.status_col, [1]SubmittalLog!$N$1:$N$4000,
  _xlpm.latest_date, _xlfn.MAXIFS(_xlpm.date_col, _xlpm.doc_col, M3),
  IF(_xlpm.latest_date=0, "NFS",
    _xlfn.LET(
      _xlpm.res, _xlfn.XLOOKUP(M3 &amp; "|" &amp; _xlpm.latest_date, _xlpm.doc_col &amp; "|" &amp; _xlpm.date_col, _xlpm.status_col, ""),
      IF(OR(_xlpm.res="", _xlpm.res=0), "", _xlpm.res)
    )
  )
))</f>
        <v/>
      </c>
      <c r="X3" s="39" t="str">
        <f>IF(OR(M3="", M3="Deleted"), "", _xlfn.LET(
  _xlpm.doc_col, [1]SubmittalLog!$E$1:$E$4000,
  _xlpm.date_col, [1]SubmittalLog!$H$1:$H$4000,
  _xlpm.status_col, [1]SubmittalLog!$O$1:$O$4000,
  _xlpm.first_app_date, _xlfn.MINIFS(_xlpm.date_col, _xlpm.doc_col, M3, _xlpm.status_col, "APP"),
  _xlpm.first_awc_date, _xlfn.MINIFS(_xlpm.date_col, _xlpm.doc_col, M3, _xlpm.status_col, "AWC"),
  _xlpm.earliest_date, IF(
    AND(_xlpm.first_app_date=0, _xlpm.first_awc_date=0), 0,
    IF(_xlpm.first_app_date=0, _xlpm.first_awc_date,
    IF(_xlpm.first_awc_date=0, _xlpm.first_app_date,
    MIN(_xlpm.first_app_date, _xlpm.first_awc_date)))
  ),
  IF(_xlpm.earliest_date=0, "", _xlpm.earliest_date)
))</f>
        <v/>
      </c>
      <c r="Y3" s="40" t="str" cm="1">
        <f t="array" ref="Y3">IF(OR(M3="", M3="Deleted"), "", _xlfn.LET(
  _xlpm.doc_col, [1]SubmittalLog!$E$1:$E$4000,
  _xlpm.date_col, [1]SubmittalLog!$H$1:$H$4000,
  _xlpm.status_col, [1]SubmittalLog!$O$1:$O$4000,
  _xlpm.has_sub, COUNTIF(_xlpm.doc_col, M3),
  _xlpm.latest_reviewed_date, _xlfn.MAXIFS(_xlpm.date_col, _xlpm.doc_col, M3, _xlpm.status_col, "&lt;&gt;"),
  IF(_xlpm.has_sub=0, "",
    IF(_xlpm.latest_reviewed_date=0, "",
      _xlfn.LET(
        _xlpm.res, _xlfn.XLOOKUP(1, (_xlpm.doc_col=M3) * (_xlpm.date_col=_xlpm.latest_reviewed_date) * (_xlpm.status_col&lt;&gt;""), _xlpm.status_col, ""),
        IF(OR(_xlpm.res="", _xlpm.res=0), "", _xlpm.res)
      )
    )
  )
))</f>
        <v/>
      </c>
    </row>
    <row r="4" spans="1:25" x14ac:dyDescent="0.35">
      <c r="A4" s="33">
        <f>IF($M4="","",MAX($A$1:A3)+1)</f>
        <v>1</v>
      </c>
      <c r="B4" s="23" t="s">
        <v>239</v>
      </c>
      <c r="C4" s="23" t="s">
        <v>56</v>
      </c>
      <c r="G4" s="33">
        <v>131236</v>
      </c>
      <c r="H4" s="33" t="s">
        <v>59</v>
      </c>
      <c r="I4" s="33" t="s">
        <v>456</v>
      </c>
      <c r="J4" s="33" t="s">
        <v>128</v>
      </c>
      <c r="K4" s="51" t="s">
        <v>3469</v>
      </c>
      <c r="M4" s="34" t="str">
        <f t="shared" si="0"/>
        <v>131236-WIL21-VI-D-0001</v>
      </c>
      <c r="N4" s="26" t="s">
        <v>3470</v>
      </c>
      <c r="P4" s="34" t="s">
        <v>3467</v>
      </c>
      <c r="R4" s="34" t="s">
        <v>3467</v>
      </c>
      <c r="S4" s="35">
        <v>45176</v>
      </c>
      <c r="T4" s="35">
        <v>45176</v>
      </c>
      <c r="U4" s="64" cm="1">
        <f t="array" ref="U4">IF(OR(M4="", M4="Deleted"), "", _xlfn.LET(
  _xlpm.dates,
  _xlfn._xlws.FILTER(
    [1]SubmittalLog!$H$1:$H$4000,
    [1]SubmittalLog!$E$1:$E$4000=M4,
    ""
  ),
  _xlpm.min_date, IFERROR(MIN(_xlpm.dates), ""),
  IF(_xlpm.min_date=0, "", _xlpm.min_date)
))</f>
        <v>45176</v>
      </c>
      <c r="V4" s="63" t="str" cm="1">
        <f t="array" ref="V4">IF(OR(M4="", M4="Deleted"), "", IFERROR(
  _xlfn.TEXTJOIN(", ", TRUE,
    _xlfn.MAP(
      _xlfn.UNIQUE(
        _xlfn._xlws.FILTER(
          [1]SubmittalLog!$B$1:$B$4000,
          ([1]SubmittalLog!$E$1:$E$4000=M4) *
          ([1]SubmittalLog!$B$1:$B$4000&lt;&gt;""),
          ""
        )
      ),
      _xlfn.LAMBDA(_xlpm.val, TEXT(_xlpm.val, "000000"))
    )
  ),
""))</f>
        <v>000090</v>
      </c>
      <c r="W4" s="40" t="str" cm="1">
        <f t="array" ref="W4">IF(OR(M4="", M4="Deleted"), "", _xlfn.LET(
  _xlpm.doc_col, [1]SubmittalLog!$E$1:$E$4000,
  _xlpm.date_col, [1]SubmittalLog!$H$1:$H$4000,
  _xlpm.status_col, [1]SubmittalLog!$N$1:$N$4000,
  _xlpm.latest_date, _xlfn.MAXIFS(_xlpm.date_col, _xlpm.doc_col, M4),
  IF(_xlpm.latest_date=0, "NFS",
    _xlfn.LET(
      _xlpm.res, _xlfn.XLOOKUP(M4 &amp; "|" &amp; _xlpm.latest_date, _xlpm.doc_col &amp; "|" &amp; _xlpm.date_col, _xlpm.status_col, ""),
      IF(OR(_xlpm.res="", _xlpm.res=0), "", _xlpm.res)
    )
  )
))</f>
        <v>SUR</v>
      </c>
      <c r="X4" s="39">
        <f>IF(OR(M4="", M4="Deleted"), "", _xlfn.LET(
  _xlpm.doc_col, [1]SubmittalLog!$E$1:$E$4000,
  _xlpm.date_col, [1]SubmittalLog!$H$1:$H$4000,
  _xlpm.status_col, [1]SubmittalLog!$O$1:$O$4000,
  _xlpm.first_app_date, _xlfn.MINIFS(_xlpm.date_col, _xlpm.doc_col, M4, _xlpm.status_col, "APP"),
  _xlpm.first_awc_date, _xlfn.MINIFS(_xlpm.date_col, _xlpm.doc_col, M4, _xlpm.status_col, "AWC"),
  _xlpm.earliest_date, IF(
    AND(_xlpm.first_app_date=0, _xlpm.first_awc_date=0), 0,
    IF(_xlpm.first_app_date=0, _xlpm.first_awc_date,
    IF(_xlpm.first_awc_date=0, _xlpm.first_app_date,
    MIN(_xlpm.first_app_date, _xlpm.first_awc_date)))
  ),
  IF(_xlpm.earliest_date=0, "", _xlpm.earliest_date)
))</f>
        <v>45176</v>
      </c>
      <c r="Y4" s="40" t="str" cm="1">
        <f t="array" ref="Y4">IF(OR(M4="", M4="Deleted"), "", _xlfn.LET(
  _xlpm.doc_col, [1]SubmittalLog!$E$1:$E$4000,
  _xlpm.date_col, [1]SubmittalLog!$H$1:$H$4000,
  _xlpm.status_col, [1]SubmittalLog!$O$1:$O$4000,
  _xlpm.has_sub, COUNTIF(_xlpm.doc_col, M4),
  _xlpm.latest_reviewed_date, _xlfn.MAXIFS(_xlpm.date_col, _xlpm.doc_col, M4, _xlpm.status_col, "&lt;&gt;"),
  IF(_xlpm.has_sub=0, "",
    IF(_xlpm.latest_reviewed_date=0, "",
      _xlfn.LET(
        _xlpm.res, _xlfn.XLOOKUP(1, (_xlpm.doc_col=M4) * (_xlpm.date_col=_xlpm.latest_reviewed_date) * (_xlpm.status_col&lt;&gt;""), _xlpm.status_col, ""),
        IF(OR(_xlpm.res="", _xlpm.res=0), "", _xlpm.res)
      )
    )
  )
))</f>
        <v>APP</v>
      </c>
    </row>
    <row r="5" spans="1:25" x14ac:dyDescent="0.35">
      <c r="A5" s="33">
        <f>IF($M5="","",MAX($A$1:A4)+1)</f>
        <v>2</v>
      </c>
      <c r="B5" s="23" t="s">
        <v>239</v>
      </c>
      <c r="C5" s="23" t="s">
        <v>257</v>
      </c>
      <c r="G5" s="33">
        <v>131236</v>
      </c>
      <c r="H5" s="33" t="s">
        <v>59</v>
      </c>
      <c r="I5" s="33" t="s">
        <v>456</v>
      </c>
      <c r="J5" s="33" t="s">
        <v>233</v>
      </c>
      <c r="K5" s="51" t="s">
        <v>3471</v>
      </c>
      <c r="M5" s="34" t="str">
        <f t="shared" si="0"/>
        <v>131236-WIL21-VI-M-0010</v>
      </c>
      <c r="N5" s="26" t="s">
        <v>3472</v>
      </c>
      <c r="P5" s="34" t="s">
        <v>3467</v>
      </c>
      <c r="R5" s="34" t="s">
        <v>3467</v>
      </c>
      <c r="S5" s="35">
        <v>45260</v>
      </c>
      <c r="T5" s="35">
        <v>45550</v>
      </c>
      <c r="U5" s="64" cm="1">
        <f t="array" ref="U5">IF(OR(M5="", M5="Deleted"), "", _xlfn.LET(
  _xlpm.dates,
  _xlfn._xlws.FILTER(
    [1]SubmittalLog!$H$1:$H$4000,
    [1]SubmittalLog!$E$1:$E$4000=M5,
    ""
  ),
  _xlpm.min_date, IFERROR(MIN(_xlpm.dates), ""),
  IF(_xlpm.min_date=0, "", _xlpm.min_date)
))</f>
        <v>45590</v>
      </c>
      <c r="V5" s="63" t="str" cm="1">
        <f t="array" ref="V5">IF(OR(M5="", M5="Deleted"), "", IFERROR(
  _xlfn.TEXTJOIN(", ", TRUE,
    _xlfn.MAP(
      _xlfn.UNIQUE(
        _xlfn._xlws.FILTER(
          [1]SubmittalLog!$B$1:$B$4000,
          ([1]SubmittalLog!$E$1:$E$4000=M5) *
          ([1]SubmittalLog!$B$1:$B$4000&lt;&gt;""),
          ""
        )
      ),
      _xlfn.LAMBDA(_xlpm.val, TEXT(_xlpm.val, "000000"))
    )
  ),
""))</f>
        <v>000777</v>
      </c>
      <c r="W5" s="40" t="str" cm="1">
        <f t="array" ref="W5">IF(OR(M5="", M5="Deleted"), "", _xlfn.LET(
  _xlpm.doc_col, [1]SubmittalLog!$E$1:$E$4000,
  _xlpm.date_col, [1]SubmittalLog!$H$1:$H$4000,
  _xlpm.status_col, [1]SubmittalLog!$N$1:$N$4000,
  _xlpm.latest_date, _xlfn.MAXIFS(_xlpm.date_col, _xlpm.doc_col, M5),
  IF(_xlpm.latest_date=0, "NFS",
    _xlfn.LET(
      _xlpm.res, _xlfn.XLOOKUP(M5 &amp; "|" &amp; _xlpm.latest_date, _xlpm.doc_col &amp; "|" &amp; _xlpm.date_col, _xlpm.status_col, ""),
      IF(OR(_xlpm.res="", _xlpm.res=0), "", _xlpm.res)
    )
  )
))</f>
        <v>RTR</v>
      </c>
      <c r="X5" s="39">
        <f>IF(OR(M5="", M5="Deleted"), "", _xlfn.LET(
  _xlpm.doc_col, [1]SubmittalLog!$E$1:$E$4000,
  _xlpm.date_col, [1]SubmittalLog!$H$1:$H$4000,
  _xlpm.status_col, [1]SubmittalLog!$O$1:$O$4000,
  _xlpm.first_app_date, _xlfn.MINIFS(_xlpm.date_col, _xlpm.doc_col, M5, _xlpm.status_col, "APP"),
  _xlpm.first_awc_date, _xlfn.MINIFS(_xlpm.date_col, _xlpm.doc_col, M5, _xlpm.status_col, "AWC"),
  _xlpm.earliest_date, IF(
    AND(_xlpm.first_app_date=0, _xlpm.first_awc_date=0), 0,
    IF(_xlpm.first_app_date=0, _xlpm.first_awc_date,
    IF(_xlpm.first_awc_date=0, _xlpm.first_app_date,
    MIN(_xlpm.first_app_date, _xlpm.first_awc_date)))
  ),
  IF(_xlpm.earliest_date=0, "", _xlpm.earliest_date)
))</f>
        <v>45590</v>
      </c>
      <c r="Y5" s="40" t="str" cm="1">
        <f t="array" ref="Y5">IF(OR(M5="", M5="Deleted"), "", _xlfn.LET(
  _xlpm.doc_col, [1]SubmittalLog!$E$1:$E$4000,
  _xlpm.date_col, [1]SubmittalLog!$H$1:$H$4000,
  _xlpm.status_col, [1]SubmittalLog!$O$1:$O$4000,
  _xlpm.has_sub, COUNTIF(_xlpm.doc_col, M5),
  _xlpm.latest_reviewed_date, _xlfn.MAXIFS(_xlpm.date_col, _xlpm.doc_col, M5, _xlpm.status_col, "&lt;&gt;"),
  IF(_xlpm.has_sub=0, "",
    IF(_xlpm.latest_reviewed_date=0, "",
      _xlfn.LET(
        _xlpm.res, _xlfn.XLOOKUP(1, (_xlpm.doc_col=M5) * (_xlpm.date_col=_xlpm.latest_reviewed_date) * (_xlpm.status_col&lt;&gt;""), _xlpm.status_col, ""),
        IF(OR(_xlpm.res="", _xlpm.res=0), "", _xlpm.res)
      )
    )
  )
))</f>
        <v>AWC</v>
      </c>
    </row>
    <row r="6" spans="1:25" x14ac:dyDescent="0.35">
      <c r="A6" s="33">
        <f>IF($M6="","",MAX($A$1:A5)+1)</f>
        <v>3</v>
      </c>
      <c r="B6" s="23" t="s">
        <v>239</v>
      </c>
      <c r="C6" s="23" t="s">
        <v>257</v>
      </c>
      <c r="G6" s="33">
        <v>131236</v>
      </c>
      <c r="H6" s="33" t="s">
        <v>59</v>
      </c>
      <c r="I6" s="33" t="s">
        <v>456</v>
      </c>
      <c r="J6" s="33" t="s">
        <v>233</v>
      </c>
      <c r="K6" s="51" t="s">
        <v>3473</v>
      </c>
      <c r="M6" s="34" t="str">
        <f t="shared" si="0"/>
        <v>131236-WIL21-VI-M-2001</v>
      </c>
      <c r="N6" s="26" t="s">
        <v>3474</v>
      </c>
      <c r="P6" s="34" t="s">
        <v>3467</v>
      </c>
      <c r="R6" s="34" t="s">
        <v>3467</v>
      </c>
      <c r="S6" s="35">
        <v>45352</v>
      </c>
      <c r="T6" s="35">
        <v>45352</v>
      </c>
      <c r="U6" s="64" cm="1">
        <f t="array" ref="U6">IF(OR(M6="", M6="Deleted"), "", _xlfn.LET(
  _xlpm.dates,
  _xlfn._xlws.FILTER(
    [1]SubmittalLog!$H$1:$H$4000,
    [1]SubmittalLog!$E$1:$E$4000=M6,
    ""
  ),
  _xlpm.min_date, IFERROR(MIN(_xlpm.dates), ""),
  IF(_xlpm.min_date=0, "", _xlpm.min_date)
))</f>
        <v>45601</v>
      </c>
      <c r="V6" s="63" t="str" cm="1">
        <f t="array" ref="V6">IF(OR(M6="", M6="Deleted"), "", IFERROR(
  _xlfn.TEXTJOIN(", ", TRUE,
    _xlfn.MAP(
      _xlfn.UNIQUE(
        _xlfn._xlws.FILTER(
          [1]SubmittalLog!$B$1:$B$4000,
          ([1]SubmittalLog!$E$1:$E$4000=M6) *
          ([1]SubmittalLog!$B$1:$B$4000&lt;&gt;""),
          ""
        )
      ),
      _xlfn.LAMBDA(_xlpm.val, TEXT(_xlpm.val, "000000"))
    )
  ),
""))</f>
        <v>000799</v>
      </c>
      <c r="W6" s="40" t="str" cm="1">
        <f t="array" ref="W6">IF(OR(M6="", M6="Deleted"), "", _xlfn.LET(
  _xlpm.doc_col, [1]SubmittalLog!$E$1:$E$4000,
  _xlpm.date_col, [1]SubmittalLog!$H$1:$H$4000,
  _xlpm.status_col, [1]SubmittalLog!$N$1:$N$4000,
  _xlpm.latest_date, _xlfn.MAXIFS(_xlpm.date_col, _xlpm.doc_col, M6),
  IF(_xlpm.latest_date=0, "NFS",
    _xlfn.LET(
      _xlpm.res, _xlfn.XLOOKUP(M6 &amp; "|" &amp; _xlpm.latest_date, _xlpm.doc_col &amp; "|" &amp; _xlpm.date_col, _xlpm.status_col, ""),
      IF(OR(_xlpm.res="", _xlpm.res=0), "", _xlpm.res)
    )
  )
))</f>
        <v>RTR</v>
      </c>
      <c r="X6" s="39">
        <f>IF(OR(M6="", M6="Deleted"), "", _xlfn.LET(
  _xlpm.doc_col, [1]SubmittalLog!$E$1:$E$4000,
  _xlpm.date_col, [1]SubmittalLog!$H$1:$H$4000,
  _xlpm.status_col, [1]SubmittalLog!$O$1:$O$4000,
  _xlpm.first_app_date, _xlfn.MINIFS(_xlpm.date_col, _xlpm.doc_col, M6, _xlpm.status_col, "APP"),
  _xlpm.first_awc_date, _xlfn.MINIFS(_xlpm.date_col, _xlpm.doc_col, M6, _xlpm.status_col, "AWC"),
  _xlpm.earliest_date, IF(
    AND(_xlpm.first_app_date=0, _xlpm.first_awc_date=0), 0,
    IF(_xlpm.first_app_date=0, _xlpm.first_awc_date,
    IF(_xlpm.first_awc_date=0, _xlpm.first_app_date,
    MIN(_xlpm.first_app_date, _xlpm.first_awc_date)))
  ),
  IF(_xlpm.earliest_date=0, "", _xlpm.earliest_date)
))</f>
        <v>45601</v>
      </c>
      <c r="Y6" s="40" t="str" cm="1">
        <f t="array" ref="Y6">IF(OR(M6="", M6="Deleted"), "", _xlfn.LET(
  _xlpm.doc_col, [1]SubmittalLog!$E$1:$E$4000,
  _xlpm.date_col, [1]SubmittalLog!$H$1:$H$4000,
  _xlpm.status_col, [1]SubmittalLog!$O$1:$O$4000,
  _xlpm.has_sub, COUNTIF(_xlpm.doc_col, M6),
  _xlpm.latest_reviewed_date, _xlfn.MAXIFS(_xlpm.date_col, _xlpm.doc_col, M6, _xlpm.status_col, "&lt;&gt;"),
  IF(_xlpm.has_sub=0, "",
    IF(_xlpm.latest_reviewed_date=0, "",
      _xlfn.LET(
        _xlpm.res, _xlfn.XLOOKUP(1, (_xlpm.doc_col=M6) * (_xlpm.date_col=_xlpm.latest_reviewed_date) * (_xlpm.status_col&lt;&gt;""), _xlpm.status_col, ""),
        IF(OR(_xlpm.res="", _xlpm.res=0), "", _xlpm.res)
      )
    )
  )
))</f>
        <v>APP</v>
      </c>
    </row>
    <row r="7" spans="1:25" x14ac:dyDescent="0.35">
      <c r="A7" s="33">
        <f>IF($M7="","",MAX($A$1:A6)+1)</f>
        <v>4</v>
      </c>
      <c r="B7" s="23" t="s">
        <v>239</v>
      </c>
      <c r="C7" s="23" t="s">
        <v>257</v>
      </c>
      <c r="G7" s="33">
        <v>131236</v>
      </c>
      <c r="H7" s="33" t="s">
        <v>59</v>
      </c>
      <c r="I7" s="33" t="s">
        <v>456</v>
      </c>
      <c r="J7" s="33" t="s">
        <v>233</v>
      </c>
      <c r="K7" s="51">
        <v>2002</v>
      </c>
      <c r="M7" s="34" t="str">
        <f t="shared" si="0"/>
        <v>131236-WIL21-VI-M-2002</v>
      </c>
      <c r="N7" s="26" t="s">
        <v>3475</v>
      </c>
      <c r="P7" s="34" t="s">
        <v>3467</v>
      </c>
      <c r="R7" s="34" t="s">
        <v>3467</v>
      </c>
      <c r="S7" s="35">
        <v>45478</v>
      </c>
      <c r="T7" s="35">
        <v>45646</v>
      </c>
      <c r="U7" s="64" cm="1">
        <f t="array" ref="U7">IF(OR(M7="", M7="Deleted"), "", _xlfn.LET(
  _xlpm.dates,
  _xlfn._xlws.FILTER(
    [1]SubmittalLog!$H$1:$H$4000,
    [1]SubmittalLog!$E$1:$E$4000=M7,
    ""
  ),
  _xlpm.min_date, IFERROR(MIN(_xlpm.dates), ""),
  IF(_xlpm.min_date=0, "", _xlpm.min_date)
))</f>
        <v>45677</v>
      </c>
      <c r="V7" s="63" t="str" cm="1">
        <f t="array" ref="V7">IF(OR(M7="", M7="Deleted"), "", IFERROR(
  _xlfn.TEXTJOIN(", ", TRUE,
    _xlfn.MAP(
      _xlfn.UNIQUE(
        _xlfn._xlws.FILTER(
          [1]SubmittalLog!$B$1:$B$4000,
          ([1]SubmittalLog!$E$1:$E$4000=M7) *
          ([1]SubmittalLog!$B$1:$B$4000&lt;&gt;""),
          ""
        )
      ),
      _xlfn.LAMBDA(_xlpm.val, TEXT(_xlpm.val, "000000"))
    )
  ),
""))</f>
        <v>000989</v>
      </c>
      <c r="W7" s="40" t="str" cm="1">
        <f t="array" ref="W7">IF(OR(M7="", M7="Deleted"), "", _xlfn.LET(
  _xlpm.doc_col, [1]SubmittalLog!$E$1:$E$4000,
  _xlpm.date_col, [1]SubmittalLog!$H$1:$H$4000,
  _xlpm.status_col, [1]SubmittalLog!$N$1:$N$4000,
  _xlpm.latest_date, _xlfn.MAXIFS(_xlpm.date_col, _xlpm.doc_col, M7),
  IF(_xlpm.latest_date=0, "NFS",
    _xlfn.LET(
      _xlpm.res, _xlfn.XLOOKUP(M7 &amp; "|" &amp; _xlpm.latest_date, _xlpm.doc_col &amp; "|" &amp; _xlpm.date_col, _xlpm.status_col, ""),
      IF(OR(_xlpm.res="", _xlpm.res=0), "", _xlpm.res)
    )
  )
))</f>
        <v>RTR</v>
      </c>
      <c r="X7" s="39">
        <f>IF(OR(M7="", M7="Deleted"), "", _xlfn.LET(
  _xlpm.doc_col, [1]SubmittalLog!$E$1:$E$4000,
  _xlpm.date_col, [1]SubmittalLog!$H$1:$H$4000,
  _xlpm.status_col, [1]SubmittalLog!$O$1:$O$4000,
  _xlpm.first_app_date, _xlfn.MINIFS(_xlpm.date_col, _xlpm.doc_col, M7, _xlpm.status_col, "APP"),
  _xlpm.first_awc_date, _xlfn.MINIFS(_xlpm.date_col, _xlpm.doc_col, M7, _xlpm.status_col, "AWC"),
  _xlpm.earliest_date, IF(
    AND(_xlpm.first_app_date=0, _xlpm.first_awc_date=0), 0,
    IF(_xlpm.first_app_date=0, _xlpm.first_awc_date,
    IF(_xlpm.first_awc_date=0, _xlpm.first_app_date,
    MIN(_xlpm.first_app_date, _xlpm.first_awc_date)))
  ),
  IF(_xlpm.earliest_date=0, "", _xlpm.earliest_date)
))</f>
        <v>45677</v>
      </c>
      <c r="Y7" s="40" t="str" cm="1">
        <f t="array" ref="Y7">IF(OR(M7="", M7="Deleted"), "", _xlfn.LET(
  _xlpm.doc_col, [1]SubmittalLog!$E$1:$E$4000,
  _xlpm.date_col, [1]SubmittalLog!$H$1:$H$4000,
  _xlpm.status_col, [1]SubmittalLog!$O$1:$O$4000,
  _xlpm.has_sub, COUNTIF(_xlpm.doc_col, M7),
  _xlpm.latest_reviewed_date, _xlfn.MAXIFS(_xlpm.date_col, _xlpm.doc_col, M7, _xlpm.status_col, "&lt;&gt;"),
  IF(_xlpm.has_sub=0, "",
    IF(_xlpm.latest_reviewed_date=0, "",
      _xlfn.LET(
        _xlpm.res, _xlfn.XLOOKUP(1, (_xlpm.doc_col=M7) * (_xlpm.date_col=_xlpm.latest_reviewed_date) * (_xlpm.status_col&lt;&gt;""), _xlpm.status_col, ""),
        IF(OR(_xlpm.res="", _xlpm.res=0), "", _xlpm.res)
      )
    )
  )
))</f>
        <v>APP</v>
      </c>
    </row>
    <row r="8" spans="1:25" x14ac:dyDescent="0.35">
      <c r="A8" s="33">
        <f>IF($M8="","",MAX($A$1:A7)+1)</f>
        <v>5</v>
      </c>
      <c r="B8" s="23" t="s">
        <v>239</v>
      </c>
      <c r="C8" s="23" t="s">
        <v>257</v>
      </c>
      <c r="G8" s="33">
        <v>131236</v>
      </c>
      <c r="H8" s="33" t="s">
        <v>59</v>
      </c>
      <c r="I8" s="33" t="s">
        <v>456</v>
      </c>
      <c r="J8" s="33" t="s">
        <v>233</v>
      </c>
      <c r="K8" s="51" t="s">
        <v>3476</v>
      </c>
      <c r="M8" s="34" t="str">
        <f t="shared" si="0"/>
        <v>131236-WIL21-VI-M-2003</v>
      </c>
      <c r="N8" s="26" t="s">
        <v>3477</v>
      </c>
      <c r="P8" s="34" t="s">
        <v>3467</v>
      </c>
      <c r="R8" s="34" t="s">
        <v>3467</v>
      </c>
      <c r="S8" s="35">
        <v>45632</v>
      </c>
      <c r="T8" s="35">
        <v>45639</v>
      </c>
      <c r="U8" s="64" cm="1">
        <f t="array" ref="U8">IF(OR(M8="", M8="Deleted"), "", _xlfn.LET(
  _xlpm.dates,
  _xlfn._xlws.FILTER(
    [1]SubmittalLog!$H$1:$H$4000,
    [1]SubmittalLog!$E$1:$E$4000=M8,
    ""
  ),
  _xlpm.min_date, IFERROR(MIN(_xlpm.dates), ""),
  IF(_xlpm.min_date=0, "", _xlpm.min_date)
))</f>
        <v>45730</v>
      </c>
      <c r="V8" s="63" t="str" cm="1">
        <f t="array" ref="V8">IF(OR(M8="", M8="Deleted"), "", IFERROR(
  _xlfn.TEXTJOIN(", ", TRUE,
    _xlfn.MAP(
      _xlfn.UNIQUE(
        _xlfn._xlws.FILTER(
          [1]SubmittalLog!$B$1:$B$4000,
          ([1]SubmittalLog!$E$1:$E$4000=M8) *
          ([1]SubmittalLog!$B$1:$B$4000&lt;&gt;""),
          ""
        )
      ),
      _xlfn.LAMBDA(_xlpm.val, TEXT(_xlpm.val, "000000"))
    )
  ),
""))</f>
        <v>001125</v>
      </c>
      <c r="W8" s="40" t="str" cm="1">
        <f t="array" ref="W8">IF(OR(M8="", M8="Deleted"), "", _xlfn.LET(
  _xlpm.doc_col, [1]SubmittalLog!$E$1:$E$4000,
  _xlpm.date_col, [1]SubmittalLog!$H$1:$H$4000,
  _xlpm.status_col, [1]SubmittalLog!$N$1:$N$4000,
  _xlpm.latest_date, _xlfn.MAXIFS(_xlpm.date_col, _xlpm.doc_col, M8),
  IF(_xlpm.latest_date=0, "NFS",
    _xlfn.LET(
      _xlpm.res, _xlfn.XLOOKUP(M8 &amp; "|" &amp; _xlpm.latest_date, _xlpm.doc_col &amp; "|" &amp; _xlpm.date_col, _xlpm.status_col, ""),
      IF(OR(_xlpm.res="", _xlpm.res=0), "", _xlpm.res)
    )
  )
))</f>
        <v>RTR</v>
      </c>
      <c r="X8" s="39">
        <f>IF(OR(M8="", M8="Deleted"), "", _xlfn.LET(
  _xlpm.doc_col, [1]SubmittalLog!$E$1:$E$4000,
  _xlpm.date_col, [1]SubmittalLog!$H$1:$H$4000,
  _xlpm.status_col, [1]SubmittalLog!$O$1:$O$4000,
  _xlpm.first_app_date, _xlfn.MINIFS(_xlpm.date_col, _xlpm.doc_col, M8, _xlpm.status_col, "APP"),
  _xlpm.first_awc_date, _xlfn.MINIFS(_xlpm.date_col, _xlpm.doc_col, M8, _xlpm.status_col, "AWC"),
  _xlpm.earliest_date, IF(
    AND(_xlpm.first_app_date=0, _xlpm.first_awc_date=0), 0,
    IF(_xlpm.first_app_date=0, _xlpm.first_awc_date,
    IF(_xlpm.first_awc_date=0, _xlpm.first_app_date,
    MIN(_xlpm.first_app_date, _xlpm.first_awc_date)))
  ),
  IF(_xlpm.earliest_date=0, "", _xlpm.earliest_date)
))</f>
        <v>45730</v>
      </c>
      <c r="Y8" s="40" t="str" cm="1">
        <f t="array" ref="Y8">IF(OR(M8="", M8="Deleted"), "", _xlfn.LET(
  _xlpm.doc_col, [1]SubmittalLog!$E$1:$E$4000,
  _xlpm.date_col, [1]SubmittalLog!$H$1:$H$4000,
  _xlpm.status_col, [1]SubmittalLog!$O$1:$O$4000,
  _xlpm.has_sub, COUNTIF(_xlpm.doc_col, M8),
  _xlpm.latest_reviewed_date, _xlfn.MAXIFS(_xlpm.date_col, _xlpm.doc_col, M8, _xlpm.status_col, "&lt;&gt;"),
  IF(_xlpm.has_sub=0, "",
    IF(_xlpm.latest_reviewed_date=0, "",
      _xlfn.LET(
        _xlpm.res, _xlfn.XLOOKUP(1, (_xlpm.doc_col=M8) * (_xlpm.date_col=_xlpm.latest_reviewed_date) * (_xlpm.status_col&lt;&gt;""), _xlpm.status_col, ""),
        IF(OR(_xlpm.res="", _xlpm.res=0), "", _xlpm.res)
      )
    )
  )
))</f>
        <v>AWC</v>
      </c>
    </row>
    <row r="9" spans="1:25" x14ac:dyDescent="0.35">
      <c r="A9" s="33">
        <f>IF($M9="","",MAX($A$1:A8)+1)</f>
        <v>6</v>
      </c>
      <c r="B9" s="23" t="s">
        <v>239</v>
      </c>
      <c r="C9" s="23" t="s">
        <v>257</v>
      </c>
      <c r="G9" s="33">
        <v>131236</v>
      </c>
      <c r="H9" s="33" t="s">
        <v>59</v>
      </c>
      <c r="I9" s="33" t="s">
        <v>456</v>
      </c>
      <c r="J9" s="33" t="s">
        <v>233</v>
      </c>
      <c r="K9" s="51" t="s">
        <v>3478</v>
      </c>
      <c r="M9" s="34" t="str">
        <f t="shared" si="0"/>
        <v>131236-WIL21-VI-M-2004</v>
      </c>
      <c r="N9" s="26" t="s">
        <v>3479</v>
      </c>
      <c r="P9" s="34" t="s">
        <v>3467</v>
      </c>
      <c r="R9" s="34" t="s">
        <v>3467</v>
      </c>
      <c r="S9" s="35">
        <v>45632</v>
      </c>
      <c r="T9" s="35">
        <v>45639</v>
      </c>
      <c r="U9" s="64" cm="1">
        <f t="array" ref="U9">IF(OR(M9="", M9="Deleted"), "", _xlfn.LET(
  _xlpm.dates,
  _xlfn._xlws.FILTER(
    [1]SubmittalLog!$H$1:$H$4000,
    [1]SubmittalLog!$E$1:$E$4000=M9,
    ""
  ),
  _xlpm.min_date, IFERROR(MIN(_xlpm.dates), ""),
  IF(_xlpm.min_date=0, "", _xlpm.min_date)
))</f>
        <v>45645</v>
      </c>
      <c r="V9" s="63" t="str" cm="1">
        <f t="array" ref="V9">IF(OR(M9="", M9="Deleted"), "", IFERROR(
  _xlfn.TEXTJOIN(", ", TRUE,
    _xlfn.MAP(
      _xlfn.UNIQUE(
        _xlfn._xlws.FILTER(
          [1]SubmittalLog!$B$1:$B$4000,
          ([1]SubmittalLog!$E$1:$E$4000=M9) *
          ([1]SubmittalLog!$B$1:$B$4000&lt;&gt;""),
          ""
        )
      ),
      _xlfn.LAMBDA(_xlpm.val, TEXT(_xlpm.val, "000000"))
    )
  ),
""))</f>
        <v>000921</v>
      </c>
      <c r="W9" s="40" t="str" cm="1">
        <f t="array" ref="W9">IF(OR(M9="", M9="Deleted"), "", _xlfn.LET(
  _xlpm.doc_col, [1]SubmittalLog!$E$1:$E$4000,
  _xlpm.date_col, [1]SubmittalLog!$H$1:$H$4000,
  _xlpm.status_col, [1]SubmittalLog!$N$1:$N$4000,
  _xlpm.latest_date, _xlfn.MAXIFS(_xlpm.date_col, _xlpm.doc_col, M9),
  IF(_xlpm.latest_date=0, "NFS",
    _xlfn.LET(
      _xlpm.res, _xlfn.XLOOKUP(M9 &amp; "|" &amp; _xlpm.latest_date, _xlpm.doc_col &amp; "|" &amp; _xlpm.date_col, _xlpm.status_col, ""),
      IF(OR(_xlpm.res="", _xlpm.res=0), "", _xlpm.res)
    )
  )
))</f>
        <v>RTR</v>
      </c>
      <c r="X9" s="39">
        <f>IF(OR(M9="", M9="Deleted"), "", _xlfn.LET(
  _xlpm.doc_col, [1]SubmittalLog!$E$1:$E$4000,
  _xlpm.date_col, [1]SubmittalLog!$H$1:$H$4000,
  _xlpm.status_col, [1]SubmittalLog!$O$1:$O$4000,
  _xlpm.first_app_date, _xlfn.MINIFS(_xlpm.date_col, _xlpm.doc_col, M9, _xlpm.status_col, "APP"),
  _xlpm.first_awc_date, _xlfn.MINIFS(_xlpm.date_col, _xlpm.doc_col, M9, _xlpm.status_col, "AWC"),
  _xlpm.earliest_date, IF(
    AND(_xlpm.first_app_date=0, _xlpm.first_awc_date=0), 0,
    IF(_xlpm.first_app_date=0, _xlpm.first_awc_date,
    IF(_xlpm.first_awc_date=0, _xlpm.first_app_date,
    MIN(_xlpm.first_app_date, _xlpm.first_awc_date)))
  ),
  IF(_xlpm.earliest_date=0, "", _xlpm.earliest_date)
))</f>
        <v>45645</v>
      </c>
      <c r="Y9" s="40" t="str" cm="1">
        <f t="array" ref="Y9">IF(OR(M9="", M9="Deleted"), "", _xlfn.LET(
  _xlpm.doc_col, [1]SubmittalLog!$E$1:$E$4000,
  _xlpm.date_col, [1]SubmittalLog!$H$1:$H$4000,
  _xlpm.status_col, [1]SubmittalLog!$O$1:$O$4000,
  _xlpm.has_sub, COUNTIF(_xlpm.doc_col, M9),
  _xlpm.latest_reviewed_date, _xlfn.MAXIFS(_xlpm.date_col, _xlpm.doc_col, M9, _xlpm.status_col, "&lt;&gt;"),
  IF(_xlpm.has_sub=0, "",
    IF(_xlpm.latest_reviewed_date=0, "",
      _xlfn.LET(
        _xlpm.res, _xlfn.XLOOKUP(1, (_xlpm.doc_col=M9) * (_xlpm.date_col=_xlpm.latest_reviewed_date) * (_xlpm.status_col&lt;&gt;""), _xlpm.status_col, ""),
        IF(OR(_xlpm.res="", _xlpm.res=0), "", _xlpm.res)
      )
    )
  )
))</f>
        <v>APP</v>
      </c>
    </row>
    <row r="10" spans="1:25" x14ac:dyDescent="0.35">
      <c r="A10" s="33">
        <f>IF($M10="","",MAX($A$1:A9)+1)</f>
        <v>7</v>
      </c>
      <c r="B10" s="23" t="s">
        <v>239</v>
      </c>
      <c r="C10" s="23" t="s">
        <v>257</v>
      </c>
      <c r="G10" s="33">
        <v>131236</v>
      </c>
      <c r="H10" s="33" t="s">
        <v>59</v>
      </c>
      <c r="I10" s="33" t="s">
        <v>456</v>
      </c>
      <c r="J10" s="33" t="s">
        <v>233</v>
      </c>
      <c r="K10" s="51" t="s">
        <v>3480</v>
      </c>
      <c r="M10" s="34" t="str">
        <f t="shared" si="0"/>
        <v>131236-WIL21-VI-M-2005</v>
      </c>
      <c r="N10" s="26" t="s">
        <v>3481</v>
      </c>
      <c r="P10" s="34" t="s">
        <v>3467</v>
      </c>
      <c r="R10" s="34" t="s">
        <v>3467</v>
      </c>
      <c r="S10" s="35">
        <v>45632</v>
      </c>
      <c r="T10" s="35">
        <v>45639</v>
      </c>
      <c r="U10" s="64" cm="1">
        <f t="array" ref="U10">IF(OR(M10="", M10="Deleted"), "", _xlfn.LET(
  _xlpm.dates,
  _xlfn._xlws.FILTER(
    [1]SubmittalLog!$H$1:$H$4000,
    [1]SubmittalLog!$E$1:$E$4000=M10,
    ""
  ),
  _xlpm.min_date, IFERROR(MIN(_xlpm.dates), ""),
  IF(_xlpm.min_date=0, "", _xlpm.min_date)
))</f>
        <v>45677</v>
      </c>
      <c r="V10" s="63" t="str" cm="1">
        <f t="array" ref="V10">IF(OR(M10="", M10="Deleted"), "", IFERROR(
  _xlfn.TEXTJOIN(", ", TRUE,
    _xlfn.MAP(
      _xlfn.UNIQUE(
        _xlfn._xlws.FILTER(
          [1]SubmittalLog!$B$1:$B$4000,
          ([1]SubmittalLog!$E$1:$E$4000=M10) *
          ([1]SubmittalLog!$B$1:$B$4000&lt;&gt;""),
          ""
        )
      ),
      _xlfn.LAMBDA(_xlpm.val, TEXT(_xlpm.val, "000000"))
    )
  ),
""))</f>
        <v>000988</v>
      </c>
      <c r="W10" s="40" t="str" cm="1">
        <f t="array" ref="W10">IF(OR(M10="", M10="Deleted"), "", _xlfn.LET(
  _xlpm.doc_col, [1]SubmittalLog!$E$1:$E$4000,
  _xlpm.date_col, [1]SubmittalLog!$H$1:$H$4000,
  _xlpm.status_col, [1]SubmittalLog!$N$1:$N$4000,
  _xlpm.latest_date, _xlfn.MAXIFS(_xlpm.date_col, _xlpm.doc_col, M10),
  IF(_xlpm.latest_date=0, "NFS",
    _xlfn.LET(
      _xlpm.res, _xlfn.XLOOKUP(M10 &amp; "|" &amp; _xlpm.latest_date, _xlpm.doc_col &amp; "|" &amp; _xlpm.date_col, _xlpm.status_col, ""),
      IF(OR(_xlpm.res="", _xlpm.res=0), "", _xlpm.res)
    )
  )
))</f>
        <v>RTR</v>
      </c>
      <c r="X10" s="39">
        <f>IF(OR(M10="", M10="Deleted"), "", _xlfn.LET(
  _xlpm.doc_col, [1]SubmittalLog!$E$1:$E$4000,
  _xlpm.date_col, [1]SubmittalLog!$H$1:$H$4000,
  _xlpm.status_col, [1]SubmittalLog!$O$1:$O$4000,
  _xlpm.first_app_date, _xlfn.MINIFS(_xlpm.date_col, _xlpm.doc_col, M10, _xlpm.status_col, "APP"),
  _xlpm.first_awc_date, _xlfn.MINIFS(_xlpm.date_col, _xlpm.doc_col, M10, _xlpm.status_col, "AWC"),
  _xlpm.earliest_date, IF(
    AND(_xlpm.first_app_date=0, _xlpm.first_awc_date=0), 0,
    IF(_xlpm.first_app_date=0, _xlpm.first_awc_date,
    IF(_xlpm.first_awc_date=0, _xlpm.first_app_date,
    MIN(_xlpm.first_app_date, _xlpm.first_awc_date)))
  ),
  IF(_xlpm.earliest_date=0, "", _xlpm.earliest_date)
))</f>
        <v>45677</v>
      </c>
      <c r="Y10" s="40" t="str" cm="1">
        <f t="array" ref="Y10">IF(OR(M10="", M10="Deleted"), "", _xlfn.LET(
  _xlpm.doc_col, [1]SubmittalLog!$E$1:$E$4000,
  _xlpm.date_col, [1]SubmittalLog!$H$1:$H$4000,
  _xlpm.status_col, [1]SubmittalLog!$O$1:$O$4000,
  _xlpm.has_sub, COUNTIF(_xlpm.doc_col, M10),
  _xlpm.latest_reviewed_date, _xlfn.MAXIFS(_xlpm.date_col, _xlpm.doc_col, M10, _xlpm.status_col, "&lt;&gt;"),
  IF(_xlpm.has_sub=0, "",
    IF(_xlpm.latest_reviewed_date=0, "",
      _xlfn.LET(
        _xlpm.res, _xlfn.XLOOKUP(1, (_xlpm.doc_col=M10) * (_xlpm.date_col=_xlpm.latest_reviewed_date) * (_xlpm.status_col&lt;&gt;""), _xlpm.status_col, ""),
        IF(OR(_xlpm.res="", _xlpm.res=0), "", _xlpm.res)
      )
    )
  )
))</f>
        <v>AWC</v>
      </c>
    </row>
    <row r="11" spans="1:25" x14ac:dyDescent="0.35">
      <c r="A11" s="33">
        <f>IF($M11="","",MAX($A$1:A10)+1)</f>
        <v>8</v>
      </c>
      <c r="B11" s="23" t="s">
        <v>239</v>
      </c>
      <c r="C11" s="23" t="s">
        <v>257</v>
      </c>
      <c r="G11" s="33">
        <v>131236</v>
      </c>
      <c r="H11" s="33" t="s">
        <v>59</v>
      </c>
      <c r="I11" s="33" t="s">
        <v>456</v>
      </c>
      <c r="J11" s="33" t="s">
        <v>233</v>
      </c>
      <c r="K11" s="51" t="s">
        <v>3482</v>
      </c>
      <c r="M11" s="34" t="str">
        <f t="shared" si="0"/>
        <v>131236-WIL21-VI-M-2007</v>
      </c>
      <c r="N11" s="26" t="s">
        <v>3483</v>
      </c>
      <c r="P11" s="34" t="s">
        <v>3467</v>
      </c>
      <c r="R11" s="34" t="s">
        <v>3467</v>
      </c>
      <c r="S11" s="35">
        <v>45728</v>
      </c>
      <c r="T11" s="35">
        <v>45728</v>
      </c>
      <c r="U11" s="64" cm="1">
        <f t="array" ref="U11">IF(OR(M11="", M11="Deleted"), "", _xlfn.LET(
  _xlpm.dates,
  _xlfn._xlws.FILTER(
    [1]SubmittalLog!$H$1:$H$4000,
    [1]SubmittalLog!$E$1:$E$4000=M11,
    ""
  ),
  _xlpm.min_date, IFERROR(MIN(_xlpm.dates), ""),
  IF(_xlpm.min_date=0, "", _xlpm.min_date)
))</f>
        <v>45728</v>
      </c>
      <c r="V11" s="63" t="str" cm="1">
        <f t="array" ref="V11">IF(OR(M11="", M11="Deleted"), "", IFERROR(
  _xlfn.TEXTJOIN(", ", TRUE,
    _xlfn.MAP(
      _xlfn.UNIQUE(
        _xlfn._xlws.FILTER(
          [1]SubmittalLog!$B$1:$B$4000,
          ([1]SubmittalLog!$E$1:$E$4000=M11) *
          ([1]SubmittalLog!$B$1:$B$4000&lt;&gt;""),
          ""
        )
      ),
      _xlfn.LAMBDA(_xlpm.val, TEXT(_xlpm.val, "000000"))
    )
  ),
""))</f>
        <v>001118</v>
      </c>
      <c r="W11" s="40" t="str" cm="1">
        <f t="array" ref="W11">IF(OR(M11="", M11="Deleted"), "", _xlfn.LET(
  _xlpm.doc_col, [1]SubmittalLog!$E$1:$E$4000,
  _xlpm.date_col, [1]SubmittalLog!$H$1:$H$4000,
  _xlpm.status_col, [1]SubmittalLog!$N$1:$N$4000,
  _xlpm.latest_date, _xlfn.MAXIFS(_xlpm.date_col, _xlpm.doc_col, M11),
  IF(_xlpm.latest_date=0, "NFS",
    _xlfn.LET(
      _xlpm.res, _xlfn.XLOOKUP(M11 &amp; "|" &amp; _xlpm.latest_date, _xlpm.doc_col &amp; "|" &amp; _xlpm.date_col, _xlpm.status_col, ""),
      IF(OR(_xlpm.res="", _xlpm.res=0), "", _xlpm.res)
    )
  )
))</f>
        <v>RTR</v>
      </c>
      <c r="X11" s="39">
        <f>IF(OR(M11="", M11="Deleted"), "", _xlfn.LET(
  _xlpm.doc_col, [1]SubmittalLog!$E$1:$E$4000,
  _xlpm.date_col, [1]SubmittalLog!$H$1:$H$4000,
  _xlpm.status_col, [1]SubmittalLog!$O$1:$O$4000,
  _xlpm.first_app_date, _xlfn.MINIFS(_xlpm.date_col, _xlpm.doc_col, M11, _xlpm.status_col, "APP"),
  _xlpm.first_awc_date, _xlfn.MINIFS(_xlpm.date_col, _xlpm.doc_col, M11, _xlpm.status_col, "AWC"),
  _xlpm.earliest_date, IF(
    AND(_xlpm.first_app_date=0, _xlpm.first_awc_date=0), 0,
    IF(_xlpm.first_app_date=0, _xlpm.first_awc_date,
    IF(_xlpm.first_awc_date=0, _xlpm.first_app_date,
    MIN(_xlpm.first_app_date, _xlpm.first_awc_date)))
  ),
  IF(_xlpm.earliest_date=0, "", _xlpm.earliest_date)
))</f>
        <v>45728</v>
      </c>
      <c r="Y11" s="40" t="str" cm="1">
        <f t="array" ref="Y11">IF(OR(M11="", M11="Deleted"), "", _xlfn.LET(
  _xlpm.doc_col, [1]SubmittalLog!$E$1:$E$4000,
  _xlpm.date_col, [1]SubmittalLog!$H$1:$H$4000,
  _xlpm.status_col, [1]SubmittalLog!$O$1:$O$4000,
  _xlpm.has_sub, COUNTIF(_xlpm.doc_col, M11),
  _xlpm.latest_reviewed_date, _xlfn.MAXIFS(_xlpm.date_col, _xlpm.doc_col, M11, _xlpm.status_col, "&lt;&gt;"),
  IF(_xlpm.has_sub=0, "",
    IF(_xlpm.latest_reviewed_date=0, "",
      _xlfn.LET(
        _xlpm.res, _xlfn.XLOOKUP(1, (_xlpm.doc_col=M11) * (_xlpm.date_col=_xlpm.latest_reviewed_date) * (_xlpm.status_col&lt;&gt;""), _xlpm.status_col, ""),
        IF(OR(_xlpm.res="", _xlpm.res=0), "", _xlpm.res)
      )
    )
  )
))</f>
        <v>AWC</v>
      </c>
    </row>
    <row r="12" spans="1:25" x14ac:dyDescent="0.35">
      <c r="A12" s="33">
        <f>IF($M12="","",MAX($A$1:A11)+1)</f>
        <v>9</v>
      </c>
      <c r="B12" s="23" t="s">
        <v>239</v>
      </c>
      <c r="C12" s="23" t="s">
        <v>257</v>
      </c>
      <c r="G12" s="33">
        <v>131236</v>
      </c>
      <c r="H12" s="33" t="s">
        <v>59</v>
      </c>
      <c r="I12" s="33" t="s">
        <v>456</v>
      </c>
      <c r="J12" s="33" t="s">
        <v>233</v>
      </c>
      <c r="K12" s="51">
        <v>2006</v>
      </c>
      <c r="M12" s="34" t="str">
        <f t="shared" si="0"/>
        <v>131236-WIL21-VI-M-2006</v>
      </c>
      <c r="N12" s="26" t="s">
        <v>3484</v>
      </c>
      <c r="P12" s="34" t="s">
        <v>3467</v>
      </c>
      <c r="R12" s="34" t="s">
        <v>3467</v>
      </c>
      <c r="S12" s="35">
        <v>45736</v>
      </c>
      <c r="T12" s="35">
        <v>45736</v>
      </c>
      <c r="U12" s="64" cm="1">
        <f t="array" ref="U12">IF(OR(M12="", M12="Deleted"), "", _xlfn.LET(
  _xlpm.dates,
  _xlfn._xlws.FILTER(
    [1]SubmittalLog!$H$1:$H$4000,
    [1]SubmittalLog!$E$1:$E$4000=M12,
    ""
  ),
  _xlpm.min_date, IFERROR(MIN(_xlpm.dates), ""),
  IF(_xlpm.min_date=0, "", _xlpm.min_date)
))</f>
        <v>45736</v>
      </c>
      <c r="V12" s="63" t="str" cm="1">
        <f t="array" ref="V12">IF(OR(M12="", M12="Deleted"), "", IFERROR(
  _xlfn.TEXTJOIN(", ", TRUE,
    _xlfn.MAP(
      _xlfn.UNIQUE(
        _xlfn._xlws.FILTER(
          [1]SubmittalLog!$B$1:$B$4000,
          ([1]SubmittalLog!$E$1:$E$4000=M12) *
          ([1]SubmittalLog!$B$1:$B$4000&lt;&gt;""),
          ""
        )
      ),
      _xlfn.LAMBDA(_xlpm.val, TEXT(_xlpm.val, "000000"))
    )
  ),
""))</f>
        <v>001139</v>
      </c>
      <c r="W12" s="40" t="str" cm="1">
        <f t="array" ref="W12">IF(OR(M12="", M12="Deleted"), "", _xlfn.LET(
  _xlpm.doc_col, [1]SubmittalLog!$E$1:$E$4000,
  _xlpm.date_col, [1]SubmittalLog!$H$1:$H$4000,
  _xlpm.status_col, [1]SubmittalLog!$N$1:$N$4000,
  _xlpm.latest_date, _xlfn.MAXIFS(_xlpm.date_col, _xlpm.doc_col, M12),
  IF(_xlpm.latest_date=0, "NFS",
    _xlfn.LET(
      _xlpm.res, _xlfn.XLOOKUP(M12 &amp; "|" &amp; _xlpm.latest_date, _xlpm.doc_col &amp; "|" &amp; _xlpm.date_col, _xlpm.status_col, ""),
      IF(OR(_xlpm.res="", _xlpm.res=0), "", _xlpm.res)
    )
  )
))</f>
        <v>RTR</v>
      </c>
      <c r="X12" s="39">
        <f>IF(OR(M12="", M12="Deleted"), "", _xlfn.LET(
  _xlpm.doc_col, [1]SubmittalLog!$E$1:$E$4000,
  _xlpm.date_col, [1]SubmittalLog!$H$1:$H$4000,
  _xlpm.status_col, [1]SubmittalLog!$O$1:$O$4000,
  _xlpm.first_app_date, _xlfn.MINIFS(_xlpm.date_col, _xlpm.doc_col, M12, _xlpm.status_col, "APP"),
  _xlpm.first_awc_date, _xlfn.MINIFS(_xlpm.date_col, _xlpm.doc_col, M12, _xlpm.status_col, "AWC"),
  _xlpm.earliest_date, IF(
    AND(_xlpm.first_app_date=0, _xlpm.first_awc_date=0), 0,
    IF(_xlpm.first_app_date=0, _xlpm.first_awc_date,
    IF(_xlpm.first_awc_date=0, _xlpm.first_app_date,
    MIN(_xlpm.first_app_date, _xlpm.first_awc_date)))
  ),
  IF(_xlpm.earliest_date=0, "", _xlpm.earliest_date)
))</f>
        <v>45736</v>
      </c>
      <c r="Y12" s="40" t="str" cm="1">
        <f t="array" ref="Y12">IF(OR(M12="", M12="Deleted"), "", _xlfn.LET(
  _xlpm.doc_col, [1]SubmittalLog!$E$1:$E$4000,
  _xlpm.date_col, [1]SubmittalLog!$H$1:$H$4000,
  _xlpm.status_col, [1]SubmittalLog!$O$1:$O$4000,
  _xlpm.has_sub, COUNTIF(_xlpm.doc_col, M12),
  _xlpm.latest_reviewed_date, _xlfn.MAXIFS(_xlpm.date_col, _xlpm.doc_col, M12, _xlpm.status_col, "&lt;&gt;"),
  IF(_xlpm.has_sub=0, "",
    IF(_xlpm.latest_reviewed_date=0, "",
      _xlfn.LET(
        _xlpm.res, _xlfn.XLOOKUP(1, (_xlpm.doc_col=M12) * (_xlpm.date_col=_xlpm.latest_reviewed_date) * (_xlpm.status_col&lt;&gt;""), _xlpm.status_col, ""),
        IF(OR(_xlpm.res="", _xlpm.res=0), "", _xlpm.res)
      )
    )
  )
))</f>
        <v>APP</v>
      </c>
    </row>
    <row r="13" spans="1:25" x14ac:dyDescent="0.35">
      <c r="A13" s="33">
        <f>IF($M13="","",MAX($A$1:A12)+1)</f>
        <v>10</v>
      </c>
      <c r="B13" s="23" t="s">
        <v>239</v>
      </c>
      <c r="C13" s="23" t="s">
        <v>257</v>
      </c>
      <c r="G13" s="33">
        <v>131236</v>
      </c>
      <c r="H13" s="33" t="s">
        <v>59</v>
      </c>
      <c r="I13" s="33" t="s">
        <v>456</v>
      </c>
      <c r="J13" s="33" t="s">
        <v>233</v>
      </c>
      <c r="K13" s="51" t="s">
        <v>3485</v>
      </c>
      <c r="M13" s="34" t="str">
        <f t="shared" si="0"/>
        <v>131236-WIL21-VI-M-2008</v>
      </c>
      <c r="N13" s="26" t="s">
        <v>3486</v>
      </c>
      <c r="P13" s="34" t="s">
        <v>3467</v>
      </c>
      <c r="R13" s="34" t="s">
        <v>3467</v>
      </c>
      <c r="S13" s="35">
        <v>45789</v>
      </c>
      <c r="T13" s="35">
        <v>45789</v>
      </c>
      <c r="U13" s="64" cm="1">
        <f t="array" ref="U13">IF(OR(M13="", M13="Deleted"), "", _xlfn.LET(
  _xlpm.dates,
  _xlfn._xlws.FILTER(
    [1]SubmittalLog!$H$1:$H$4000,
    [1]SubmittalLog!$E$1:$E$4000=M13,
    ""
  ),
  _xlpm.min_date, IFERROR(MIN(_xlpm.dates), ""),
  IF(_xlpm.min_date=0, "", _xlpm.min_date)
))</f>
        <v>45797</v>
      </c>
      <c r="V13" s="63" t="str" cm="1">
        <f t="array" ref="V13">IF(OR(M13="", M13="Deleted"), "", IFERROR(
  _xlfn.TEXTJOIN(", ", TRUE,
    _xlfn.MAP(
      _xlfn.UNIQUE(
        _xlfn._xlws.FILTER(
          [1]SubmittalLog!$B$1:$B$4000,
          ([1]SubmittalLog!$E$1:$E$4000=M13) *
          ([1]SubmittalLog!$B$1:$B$4000&lt;&gt;""),
          ""
        )
      ),
      _xlfn.LAMBDA(_xlpm.val, TEXT(_xlpm.val, "000000"))
    )
  ),
""))</f>
        <v>001314</v>
      </c>
      <c r="W13" s="40" t="str" cm="1">
        <f t="array" ref="W13">IF(OR(M13="", M13="Deleted"), "", _xlfn.LET(
  _xlpm.doc_col, [1]SubmittalLog!$E$1:$E$4000,
  _xlpm.date_col, [1]SubmittalLog!$H$1:$H$4000,
  _xlpm.status_col, [1]SubmittalLog!$N$1:$N$4000,
  _xlpm.latest_date, _xlfn.MAXIFS(_xlpm.date_col, _xlpm.doc_col, M13),
  IF(_xlpm.latest_date=0, "NFS",
    _xlfn.LET(
      _xlpm.res, _xlfn.XLOOKUP(M13 &amp; "|" &amp; _xlpm.latest_date, _xlpm.doc_col &amp; "|" &amp; _xlpm.date_col, _xlpm.status_col, ""),
      IF(OR(_xlpm.res="", _xlpm.res=0), "", _xlpm.res)
    )
  )
))</f>
        <v>RTR</v>
      </c>
      <c r="X13" s="39">
        <f>IF(OR(M13="", M13="Deleted"), "", _xlfn.LET(
  _xlpm.doc_col, [1]SubmittalLog!$E$1:$E$4000,
  _xlpm.date_col, [1]SubmittalLog!$H$1:$H$4000,
  _xlpm.status_col, [1]SubmittalLog!$O$1:$O$4000,
  _xlpm.first_app_date, _xlfn.MINIFS(_xlpm.date_col, _xlpm.doc_col, M13, _xlpm.status_col, "APP"),
  _xlpm.first_awc_date, _xlfn.MINIFS(_xlpm.date_col, _xlpm.doc_col, M13, _xlpm.status_col, "AWC"),
  _xlpm.earliest_date, IF(
    AND(_xlpm.first_app_date=0, _xlpm.first_awc_date=0), 0,
    IF(_xlpm.first_app_date=0, _xlpm.first_awc_date,
    IF(_xlpm.first_awc_date=0, _xlpm.first_app_date,
    MIN(_xlpm.first_app_date, _xlpm.first_awc_date)))
  ),
  IF(_xlpm.earliest_date=0, "", _xlpm.earliest_date)
))</f>
        <v>45797</v>
      </c>
      <c r="Y13" s="40" t="str" cm="1">
        <f t="array" ref="Y13">IF(OR(M13="", M13="Deleted"), "", _xlfn.LET(
  _xlpm.doc_col, [1]SubmittalLog!$E$1:$E$4000,
  _xlpm.date_col, [1]SubmittalLog!$H$1:$H$4000,
  _xlpm.status_col, [1]SubmittalLog!$O$1:$O$4000,
  _xlpm.has_sub, COUNTIF(_xlpm.doc_col, M13),
  _xlpm.latest_reviewed_date, _xlfn.MAXIFS(_xlpm.date_col, _xlpm.doc_col, M13, _xlpm.status_col, "&lt;&gt;"),
  IF(_xlpm.has_sub=0, "",
    IF(_xlpm.latest_reviewed_date=0, "",
      _xlfn.LET(
        _xlpm.res, _xlfn.XLOOKUP(1, (_xlpm.doc_col=M13) * (_xlpm.date_col=_xlpm.latest_reviewed_date) * (_xlpm.status_col&lt;&gt;""), _xlpm.status_col, ""),
        IF(OR(_xlpm.res="", _xlpm.res=0), "", _xlpm.res)
      )
    )
  )
))</f>
        <v>AWC</v>
      </c>
    </row>
    <row r="14" spans="1:25" x14ac:dyDescent="0.35">
      <c r="A14" s="33">
        <f>IF($M14="","",MAX($A$1:A13)+1)</f>
        <v>11</v>
      </c>
      <c r="B14" s="23" t="s">
        <v>54</v>
      </c>
      <c r="C14" s="23" t="s">
        <v>257</v>
      </c>
      <c r="G14" s="33">
        <v>131236</v>
      </c>
      <c r="H14" s="33" t="s">
        <v>59</v>
      </c>
      <c r="I14" s="33" t="s">
        <v>456</v>
      </c>
      <c r="J14" s="33" t="s">
        <v>233</v>
      </c>
      <c r="K14" s="51" t="s">
        <v>3466</v>
      </c>
      <c r="M14" s="34" t="str">
        <f t="shared" si="0"/>
        <v>Deleted</v>
      </c>
      <c r="N14" s="26" t="s">
        <v>3487</v>
      </c>
      <c r="P14" s="34" t="s">
        <v>3467</v>
      </c>
      <c r="R14" s="34" t="s">
        <v>3467</v>
      </c>
      <c r="S14" s="35">
        <v>45804</v>
      </c>
      <c r="T14" s="35">
        <v>45868</v>
      </c>
      <c r="U14" s="64" t="str" cm="1">
        <f t="array" ref="U14">IF(OR(M14="", M14="Deleted"), "", _xlfn.LET(
  _xlpm.dates,
  _xlfn._xlws.FILTER(
    [1]SubmittalLog!$H$1:$H$4000,
    [1]SubmittalLog!$E$1:$E$4000=M14,
    ""
  ),
  _xlpm.min_date, IFERROR(MIN(_xlpm.dates), ""),
  IF(_xlpm.min_date=0, "", _xlpm.min_date)
))</f>
        <v/>
      </c>
      <c r="V14" s="63" t="str" cm="1">
        <f t="array" ref="V14">IF(OR(M14="", M14="Deleted"), "", IFERROR(
  _xlfn.TEXTJOIN(", ", TRUE,
    _xlfn.MAP(
      _xlfn.UNIQUE(
        _xlfn._xlws.FILTER(
          [1]SubmittalLog!$B$1:$B$4000,
          ([1]SubmittalLog!$E$1:$E$4000=M14) *
          ([1]SubmittalLog!$B$1:$B$4000&lt;&gt;""),
          ""
        )
      ),
      _xlfn.LAMBDA(_xlpm.val, TEXT(_xlpm.val, "000000"))
    )
  ),
""))</f>
        <v/>
      </c>
      <c r="W14" s="40" t="str" cm="1">
        <f t="array" ref="W14">IF(OR(M14="", M14="Deleted"), "", _xlfn.LET(
  _xlpm.doc_col, [1]SubmittalLog!$E$1:$E$4000,
  _xlpm.date_col, [1]SubmittalLog!$H$1:$H$4000,
  _xlpm.status_col, [1]SubmittalLog!$N$1:$N$4000,
  _xlpm.latest_date, _xlfn.MAXIFS(_xlpm.date_col, _xlpm.doc_col, M14),
  IF(_xlpm.latest_date=0, "NFS",
    _xlfn.LET(
      _xlpm.res, _xlfn.XLOOKUP(M14 &amp; "|" &amp; _xlpm.latest_date, _xlpm.doc_col &amp; "|" &amp; _xlpm.date_col, _xlpm.status_col, ""),
      IF(OR(_xlpm.res="", _xlpm.res=0), "", _xlpm.res)
    )
  )
))</f>
        <v/>
      </c>
      <c r="X14" s="39" t="str">
        <f>IF(OR(M14="", M14="Deleted"), "", _xlfn.LET(
  _xlpm.doc_col, [1]SubmittalLog!$E$1:$E$4000,
  _xlpm.date_col, [1]SubmittalLog!$H$1:$H$4000,
  _xlpm.status_col, [1]SubmittalLog!$O$1:$O$4000,
  _xlpm.first_app_date, _xlfn.MINIFS(_xlpm.date_col, _xlpm.doc_col, M14, _xlpm.status_col, "APP"),
  _xlpm.first_awc_date, _xlfn.MINIFS(_xlpm.date_col, _xlpm.doc_col, M14, _xlpm.status_col, "AWC"),
  _xlpm.earliest_date, IF(
    AND(_xlpm.first_app_date=0, _xlpm.first_awc_date=0), 0,
    IF(_xlpm.first_app_date=0, _xlpm.first_awc_date,
    IF(_xlpm.first_awc_date=0, _xlpm.first_app_date,
    MIN(_xlpm.first_app_date, _xlpm.first_awc_date)))
  ),
  IF(_xlpm.earliest_date=0, "", _xlpm.earliest_date)
))</f>
        <v/>
      </c>
      <c r="Y14" s="40" t="str" cm="1">
        <f t="array" ref="Y14">IF(OR(M14="", M14="Deleted"), "", _xlfn.LET(
  _xlpm.doc_col, [1]SubmittalLog!$E$1:$E$4000,
  _xlpm.date_col, [1]SubmittalLog!$H$1:$H$4000,
  _xlpm.status_col, [1]SubmittalLog!$O$1:$O$4000,
  _xlpm.has_sub, COUNTIF(_xlpm.doc_col, M14),
  _xlpm.latest_reviewed_date, _xlfn.MAXIFS(_xlpm.date_col, _xlpm.doc_col, M14, _xlpm.status_col, "&lt;&gt;"),
  IF(_xlpm.has_sub=0, "",
    IF(_xlpm.latest_reviewed_date=0, "",
      _xlfn.LET(
        _xlpm.res, _xlfn.XLOOKUP(1, (_xlpm.doc_col=M14) * (_xlpm.date_col=_xlpm.latest_reviewed_date) * (_xlpm.status_col&lt;&gt;""), _xlpm.status_col, ""),
        IF(OR(_xlpm.res="", _xlpm.res=0), "", _xlpm.res)
      )
    )
  )
))</f>
        <v/>
      </c>
    </row>
    <row r="15" spans="1:25" x14ac:dyDescent="0.35">
      <c r="A15" s="33" t="str">
        <f>IF($M15="","",MAX($A$1:A14)+1)</f>
        <v/>
      </c>
      <c r="M15" s="34" t="str">
        <f t="shared" si="0"/>
        <v/>
      </c>
      <c r="N15" s="26" t="s">
        <v>3488</v>
      </c>
      <c r="R15" s="34" t="s">
        <v>3467</v>
      </c>
      <c r="U15" s="64" t="str" cm="1">
        <f t="array" ref="U15">IF(OR(M15="", M15="Deleted"), "", _xlfn.LET(
  _xlpm.dates,
  _xlfn._xlws.FILTER(
    [1]SubmittalLog!$H$1:$H$4000,
    [1]SubmittalLog!$E$1:$E$4000=M15,
    ""
  ),
  _xlpm.min_date, IFERROR(MIN(_xlpm.dates), ""),
  IF(_xlpm.min_date=0, "", _xlpm.min_date)
))</f>
        <v/>
      </c>
      <c r="V15" s="63" t="str" cm="1">
        <f t="array" ref="V15">IF(OR(M15="", M15="Deleted"), "", IFERROR(
  _xlfn.TEXTJOIN(", ", TRUE,
    _xlfn.MAP(
      _xlfn.UNIQUE(
        _xlfn._xlws.FILTER(
          [1]SubmittalLog!$B$1:$B$4000,
          ([1]SubmittalLog!$E$1:$E$4000=M15) *
          ([1]SubmittalLog!$B$1:$B$4000&lt;&gt;""),
          ""
        )
      ),
      _xlfn.LAMBDA(_xlpm.val, TEXT(_xlpm.val, "000000"))
    )
  ),
""))</f>
        <v/>
      </c>
      <c r="W15" s="40" t="str" cm="1">
        <f t="array" ref="W15">IF(OR(M15="", M15="Deleted"), "", _xlfn.LET(
  _xlpm.doc_col, [1]SubmittalLog!$E$1:$E$4000,
  _xlpm.date_col, [1]SubmittalLog!$H$1:$H$4000,
  _xlpm.status_col, [1]SubmittalLog!$N$1:$N$4000,
  _xlpm.latest_date, _xlfn.MAXIFS(_xlpm.date_col, _xlpm.doc_col, M15),
  IF(_xlpm.latest_date=0, "NFS",
    _xlfn.LET(
      _xlpm.res, _xlfn.XLOOKUP(M15 &amp; "|" &amp; _xlpm.latest_date, _xlpm.doc_col &amp; "|" &amp; _xlpm.date_col, _xlpm.status_col, ""),
      IF(OR(_xlpm.res="", _xlpm.res=0), "", _xlpm.res)
    )
  )
))</f>
        <v/>
      </c>
      <c r="X15" s="39" t="str">
        <f>IF(OR(M15="", M15="Deleted"), "", _xlfn.LET(
  _xlpm.doc_col, [1]SubmittalLog!$E$1:$E$4000,
  _xlpm.date_col, [1]SubmittalLog!$H$1:$H$4000,
  _xlpm.status_col, [1]SubmittalLog!$O$1:$O$4000,
  _xlpm.first_app_date, _xlfn.MINIFS(_xlpm.date_col, _xlpm.doc_col, M15, _xlpm.status_col, "APP"),
  _xlpm.first_awc_date, _xlfn.MINIFS(_xlpm.date_col, _xlpm.doc_col, M15, _xlpm.status_col, "AWC"),
  _xlpm.earliest_date, IF(
    AND(_xlpm.first_app_date=0, _xlpm.first_awc_date=0), 0,
    IF(_xlpm.first_app_date=0, _xlpm.first_awc_date,
    IF(_xlpm.first_awc_date=0, _xlpm.first_app_date,
    MIN(_xlpm.first_app_date, _xlpm.first_awc_date)))
  ),
  IF(_xlpm.earliest_date=0, "", _xlpm.earliest_date)
))</f>
        <v/>
      </c>
      <c r="Y15" s="40" t="str" cm="1">
        <f t="array" ref="Y15">IF(OR(M15="", M15="Deleted"), "", _xlfn.LET(
  _xlpm.doc_col, [1]SubmittalLog!$E$1:$E$4000,
  _xlpm.date_col, [1]SubmittalLog!$H$1:$H$4000,
  _xlpm.status_col, [1]SubmittalLog!$O$1:$O$4000,
  _xlpm.has_sub, COUNTIF(_xlpm.doc_col, M15),
  _xlpm.latest_reviewed_date, _xlfn.MAXIFS(_xlpm.date_col, _xlpm.doc_col, M15, _xlpm.status_col, "&lt;&gt;"),
  IF(_xlpm.has_sub=0, "",
    IF(_xlpm.latest_reviewed_date=0, "",
      _xlfn.LET(
        _xlpm.res, _xlfn.XLOOKUP(1, (_xlpm.doc_col=M15) * (_xlpm.date_col=_xlpm.latest_reviewed_date) * (_xlpm.status_col&lt;&gt;""), _xlpm.status_col, ""),
        IF(OR(_xlpm.res="", _xlpm.res=0), "", _xlpm.res)
      )
    )
  )
))</f>
        <v/>
      </c>
    </row>
    <row r="16" spans="1:25" x14ac:dyDescent="0.35">
      <c r="A16" s="33">
        <f>IF($M16="","",MAX($A$1:A15)+1)</f>
        <v>12</v>
      </c>
      <c r="B16" s="23" t="s">
        <v>54</v>
      </c>
      <c r="C16" s="23" t="s">
        <v>246</v>
      </c>
      <c r="G16" s="33">
        <v>131236</v>
      </c>
      <c r="H16" s="33" t="s">
        <v>59</v>
      </c>
      <c r="I16" s="33" t="s">
        <v>420</v>
      </c>
      <c r="J16" s="33" t="s">
        <v>233</v>
      </c>
      <c r="K16" s="51" t="s">
        <v>3466</v>
      </c>
      <c r="M16" s="34" t="str">
        <f t="shared" si="0"/>
        <v>Deleted</v>
      </c>
      <c r="N16" s="26" t="s">
        <v>3489</v>
      </c>
      <c r="P16" s="34" t="s">
        <v>3467</v>
      </c>
      <c r="R16" s="34" t="s">
        <v>3467</v>
      </c>
      <c r="U16" s="64" t="str" cm="1">
        <f t="array" ref="U16">IF(OR(M16="", M16="Deleted"), "", _xlfn.LET(
  _xlpm.dates,
  _xlfn._xlws.FILTER(
    [1]SubmittalLog!$H$1:$H$4000,
    [1]SubmittalLog!$E$1:$E$4000=M16,
    ""
  ),
  _xlpm.min_date, IFERROR(MIN(_xlpm.dates), ""),
  IF(_xlpm.min_date=0, "", _xlpm.min_date)
))</f>
        <v/>
      </c>
      <c r="V16" s="63" t="str" cm="1">
        <f t="array" ref="V16">IF(OR(M16="", M16="Deleted"), "", IFERROR(
  _xlfn.TEXTJOIN(", ", TRUE,
    _xlfn.MAP(
      _xlfn.UNIQUE(
        _xlfn._xlws.FILTER(
          [1]SubmittalLog!$B$1:$B$4000,
          ([1]SubmittalLog!$E$1:$E$4000=M16) *
          ([1]SubmittalLog!$B$1:$B$4000&lt;&gt;""),
          ""
        )
      ),
      _xlfn.LAMBDA(_xlpm.val, TEXT(_xlpm.val, "000000"))
    )
  ),
""))</f>
        <v/>
      </c>
      <c r="W16" s="40" t="str" cm="1">
        <f t="array" ref="W16">IF(OR(M16="", M16="Deleted"), "", _xlfn.LET(
  _xlpm.doc_col, [1]SubmittalLog!$E$1:$E$4000,
  _xlpm.date_col, [1]SubmittalLog!$H$1:$H$4000,
  _xlpm.status_col, [1]SubmittalLog!$N$1:$N$4000,
  _xlpm.latest_date, _xlfn.MAXIFS(_xlpm.date_col, _xlpm.doc_col, M16),
  IF(_xlpm.latest_date=0, "NFS",
    _xlfn.LET(
      _xlpm.res, _xlfn.XLOOKUP(M16 &amp; "|" &amp; _xlpm.latest_date, _xlpm.doc_col &amp; "|" &amp; _xlpm.date_col, _xlpm.status_col, ""),
      IF(OR(_xlpm.res="", _xlpm.res=0), "", _xlpm.res)
    )
  )
))</f>
        <v/>
      </c>
      <c r="X16" s="39" t="str">
        <f>IF(OR(M16="", M16="Deleted"), "", _xlfn.LET(
  _xlpm.doc_col, [1]SubmittalLog!$E$1:$E$4000,
  _xlpm.date_col, [1]SubmittalLog!$H$1:$H$4000,
  _xlpm.status_col, [1]SubmittalLog!$O$1:$O$4000,
  _xlpm.first_app_date, _xlfn.MINIFS(_xlpm.date_col, _xlpm.doc_col, M16, _xlpm.status_col, "APP"),
  _xlpm.first_awc_date, _xlfn.MINIFS(_xlpm.date_col, _xlpm.doc_col, M16, _xlpm.status_col, "AWC"),
  _xlpm.earliest_date, IF(
    AND(_xlpm.first_app_date=0, _xlpm.first_awc_date=0), 0,
    IF(_xlpm.first_app_date=0, _xlpm.first_awc_date,
    IF(_xlpm.first_awc_date=0, _xlpm.first_app_date,
    MIN(_xlpm.first_app_date, _xlpm.first_awc_date)))
  ),
  IF(_xlpm.earliest_date=0, "", _xlpm.earliest_date)
))</f>
        <v/>
      </c>
      <c r="Y16" s="40" t="str" cm="1">
        <f t="array" ref="Y16">IF(OR(M16="", M16="Deleted"), "", _xlfn.LET(
  _xlpm.doc_col, [1]SubmittalLog!$E$1:$E$4000,
  _xlpm.date_col, [1]SubmittalLog!$H$1:$H$4000,
  _xlpm.status_col, [1]SubmittalLog!$O$1:$O$4000,
  _xlpm.has_sub, COUNTIF(_xlpm.doc_col, M16),
  _xlpm.latest_reviewed_date, _xlfn.MAXIFS(_xlpm.date_col, _xlpm.doc_col, M16, _xlpm.status_col, "&lt;&gt;"),
  IF(_xlpm.has_sub=0, "",
    IF(_xlpm.latest_reviewed_date=0, "",
      _xlfn.LET(
        _xlpm.res, _xlfn.XLOOKUP(1, (_xlpm.doc_col=M16) * (_xlpm.date_col=_xlpm.latest_reviewed_date) * (_xlpm.status_col&lt;&gt;""), _xlpm.status_col, ""),
        IF(OR(_xlpm.res="", _xlpm.res=0), "", _xlpm.res)
      )
    )
  )
))</f>
        <v/>
      </c>
    </row>
    <row r="17" spans="1:25" x14ac:dyDescent="0.35">
      <c r="A17" s="33">
        <f>IF($M17="","",MAX($A$1:A16)+1)</f>
        <v>13</v>
      </c>
      <c r="B17" s="23" t="s">
        <v>54</v>
      </c>
      <c r="C17" s="23" t="s">
        <v>246</v>
      </c>
      <c r="G17" s="33">
        <v>131236</v>
      </c>
      <c r="H17" s="33" t="s">
        <v>59</v>
      </c>
      <c r="I17" s="33" t="s">
        <v>420</v>
      </c>
      <c r="J17" s="33" t="s">
        <v>233</v>
      </c>
      <c r="K17" s="51" t="s">
        <v>3466</v>
      </c>
      <c r="M17" s="34" t="str">
        <f t="shared" si="0"/>
        <v>Deleted</v>
      </c>
      <c r="N17" s="26" t="s">
        <v>3490</v>
      </c>
      <c r="P17" s="34" t="s">
        <v>3467</v>
      </c>
      <c r="R17" s="34" t="s">
        <v>3467</v>
      </c>
      <c r="U17" s="64" t="str" cm="1">
        <f t="array" ref="U17">IF(OR(M17="", M17="Deleted"), "", _xlfn.LET(
  _xlpm.dates,
  _xlfn._xlws.FILTER(
    [1]SubmittalLog!$H$1:$H$4000,
    [1]SubmittalLog!$E$1:$E$4000=M17,
    ""
  ),
  _xlpm.min_date, IFERROR(MIN(_xlpm.dates), ""),
  IF(_xlpm.min_date=0, "", _xlpm.min_date)
))</f>
        <v/>
      </c>
      <c r="V17" s="63" t="str" cm="1">
        <f t="array" ref="V17">IF(OR(M17="", M17="Deleted"), "", IFERROR(
  _xlfn.TEXTJOIN(", ", TRUE,
    _xlfn.MAP(
      _xlfn.UNIQUE(
        _xlfn._xlws.FILTER(
          [1]SubmittalLog!$B$1:$B$4000,
          ([1]SubmittalLog!$E$1:$E$4000=M17) *
          ([1]SubmittalLog!$B$1:$B$4000&lt;&gt;""),
          ""
        )
      ),
      _xlfn.LAMBDA(_xlpm.val, TEXT(_xlpm.val, "000000"))
    )
  ),
""))</f>
        <v/>
      </c>
      <c r="W17" s="40" t="str" cm="1">
        <f t="array" ref="W17">IF(OR(M17="", M17="Deleted"), "", _xlfn.LET(
  _xlpm.doc_col, [1]SubmittalLog!$E$1:$E$4000,
  _xlpm.date_col, [1]SubmittalLog!$H$1:$H$4000,
  _xlpm.status_col, [1]SubmittalLog!$N$1:$N$4000,
  _xlpm.latest_date, _xlfn.MAXIFS(_xlpm.date_col, _xlpm.doc_col, M17),
  IF(_xlpm.latest_date=0, "NFS",
    _xlfn.LET(
      _xlpm.res, _xlfn.XLOOKUP(M17 &amp; "|" &amp; _xlpm.latest_date, _xlpm.doc_col &amp; "|" &amp; _xlpm.date_col, _xlpm.status_col, ""),
      IF(OR(_xlpm.res="", _xlpm.res=0), "", _xlpm.res)
    )
  )
))</f>
        <v/>
      </c>
      <c r="X17" s="39" t="str">
        <f>IF(OR(M17="", M17="Deleted"), "", _xlfn.LET(
  _xlpm.doc_col, [1]SubmittalLog!$E$1:$E$4000,
  _xlpm.date_col, [1]SubmittalLog!$H$1:$H$4000,
  _xlpm.status_col, [1]SubmittalLog!$O$1:$O$4000,
  _xlpm.first_app_date, _xlfn.MINIFS(_xlpm.date_col, _xlpm.doc_col, M17, _xlpm.status_col, "APP"),
  _xlpm.first_awc_date, _xlfn.MINIFS(_xlpm.date_col, _xlpm.doc_col, M17, _xlpm.status_col, "AWC"),
  _xlpm.earliest_date, IF(
    AND(_xlpm.first_app_date=0, _xlpm.first_awc_date=0), 0,
    IF(_xlpm.first_app_date=0, _xlpm.first_awc_date,
    IF(_xlpm.first_awc_date=0, _xlpm.first_app_date,
    MIN(_xlpm.first_app_date, _xlpm.first_awc_date)))
  ),
  IF(_xlpm.earliest_date=0, "", _xlpm.earliest_date)
))</f>
        <v/>
      </c>
      <c r="Y17" s="40" t="str" cm="1">
        <f t="array" ref="Y17">IF(OR(M17="", M17="Deleted"), "", _xlfn.LET(
  _xlpm.doc_col, [1]SubmittalLog!$E$1:$E$4000,
  _xlpm.date_col, [1]SubmittalLog!$H$1:$H$4000,
  _xlpm.status_col, [1]SubmittalLog!$O$1:$O$4000,
  _xlpm.has_sub, COUNTIF(_xlpm.doc_col, M17),
  _xlpm.latest_reviewed_date, _xlfn.MAXIFS(_xlpm.date_col, _xlpm.doc_col, M17, _xlpm.status_col, "&lt;&gt;"),
  IF(_xlpm.has_sub=0, "",
    IF(_xlpm.latest_reviewed_date=0, "",
      _xlfn.LET(
        _xlpm.res, _xlfn.XLOOKUP(1, (_xlpm.doc_col=M17) * (_xlpm.date_col=_xlpm.latest_reviewed_date) * (_xlpm.status_col&lt;&gt;""), _xlpm.status_col, ""),
        IF(OR(_xlpm.res="", _xlpm.res=0), "", _xlpm.res)
      )
    )
  )
))</f>
        <v/>
      </c>
    </row>
    <row r="18" spans="1:25" x14ac:dyDescent="0.35">
      <c r="A18" s="33">
        <f>IF($M18="","",MAX($A$1:A17)+1)</f>
        <v>14</v>
      </c>
      <c r="B18" s="23" t="s">
        <v>54</v>
      </c>
      <c r="C18" s="23" t="s">
        <v>246</v>
      </c>
      <c r="G18" s="33">
        <v>131236</v>
      </c>
      <c r="H18" s="33" t="s">
        <v>59</v>
      </c>
      <c r="I18" s="33" t="s">
        <v>420</v>
      </c>
      <c r="J18" s="33" t="s">
        <v>233</v>
      </c>
      <c r="K18" s="51" t="s">
        <v>3466</v>
      </c>
      <c r="M18" s="34" t="str">
        <f t="shared" si="0"/>
        <v>Deleted</v>
      </c>
      <c r="N18" s="26" t="s">
        <v>3491</v>
      </c>
      <c r="P18" s="34" t="s">
        <v>3467</v>
      </c>
      <c r="R18" s="34" t="s">
        <v>3467</v>
      </c>
      <c r="U18" s="64" t="str" cm="1">
        <f t="array" ref="U18">IF(OR(M18="", M18="Deleted"), "", _xlfn.LET(
  _xlpm.dates,
  _xlfn._xlws.FILTER(
    [1]SubmittalLog!$H$1:$H$4000,
    [1]SubmittalLog!$E$1:$E$4000=M18,
    ""
  ),
  _xlpm.min_date, IFERROR(MIN(_xlpm.dates), ""),
  IF(_xlpm.min_date=0, "", _xlpm.min_date)
))</f>
        <v/>
      </c>
      <c r="V18" s="63" t="str" cm="1">
        <f t="array" ref="V18">IF(OR(M18="", M18="Deleted"), "", IFERROR(
  _xlfn.TEXTJOIN(", ", TRUE,
    _xlfn.MAP(
      _xlfn.UNIQUE(
        _xlfn._xlws.FILTER(
          [1]SubmittalLog!$B$1:$B$4000,
          ([1]SubmittalLog!$E$1:$E$4000=M18) *
          ([1]SubmittalLog!$B$1:$B$4000&lt;&gt;""),
          ""
        )
      ),
      _xlfn.LAMBDA(_xlpm.val, TEXT(_xlpm.val, "000000"))
    )
  ),
""))</f>
        <v/>
      </c>
      <c r="W18" s="40" t="str" cm="1">
        <f t="array" ref="W18">IF(OR(M18="", M18="Deleted"), "", _xlfn.LET(
  _xlpm.doc_col, [1]SubmittalLog!$E$1:$E$4000,
  _xlpm.date_col, [1]SubmittalLog!$H$1:$H$4000,
  _xlpm.status_col, [1]SubmittalLog!$N$1:$N$4000,
  _xlpm.latest_date, _xlfn.MAXIFS(_xlpm.date_col, _xlpm.doc_col, M18),
  IF(_xlpm.latest_date=0, "NFS",
    _xlfn.LET(
      _xlpm.res, _xlfn.XLOOKUP(M18 &amp; "|" &amp; _xlpm.latest_date, _xlpm.doc_col &amp; "|" &amp; _xlpm.date_col, _xlpm.status_col, ""),
      IF(OR(_xlpm.res="", _xlpm.res=0), "", _xlpm.res)
    )
  )
))</f>
        <v/>
      </c>
      <c r="X18" s="39" t="str">
        <f>IF(OR(M18="", M18="Deleted"), "", _xlfn.LET(
  _xlpm.doc_col, [1]SubmittalLog!$E$1:$E$4000,
  _xlpm.date_col, [1]SubmittalLog!$H$1:$H$4000,
  _xlpm.status_col, [1]SubmittalLog!$O$1:$O$4000,
  _xlpm.first_app_date, _xlfn.MINIFS(_xlpm.date_col, _xlpm.doc_col, M18, _xlpm.status_col, "APP"),
  _xlpm.first_awc_date, _xlfn.MINIFS(_xlpm.date_col, _xlpm.doc_col, M18, _xlpm.status_col, "AWC"),
  _xlpm.earliest_date, IF(
    AND(_xlpm.first_app_date=0, _xlpm.first_awc_date=0), 0,
    IF(_xlpm.first_app_date=0, _xlpm.first_awc_date,
    IF(_xlpm.first_awc_date=0, _xlpm.first_app_date,
    MIN(_xlpm.first_app_date, _xlpm.first_awc_date)))
  ),
  IF(_xlpm.earliest_date=0, "", _xlpm.earliest_date)
))</f>
        <v/>
      </c>
      <c r="Y18" s="40" t="str" cm="1">
        <f t="array" ref="Y18">IF(OR(M18="", M18="Deleted"), "", _xlfn.LET(
  _xlpm.doc_col, [1]SubmittalLog!$E$1:$E$4000,
  _xlpm.date_col, [1]SubmittalLog!$H$1:$H$4000,
  _xlpm.status_col, [1]SubmittalLog!$O$1:$O$4000,
  _xlpm.has_sub, COUNTIF(_xlpm.doc_col, M18),
  _xlpm.latest_reviewed_date, _xlfn.MAXIFS(_xlpm.date_col, _xlpm.doc_col, M18, _xlpm.status_col, "&lt;&gt;"),
  IF(_xlpm.has_sub=0, "",
    IF(_xlpm.latest_reviewed_date=0, "",
      _xlfn.LET(
        _xlpm.res, _xlfn.XLOOKUP(1, (_xlpm.doc_col=M18) * (_xlpm.date_col=_xlpm.latest_reviewed_date) * (_xlpm.status_col&lt;&gt;""), _xlpm.status_col, ""),
        IF(OR(_xlpm.res="", _xlpm.res=0), "", _xlpm.res)
      )
    )
  )
))</f>
        <v/>
      </c>
    </row>
    <row r="19" spans="1:25" x14ac:dyDescent="0.35">
      <c r="A19" s="33">
        <f>IF($M19="","",MAX($A$1:A18)+1)</f>
        <v>15</v>
      </c>
      <c r="B19" s="23" t="s">
        <v>54</v>
      </c>
      <c r="C19" s="23" t="s">
        <v>246</v>
      </c>
      <c r="G19" s="33">
        <v>131236</v>
      </c>
      <c r="H19" s="33" t="s">
        <v>59</v>
      </c>
      <c r="I19" s="33" t="s">
        <v>420</v>
      </c>
      <c r="J19" s="33" t="s">
        <v>233</v>
      </c>
      <c r="K19" s="51" t="s">
        <v>3466</v>
      </c>
      <c r="M19" s="34" t="str">
        <f t="shared" si="0"/>
        <v>Deleted</v>
      </c>
      <c r="N19" s="26" t="s">
        <v>3492</v>
      </c>
      <c r="P19" s="34" t="s">
        <v>3467</v>
      </c>
      <c r="R19" s="34" t="s">
        <v>3467</v>
      </c>
      <c r="U19" s="64" t="str" cm="1">
        <f t="array" ref="U19">IF(OR(M19="", M19="Deleted"), "", _xlfn.LET(
  _xlpm.dates,
  _xlfn._xlws.FILTER(
    [1]SubmittalLog!$H$1:$H$4000,
    [1]SubmittalLog!$E$1:$E$4000=M19,
    ""
  ),
  _xlpm.min_date, IFERROR(MIN(_xlpm.dates), ""),
  IF(_xlpm.min_date=0, "", _xlpm.min_date)
))</f>
        <v/>
      </c>
      <c r="V19" s="63" t="str" cm="1">
        <f t="array" ref="V19">IF(OR(M19="", M19="Deleted"), "", IFERROR(
  _xlfn.TEXTJOIN(", ", TRUE,
    _xlfn.MAP(
      _xlfn.UNIQUE(
        _xlfn._xlws.FILTER(
          [1]SubmittalLog!$B$1:$B$4000,
          ([1]SubmittalLog!$E$1:$E$4000=M19) *
          ([1]SubmittalLog!$B$1:$B$4000&lt;&gt;""),
          ""
        )
      ),
      _xlfn.LAMBDA(_xlpm.val, TEXT(_xlpm.val, "000000"))
    )
  ),
""))</f>
        <v/>
      </c>
      <c r="W19" s="40" t="str" cm="1">
        <f t="array" ref="W19">IF(OR(M19="", M19="Deleted"), "", _xlfn.LET(
  _xlpm.doc_col, [1]SubmittalLog!$E$1:$E$4000,
  _xlpm.date_col, [1]SubmittalLog!$H$1:$H$4000,
  _xlpm.status_col, [1]SubmittalLog!$N$1:$N$4000,
  _xlpm.latest_date, _xlfn.MAXIFS(_xlpm.date_col, _xlpm.doc_col, M19),
  IF(_xlpm.latest_date=0, "NFS",
    _xlfn.LET(
      _xlpm.res, _xlfn.XLOOKUP(M19 &amp; "|" &amp; _xlpm.latest_date, _xlpm.doc_col &amp; "|" &amp; _xlpm.date_col, _xlpm.status_col, ""),
      IF(OR(_xlpm.res="", _xlpm.res=0), "", _xlpm.res)
    )
  )
))</f>
        <v/>
      </c>
      <c r="X19" s="39" t="str">
        <f>IF(OR(M19="", M19="Deleted"), "", _xlfn.LET(
  _xlpm.doc_col, [1]SubmittalLog!$E$1:$E$4000,
  _xlpm.date_col, [1]SubmittalLog!$H$1:$H$4000,
  _xlpm.status_col, [1]SubmittalLog!$O$1:$O$4000,
  _xlpm.first_app_date, _xlfn.MINIFS(_xlpm.date_col, _xlpm.doc_col, M19, _xlpm.status_col, "APP"),
  _xlpm.first_awc_date, _xlfn.MINIFS(_xlpm.date_col, _xlpm.doc_col, M19, _xlpm.status_col, "AWC"),
  _xlpm.earliest_date, IF(
    AND(_xlpm.first_app_date=0, _xlpm.first_awc_date=0), 0,
    IF(_xlpm.first_app_date=0, _xlpm.first_awc_date,
    IF(_xlpm.first_awc_date=0, _xlpm.first_app_date,
    MIN(_xlpm.first_app_date, _xlpm.first_awc_date)))
  ),
  IF(_xlpm.earliest_date=0, "", _xlpm.earliest_date)
))</f>
        <v/>
      </c>
      <c r="Y19" s="40" t="str" cm="1">
        <f t="array" ref="Y19">IF(OR(M19="", M19="Deleted"), "", _xlfn.LET(
  _xlpm.doc_col, [1]SubmittalLog!$E$1:$E$4000,
  _xlpm.date_col, [1]SubmittalLog!$H$1:$H$4000,
  _xlpm.status_col, [1]SubmittalLog!$O$1:$O$4000,
  _xlpm.has_sub, COUNTIF(_xlpm.doc_col, M19),
  _xlpm.latest_reviewed_date, _xlfn.MAXIFS(_xlpm.date_col, _xlpm.doc_col, M19, _xlpm.status_col, "&lt;&gt;"),
  IF(_xlpm.has_sub=0, "",
    IF(_xlpm.latest_reviewed_date=0, "",
      _xlfn.LET(
        _xlpm.res, _xlfn.XLOOKUP(1, (_xlpm.doc_col=M19) * (_xlpm.date_col=_xlpm.latest_reviewed_date) * (_xlpm.status_col&lt;&gt;""), _xlpm.status_col, ""),
        IF(OR(_xlpm.res="", _xlpm.res=0), "", _xlpm.res)
      )
    )
  )
))</f>
        <v/>
      </c>
    </row>
    <row r="20" spans="1:25" x14ac:dyDescent="0.35">
      <c r="A20" s="33">
        <f>IF($M20="","",MAX($A$1:A19)+1)</f>
        <v>16</v>
      </c>
      <c r="B20" s="23" t="s">
        <v>54</v>
      </c>
      <c r="C20" s="23" t="s">
        <v>246</v>
      </c>
      <c r="G20" s="33">
        <v>131236</v>
      </c>
      <c r="H20" s="33" t="s">
        <v>59</v>
      </c>
      <c r="I20" s="33" t="s">
        <v>432</v>
      </c>
      <c r="J20" s="33" t="s">
        <v>233</v>
      </c>
      <c r="K20" s="51" t="s">
        <v>3466</v>
      </c>
      <c r="M20" s="34" t="str">
        <f t="shared" si="0"/>
        <v>Deleted</v>
      </c>
      <c r="N20" s="26" t="s">
        <v>3493</v>
      </c>
      <c r="P20" s="34" t="s">
        <v>3467</v>
      </c>
      <c r="R20" s="34" t="s">
        <v>3467</v>
      </c>
      <c r="U20" s="64" t="str" cm="1">
        <f t="array" ref="U20">IF(OR(M20="", M20="Deleted"), "", _xlfn.LET(
  _xlpm.dates,
  _xlfn._xlws.FILTER(
    [1]SubmittalLog!$H$1:$H$4000,
    [1]SubmittalLog!$E$1:$E$4000=M20,
    ""
  ),
  _xlpm.min_date, IFERROR(MIN(_xlpm.dates), ""),
  IF(_xlpm.min_date=0, "", _xlpm.min_date)
))</f>
        <v/>
      </c>
      <c r="V20" s="63" t="str" cm="1">
        <f t="array" ref="V20">IF(OR(M20="", M20="Deleted"), "", IFERROR(
  _xlfn.TEXTJOIN(", ", TRUE,
    _xlfn.MAP(
      _xlfn.UNIQUE(
        _xlfn._xlws.FILTER(
          [1]SubmittalLog!$B$1:$B$4000,
          ([1]SubmittalLog!$E$1:$E$4000=M20) *
          ([1]SubmittalLog!$B$1:$B$4000&lt;&gt;""),
          ""
        )
      ),
      _xlfn.LAMBDA(_xlpm.val, TEXT(_xlpm.val, "000000"))
    )
  ),
""))</f>
        <v/>
      </c>
      <c r="W20" s="40" t="str" cm="1">
        <f t="array" ref="W20">IF(OR(M20="", M20="Deleted"), "", _xlfn.LET(
  _xlpm.doc_col, [1]SubmittalLog!$E$1:$E$4000,
  _xlpm.date_col, [1]SubmittalLog!$H$1:$H$4000,
  _xlpm.status_col, [1]SubmittalLog!$N$1:$N$4000,
  _xlpm.latest_date, _xlfn.MAXIFS(_xlpm.date_col, _xlpm.doc_col, M20),
  IF(_xlpm.latest_date=0, "NFS",
    _xlfn.LET(
      _xlpm.res, _xlfn.XLOOKUP(M20 &amp; "|" &amp; _xlpm.latest_date, _xlpm.doc_col &amp; "|" &amp; _xlpm.date_col, _xlpm.status_col, ""),
      IF(OR(_xlpm.res="", _xlpm.res=0), "", _xlpm.res)
    )
  )
))</f>
        <v/>
      </c>
      <c r="X20" s="39" t="str">
        <f>IF(OR(M20="", M20="Deleted"), "", _xlfn.LET(
  _xlpm.doc_col, [1]SubmittalLog!$E$1:$E$4000,
  _xlpm.date_col, [1]SubmittalLog!$H$1:$H$4000,
  _xlpm.status_col, [1]SubmittalLog!$O$1:$O$4000,
  _xlpm.first_app_date, _xlfn.MINIFS(_xlpm.date_col, _xlpm.doc_col, M20, _xlpm.status_col, "APP"),
  _xlpm.first_awc_date, _xlfn.MINIFS(_xlpm.date_col, _xlpm.doc_col, M20, _xlpm.status_col, "AWC"),
  _xlpm.earliest_date, IF(
    AND(_xlpm.first_app_date=0, _xlpm.first_awc_date=0), 0,
    IF(_xlpm.first_app_date=0, _xlpm.first_awc_date,
    IF(_xlpm.first_awc_date=0, _xlpm.first_app_date,
    MIN(_xlpm.first_app_date, _xlpm.first_awc_date)))
  ),
  IF(_xlpm.earliest_date=0, "", _xlpm.earliest_date)
))</f>
        <v/>
      </c>
      <c r="Y20" s="40" t="str" cm="1">
        <f t="array" ref="Y20">IF(OR(M20="", M20="Deleted"), "", _xlfn.LET(
  _xlpm.doc_col, [1]SubmittalLog!$E$1:$E$4000,
  _xlpm.date_col, [1]SubmittalLog!$H$1:$H$4000,
  _xlpm.status_col, [1]SubmittalLog!$O$1:$O$4000,
  _xlpm.has_sub, COUNTIF(_xlpm.doc_col, M20),
  _xlpm.latest_reviewed_date, _xlfn.MAXIFS(_xlpm.date_col, _xlpm.doc_col, M20, _xlpm.status_col, "&lt;&gt;"),
  IF(_xlpm.has_sub=0, "",
    IF(_xlpm.latest_reviewed_date=0, "",
      _xlfn.LET(
        _xlpm.res, _xlfn.XLOOKUP(1, (_xlpm.doc_col=M20) * (_xlpm.date_col=_xlpm.latest_reviewed_date) * (_xlpm.status_col&lt;&gt;""), _xlpm.status_col, ""),
        IF(OR(_xlpm.res="", _xlpm.res=0), "", _xlpm.res)
      )
    )
  )
))</f>
        <v/>
      </c>
    </row>
    <row r="21" spans="1:25" x14ac:dyDescent="0.35">
      <c r="A21" s="33">
        <f>IF($M21="","",MAX($A$1:A20)+1)</f>
        <v>17</v>
      </c>
      <c r="B21" s="23" t="s">
        <v>54</v>
      </c>
      <c r="C21" s="23" t="s">
        <v>246</v>
      </c>
      <c r="G21" s="33">
        <v>131236</v>
      </c>
      <c r="H21" s="33" t="s">
        <v>59</v>
      </c>
      <c r="I21" s="33" t="s">
        <v>432</v>
      </c>
      <c r="J21" s="33" t="s">
        <v>233</v>
      </c>
      <c r="K21" s="51" t="s">
        <v>3466</v>
      </c>
      <c r="M21" s="34" t="str">
        <f t="shared" si="0"/>
        <v>Deleted</v>
      </c>
      <c r="N21" s="26" t="s">
        <v>3494</v>
      </c>
      <c r="P21" s="34" t="s">
        <v>3467</v>
      </c>
      <c r="R21" s="34" t="s">
        <v>3467</v>
      </c>
      <c r="U21" s="64" t="str" cm="1">
        <f t="array" ref="U21">IF(OR(M21="", M21="Deleted"), "", _xlfn.LET(
  _xlpm.dates,
  _xlfn._xlws.FILTER(
    [1]SubmittalLog!$H$1:$H$4000,
    [1]SubmittalLog!$E$1:$E$4000=M21,
    ""
  ),
  _xlpm.min_date, IFERROR(MIN(_xlpm.dates), ""),
  IF(_xlpm.min_date=0, "", _xlpm.min_date)
))</f>
        <v/>
      </c>
      <c r="V21" s="63" t="str" cm="1">
        <f t="array" ref="V21">IF(OR(M21="", M21="Deleted"), "", IFERROR(
  _xlfn.TEXTJOIN(", ", TRUE,
    _xlfn.MAP(
      _xlfn.UNIQUE(
        _xlfn._xlws.FILTER(
          [1]SubmittalLog!$B$1:$B$4000,
          ([1]SubmittalLog!$E$1:$E$4000=M21) *
          ([1]SubmittalLog!$B$1:$B$4000&lt;&gt;""),
          ""
        )
      ),
      _xlfn.LAMBDA(_xlpm.val, TEXT(_xlpm.val, "000000"))
    )
  ),
""))</f>
        <v/>
      </c>
      <c r="W21" s="40" t="str" cm="1">
        <f t="array" ref="W21">IF(OR(M21="", M21="Deleted"), "", _xlfn.LET(
  _xlpm.doc_col, [1]SubmittalLog!$E$1:$E$4000,
  _xlpm.date_col, [1]SubmittalLog!$H$1:$H$4000,
  _xlpm.status_col, [1]SubmittalLog!$N$1:$N$4000,
  _xlpm.latest_date, _xlfn.MAXIFS(_xlpm.date_col, _xlpm.doc_col, M21),
  IF(_xlpm.latest_date=0, "NFS",
    _xlfn.LET(
      _xlpm.res, _xlfn.XLOOKUP(M21 &amp; "|" &amp; _xlpm.latest_date, _xlpm.doc_col &amp; "|" &amp; _xlpm.date_col, _xlpm.status_col, ""),
      IF(OR(_xlpm.res="", _xlpm.res=0), "", _xlpm.res)
    )
  )
))</f>
        <v/>
      </c>
      <c r="X21" s="39" t="str">
        <f>IF(OR(M21="", M21="Deleted"), "", _xlfn.LET(
  _xlpm.doc_col, [1]SubmittalLog!$E$1:$E$4000,
  _xlpm.date_col, [1]SubmittalLog!$H$1:$H$4000,
  _xlpm.status_col, [1]SubmittalLog!$O$1:$O$4000,
  _xlpm.first_app_date, _xlfn.MINIFS(_xlpm.date_col, _xlpm.doc_col, M21, _xlpm.status_col, "APP"),
  _xlpm.first_awc_date, _xlfn.MINIFS(_xlpm.date_col, _xlpm.doc_col, M21, _xlpm.status_col, "AWC"),
  _xlpm.earliest_date, IF(
    AND(_xlpm.first_app_date=0, _xlpm.first_awc_date=0), 0,
    IF(_xlpm.first_app_date=0, _xlpm.first_awc_date,
    IF(_xlpm.first_awc_date=0, _xlpm.first_app_date,
    MIN(_xlpm.first_app_date, _xlpm.first_awc_date)))
  ),
  IF(_xlpm.earliest_date=0, "", _xlpm.earliest_date)
))</f>
        <v/>
      </c>
      <c r="Y21" s="40" t="str" cm="1">
        <f t="array" ref="Y21">IF(OR(M21="", M21="Deleted"), "", _xlfn.LET(
  _xlpm.doc_col, [1]SubmittalLog!$E$1:$E$4000,
  _xlpm.date_col, [1]SubmittalLog!$H$1:$H$4000,
  _xlpm.status_col, [1]SubmittalLog!$O$1:$O$4000,
  _xlpm.has_sub, COUNTIF(_xlpm.doc_col, M21),
  _xlpm.latest_reviewed_date, _xlfn.MAXIFS(_xlpm.date_col, _xlpm.doc_col, M21, _xlpm.status_col, "&lt;&gt;"),
  IF(_xlpm.has_sub=0, "",
    IF(_xlpm.latest_reviewed_date=0, "",
      _xlfn.LET(
        _xlpm.res, _xlfn.XLOOKUP(1, (_xlpm.doc_col=M21) * (_xlpm.date_col=_xlpm.latest_reviewed_date) * (_xlpm.status_col&lt;&gt;""), _xlpm.status_col, ""),
        IF(OR(_xlpm.res="", _xlpm.res=0), "", _xlpm.res)
      )
    )
  )
))</f>
        <v/>
      </c>
    </row>
    <row r="22" spans="1:25" x14ac:dyDescent="0.35">
      <c r="A22" s="33" t="str">
        <f>IF($M22="","",MAX($A$1:A21)+1)</f>
        <v/>
      </c>
      <c r="M22" s="34" t="str">
        <f t="shared" si="0"/>
        <v/>
      </c>
      <c r="N22" s="26"/>
      <c r="U22" s="64" t="str" cm="1">
        <f t="array" ref="U22">IF(OR(M22="", M22="Deleted"), "", _xlfn.LET(
  _xlpm.dates,
  _xlfn._xlws.FILTER(
    [1]SubmittalLog!$H$1:$H$4000,
    [1]SubmittalLog!$E$1:$E$4000=M22,
    ""
  ),
  _xlpm.min_date, IFERROR(MIN(_xlpm.dates), ""),
  IF(_xlpm.min_date=0, "", _xlpm.min_date)
))</f>
        <v/>
      </c>
      <c r="V22" s="63" t="str" cm="1">
        <f t="array" ref="V22">IF(OR(M22="", M22="Deleted"), "", IFERROR(
  _xlfn.TEXTJOIN(", ", TRUE,
    _xlfn.MAP(
      _xlfn.UNIQUE(
        _xlfn._xlws.FILTER(
          [1]SubmittalLog!$B$1:$B$4000,
          ([1]SubmittalLog!$E$1:$E$4000=M22) *
          ([1]SubmittalLog!$B$1:$B$4000&lt;&gt;""),
          ""
        )
      ),
      _xlfn.LAMBDA(_xlpm.val, TEXT(_xlpm.val, "000000"))
    )
  ),
""))</f>
        <v/>
      </c>
      <c r="W22" s="40" t="str" cm="1">
        <f t="array" ref="W22">IF(OR(M22="", M22="Deleted"), "", _xlfn.LET(
  _xlpm.doc_col, [1]SubmittalLog!$E$1:$E$4000,
  _xlpm.date_col, [1]SubmittalLog!$H$1:$H$4000,
  _xlpm.status_col, [1]SubmittalLog!$N$1:$N$4000,
  _xlpm.latest_date, _xlfn.MAXIFS(_xlpm.date_col, _xlpm.doc_col, M22),
  IF(_xlpm.latest_date=0, "NFS",
    _xlfn.LET(
      _xlpm.res, _xlfn.XLOOKUP(M22 &amp; "|" &amp; _xlpm.latest_date, _xlpm.doc_col &amp; "|" &amp; _xlpm.date_col, _xlpm.status_col, ""),
      IF(OR(_xlpm.res="", _xlpm.res=0), "", _xlpm.res)
    )
  )
))</f>
        <v/>
      </c>
      <c r="X22" s="39" t="str">
        <f>IF(OR(M22="", M22="Deleted"), "", _xlfn.LET(
  _xlpm.doc_col, [1]SubmittalLog!$E$1:$E$4000,
  _xlpm.date_col, [1]SubmittalLog!$H$1:$H$4000,
  _xlpm.status_col, [1]SubmittalLog!$O$1:$O$4000,
  _xlpm.first_app_date, _xlfn.MINIFS(_xlpm.date_col, _xlpm.doc_col, M22, _xlpm.status_col, "APP"),
  _xlpm.first_awc_date, _xlfn.MINIFS(_xlpm.date_col, _xlpm.doc_col, M22, _xlpm.status_col, "AWC"),
  _xlpm.earliest_date, IF(
    AND(_xlpm.first_app_date=0, _xlpm.first_awc_date=0), 0,
    IF(_xlpm.first_app_date=0, _xlpm.first_awc_date,
    IF(_xlpm.first_awc_date=0, _xlpm.first_app_date,
    MIN(_xlpm.first_app_date, _xlpm.first_awc_date)))
  ),
  IF(_xlpm.earliest_date=0, "", _xlpm.earliest_date)
))</f>
        <v/>
      </c>
      <c r="Y22" s="40" t="str" cm="1">
        <f t="array" ref="Y22">IF(OR(M22="", M22="Deleted"), "", _xlfn.LET(
  _xlpm.doc_col, [1]SubmittalLog!$E$1:$E$4000,
  _xlpm.date_col, [1]SubmittalLog!$H$1:$H$4000,
  _xlpm.status_col, [1]SubmittalLog!$O$1:$O$4000,
  _xlpm.has_sub, COUNTIF(_xlpm.doc_col, M22),
  _xlpm.latest_reviewed_date, _xlfn.MAXIFS(_xlpm.date_col, _xlpm.doc_col, M22, _xlpm.status_col, "&lt;&gt;"),
  IF(_xlpm.has_sub=0, "",
    IF(_xlpm.latest_reviewed_date=0, "",
      _xlfn.LET(
        _xlpm.res, _xlfn.XLOOKUP(1, (_xlpm.doc_col=M22) * (_xlpm.date_col=_xlpm.latest_reviewed_date) * (_xlpm.status_col&lt;&gt;""), _xlpm.status_col, ""),
        IF(OR(_xlpm.res="", _xlpm.res=0), "", _xlpm.res)
      )
    )
  )
))</f>
        <v/>
      </c>
    </row>
    <row r="23" spans="1:25" x14ac:dyDescent="0.35">
      <c r="A23" s="33" t="str">
        <f>IF($M23="","",MAX($A$1:A22)+1)</f>
        <v/>
      </c>
      <c r="M23" s="34" t="str">
        <f t="shared" si="0"/>
        <v/>
      </c>
      <c r="N23" s="26"/>
      <c r="U23" s="64" t="str" cm="1">
        <f t="array" ref="U23">IF(OR(M23="", M23="Deleted"), "", _xlfn.LET(
  _xlpm.dates,
  _xlfn._xlws.FILTER(
    [1]SubmittalLog!$H$1:$H$4000,
    [1]SubmittalLog!$E$1:$E$4000=M23,
    ""
  ),
  _xlpm.min_date, IFERROR(MIN(_xlpm.dates), ""),
  IF(_xlpm.min_date=0, "", _xlpm.min_date)
))</f>
        <v/>
      </c>
      <c r="V23" s="63" t="str" cm="1">
        <f t="array" ref="V23">IF(OR(M23="", M23="Deleted"), "", IFERROR(
  _xlfn.TEXTJOIN(", ", TRUE,
    _xlfn.MAP(
      _xlfn.UNIQUE(
        _xlfn._xlws.FILTER(
          [1]SubmittalLog!$B$1:$B$4000,
          ([1]SubmittalLog!$E$1:$E$4000=M23) *
          ([1]SubmittalLog!$B$1:$B$4000&lt;&gt;""),
          ""
        )
      ),
      _xlfn.LAMBDA(_xlpm.val, TEXT(_xlpm.val, "000000"))
    )
  ),
""))</f>
        <v/>
      </c>
      <c r="W23" s="40" t="str" cm="1">
        <f t="array" ref="W23">IF(OR(M23="", M23="Deleted"), "", _xlfn.LET(
  _xlpm.doc_col, [1]SubmittalLog!$E$1:$E$4000,
  _xlpm.date_col, [1]SubmittalLog!$H$1:$H$4000,
  _xlpm.status_col, [1]SubmittalLog!$N$1:$N$4000,
  _xlpm.latest_date, _xlfn.MAXIFS(_xlpm.date_col, _xlpm.doc_col, M23),
  IF(_xlpm.latest_date=0, "NFS",
    _xlfn.LET(
      _xlpm.res, _xlfn.XLOOKUP(M23 &amp; "|" &amp; _xlpm.latest_date, _xlpm.doc_col &amp; "|" &amp; _xlpm.date_col, _xlpm.status_col, ""),
      IF(OR(_xlpm.res="", _xlpm.res=0), "", _xlpm.res)
    )
  )
))</f>
        <v/>
      </c>
      <c r="X23" s="39" t="str">
        <f>IF(OR(M23="", M23="Deleted"), "", _xlfn.LET(
  _xlpm.doc_col, [1]SubmittalLog!$E$1:$E$4000,
  _xlpm.date_col, [1]SubmittalLog!$H$1:$H$4000,
  _xlpm.status_col, [1]SubmittalLog!$O$1:$O$4000,
  _xlpm.first_app_date, _xlfn.MINIFS(_xlpm.date_col, _xlpm.doc_col, M23, _xlpm.status_col, "APP"),
  _xlpm.first_awc_date, _xlfn.MINIFS(_xlpm.date_col, _xlpm.doc_col, M23, _xlpm.status_col, "AWC"),
  _xlpm.earliest_date, IF(
    AND(_xlpm.first_app_date=0, _xlpm.first_awc_date=0), 0,
    IF(_xlpm.first_app_date=0, _xlpm.first_awc_date,
    IF(_xlpm.first_awc_date=0, _xlpm.first_app_date,
    MIN(_xlpm.first_app_date, _xlpm.first_awc_date)))
  ),
  IF(_xlpm.earliest_date=0, "", _xlpm.earliest_date)
))</f>
        <v/>
      </c>
      <c r="Y23" s="40" t="str" cm="1">
        <f t="array" ref="Y23">IF(OR(M23="", M23="Deleted"), "", _xlfn.LET(
  _xlpm.doc_col, [1]SubmittalLog!$E$1:$E$4000,
  _xlpm.date_col, [1]SubmittalLog!$H$1:$H$4000,
  _xlpm.status_col, [1]SubmittalLog!$O$1:$O$4000,
  _xlpm.has_sub, COUNTIF(_xlpm.doc_col, M23),
  _xlpm.latest_reviewed_date, _xlfn.MAXIFS(_xlpm.date_col, _xlpm.doc_col, M23, _xlpm.status_col, "&lt;&gt;"),
  IF(_xlpm.has_sub=0, "",
    IF(_xlpm.latest_reviewed_date=0, "",
      _xlfn.LET(
        _xlpm.res, _xlfn.XLOOKUP(1, (_xlpm.doc_col=M23) * (_xlpm.date_col=_xlpm.latest_reviewed_date) * (_xlpm.status_col&lt;&gt;""), _xlpm.status_col, ""),
        IF(OR(_xlpm.res="", _xlpm.res=0), "", _xlpm.res)
      )
    )
  )
))</f>
        <v/>
      </c>
    </row>
    <row r="24" spans="1:25" x14ac:dyDescent="0.35">
      <c r="A24" s="33">
        <f>IF($M24="","",MAX($A$1:A23)+1)</f>
        <v>18</v>
      </c>
      <c r="B24" s="23" t="s">
        <v>250</v>
      </c>
      <c r="C24" s="23" t="s">
        <v>234</v>
      </c>
      <c r="G24" s="33">
        <v>131236</v>
      </c>
      <c r="H24" s="33" t="s">
        <v>59</v>
      </c>
      <c r="I24" s="33" t="s">
        <v>436</v>
      </c>
      <c r="J24" s="33" t="s">
        <v>233</v>
      </c>
      <c r="K24" s="51" t="s">
        <v>3469</v>
      </c>
      <c r="M24" s="34" t="str">
        <f t="shared" si="0"/>
        <v>131236-WIL21-SH-M-0001</v>
      </c>
      <c r="N24" s="26" t="s">
        <v>3495</v>
      </c>
      <c r="P24" s="34" t="s">
        <v>3467</v>
      </c>
      <c r="S24" s="35">
        <v>45222</v>
      </c>
      <c r="T24" s="35">
        <v>45352</v>
      </c>
      <c r="U24" s="64" cm="1">
        <f t="array" ref="U24">IF(OR(M24="", M24="Deleted"), "", _xlfn.LET(
  _xlpm.dates,
  _xlfn._xlws.FILTER(
    [1]SubmittalLog!$H$1:$H$4000,
    [1]SubmittalLog!$E$1:$E$4000=M24,
    ""
  ),
  _xlpm.min_date, IFERROR(MIN(_xlpm.dates), ""),
  IF(_xlpm.min_date=0, "", _xlpm.min_date)
))</f>
        <v>45399</v>
      </c>
      <c r="V24" s="63" t="str" cm="1">
        <f t="array" ref="V24">IF(OR(M24="", M24="Deleted"), "", IFERROR(
  _xlfn.TEXTJOIN(", ", TRUE,
    _xlfn.MAP(
      _xlfn.UNIQUE(
        _xlfn._xlws.FILTER(
          [1]SubmittalLog!$B$1:$B$4000,
          ([1]SubmittalLog!$E$1:$E$4000=M24) *
          ([1]SubmittalLog!$B$1:$B$4000&lt;&gt;""),
          ""
        )
      ),
      _xlfn.LAMBDA(_xlpm.val, TEXT(_xlpm.val, "000000"))
    )
  ),
""))</f>
        <v>000445</v>
      </c>
      <c r="W24" s="40" t="str" cm="1">
        <f t="array" ref="W24">IF(OR(M24="", M24="Deleted"), "", _xlfn.LET(
  _xlpm.doc_col, [1]SubmittalLog!$E$1:$E$4000,
  _xlpm.date_col, [1]SubmittalLog!$H$1:$H$4000,
  _xlpm.status_col, [1]SubmittalLog!$N$1:$N$4000,
  _xlpm.latest_date, _xlfn.MAXIFS(_xlpm.date_col, _xlpm.doc_col, M24),
  IF(_xlpm.latest_date=0, "NFS",
    _xlfn.LET(
      _xlpm.res, _xlfn.XLOOKUP(M24 &amp; "|" &amp; _xlpm.latest_date, _xlpm.doc_col &amp; "|" &amp; _xlpm.date_col, _xlpm.status_col, ""),
      IF(OR(_xlpm.res="", _xlpm.res=0), "", _xlpm.res)
    )
  )
))</f>
        <v>RTR</v>
      </c>
      <c r="X24" s="39">
        <f>IF(OR(M24="", M24="Deleted"), "", _xlfn.LET(
  _xlpm.doc_col, [1]SubmittalLog!$E$1:$E$4000,
  _xlpm.date_col, [1]SubmittalLog!$H$1:$H$4000,
  _xlpm.status_col, [1]SubmittalLog!$O$1:$O$4000,
  _xlpm.first_app_date, _xlfn.MINIFS(_xlpm.date_col, _xlpm.doc_col, M24, _xlpm.status_col, "APP"),
  _xlpm.first_awc_date, _xlfn.MINIFS(_xlpm.date_col, _xlpm.doc_col, M24, _xlpm.status_col, "AWC"),
  _xlpm.earliest_date, IF(
    AND(_xlpm.first_app_date=0, _xlpm.first_awc_date=0), 0,
    IF(_xlpm.first_app_date=0, _xlpm.first_awc_date,
    IF(_xlpm.first_awc_date=0, _xlpm.first_app_date,
    MIN(_xlpm.first_app_date, _xlpm.first_awc_date)))
  ),
  IF(_xlpm.earliest_date=0, "", _xlpm.earliest_date)
))</f>
        <v>45399</v>
      </c>
      <c r="Y24" s="40" t="str" cm="1">
        <f t="array" ref="Y24">IF(OR(M24="", M24="Deleted"), "", _xlfn.LET(
  _xlpm.doc_col, [1]SubmittalLog!$E$1:$E$4000,
  _xlpm.date_col, [1]SubmittalLog!$H$1:$H$4000,
  _xlpm.status_col, [1]SubmittalLog!$O$1:$O$4000,
  _xlpm.has_sub, COUNTIF(_xlpm.doc_col, M24),
  _xlpm.latest_reviewed_date, _xlfn.MAXIFS(_xlpm.date_col, _xlpm.doc_col, M24, _xlpm.status_col, "&lt;&gt;"),
  IF(_xlpm.has_sub=0, "",
    IF(_xlpm.latest_reviewed_date=0, "",
      _xlfn.LET(
        _xlpm.res, _xlfn.XLOOKUP(1, (_xlpm.doc_col=M24) * (_xlpm.date_col=_xlpm.latest_reviewed_date) * (_xlpm.status_col&lt;&gt;""), _xlpm.status_col, ""),
        IF(OR(_xlpm.res="", _xlpm.res=0), "", _xlpm.res)
      )
    )
  )
))</f>
        <v>AWC</v>
      </c>
    </row>
    <row r="25" spans="1:25" x14ac:dyDescent="0.35">
      <c r="A25" s="33">
        <f>IF($M25="","",MAX($A$1:A24)+1)</f>
        <v>19</v>
      </c>
      <c r="B25" s="23" t="s">
        <v>250</v>
      </c>
      <c r="C25" s="23" t="s">
        <v>257</v>
      </c>
      <c r="G25" s="33">
        <v>131236</v>
      </c>
      <c r="H25" s="33" t="s">
        <v>59</v>
      </c>
      <c r="I25" s="33" t="s">
        <v>297</v>
      </c>
      <c r="J25" s="33" t="s">
        <v>3496</v>
      </c>
      <c r="K25" s="51">
        <v>6000</v>
      </c>
      <c r="M25" s="34" t="str">
        <f t="shared" si="0"/>
        <v>131236-WIL21-DR-P-6000</v>
      </c>
      <c r="N25" s="26" t="s">
        <v>3497</v>
      </c>
      <c r="P25" s="34" t="s">
        <v>3498</v>
      </c>
      <c r="S25" s="35">
        <v>45180</v>
      </c>
      <c r="T25" s="35">
        <v>45177</v>
      </c>
      <c r="U25" s="64" cm="1">
        <f t="array" ref="U25">IF(OR(M25="", M25="Deleted"), "", _xlfn.LET(
  _xlpm.dates,
  _xlfn._xlws.FILTER(
    [1]SubmittalLog!$H$1:$H$4000,
    [1]SubmittalLog!$E$1:$E$4000=M25,
    ""
  ),
  _xlpm.min_date, IFERROR(MIN(_xlpm.dates), ""),
  IF(_xlpm.min_date=0, "", _xlpm.min_date)
))</f>
        <v>45177</v>
      </c>
      <c r="V25" s="63" t="str" cm="1">
        <f t="array" ref="V25">IF(OR(M25="", M25="Deleted"), "", IFERROR(
  _xlfn.TEXTJOIN(", ", TRUE,
    _xlfn.MAP(
      _xlfn.UNIQUE(
        _xlfn._xlws.FILTER(
          [1]SubmittalLog!$B$1:$B$4000,
          ([1]SubmittalLog!$E$1:$E$4000=M25) *
          ([1]SubmittalLog!$B$1:$B$4000&lt;&gt;""),
          ""
        )
      ),
      _xlfn.LAMBDA(_xlpm.val, TEXT(_xlpm.val, "000000"))
    )
  ),
""))</f>
        <v>000093, 000398, 000230</v>
      </c>
      <c r="W25" s="40" t="str" cm="1">
        <f t="array" ref="W25">IF(OR(M25="", M25="Deleted"), "", _xlfn.LET(
  _xlpm.doc_col, [1]SubmittalLog!$E$1:$E$4000,
  _xlpm.date_col, [1]SubmittalLog!$H$1:$H$4000,
  _xlpm.status_col, [1]SubmittalLog!$N$1:$N$4000,
  _xlpm.latest_date, _xlfn.MAXIFS(_xlpm.date_col, _xlpm.doc_col, M25),
  IF(_xlpm.latest_date=0, "NFS",
    _xlfn.LET(
      _xlpm.res, _xlfn.XLOOKUP(M25 &amp; "|" &amp; _xlpm.latest_date, _xlpm.doc_col &amp; "|" &amp; _xlpm.date_col, _xlpm.status_col, ""),
      IF(OR(_xlpm.res="", _xlpm.res=0), "", _xlpm.res)
    )
  )
))</f>
        <v>RTR</v>
      </c>
      <c r="X25" s="39">
        <f>IF(OR(M25="", M25="Deleted"), "", _xlfn.LET(
  _xlpm.doc_col, [1]SubmittalLog!$E$1:$E$4000,
  _xlpm.date_col, [1]SubmittalLog!$H$1:$H$4000,
  _xlpm.status_col, [1]SubmittalLog!$O$1:$O$4000,
  _xlpm.first_app_date, _xlfn.MINIFS(_xlpm.date_col, _xlpm.doc_col, M25, _xlpm.status_col, "APP"),
  _xlpm.first_awc_date, _xlfn.MINIFS(_xlpm.date_col, _xlpm.doc_col, M25, _xlpm.status_col, "AWC"),
  _xlpm.earliest_date, IF(
    AND(_xlpm.first_app_date=0, _xlpm.first_awc_date=0), 0,
    IF(_xlpm.first_app_date=0, _xlpm.first_awc_date,
    IF(_xlpm.first_awc_date=0, _xlpm.first_app_date,
    MIN(_xlpm.first_app_date, _xlpm.first_awc_date)))
  ),
  IF(_xlpm.earliest_date=0, "", _xlpm.earliest_date)
))</f>
        <v>45177</v>
      </c>
      <c r="Y25" s="40" t="str" cm="1">
        <f t="array" ref="Y25">IF(OR(M25="", M25="Deleted"), "", _xlfn.LET(
  _xlpm.doc_col, [1]SubmittalLog!$E$1:$E$4000,
  _xlpm.date_col, [1]SubmittalLog!$H$1:$H$4000,
  _xlpm.status_col, [1]SubmittalLog!$O$1:$O$4000,
  _xlpm.has_sub, COUNTIF(_xlpm.doc_col, M25),
  _xlpm.latest_reviewed_date, _xlfn.MAXIFS(_xlpm.date_col, _xlpm.doc_col, M25, _xlpm.status_col, "&lt;&gt;"),
  IF(_xlpm.has_sub=0, "",
    IF(_xlpm.latest_reviewed_date=0, "",
      _xlfn.LET(
        _xlpm.res, _xlfn.XLOOKUP(1, (_xlpm.doc_col=M25) * (_xlpm.date_col=_xlpm.latest_reviewed_date) * (_xlpm.status_col&lt;&gt;""), _xlpm.status_col, ""),
        IF(OR(_xlpm.res="", _xlpm.res=0), "", _xlpm.res)
      )
    )
  )
))</f>
        <v>AWC</v>
      </c>
    </row>
    <row r="26" spans="1:25" x14ac:dyDescent="0.35">
      <c r="A26" s="33">
        <f>IF($M26="","",MAX($A$1:A25)+1)</f>
        <v>20</v>
      </c>
      <c r="B26" s="23" t="s">
        <v>250</v>
      </c>
      <c r="C26" s="23" t="s">
        <v>257</v>
      </c>
      <c r="G26" s="33">
        <v>131236</v>
      </c>
      <c r="H26" s="33" t="s">
        <v>59</v>
      </c>
      <c r="I26" s="33" t="s">
        <v>297</v>
      </c>
      <c r="J26" s="33" t="s">
        <v>3496</v>
      </c>
      <c r="K26" s="51">
        <v>6001</v>
      </c>
      <c r="M26" s="34" t="str">
        <f t="shared" si="0"/>
        <v>131236-WIL21-DR-P-6001</v>
      </c>
      <c r="N26" s="26" t="s">
        <v>3497</v>
      </c>
      <c r="P26" s="34" t="s">
        <v>3498</v>
      </c>
      <c r="S26" s="35">
        <v>45180</v>
      </c>
      <c r="T26" s="35">
        <v>45177</v>
      </c>
      <c r="U26" s="64" cm="1">
        <f t="array" ref="U26">IF(OR(M26="", M26="Deleted"), "", _xlfn.LET(
  _xlpm.dates,
  _xlfn._xlws.FILTER(
    [1]SubmittalLog!$H$1:$H$4000,
    [1]SubmittalLog!$E$1:$E$4000=M26,
    ""
  ),
  _xlpm.min_date, IFERROR(MIN(_xlpm.dates), ""),
  IF(_xlpm.min_date=0, "", _xlpm.min_date)
))</f>
        <v>45177</v>
      </c>
      <c r="V26" s="63" t="str" cm="1">
        <f t="array" ref="V26">IF(OR(M26="", M26="Deleted"), "", IFERROR(
  _xlfn.TEXTJOIN(", ", TRUE,
    _xlfn.MAP(
      _xlfn.UNIQUE(
        _xlfn._xlws.FILTER(
          [1]SubmittalLog!$B$1:$B$4000,
          ([1]SubmittalLog!$E$1:$E$4000=M26) *
          ([1]SubmittalLog!$B$1:$B$4000&lt;&gt;""),
          ""
        )
      ),
      _xlfn.LAMBDA(_xlpm.val, TEXT(_xlpm.val, "000000"))
    )
  ),
""))</f>
        <v>000093, 000398, 000230</v>
      </c>
      <c r="W26" s="40" t="str" cm="1">
        <f t="array" ref="W26">IF(OR(M26="", M26="Deleted"), "", _xlfn.LET(
  _xlpm.doc_col, [1]SubmittalLog!$E$1:$E$4000,
  _xlpm.date_col, [1]SubmittalLog!$H$1:$H$4000,
  _xlpm.status_col, [1]SubmittalLog!$N$1:$N$4000,
  _xlpm.latest_date, _xlfn.MAXIFS(_xlpm.date_col, _xlpm.doc_col, M26),
  IF(_xlpm.latest_date=0, "NFS",
    _xlfn.LET(
      _xlpm.res, _xlfn.XLOOKUP(M26 &amp; "|" &amp; _xlpm.latest_date, _xlpm.doc_col &amp; "|" &amp; _xlpm.date_col, _xlpm.status_col, ""),
      IF(OR(_xlpm.res="", _xlpm.res=0), "", _xlpm.res)
    )
  )
))</f>
        <v>RTR</v>
      </c>
      <c r="X26" s="39">
        <f>IF(OR(M26="", M26="Deleted"), "", _xlfn.LET(
  _xlpm.doc_col, [1]SubmittalLog!$E$1:$E$4000,
  _xlpm.date_col, [1]SubmittalLog!$H$1:$H$4000,
  _xlpm.status_col, [1]SubmittalLog!$O$1:$O$4000,
  _xlpm.first_app_date, _xlfn.MINIFS(_xlpm.date_col, _xlpm.doc_col, M26, _xlpm.status_col, "APP"),
  _xlpm.first_awc_date, _xlfn.MINIFS(_xlpm.date_col, _xlpm.doc_col, M26, _xlpm.status_col, "AWC"),
  _xlpm.earliest_date, IF(
    AND(_xlpm.first_app_date=0, _xlpm.first_awc_date=0), 0,
    IF(_xlpm.first_app_date=0, _xlpm.first_awc_date,
    IF(_xlpm.first_awc_date=0, _xlpm.first_app_date,
    MIN(_xlpm.first_app_date, _xlpm.first_awc_date)))
  ),
  IF(_xlpm.earliest_date=0, "", _xlpm.earliest_date)
))</f>
        <v>45177</v>
      </c>
      <c r="Y26" s="40" t="str" cm="1">
        <f t="array" ref="Y26">IF(OR(M26="", M26="Deleted"), "", _xlfn.LET(
  _xlpm.doc_col, [1]SubmittalLog!$E$1:$E$4000,
  _xlpm.date_col, [1]SubmittalLog!$H$1:$H$4000,
  _xlpm.status_col, [1]SubmittalLog!$O$1:$O$4000,
  _xlpm.has_sub, COUNTIF(_xlpm.doc_col, M26),
  _xlpm.latest_reviewed_date, _xlfn.MAXIFS(_xlpm.date_col, _xlpm.doc_col, M26, _xlpm.status_col, "&lt;&gt;"),
  IF(_xlpm.has_sub=0, "",
    IF(_xlpm.latest_reviewed_date=0, "",
      _xlfn.LET(
        _xlpm.res, _xlfn.XLOOKUP(1, (_xlpm.doc_col=M26) * (_xlpm.date_col=_xlpm.latest_reviewed_date) * (_xlpm.status_col&lt;&gt;""), _xlpm.status_col, ""),
        IF(OR(_xlpm.res="", _xlpm.res=0), "", _xlpm.res)
      )
    )
  )
))</f>
        <v>AWC</v>
      </c>
    </row>
    <row r="27" spans="1:25" x14ac:dyDescent="0.35">
      <c r="A27" s="33">
        <f>IF($M27="","",MAX($A$1:A26)+1)</f>
        <v>21</v>
      </c>
      <c r="B27" s="23" t="s">
        <v>54</v>
      </c>
      <c r="C27" s="23" t="s">
        <v>257</v>
      </c>
      <c r="G27" s="33">
        <v>131236</v>
      </c>
      <c r="H27" s="33" t="s">
        <v>59</v>
      </c>
      <c r="I27" s="33" t="s">
        <v>432</v>
      </c>
      <c r="J27" s="33" t="s">
        <v>3496</v>
      </c>
      <c r="K27" s="51" t="s">
        <v>3469</v>
      </c>
      <c r="M27" s="34" t="str">
        <f t="shared" si="0"/>
        <v>Deleted</v>
      </c>
      <c r="N27" s="26" t="s">
        <v>3499</v>
      </c>
      <c r="P27" s="34" t="s">
        <v>3467</v>
      </c>
      <c r="U27" s="64" t="str" cm="1">
        <f t="array" ref="U27">IF(OR(M27="", M27="Deleted"), "", _xlfn.LET(
  _xlpm.dates,
  _xlfn._xlws.FILTER(
    [1]SubmittalLog!$H$1:$H$4000,
    [1]SubmittalLog!$E$1:$E$4000=M27,
    ""
  ),
  _xlpm.min_date, IFERROR(MIN(_xlpm.dates), ""),
  IF(_xlpm.min_date=0, "", _xlpm.min_date)
))</f>
        <v/>
      </c>
      <c r="V27" s="63" t="str" cm="1">
        <f t="array" ref="V27">IF(OR(M27="", M27="Deleted"), "", IFERROR(
  _xlfn.TEXTJOIN(", ", TRUE,
    _xlfn.MAP(
      _xlfn.UNIQUE(
        _xlfn._xlws.FILTER(
          [1]SubmittalLog!$B$1:$B$4000,
          ([1]SubmittalLog!$E$1:$E$4000=M27) *
          ([1]SubmittalLog!$B$1:$B$4000&lt;&gt;""),
          ""
        )
      ),
      _xlfn.LAMBDA(_xlpm.val, TEXT(_xlpm.val, "000000"))
    )
  ),
""))</f>
        <v/>
      </c>
      <c r="W27" s="40" t="str" cm="1">
        <f t="array" ref="W27">IF(OR(M27="", M27="Deleted"), "", _xlfn.LET(
  _xlpm.doc_col, [1]SubmittalLog!$E$1:$E$4000,
  _xlpm.date_col, [1]SubmittalLog!$H$1:$H$4000,
  _xlpm.status_col, [1]SubmittalLog!$N$1:$N$4000,
  _xlpm.latest_date, _xlfn.MAXIFS(_xlpm.date_col, _xlpm.doc_col, M27),
  IF(_xlpm.latest_date=0, "NFS",
    _xlfn.LET(
      _xlpm.res, _xlfn.XLOOKUP(M27 &amp; "|" &amp; _xlpm.latest_date, _xlpm.doc_col &amp; "|" &amp; _xlpm.date_col, _xlpm.status_col, ""),
      IF(OR(_xlpm.res="", _xlpm.res=0), "", _xlpm.res)
    )
  )
))</f>
        <v/>
      </c>
      <c r="X27" s="39" t="str">
        <f>IF(OR(M27="", M27="Deleted"), "", _xlfn.LET(
  _xlpm.doc_col, [1]SubmittalLog!$E$1:$E$4000,
  _xlpm.date_col, [1]SubmittalLog!$H$1:$H$4000,
  _xlpm.status_col, [1]SubmittalLog!$O$1:$O$4000,
  _xlpm.first_app_date, _xlfn.MINIFS(_xlpm.date_col, _xlpm.doc_col, M27, _xlpm.status_col, "APP"),
  _xlpm.first_awc_date, _xlfn.MINIFS(_xlpm.date_col, _xlpm.doc_col, M27, _xlpm.status_col, "AWC"),
  _xlpm.earliest_date, IF(
    AND(_xlpm.first_app_date=0, _xlpm.first_awc_date=0), 0,
    IF(_xlpm.first_app_date=0, _xlpm.first_awc_date,
    IF(_xlpm.first_awc_date=0, _xlpm.first_app_date,
    MIN(_xlpm.first_app_date, _xlpm.first_awc_date)))
  ),
  IF(_xlpm.earliest_date=0, "", _xlpm.earliest_date)
))</f>
        <v/>
      </c>
      <c r="Y27" s="40" t="str" cm="1">
        <f t="array" ref="Y27">IF(OR(M27="", M27="Deleted"), "", _xlfn.LET(
  _xlpm.doc_col, [1]SubmittalLog!$E$1:$E$4000,
  _xlpm.date_col, [1]SubmittalLog!$H$1:$H$4000,
  _xlpm.status_col, [1]SubmittalLog!$O$1:$O$4000,
  _xlpm.has_sub, COUNTIF(_xlpm.doc_col, M27),
  _xlpm.latest_reviewed_date, _xlfn.MAXIFS(_xlpm.date_col, _xlpm.doc_col, M27, _xlpm.status_col, "&lt;&gt;"),
  IF(_xlpm.has_sub=0, "",
    IF(_xlpm.latest_reviewed_date=0, "",
      _xlfn.LET(
        _xlpm.res, _xlfn.XLOOKUP(1, (_xlpm.doc_col=M27) * (_xlpm.date_col=_xlpm.latest_reviewed_date) * (_xlpm.status_col&lt;&gt;""), _xlpm.status_col, ""),
        IF(OR(_xlpm.res="", _xlpm.res=0), "", _xlpm.res)
      )
    )
  )
))</f>
        <v/>
      </c>
    </row>
    <row r="28" spans="1:25" x14ac:dyDescent="0.35">
      <c r="A28" s="33" t="str">
        <f>IF($M28="","",MAX($A$1:A27)+1)</f>
        <v/>
      </c>
      <c r="M28" s="34" t="str">
        <f t="shared" si="0"/>
        <v/>
      </c>
      <c r="N28" s="26"/>
      <c r="U28" s="64" t="str" cm="1">
        <f t="array" ref="U28">IF(OR(M28="", M28="Deleted"), "", _xlfn.LET(
  _xlpm.dates,
  _xlfn._xlws.FILTER(
    [1]SubmittalLog!$H$1:$H$4000,
    [1]SubmittalLog!$E$1:$E$4000=M28,
    ""
  ),
  _xlpm.min_date, IFERROR(MIN(_xlpm.dates), ""),
  IF(_xlpm.min_date=0, "", _xlpm.min_date)
))</f>
        <v/>
      </c>
      <c r="V28" s="63" t="str" cm="1">
        <f t="array" ref="V28">IF(OR(M28="", M28="Deleted"), "", IFERROR(
  _xlfn.TEXTJOIN(", ", TRUE,
    _xlfn.MAP(
      _xlfn.UNIQUE(
        _xlfn._xlws.FILTER(
          [1]SubmittalLog!$B$1:$B$4000,
          ([1]SubmittalLog!$E$1:$E$4000=M28) *
          ([1]SubmittalLog!$B$1:$B$4000&lt;&gt;""),
          ""
        )
      ),
      _xlfn.LAMBDA(_xlpm.val, TEXT(_xlpm.val, "000000"))
    )
  ),
""))</f>
        <v/>
      </c>
      <c r="W28" s="40" t="str" cm="1">
        <f t="array" ref="W28">IF(OR(M28="", M28="Deleted"), "", _xlfn.LET(
  _xlpm.doc_col, [1]SubmittalLog!$E$1:$E$4000,
  _xlpm.date_col, [1]SubmittalLog!$H$1:$H$4000,
  _xlpm.status_col, [1]SubmittalLog!$N$1:$N$4000,
  _xlpm.latest_date, _xlfn.MAXIFS(_xlpm.date_col, _xlpm.doc_col, M28),
  IF(_xlpm.latest_date=0, "NFS",
    _xlfn.LET(
      _xlpm.res, _xlfn.XLOOKUP(M28 &amp; "|" &amp; _xlpm.latest_date, _xlpm.doc_col &amp; "|" &amp; _xlpm.date_col, _xlpm.status_col, ""),
      IF(OR(_xlpm.res="", _xlpm.res=0), "", _xlpm.res)
    )
  )
))</f>
        <v/>
      </c>
      <c r="X28" s="39" t="str">
        <f>IF(OR(M28="", M28="Deleted"), "", _xlfn.LET(
  _xlpm.doc_col, [1]SubmittalLog!$E$1:$E$4000,
  _xlpm.date_col, [1]SubmittalLog!$H$1:$H$4000,
  _xlpm.status_col, [1]SubmittalLog!$O$1:$O$4000,
  _xlpm.first_app_date, _xlfn.MINIFS(_xlpm.date_col, _xlpm.doc_col, M28, _xlpm.status_col, "APP"),
  _xlpm.first_awc_date, _xlfn.MINIFS(_xlpm.date_col, _xlpm.doc_col, M28, _xlpm.status_col, "AWC"),
  _xlpm.earliest_date, IF(
    AND(_xlpm.first_app_date=0, _xlpm.first_awc_date=0), 0,
    IF(_xlpm.first_app_date=0, _xlpm.first_awc_date,
    IF(_xlpm.first_awc_date=0, _xlpm.first_app_date,
    MIN(_xlpm.first_app_date, _xlpm.first_awc_date)))
  ),
  IF(_xlpm.earliest_date=0, "", _xlpm.earliest_date)
))</f>
        <v/>
      </c>
      <c r="Y28" s="40" t="str" cm="1">
        <f t="array" ref="Y28">IF(OR(M28="", M28="Deleted"), "", _xlfn.LET(
  _xlpm.doc_col, [1]SubmittalLog!$E$1:$E$4000,
  _xlpm.date_col, [1]SubmittalLog!$H$1:$H$4000,
  _xlpm.status_col, [1]SubmittalLog!$O$1:$O$4000,
  _xlpm.has_sub, COUNTIF(_xlpm.doc_col, M28),
  _xlpm.latest_reviewed_date, _xlfn.MAXIFS(_xlpm.date_col, _xlpm.doc_col, M28, _xlpm.status_col, "&lt;&gt;"),
  IF(_xlpm.has_sub=0, "",
    IF(_xlpm.latest_reviewed_date=0, "",
      _xlfn.LET(
        _xlpm.res, _xlfn.XLOOKUP(1, (_xlpm.doc_col=M28) * (_xlpm.date_col=_xlpm.latest_reviewed_date) * (_xlpm.status_col&lt;&gt;""), _xlpm.status_col, ""),
        IF(OR(_xlpm.res="", _xlpm.res=0), "", _xlpm.res)
      )
    )
  )
))</f>
        <v/>
      </c>
    </row>
    <row r="29" spans="1:25" x14ac:dyDescent="0.35">
      <c r="A29" s="33" t="str">
        <f>IF($M29="","",MAX($A$1:A28)+1)</f>
        <v/>
      </c>
      <c r="M29" s="34" t="str">
        <f t="shared" si="0"/>
        <v/>
      </c>
      <c r="N29" s="26" t="s">
        <v>3468</v>
      </c>
      <c r="U29" s="64" t="str" cm="1">
        <f t="array" ref="U29">IF(OR(M29="", M29="Deleted"), "", _xlfn.LET(
  _xlpm.dates,
  _xlfn._xlws.FILTER(
    [1]SubmittalLog!$H$1:$H$4000,
    [1]SubmittalLog!$E$1:$E$4000=M29,
    ""
  ),
  _xlpm.min_date, IFERROR(MIN(_xlpm.dates), ""),
  IF(_xlpm.min_date=0, "", _xlpm.min_date)
))</f>
        <v/>
      </c>
      <c r="V29" s="63" t="str" cm="1">
        <f t="array" ref="V29">IF(OR(M29="", M29="Deleted"), "", IFERROR(
  _xlfn.TEXTJOIN(", ", TRUE,
    _xlfn.MAP(
      _xlfn.UNIQUE(
        _xlfn._xlws.FILTER(
          [1]SubmittalLog!$B$1:$B$4000,
          ([1]SubmittalLog!$E$1:$E$4000=M29) *
          ([1]SubmittalLog!$B$1:$B$4000&lt;&gt;""),
          ""
        )
      ),
      _xlfn.LAMBDA(_xlpm.val, TEXT(_xlpm.val, "000000"))
    )
  ),
""))</f>
        <v/>
      </c>
      <c r="W29" s="40" t="str" cm="1">
        <f t="array" ref="W29">IF(OR(M29="", M29="Deleted"), "", _xlfn.LET(
  _xlpm.doc_col, [1]SubmittalLog!$E$1:$E$4000,
  _xlpm.date_col, [1]SubmittalLog!$H$1:$H$4000,
  _xlpm.status_col, [1]SubmittalLog!$N$1:$N$4000,
  _xlpm.latest_date, _xlfn.MAXIFS(_xlpm.date_col, _xlpm.doc_col, M29),
  IF(_xlpm.latest_date=0, "NFS",
    _xlfn.LET(
      _xlpm.res, _xlfn.XLOOKUP(M29 &amp; "|" &amp; _xlpm.latest_date, _xlpm.doc_col &amp; "|" &amp; _xlpm.date_col, _xlpm.status_col, ""),
      IF(OR(_xlpm.res="", _xlpm.res=0), "", _xlpm.res)
    )
  )
))</f>
        <v/>
      </c>
      <c r="X29" s="39" t="str">
        <f>IF(OR(M29="", M29="Deleted"), "", _xlfn.LET(
  _xlpm.doc_col, [1]SubmittalLog!$E$1:$E$4000,
  _xlpm.date_col, [1]SubmittalLog!$H$1:$H$4000,
  _xlpm.status_col, [1]SubmittalLog!$O$1:$O$4000,
  _xlpm.first_app_date, _xlfn.MINIFS(_xlpm.date_col, _xlpm.doc_col, M29, _xlpm.status_col, "APP"),
  _xlpm.first_awc_date, _xlfn.MINIFS(_xlpm.date_col, _xlpm.doc_col, M29, _xlpm.status_col, "AWC"),
  _xlpm.earliest_date, IF(
    AND(_xlpm.first_app_date=0, _xlpm.first_awc_date=0), 0,
    IF(_xlpm.first_app_date=0, _xlpm.first_awc_date,
    IF(_xlpm.first_awc_date=0, _xlpm.first_app_date,
    MIN(_xlpm.first_app_date, _xlpm.first_awc_date)))
  ),
  IF(_xlpm.earliest_date=0, "", _xlpm.earliest_date)
))</f>
        <v/>
      </c>
      <c r="Y29" s="40" t="str" cm="1">
        <f t="array" ref="Y29">IF(OR(M29="", M29="Deleted"), "", _xlfn.LET(
  _xlpm.doc_col, [1]SubmittalLog!$E$1:$E$4000,
  _xlpm.date_col, [1]SubmittalLog!$H$1:$H$4000,
  _xlpm.status_col, [1]SubmittalLog!$O$1:$O$4000,
  _xlpm.has_sub, COUNTIF(_xlpm.doc_col, M29),
  _xlpm.latest_reviewed_date, _xlfn.MAXIFS(_xlpm.date_col, _xlpm.doc_col, M29, _xlpm.status_col, "&lt;&gt;"),
  IF(_xlpm.has_sub=0, "",
    IF(_xlpm.latest_reviewed_date=0, "",
      _xlfn.LET(
        _xlpm.res, _xlfn.XLOOKUP(1, (_xlpm.doc_col=M29) * (_xlpm.date_col=_xlpm.latest_reviewed_date) * (_xlpm.status_col&lt;&gt;""), _xlpm.status_col, ""),
        IF(OR(_xlpm.res="", _xlpm.res=0), "", _xlpm.res)
      )
    )
  )
))</f>
        <v/>
      </c>
    </row>
    <row r="30" spans="1:25" x14ac:dyDescent="0.35">
      <c r="A30" s="33">
        <f>IF($M30="","",MAX($A$1:A29)+1)</f>
        <v>22</v>
      </c>
      <c r="B30" s="23" t="s">
        <v>239</v>
      </c>
      <c r="C30" s="23" t="s">
        <v>257</v>
      </c>
      <c r="G30" s="33">
        <v>131236</v>
      </c>
      <c r="H30" s="33" t="s">
        <v>59</v>
      </c>
      <c r="I30" s="33" t="s">
        <v>456</v>
      </c>
      <c r="J30" s="33" t="s">
        <v>233</v>
      </c>
      <c r="K30" s="51" t="s">
        <v>3469</v>
      </c>
      <c r="M30" s="34" t="str">
        <f t="shared" si="0"/>
        <v>131236-WIL21-VI-M-0001</v>
      </c>
      <c r="N30" s="26" t="s">
        <v>3500</v>
      </c>
      <c r="P30" s="34" t="s">
        <v>3467</v>
      </c>
      <c r="S30" s="35">
        <v>45198</v>
      </c>
      <c r="T30" s="35">
        <v>45174</v>
      </c>
      <c r="U30" s="64" cm="1">
        <f t="array" ref="U30">IF(OR(M30="", M30="Deleted"), "", _xlfn.LET(
  _xlpm.dates,
  _xlfn._xlws.FILTER(
    [1]SubmittalLog!$H$1:$H$4000,
    [1]SubmittalLog!$E$1:$E$4000=M30,
    ""
  ),
  _xlpm.min_date, IFERROR(MIN(_xlpm.dates), ""),
  IF(_xlpm.min_date=0, "", _xlpm.min_date)
))</f>
        <v>45091</v>
      </c>
      <c r="V30" s="63" t="str" cm="1">
        <f t="array" ref="V30">IF(OR(M30="", M30="Deleted"), "", IFERROR(
  _xlfn.TEXTJOIN(", ", TRUE,
    _xlfn.MAP(
      _xlfn.UNIQUE(
        _xlfn._xlws.FILTER(
          [1]SubmittalLog!$B$1:$B$4000,
          ([1]SubmittalLog!$E$1:$E$4000=M30) *
          ([1]SubmittalLog!$B$1:$B$4000&lt;&gt;""),
          ""
        )
      ),
      _xlfn.LAMBDA(_xlpm.val, TEXT(_xlpm.val, "000000"))
    )
  ),
""))</f>
        <v>000088, 000028</v>
      </c>
      <c r="W30" s="40" t="str" cm="1">
        <f t="array" ref="W30">IF(OR(M30="", M30="Deleted"), "", _xlfn.LET(
  _xlpm.doc_col, [1]SubmittalLog!$E$1:$E$4000,
  _xlpm.date_col, [1]SubmittalLog!$H$1:$H$4000,
  _xlpm.status_col, [1]SubmittalLog!$N$1:$N$4000,
  _xlpm.latest_date, _xlfn.MAXIFS(_xlpm.date_col, _xlpm.doc_col, M30),
  IF(_xlpm.latest_date=0, "NFS",
    _xlfn.LET(
      _xlpm.res, _xlfn.XLOOKUP(M30 &amp; "|" &amp; _xlpm.latest_date, _xlpm.doc_col &amp; "|" &amp; _xlpm.date_col, _xlpm.status_col, ""),
      IF(OR(_xlpm.res="", _xlpm.res=0), "", _xlpm.res)
    )
  )
))</f>
        <v>RTR</v>
      </c>
      <c r="X30" s="39">
        <f>IF(OR(M30="", M30="Deleted"), "", _xlfn.LET(
  _xlpm.doc_col, [1]SubmittalLog!$E$1:$E$4000,
  _xlpm.date_col, [1]SubmittalLog!$H$1:$H$4000,
  _xlpm.status_col, [1]SubmittalLog!$O$1:$O$4000,
  _xlpm.first_app_date, _xlfn.MINIFS(_xlpm.date_col, _xlpm.doc_col, M30, _xlpm.status_col, "APP"),
  _xlpm.first_awc_date, _xlfn.MINIFS(_xlpm.date_col, _xlpm.doc_col, M30, _xlpm.status_col, "AWC"),
  _xlpm.earliest_date, IF(
    AND(_xlpm.first_app_date=0, _xlpm.first_awc_date=0), 0,
    IF(_xlpm.first_app_date=0, _xlpm.first_awc_date,
    IF(_xlpm.first_awc_date=0, _xlpm.first_app_date,
    MIN(_xlpm.first_app_date, _xlpm.first_awc_date)))
  ),
  IF(_xlpm.earliest_date=0, "", _xlpm.earliest_date)
))</f>
        <v>45091</v>
      </c>
      <c r="Y30" s="40" t="str" cm="1">
        <f t="array" ref="Y30">IF(OR(M30="", M30="Deleted"), "", _xlfn.LET(
  _xlpm.doc_col, [1]SubmittalLog!$E$1:$E$4000,
  _xlpm.date_col, [1]SubmittalLog!$H$1:$H$4000,
  _xlpm.status_col, [1]SubmittalLog!$O$1:$O$4000,
  _xlpm.has_sub, COUNTIF(_xlpm.doc_col, M30),
  _xlpm.latest_reviewed_date, _xlfn.MAXIFS(_xlpm.date_col, _xlpm.doc_col, M30, _xlpm.status_col, "&lt;&gt;"),
  IF(_xlpm.has_sub=0, "",
    IF(_xlpm.latest_reviewed_date=0, "",
      _xlfn.LET(
        _xlpm.res, _xlfn.XLOOKUP(1, (_xlpm.doc_col=M30) * (_xlpm.date_col=_xlpm.latest_reviewed_date) * (_xlpm.status_col&lt;&gt;""), _xlpm.status_col, ""),
        IF(OR(_xlpm.res="", _xlpm.res=0), "", _xlpm.res)
      )
    )
  )
))</f>
        <v>AWC</v>
      </c>
    </row>
    <row r="31" spans="1:25" x14ac:dyDescent="0.35">
      <c r="A31" s="33" t="str">
        <f>IF($M31="","",MAX($A$1:A30)+1)</f>
        <v/>
      </c>
      <c r="M31" s="34" t="str">
        <f t="shared" si="0"/>
        <v/>
      </c>
      <c r="N31" s="26" t="s">
        <v>3501</v>
      </c>
      <c r="U31" s="64" t="str" cm="1">
        <f t="array" ref="U31">IF(OR(M31="", M31="Deleted"), "", _xlfn.LET(
  _xlpm.dates,
  _xlfn._xlws.FILTER(
    [1]SubmittalLog!$H$1:$H$4000,
    [1]SubmittalLog!$E$1:$E$4000=M31,
    ""
  ),
  _xlpm.min_date, IFERROR(MIN(_xlpm.dates), ""),
  IF(_xlpm.min_date=0, "", _xlpm.min_date)
))</f>
        <v/>
      </c>
      <c r="V31" s="63" t="str" cm="1">
        <f t="array" ref="V31">IF(OR(M31="", M31="Deleted"), "", IFERROR(
  _xlfn.TEXTJOIN(", ", TRUE,
    _xlfn.MAP(
      _xlfn.UNIQUE(
        _xlfn._xlws.FILTER(
          [1]SubmittalLog!$B$1:$B$4000,
          ([1]SubmittalLog!$E$1:$E$4000=M31) *
          ([1]SubmittalLog!$B$1:$B$4000&lt;&gt;""),
          ""
        )
      ),
      _xlfn.LAMBDA(_xlpm.val, TEXT(_xlpm.val, "000000"))
    )
  ),
""))</f>
        <v/>
      </c>
      <c r="W31" s="40" t="str" cm="1">
        <f t="array" ref="W31">IF(OR(M31="", M31="Deleted"), "", _xlfn.LET(
  _xlpm.doc_col, [1]SubmittalLog!$E$1:$E$4000,
  _xlpm.date_col, [1]SubmittalLog!$H$1:$H$4000,
  _xlpm.status_col, [1]SubmittalLog!$N$1:$N$4000,
  _xlpm.latest_date, _xlfn.MAXIFS(_xlpm.date_col, _xlpm.doc_col, M31),
  IF(_xlpm.latest_date=0, "NFS",
    _xlfn.LET(
      _xlpm.res, _xlfn.XLOOKUP(M31 &amp; "|" &amp; _xlpm.latest_date, _xlpm.doc_col &amp; "|" &amp; _xlpm.date_col, _xlpm.status_col, ""),
      IF(OR(_xlpm.res="", _xlpm.res=0), "", _xlpm.res)
    )
  )
))</f>
        <v/>
      </c>
      <c r="X31" s="39" t="str">
        <f>IF(OR(M31="", M31="Deleted"), "", _xlfn.LET(
  _xlpm.doc_col, [1]SubmittalLog!$E$1:$E$4000,
  _xlpm.date_col, [1]SubmittalLog!$H$1:$H$4000,
  _xlpm.status_col, [1]SubmittalLog!$O$1:$O$4000,
  _xlpm.first_app_date, _xlfn.MINIFS(_xlpm.date_col, _xlpm.doc_col, M31, _xlpm.status_col, "APP"),
  _xlpm.first_awc_date, _xlfn.MINIFS(_xlpm.date_col, _xlpm.doc_col, M31, _xlpm.status_col, "AWC"),
  _xlpm.earliest_date, IF(
    AND(_xlpm.first_app_date=0, _xlpm.first_awc_date=0), 0,
    IF(_xlpm.first_app_date=0, _xlpm.first_awc_date,
    IF(_xlpm.first_awc_date=0, _xlpm.first_app_date,
    MIN(_xlpm.first_app_date, _xlpm.first_awc_date)))
  ),
  IF(_xlpm.earliest_date=0, "", _xlpm.earliest_date)
))</f>
        <v/>
      </c>
      <c r="Y31" s="40" t="str" cm="1">
        <f t="array" ref="Y31">IF(OR(M31="", M31="Deleted"), "", _xlfn.LET(
  _xlpm.doc_col, [1]SubmittalLog!$E$1:$E$4000,
  _xlpm.date_col, [1]SubmittalLog!$H$1:$H$4000,
  _xlpm.status_col, [1]SubmittalLog!$O$1:$O$4000,
  _xlpm.has_sub, COUNTIF(_xlpm.doc_col, M31),
  _xlpm.latest_reviewed_date, _xlfn.MAXIFS(_xlpm.date_col, _xlpm.doc_col, M31, _xlpm.status_col, "&lt;&gt;"),
  IF(_xlpm.has_sub=0, "",
    IF(_xlpm.latest_reviewed_date=0, "",
      _xlfn.LET(
        _xlpm.res, _xlfn.XLOOKUP(1, (_xlpm.doc_col=M31) * (_xlpm.date_col=_xlpm.latest_reviewed_date) * (_xlpm.status_col&lt;&gt;""), _xlpm.status_col, ""),
        IF(OR(_xlpm.res="", _xlpm.res=0), "", _xlpm.res)
      )
    )
  )
))</f>
        <v/>
      </c>
    </row>
    <row r="32" spans="1:25" x14ac:dyDescent="0.35">
      <c r="A32" s="33">
        <f>IF($M32="","",MAX($A$1:A31)+1)</f>
        <v>23</v>
      </c>
      <c r="B32" s="23" t="s">
        <v>213</v>
      </c>
      <c r="C32" s="23" t="s">
        <v>257</v>
      </c>
      <c r="G32" s="33">
        <v>131236</v>
      </c>
      <c r="H32" s="33" t="s">
        <v>59</v>
      </c>
      <c r="I32" s="33" t="s">
        <v>432</v>
      </c>
      <c r="J32" s="33" t="s">
        <v>3496</v>
      </c>
      <c r="K32" s="51" t="s">
        <v>3469</v>
      </c>
      <c r="M32" s="34" t="str">
        <f t="shared" si="0"/>
        <v>131236-WIL21-RT-P-0001</v>
      </c>
      <c r="N32" s="26" t="s">
        <v>3502</v>
      </c>
      <c r="P32" s="34" t="s">
        <v>3467</v>
      </c>
      <c r="S32" s="35">
        <v>45260</v>
      </c>
      <c r="T32" s="35">
        <v>45366</v>
      </c>
      <c r="U32" s="64" cm="1">
        <f t="array" ref="U32">IF(OR(M32="", M32="Deleted"), "", _xlfn.LET(
  _xlpm.dates,
  _xlfn._xlws.FILTER(
    [1]SubmittalLog!$H$1:$H$4000,
    [1]SubmittalLog!$E$1:$E$4000=M32,
    ""
  ),
  _xlpm.min_date, IFERROR(MIN(_xlpm.dates), ""),
  IF(_xlpm.min_date=0, "", _xlpm.min_date)
))</f>
        <v>45308</v>
      </c>
      <c r="V32" s="63" t="str" cm="1">
        <f t="array" ref="V32">IF(OR(M32="", M32="Deleted"), "", IFERROR(
  _xlfn.TEXTJOIN(", ", TRUE,
    _xlfn.MAP(
      _xlfn.UNIQUE(
        _xlfn._xlws.FILTER(
          [1]SubmittalLog!$B$1:$B$4000,
          ([1]SubmittalLog!$E$1:$E$4000=M32) *
          ([1]SubmittalLog!$B$1:$B$4000&lt;&gt;""),
          ""
        )
      ),
      _xlfn.LAMBDA(_xlpm.val, TEXT(_xlpm.val, "000000"))
    )
  ),
""))</f>
        <v>000407, 000278</v>
      </c>
      <c r="W32" s="40" t="str" cm="1">
        <f t="array" ref="W32">IF(OR(M32="", M32="Deleted"), "", _xlfn.LET(
  _xlpm.doc_col, [1]SubmittalLog!$E$1:$E$4000,
  _xlpm.date_col, [1]SubmittalLog!$H$1:$H$4000,
  _xlpm.status_col, [1]SubmittalLog!$N$1:$N$4000,
  _xlpm.latest_date, _xlfn.MAXIFS(_xlpm.date_col, _xlpm.doc_col, M32),
  IF(_xlpm.latest_date=0, "NFS",
    _xlfn.LET(
      _xlpm.res, _xlfn.XLOOKUP(M32 &amp; "|" &amp; _xlpm.latest_date, _xlpm.doc_col &amp; "|" &amp; _xlpm.date_col, _xlpm.status_col, ""),
      IF(OR(_xlpm.res="", _xlpm.res=0), "", _xlpm.res)
    )
  )
))</f>
        <v>RTR</v>
      </c>
      <c r="X32" s="39">
        <f>IF(OR(M32="", M32="Deleted"), "", _xlfn.LET(
  _xlpm.doc_col, [1]SubmittalLog!$E$1:$E$4000,
  _xlpm.date_col, [1]SubmittalLog!$H$1:$H$4000,
  _xlpm.status_col, [1]SubmittalLog!$O$1:$O$4000,
  _xlpm.first_app_date, _xlfn.MINIFS(_xlpm.date_col, _xlpm.doc_col, M32, _xlpm.status_col, "APP"),
  _xlpm.first_awc_date, _xlfn.MINIFS(_xlpm.date_col, _xlpm.doc_col, M32, _xlpm.status_col, "AWC"),
  _xlpm.earliest_date, IF(
    AND(_xlpm.first_app_date=0, _xlpm.first_awc_date=0), 0,
    IF(_xlpm.first_app_date=0, _xlpm.first_awc_date,
    IF(_xlpm.first_awc_date=0, _xlpm.first_app_date,
    MIN(_xlpm.first_app_date, _xlpm.first_awc_date)))
  ),
  IF(_xlpm.earliest_date=0, "", _xlpm.earliest_date)
))</f>
        <v>45308</v>
      </c>
      <c r="Y32" s="40" t="str" cm="1">
        <f t="array" ref="Y32">IF(OR(M32="", M32="Deleted"), "", _xlfn.LET(
  _xlpm.doc_col, [1]SubmittalLog!$E$1:$E$4000,
  _xlpm.date_col, [1]SubmittalLog!$H$1:$H$4000,
  _xlpm.status_col, [1]SubmittalLog!$O$1:$O$4000,
  _xlpm.has_sub, COUNTIF(_xlpm.doc_col, M32),
  _xlpm.latest_reviewed_date, _xlfn.MAXIFS(_xlpm.date_col, _xlpm.doc_col, M32, _xlpm.status_col, "&lt;&gt;"),
  IF(_xlpm.has_sub=0, "",
    IF(_xlpm.latest_reviewed_date=0, "",
      _xlfn.LET(
        _xlpm.res, _xlfn.XLOOKUP(1, (_xlpm.doc_col=M32) * (_xlpm.date_col=_xlpm.latest_reviewed_date) * (_xlpm.status_col&lt;&gt;""), _xlpm.status_col, ""),
        IF(OR(_xlpm.res="", _xlpm.res=0), "", _xlpm.res)
      )
    )
  )
))</f>
        <v>AWC</v>
      </c>
    </row>
    <row r="33" spans="1:25" x14ac:dyDescent="0.35">
      <c r="A33" s="33">
        <f>IF($M33="","",MAX($A$1:A32)+1)</f>
        <v>24</v>
      </c>
      <c r="B33" s="23" t="s">
        <v>250</v>
      </c>
      <c r="C33" s="23" t="s">
        <v>257</v>
      </c>
      <c r="G33" s="33">
        <v>131236</v>
      </c>
      <c r="H33" s="33" t="s">
        <v>59</v>
      </c>
      <c r="I33" s="33" t="s">
        <v>432</v>
      </c>
      <c r="J33" s="33" t="s">
        <v>3496</v>
      </c>
      <c r="K33" s="51" t="s">
        <v>3503</v>
      </c>
      <c r="M33" s="34" t="str">
        <f t="shared" si="0"/>
        <v>131236-WIL21-RT-P-0002</v>
      </c>
      <c r="N33" s="26" t="s">
        <v>3504</v>
      </c>
      <c r="P33" s="34" t="s">
        <v>3467</v>
      </c>
      <c r="S33" s="35">
        <v>45547</v>
      </c>
      <c r="T33" s="35">
        <v>45547</v>
      </c>
      <c r="U33" s="64" cm="1">
        <f t="array" ref="U33">IF(OR(M33="", M33="Deleted"), "", _xlfn.LET(
  _xlpm.dates,
  _xlfn._xlws.FILTER(
    [1]SubmittalLog!$H$1:$H$4000,
    [1]SubmittalLog!$E$1:$E$4000=M33,
    ""
  ),
  _xlpm.min_date, IFERROR(MIN(_xlpm.dates), ""),
  IF(_xlpm.min_date=0, "", _xlpm.min_date)
))</f>
        <v>45379</v>
      </c>
      <c r="V33" s="63" t="str" cm="1">
        <f t="array" ref="V33">IF(OR(M33="", M33="Deleted"), "", IFERROR(
  _xlfn.TEXTJOIN(", ", TRUE,
    _xlfn.MAP(
      _xlfn.UNIQUE(
        _xlfn._xlws.FILTER(
          [1]SubmittalLog!$B$1:$B$4000,
          ([1]SubmittalLog!$E$1:$E$4000=M33) *
          ([1]SubmittalLog!$B$1:$B$4000&lt;&gt;""),
          ""
        )
      ),
      _xlfn.LAMBDA(_xlpm.val, TEXT(_xlpm.val, "000000"))
    )
  ),
""))</f>
        <v>000723, 000405</v>
      </c>
      <c r="W33" s="40" t="str" cm="1">
        <f t="array" ref="W33">IF(OR(M33="", M33="Deleted"), "", _xlfn.LET(
  _xlpm.doc_col, [1]SubmittalLog!$E$1:$E$4000,
  _xlpm.date_col, [1]SubmittalLog!$H$1:$H$4000,
  _xlpm.status_col, [1]SubmittalLog!$N$1:$N$4000,
  _xlpm.latest_date, _xlfn.MAXIFS(_xlpm.date_col, _xlpm.doc_col, M33),
  IF(_xlpm.latest_date=0, "NFS",
    _xlfn.LET(
      _xlpm.res, _xlfn.XLOOKUP(M33 &amp; "|" &amp; _xlpm.latest_date, _xlpm.doc_col &amp; "|" &amp; _xlpm.date_col, _xlpm.status_col, ""),
      IF(OR(_xlpm.res="", _xlpm.res=0), "", _xlpm.res)
    )
  )
))</f>
        <v>RTR</v>
      </c>
      <c r="X33" s="39">
        <f>IF(OR(M33="", M33="Deleted"), "", _xlfn.LET(
  _xlpm.doc_col, [1]SubmittalLog!$E$1:$E$4000,
  _xlpm.date_col, [1]SubmittalLog!$H$1:$H$4000,
  _xlpm.status_col, [1]SubmittalLog!$O$1:$O$4000,
  _xlpm.first_app_date, _xlfn.MINIFS(_xlpm.date_col, _xlpm.doc_col, M33, _xlpm.status_col, "APP"),
  _xlpm.first_awc_date, _xlfn.MINIFS(_xlpm.date_col, _xlpm.doc_col, M33, _xlpm.status_col, "AWC"),
  _xlpm.earliest_date, IF(
    AND(_xlpm.first_app_date=0, _xlpm.first_awc_date=0), 0,
    IF(_xlpm.first_app_date=0, _xlpm.first_awc_date,
    IF(_xlpm.first_awc_date=0, _xlpm.first_app_date,
    MIN(_xlpm.first_app_date, _xlpm.first_awc_date)))
  ),
  IF(_xlpm.earliest_date=0, "", _xlpm.earliest_date)
))</f>
        <v>45379</v>
      </c>
      <c r="Y33" s="40" t="str" cm="1">
        <f t="array" ref="Y33">IF(OR(M33="", M33="Deleted"), "", _xlfn.LET(
  _xlpm.doc_col, [1]SubmittalLog!$E$1:$E$4000,
  _xlpm.date_col, [1]SubmittalLog!$H$1:$H$4000,
  _xlpm.status_col, [1]SubmittalLog!$O$1:$O$4000,
  _xlpm.has_sub, COUNTIF(_xlpm.doc_col, M33),
  _xlpm.latest_reviewed_date, _xlfn.MAXIFS(_xlpm.date_col, _xlpm.doc_col, M33, _xlpm.status_col, "&lt;&gt;"),
  IF(_xlpm.has_sub=0, "",
    IF(_xlpm.latest_reviewed_date=0, "",
      _xlfn.LET(
        _xlpm.res, _xlfn.XLOOKUP(1, (_xlpm.doc_col=M33) * (_xlpm.date_col=_xlpm.latest_reviewed_date) * (_xlpm.status_col&lt;&gt;""), _xlpm.status_col, ""),
        IF(OR(_xlpm.res="", _xlpm.res=0), "", _xlpm.res)
      )
    )
  )
))</f>
        <v>AWC</v>
      </c>
    </row>
    <row r="34" spans="1:25" x14ac:dyDescent="0.35">
      <c r="A34" s="33">
        <f>IF($M34="","",MAX($A$1:A33)+1)</f>
        <v>25</v>
      </c>
      <c r="B34" s="23" t="s">
        <v>250</v>
      </c>
      <c r="C34" s="23" t="s">
        <v>56</v>
      </c>
      <c r="G34" s="33">
        <v>131236</v>
      </c>
      <c r="H34" s="33" t="s">
        <v>59</v>
      </c>
      <c r="I34" s="33" t="s">
        <v>432</v>
      </c>
      <c r="J34" s="33" t="s">
        <v>3496</v>
      </c>
      <c r="K34" s="51" t="s">
        <v>3505</v>
      </c>
      <c r="M34" s="34" t="str">
        <f t="shared" si="0"/>
        <v>131236-WIL21-RT-P-0003</v>
      </c>
      <c r="N34" s="26" t="s">
        <v>3506</v>
      </c>
      <c r="P34" s="34" t="s">
        <v>3467</v>
      </c>
      <c r="S34" s="35">
        <v>45505</v>
      </c>
      <c r="T34" s="35">
        <v>45505</v>
      </c>
      <c r="U34" s="64" cm="1">
        <f t="array" ref="U34">IF(OR(M34="", M34="Deleted"), "", _xlfn.LET(
  _xlpm.dates,
  _xlfn._xlws.FILTER(
    [1]SubmittalLog!$H$1:$H$4000,
    [1]SubmittalLog!$E$1:$E$4000=M34,
    ""
  ),
  _xlpm.min_date, IFERROR(MIN(_xlpm.dates), ""),
  IF(_xlpm.min_date=0, "", _xlpm.min_date)
))</f>
        <v>45530</v>
      </c>
      <c r="V34" s="63" t="str" cm="1">
        <f t="array" ref="V34">IF(OR(M34="", M34="Deleted"), "", IFERROR(
  _xlfn.TEXTJOIN(", ", TRUE,
    _xlfn.MAP(
      _xlfn.UNIQUE(
        _xlfn._xlws.FILTER(
          [1]SubmittalLog!$B$1:$B$4000,
          ([1]SubmittalLog!$E$1:$E$4000=M34) *
          ([1]SubmittalLog!$B$1:$B$4000&lt;&gt;""),
          ""
        )
      ),
      _xlfn.LAMBDA(_xlpm.val, TEXT(_xlpm.val, "000000"))
    )
  ),
""))</f>
        <v>000752, 000678</v>
      </c>
      <c r="W34" s="40" t="str" cm="1">
        <f t="array" ref="W34">IF(OR(M34="", M34="Deleted"), "", _xlfn.LET(
  _xlpm.doc_col, [1]SubmittalLog!$E$1:$E$4000,
  _xlpm.date_col, [1]SubmittalLog!$H$1:$H$4000,
  _xlpm.status_col, [1]SubmittalLog!$N$1:$N$4000,
  _xlpm.latest_date, _xlfn.MAXIFS(_xlpm.date_col, _xlpm.doc_col, M34),
  IF(_xlpm.latest_date=0, "NFS",
    _xlfn.LET(
      _xlpm.res, _xlfn.XLOOKUP(M34 &amp; "|" &amp; _xlpm.latest_date, _xlpm.doc_col &amp; "|" &amp; _xlpm.date_col, _xlpm.status_col, ""),
      IF(OR(_xlpm.res="", _xlpm.res=0), "", _xlpm.res)
    )
  )
))</f>
        <v>RTR</v>
      </c>
      <c r="X34" s="39">
        <f>IF(OR(M34="", M34="Deleted"), "", _xlfn.LET(
  _xlpm.doc_col, [1]SubmittalLog!$E$1:$E$4000,
  _xlpm.date_col, [1]SubmittalLog!$H$1:$H$4000,
  _xlpm.status_col, [1]SubmittalLog!$O$1:$O$4000,
  _xlpm.first_app_date, _xlfn.MINIFS(_xlpm.date_col, _xlpm.doc_col, M34, _xlpm.status_col, "APP"),
  _xlpm.first_awc_date, _xlfn.MINIFS(_xlpm.date_col, _xlpm.doc_col, M34, _xlpm.status_col, "AWC"),
  _xlpm.earliest_date, IF(
    AND(_xlpm.first_app_date=0, _xlpm.first_awc_date=0), 0,
    IF(_xlpm.first_app_date=0, _xlpm.first_awc_date,
    IF(_xlpm.first_awc_date=0, _xlpm.first_app_date,
    MIN(_xlpm.first_app_date, _xlpm.first_awc_date)))
  ),
  IF(_xlpm.earliest_date=0, "", _xlpm.earliest_date)
))</f>
        <v>45530</v>
      </c>
      <c r="Y34" s="40" t="str" cm="1">
        <f t="array" ref="Y34">IF(OR(M34="", M34="Deleted"), "", _xlfn.LET(
  _xlpm.doc_col, [1]SubmittalLog!$E$1:$E$4000,
  _xlpm.date_col, [1]SubmittalLog!$H$1:$H$4000,
  _xlpm.status_col, [1]SubmittalLog!$O$1:$O$4000,
  _xlpm.has_sub, COUNTIF(_xlpm.doc_col, M34),
  _xlpm.latest_reviewed_date, _xlfn.MAXIFS(_xlpm.date_col, _xlpm.doc_col, M34, _xlpm.status_col, "&lt;&gt;"),
  IF(_xlpm.has_sub=0, "",
    IF(_xlpm.latest_reviewed_date=0, "",
      _xlfn.LET(
        _xlpm.res, _xlfn.XLOOKUP(1, (_xlpm.doc_col=M34) * (_xlpm.date_col=_xlpm.latest_reviewed_date) * (_xlpm.status_col&lt;&gt;""), _xlpm.status_col, ""),
        IF(OR(_xlpm.res="", _xlpm.res=0), "", _xlpm.res)
      )
    )
  )
))</f>
        <v>AWC</v>
      </c>
    </row>
    <row r="35" spans="1:25" x14ac:dyDescent="0.35">
      <c r="A35" s="33">
        <f>IF($M35="","",MAX($A$1:A34)+1)</f>
        <v>26</v>
      </c>
      <c r="B35" s="23" t="s">
        <v>213</v>
      </c>
      <c r="C35" s="23" t="s">
        <v>56</v>
      </c>
      <c r="G35" s="33">
        <v>131236</v>
      </c>
      <c r="H35" s="33" t="s">
        <v>59</v>
      </c>
      <c r="I35" s="33" t="s">
        <v>432</v>
      </c>
      <c r="J35" s="33" t="s">
        <v>323</v>
      </c>
      <c r="K35" s="51" t="s">
        <v>3469</v>
      </c>
      <c r="M35" s="34" t="str">
        <f t="shared" si="0"/>
        <v>131236-WIL21-RT-Z-0001</v>
      </c>
      <c r="N35" s="26" t="s">
        <v>3507</v>
      </c>
      <c r="P35" s="34" t="s">
        <v>3467</v>
      </c>
      <c r="S35" s="35">
        <v>45537</v>
      </c>
      <c r="T35" s="35">
        <v>45537</v>
      </c>
      <c r="U35" s="64" cm="1">
        <f t="array" ref="U35">IF(OR(M35="", M35="Deleted"), "", _xlfn.LET(
  _xlpm.dates,
  _xlfn._xlws.FILTER(
    [1]SubmittalLog!$H$1:$H$4000,
    [1]SubmittalLog!$E$1:$E$4000=M35,
    ""
  ),
  _xlpm.min_date, IFERROR(MIN(_xlpm.dates), ""),
  IF(_xlpm.min_date=0, "", _xlpm.min_date)
))</f>
        <v>45527</v>
      </c>
      <c r="V35" s="63" t="str" cm="1">
        <f t="array" ref="V35">IF(OR(M35="", M35="Deleted"), "", IFERROR(
  _xlfn.TEXTJOIN(", ", TRUE,
    _xlfn.MAP(
      _xlfn.UNIQUE(
        _xlfn._xlws.FILTER(
          [1]SubmittalLog!$B$1:$B$4000,
          ([1]SubmittalLog!$E$1:$E$4000=M35) *
          ([1]SubmittalLog!$B$1:$B$4000&lt;&gt;""),
          ""
        )
      ),
      _xlfn.LAMBDA(_xlpm.val, TEXT(_xlpm.val, "000000"))
    )
  ),
""))</f>
        <v>000673, 000687</v>
      </c>
      <c r="W35" s="40" t="str" cm="1">
        <f t="array" ref="W35">IF(OR(M35="", M35="Deleted"), "", _xlfn.LET(
  _xlpm.doc_col, [1]SubmittalLog!$E$1:$E$4000,
  _xlpm.date_col, [1]SubmittalLog!$H$1:$H$4000,
  _xlpm.status_col, [1]SubmittalLog!$N$1:$N$4000,
  _xlpm.latest_date, _xlfn.MAXIFS(_xlpm.date_col, _xlpm.doc_col, M35),
  IF(_xlpm.latest_date=0, "NFS",
    _xlfn.LET(
      _xlpm.res, _xlfn.XLOOKUP(M35 &amp; "|" &amp; _xlpm.latest_date, _xlpm.doc_col &amp; "|" &amp; _xlpm.date_col, _xlpm.status_col, ""),
      IF(OR(_xlpm.res="", _xlpm.res=0), "", _xlpm.res)
    )
  )
))</f>
        <v>RTR</v>
      </c>
      <c r="X35" s="39">
        <f>IF(OR(M35="", M35="Deleted"), "", _xlfn.LET(
  _xlpm.doc_col, [1]SubmittalLog!$E$1:$E$4000,
  _xlpm.date_col, [1]SubmittalLog!$H$1:$H$4000,
  _xlpm.status_col, [1]SubmittalLog!$O$1:$O$4000,
  _xlpm.first_app_date, _xlfn.MINIFS(_xlpm.date_col, _xlpm.doc_col, M35, _xlpm.status_col, "APP"),
  _xlpm.first_awc_date, _xlfn.MINIFS(_xlpm.date_col, _xlpm.doc_col, M35, _xlpm.status_col, "AWC"),
  _xlpm.earliest_date, IF(
    AND(_xlpm.first_app_date=0, _xlpm.first_awc_date=0), 0,
    IF(_xlpm.first_app_date=0, _xlpm.first_awc_date,
    IF(_xlpm.first_awc_date=0, _xlpm.first_app_date,
    MIN(_xlpm.first_app_date, _xlpm.first_awc_date)))
  ),
  IF(_xlpm.earliest_date=0, "", _xlpm.earliest_date)
))</f>
        <v>45527</v>
      </c>
      <c r="Y35" s="40" t="str" cm="1">
        <f t="array" ref="Y35">IF(OR(M35="", M35="Deleted"), "", _xlfn.LET(
  _xlpm.doc_col, [1]SubmittalLog!$E$1:$E$4000,
  _xlpm.date_col, [1]SubmittalLog!$H$1:$H$4000,
  _xlpm.status_col, [1]SubmittalLog!$O$1:$O$4000,
  _xlpm.has_sub, COUNTIF(_xlpm.doc_col, M35),
  _xlpm.latest_reviewed_date, _xlfn.MAXIFS(_xlpm.date_col, _xlpm.doc_col, M35, _xlpm.status_col, "&lt;&gt;"),
  IF(_xlpm.has_sub=0, "",
    IF(_xlpm.latest_reviewed_date=0, "",
      _xlfn.LET(
        _xlpm.res, _xlfn.XLOOKUP(1, (_xlpm.doc_col=M35) * (_xlpm.date_col=_xlpm.latest_reviewed_date) * (_xlpm.status_col&lt;&gt;""), _xlpm.status_col, ""),
        IF(OR(_xlpm.res="", _xlpm.res=0), "", _xlpm.res)
      )
    )
  )
))</f>
        <v>AWC</v>
      </c>
    </row>
    <row r="36" spans="1:25" x14ac:dyDescent="0.35">
      <c r="A36" s="33">
        <f>IF($M36="","",MAX($A$1:A35)+1)</f>
        <v>27</v>
      </c>
      <c r="B36" s="23" t="s">
        <v>213</v>
      </c>
      <c r="C36" s="23" t="s">
        <v>56</v>
      </c>
      <c r="G36" s="33">
        <v>131236</v>
      </c>
      <c r="H36" s="33" t="s">
        <v>59</v>
      </c>
      <c r="I36" s="33" t="s">
        <v>416</v>
      </c>
      <c r="J36" s="33" t="s">
        <v>3496</v>
      </c>
      <c r="K36" s="51" t="s">
        <v>3469</v>
      </c>
      <c r="M36" s="34" t="str">
        <f t="shared" si="0"/>
        <v>131236-WIL21-PS-P-0001</v>
      </c>
      <c r="N36" s="26" t="s">
        <v>3508</v>
      </c>
      <c r="P36" s="34" t="s">
        <v>3467</v>
      </c>
      <c r="S36" s="35">
        <v>45953</v>
      </c>
      <c r="T36" s="35">
        <v>45953</v>
      </c>
      <c r="U36" s="64" cm="1">
        <f t="array" ref="U36">IF(OR(M36="", M36="Deleted"), "", _xlfn.LET(
  _xlpm.dates,
  _xlfn._xlws.FILTER(
    [1]SubmittalLog!$H$1:$H$4000,
    [1]SubmittalLog!$E$1:$E$4000=M36,
    ""
  ),
  _xlpm.min_date, IFERROR(MIN(_xlpm.dates), ""),
  IF(_xlpm.min_date=0, "", _xlpm.min_date)
))</f>
        <v>45224</v>
      </c>
      <c r="V36" s="63" t="str" cm="1">
        <f t="array" ref="V36">IF(OR(M36="", M36="Deleted"), "", IFERROR(
  _xlfn.TEXTJOIN(", ", TRUE,
    _xlfn.MAP(
      _xlfn.UNIQUE(
        _xlfn._xlws.FILTER(
          [1]SubmittalLog!$B$1:$B$4000,
          ([1]SubmittalLog!$E$1:$E$4000=M36) *
          ([1]SubmittalLog!$B$1:$B$4000&lt;&gt;""),
          ""
        )
      ),
      _xlfn.LAMBDA(_xlpm.val, TEXT(_xlpm.val, "000000"))
    )
  ),
""))</f>
        <v>001778, 000140</v>
      </c>
      <c r="W36" s="40" t="str" cm="1">
        <f t="array" ref="W36">IF(OR(M36="", M36="Deleted"), "", _xlfn.LET(
  _xlpm.doc_col, [1]SubmittalLog!$E$1:$E$4000,
  _xlpm.date_col, [1]SubmittalLog!$H$1:$H$4000,
  _xlpm.status_col, [1]SubmittalLog!$N$1:$N$4000,
  _xlpm.latest_date, _xlfn.MAXIFS(_xlpm.date_col, _xlpm.doc_col, M36),
  IF(_xlpm.latest_date=0, "NFS",
    _xlfn.LET(
      _xlpm.res, _xlfn.XLOOKUP(M36 &amp; "|" &amp; _xlpm.latest_date, _xlpm.doc_col &amp; "|" &amp; _xlpm.date_col, _xlpm.status_col, ""),
      IF(OR(_xlpm.res="", _xlpm.res=0), "", _xlpm.res)
    )
  )
))</f>
        <v>RTR</v>
      </c>
      <c r="X36" s="39">
        <f>IF(OR(M36="", M36="Deleted"), "", _xlfn.LET(
  _xlpm.doc_col, [1]SubmittalLog!$E$1:$E$4000,
  _xlpm.date_col, [1]SubmittalLog!$H$1:$H$4000,
  _xlpm.status_col, [1]SubmittalLog!$O$1:$O$4000,
  _xlpm.first_app_date, _xlfn.MINIFS(_xlpm.date_col, _xlpm.doc_col, M36, _xlpm.status_col, "APP"),
  _xlpm.first_awc_date, _xlfn.MINIFS(_xlpm.date_col, _xlpm.doc_col, M36, _xlpm.status_col, "AWC"),
  _xlpm.earliest_date, IF(
    AND(_xlpm.first_app_date=0, _xlpm.first_awc_date=0), 0,
    IF(_xlpm.first_app_date=0, _xlpm.first_awc_date,
    IF(_xlpm.first_awc_date=0, _xlpm.first_app_date,
    MIN(_xlpm.first_app_date, _xlpm.first_awc_date)))
  ),
  IF(_xlpm.earliest_date=0, "", _xlpm.earliest_date)
))</f>
        <v>45224</v>
      </c>
      <c r="Y36" s="40" t="str" cm="1">
        <f t="array" ref="Y36">IF(OR(M36="", M36="Deleted"), "", _xlfn.LET(
  _xlpm.doc_col, [1]SubmittalLog!$E$1:$E$4000,
  _xlpm.date_col, [1]SubmittalLog!$H$1:$H$4000,
  _xlpm.status_col, [1]SubmittalLog!$O$1:$O$4000,
  _xlpm.has_sub, COUNTIF(_xlpm.doc_col, M36),
  _xlpm.latest_reviewed_date, _xlfn.MAXIFS(_xlpm.date_col, _xlpm.doc_col, M36, _xlpm.status_col, "&lt;&gt;"),
  IF(_xlpm.has_sub=0, "",
    IF(_xlpm.latest_reviewed_date=0, "",
      _xlfn.LET(
        _xlpm.res, _xlfn.XLOOKUP(1, (_xlpm.doc_col=M36) * (_xlpm.date_col=_xlpm.latest_reviewed_date) * (_xlpm.status_col&lt;&gt;""), _xlpm.status_col, ""),
        IF(OR(_xlpm.res="", _xlpm.res=0), "", _xlpm.res)
      )
    )
  )
))</f>
        <v>APP</v>
      </c>
    </row>
    <row r="37" spans="1:25" x14ac:dyDescent="0.35">
      <c r="A37" s="33" t="str">
        <f>IF($M37="","",MAX($A$1:A36)+1)</f>
        <v/>
      </c>
      <c r="M37" s="34" t="str">
        <f t="shared" si="0"/>
        <v/>
      </c>
      <c r="N37" s="26" t="s">
        <v>3509</v>
      </c>
      <c r="U37" s="64" t="str" cm="1">
        <f t="array" ref="U37">IF(OR(M37="", M37="Deleted"), "", _xlfn.LET(
  _xlpm.dates,
  _xlfn._xlws.FILTER(
    [1]SubmittalLog!$H$1:$H$4000,
    [1]SubmittalLog!$E$1:$E$4000=M37,
    ""
  ),
  _xlpm.min_date, IFERROR(MIN(_xlpm.dates), ""),
  IF(_xlpm.min_date=0, "", _xlpm.min_date)
))</f>
        <v/>
      </c>
      <c r="V37" s="63" t="str" cm="1">
        <f t="array" ref="V37">IF(OR(M37="", M37="Deleted"), "", IFERROR(
  _xlfn.TEXTJOIN(", ", TRUE,
    _xlfn.MAP(
      _xlfn.UNIQUE(
        _xlfn._xlws.FILTER(
          [1]SubmittalLog!$B$1:$B$4000,
          ([1]SubmittalLog!$E$1:$E$4000=M37) *
          ([1]SubmittalLog!$B$1:$B$4000&lt;&gt;""),
          ""
        )
      ),
      _xlfn.LAMBDA(_xlpm.val, TEXT(_xlpm.val, "000000"))
    )
  ),
""))</f>
        <v/>
      </c>
      <c r="W37" s="40" t="str" cm="1">
        <f t="array" ref="W37">IF(OR(M37="", M37="Deleted"), "", _xlfn.LET(
  _xlpm.doc_col, [1]SubmittalLog!$E$1:$E$4000,
  _xlpm.date_col, [1]SubmittalLog!$H$1:$H$4000,
  _xlpm.status_col, [1]SubmittalLog!$N$1:$N$4000,
  _xlpm.latest_date, _xlfn.MAXIFS(_xlpm.date_col, _xlpm.doc_col, M37),
  IF(_xlpm.latest_date=0, "NFS",
    _xlfn.LET(
      _xlpm.res, _xlfn.XLOOKUP(M37 &amp; "|" &amp; _xlpm.latest_date, _xlpm.doc_col &amp; "|" &amp; _xlpm.date_col, _xlpm.status_col, ""),
      IF(OR(_xlpm.res="", _xlpm.res=0), "", _xlpm.res)
    )
  )
))</f>
        <v/>
      </c>
      <c r="X37" s="39" t="str">
        <f>IF(OR(M37="", M37="Deleted"), "", _xlfn.LET(
  _xlpm.doc_col, [1]SubmittalLog!$E$1:$E$4000,
  _xlpm.date_col, [1]SubmittalLog!$H$1:$H$4000,
  _xlpm.status_col, [1]SubmittalLog!$O$1:$O$4000,
  _xlpm.first_app_date, _xlfn.MINIFS(_xlpm.date_col, _xlpm.doc_col, M37, _xlpm.status_col, "APP"),
  _xlpm.first_awc_date, _xlfn.MINIFS(_xlpm.date_col, _xlpm.doc_col, M37, _xlpm.status_col, "AWC"),
  _xlpm.earliest_date, IF(
    AND(_xlpm.first_app_date=0, _xlpm.first_awc_date=0), 0,
    IF(_xlpm.first_app_date=0, _xlpm.first_awc_date,
    IF(_xlpm.first_awc_date=0, _xlpm.first_app_date,
    MIN(_xlpm.first_app_date, _xlpm.first_awc_date)))
  ),
  IF(_xlpm.earliest_date=0, "", _xlpm.earliest_date)
))</f>
        <v/>
      </c>
      <c r="Y37" s="40" t="str" cm="1">
        <f t="array" ref="Y37">IF(OR(M37="", M37="Deleted"), "", _xlfn.LET(
  _xlpm.doc_col, [1]SubmittalLog!$E$1:$E$4000,
  _xlpm.date_col, [1]SubmittalLog!$H$1:$H$4000,
  _xlpm.status_col, [1]SubmittalLog!$O$1:$O$4000,
  _xlpm.has_sub, COUNTIF(_xlpm.doc_col, M37),
  _xlpm.latest_reviewed_date, _xlfn.MAXIFS(_xlpm.date_col, _xlpm.doc_col, M37, _xlpm.status_col, "&lt;&gt;"),
  IF(_xlpm.has_sub=0, "",
    IF(_xlpm.latest_reviewed_date=0, "",
      _xlfn.LET(
        _xlpm.res, _xlfn.XLOOKUP(1, (_xlpm.doc_col=M37) * (_xlpm.date_col=_xlpm.latest_reviewed_date) * (_xlpm.status_col&lt;&gt;""), _xlpm.status_col, ""),
        IF(OR(_xlpm.res="", _xlpm.res=0), "", _xlpm.res)
      )
    )
  )
))</f>
        <v/>
      </c>
    </row>
    <row r="38" spans="1:25" x14ac:dyDescent="0.35">
      <c r="A38" s="33">
        <f>IF($M38="","",MAX($A$1:A37)+1)</f>
        <v>28</v>
      </c>
      <c r="B38" s="23" t="s">
        <v>250</v>
      </c>
      <c r="C38" s="23" t="s">
        <v>257</v>
      </c>
      <c r="G38" s="33">
        <v>131236</v>
      </c>
      <c r="H38" s="33" t="s">
        <v>59</v>
      </c>
      <c r="I38" s="33" t="s">
        <v>204</v>
      </c>
      <c r="J38" s="33" t="s">
        <v>3496</v>
      </c>
      <c r="K38" s="51" t="s">
        <v>3469</v>
      </c>
      <c r="M38" s="34" t="str">
        <f t="shared" si="0"/>
        <v>131236-WIL21-CH-P-0001</v>
      </c>
      <c r="N38" s="26" t="s">
        <v>3510</v>
      </c>
      <c r="P38" s="34" t="s">
        <v>3467</v>
      </c>
      <c r="S38" s="35">
        <v>45260</v>
      </c>
      <c r="T38" s="35">
        <v>45366</v>
      </c>
      <c r="U38" s="64" cm="1">
        <f t="array" ref="U38">IF(OR(M38="", M38="Deleted"), "", _xlfn.LET(
  _xlpm.dates,
  _xlfn._xlws.FILTER(
    [1]SubmittalLog!$H$1:$H$4000,
    [1]SubmittalLog!$E$1:$E$4000=M38,
    ""
  ),
  _xlpm.min_date, IFERROR(MIN(_xlpm.dates), ""),
  IF(_xlpm.min_date=0, "", _xlpm.min_date)
))</f>
        <v>45224</v>
      </c>
      <c r="V38" s="63" t="str" cm="1">
        <f t="array" ref="V38">IF(OR(M38="", M38="Deleted"), "", IFERROR(
  _xlfn.TEXTJOIN(", ", TRUE,
    _xlfn.MAP(
      _xlfn.UNIQUE(
        _xlfn._xlws.FILTER(
          [1]SubmittalLog!$B$1:$B$4000,
          ([1]SubmittalLog!$E$1:$E$4000=M38) *
          ([1]SubmittalLog!$B$1:$B$4000&lt;&gt;""),
          ""
        )
      ),
      _xlfn.LAMBDA(_xlpm.val, TEXT(_xlpm.val, "000000"))
    )
  ),
""))</f>
        <v>000385, 000141</v>
      </c>
      <c r="W38" s="40" t="str" cm="1">
        <f t="array" ref="W38">IF(OR(M38="", M38="Deleted"), "", _xlfn.LET(
  _xlpm.doc_col, [1]SubmittalLog!$E$1:$E$4000,
  _xlpm.date_col, [1]SubmittalLog!$H$1:$H$4000,
  _xlpm.status_col, [1]SubmittalLog!$N$1:$N$4000,
  _xlpm.latest_date, _xlfn.MAXIFS(_xlpm.date_col, _xlpm.doc_col, M38),
  IF(_xlpm.latest_date=0, "NFS",
    _xlfn.LET(
      _xlpm.res, _xlfn.XLOOKUP(M38 &amp; "|" &amp; _xlpm.latest_date, _xlpm.doc_col &amp; "|" &amp; _xlpm.date_col, _xlpm.status_col, ""),
      IF(OR(_xlpm.res="", _xlpm.res=0), "", _xlpm.res)
    )
  )
))</f>
        <v>RTR</v>
      </c>
      <c r="X38" s="39">
        <f>IF(OR(M38="", M38="Deleted"), "", _xlfn.LET(
  _xlpm.doc_col, [1]SubmittalLog!$E$1:$E$4000,
  _xlpm.date_col, [1]SubmittalLog!$H$1:$H$4000,
  _xlpm.status_col, [1]SubmittalLog!$O$1:$O$4000,
  _xlpm.first_app_date, _xlfn.MINIFS(_xlpm.date_col, _xlpm.doc_col, M38, _xlpm.status_col, "APP"),
  _xlpm.first_awc_date, _xlfn.MINIFS(_xlpm.date_col, _xlpm.doc_col, M38, _xlpm.status_col, "AWC"),
  _xlpm.earliest_date, IF(
    AND(_xlpm.first_app_date=0, _xlpm.first_awc_date=0), 0,
    IF(_xlpm.first_app_date=0, _xlpm.first_awc_date,
    IF(_xlpm.first_awc_date=0, _xlpm.first_app_date,
    MIN(_xlpm.first_app_date, _xlpm.first_awc_date)))
  ),
  IF(_xlpm.earliest_date=0, "", _xlpm.earliest_date)
))</f>
        <v>45224</v>
      </c>
      <c r="Y38" s="40" t="str" cm="1">
        <f t="array" ref="Y38">IF(OR(M38="", M38="Deleted"), "", _xlfn.LET(
  _xlpm.doc_col, [1]SubmittalLog!$E$1:$E$4000,
  _xlpm.date_col, [1]SubmittalLog!$H$1:$H$4000,
  _xlpm.status_col, [1]SubmittalLog!$O$1:$O$4000,
  _xlpm.has_sub, COUNTIF(_xlpm.doc_col, M38),
  _xlpm.latest_reviewed_date, _xlfn.MAXIFS(_xlpm.date_col, _xlpm.doc_col, M38, _xlpm.status_col, "&lt;&gt;"),
  IF(_xlpm.has_sub=0, "",
    IF(_xlpm.latest_reviewed_date=0, "",
      _xlfn.LET(
        _xlpm.res, _xlfn.XLOOKUP(1, (_xlpm.doc_col=M38) * (_xlpm.date_col=_xlpm.latest_reviewed_date) * (_xlpm.status_col&lt;&gt;""), _xlpm.status_col, ""),
        IF(OR(_xlpm.res="", _xlpm.res=0), "", _xlpm.res)
      )
    )
  )
))</f>
        <v>AWC</v>
      </c>
    </row>
    <row r="39" spans="1:25" x14ac:dyDescent="0.35">
      <c r="A39" s="33">
        <f>IF($M39="","",MAX($A$1:A38)+1)</f>
        <v>29</v>
      </c>
      <c r="B39" s="23" t="s">
        <v>250</v>
      </c>
      <c r="C39" s="23" t="s">
        <v>257</v>
      </c>
      <c r="G39" s="33">
        <v>131236</v>
      </c>
      <c r="H39" s="33" t="s">
        <v>59</v>
      </c>
      <c r="I39" s="33" t="s">
        <v>204</v>
      </c>
      <c r="J39" s="33" t="s">
        <v>3496</v>
      </c>
      <c r="K39" s="51" t="s">
        <v>3503</v>
      </c>
      <c r="M39" s="34" t="str">
        <f t="shared" si="0"/>
        <v>131236-WIL21-CH-P-0002</v>
      </c>
      <c r="N39" s="26" t="s">
        <v>3511</v>
      </c>
      <c r="P39" s="34" t="s">
        <v>3467</v>
      </c>
      <c r="S39" s="35">
        <v>45260</v>
      </c>
      <c r="T39" s="35">
        <v>45366</v>
      </c>
      <c r="U39" s="64" cm="1">
        <f t="array" ref="U39">IF(OR(M39="", M39="Deleted"), "", _xlfn.LET(
  _xlpm.dates,
  _xlfn._xlws.FILTER(
    [1]SubmittalLog!$H$1:$H$4000,
    [1]SubmittalLog!$E$1:$E$4000=M39,
    ""
  ),
  _xlpm.min_date, IFERROR(MIN(_xlpm.dates), ""),
  IF(_xlpm.min_date=0, "", _xlpm.min_date)
))</f>
        <v>45224</v>
      </c>
      <c r="V39" s="63" t="str" cm="1">
        <f t="array" ref="V39">IF(OR(M39="", M39="Deleted"), "", IFERROR(
  _xlfn.TEXTJOIN(", ", TRUE,
    _xlfn.MAP(
      _xlfn.UNIQUE(
        _xlfn._xlws.FILTER(
          [1]SubmittalLog!$B$1:$B$4000,
          ([1]SubmittalLog!$E$1:$E$4000=M39) *
          ([1]SubmittalLog!$B$1:$B$4000&lt;&gt;""),
          ""
        )
      ),
      _xlfn.LAMBDA(_xlpm.val, TEXT(_xlpm.val, "000000"))
    )
  ),
""))</f>
        <v>000322, 000142</v>
      </c>
      <c r="W39" s="40" t="str" cm="1">
        <f t="array" ref="W39">IF(OR(M39="", M39="Deleted"), "", _xlfn.LET(
  _xlpm.doc_col, [1]SubmittalLog!$E$1:$E$4000,
  _xlpm.date_col, [1]SubmittalLog!$H$1:$H$4000,
  _xlpm.status_col, [1]SubmittalLog!$N$1:$N$4000,
  _xlpm.latest_date, _xlfn.MAXIFS(_xlpm.date_col, _xlpm.doc_col, M39),
  IF(_xlpm.latest_date=0, "NFS",
    _xlfn.LET(
      _xlpm.res, _xlfn.XLOOKUP(M39 &amp; "|" &amp; _xlpm.latest_date, _xlpm.doc_col &amp; "|" &amp; _xlpm.date_col, _xlpm.status_col, ""),
      IF(OR(_xlpm.res="", _xlpm.res=0), "", _xlpm.res)
    )
  )
))</f>
        <v>RTR</v>
      </c>
      <c r="X39" s="39">
        <f>IF(OR(M39="", M39="Deleted"), "", _xlfn.LET(
  _xlpm.doc_col, [1]SubmittalLog!$E$1:$E$4000,
  _xlpm.date_col, [1]SubmittalLog!$H$1:$H$4000,
  _xlpm.status_col, [1]SubmittalLog!$O$1:$O$4000,
  _xlpm.first_app_date, _xlfn.MINIFS(_xlpm.date_col, _xlpm.doc_col, M39, _xlpm.status_col, "APP"),
  _xlpm.first_awc_date, _xlfn.MINIFS(_xlpm.date_col, _xlpm.doc_col, M39, _xlpm.status_col, "AWC"),
  _xlpm.earliest_date, IF(
    AND(_xlpm.first_app_date=0, _xlpm.first_awc_date=0), 0,
    IF(_xlpm.first_app_date=0, _xlpm.first_awc_date,
    IF(_xlpm.first_awc_date=0, _xlpm.first_app_date,
    MIN(_xlpm.first_app_date, _xlpm.first_awc_date)))
  ),
  IF(_xlpm.earliest_date=0, "", _xlpm.earliest_date)
))</f>
        <v>45224</v>
      </c>
      <c r="Y39" s="40" t="str" cm="1">
        <f t="array" ref="Y39">IF(OR(M39="", M39="Deleted"), "", _xlfn.LET(
  _xlpm.doc_col, [1]SubmittalLog!$E$1:$E$4000,
  _xlpm.date_col, [1]SubmittalLog!$H$1:$H$4000,
  _xlpm.status_col, [1]SubmittalLog!$O$1:$O$4000,
  _xlpm.has_sub, COUNTIF(_xlpm.doc_col, M39),
  _xlpm.latest_reviewed_date, _xlfn.MAXIFS(_xlpm.date_col, _xlpm.doc_col, M39, _xlpm.status_col, "&lt;&gt;"),
  IF(_xlpm.has_sub=0, "",
    IF(_xlpm.latest_reviewed_date=0, "",
      _xlfn.LET(
        _xlpm.res, _xlfn.XLOOKUP(1, (_xlpm.doc_col=M39) * (_xlpm.date_col=_xlpm.latest_reviewed_date) * (_xlpm.status_col&lt;&gt;""), _xlpm.status_col, ""),
        IF(OR(_xlpm.res="", _xlpm.res=0), "", _xlpm.res)
      )
    )
  )
))</f>
        <v>AWC</v>
      </c>
    </row>
    <row r="40" spans="1:25" x14ac:dyDescent="0.35">
      <c r="A40" s="33">
        <f>IF($M40="","",MAX($A$1:A39)+1)</f>
        <v>30</v>
      </c>
      <c r="B40" s="23" t="s">
        <v>250</v>
      </c>
      <c r="C40" s="23" t="s">
        <v>257</v>
      </c>
      <c r="G40" s="33">
        <v>131236</v>
      </c>
      <c r="H40" s="33" t="s">
        <v>59</v>
      </c>
      <c r="I40" s="33" t="s">
        <v>204</v>
      </c>
      <c r="J40" s="33" t="s">
        <v>3496</v>
      </c>
      <c r="K40" s="51" t="s">
        <v>3505</v>
      </c>
      <c r="M40" s="34" t="str">
        <f t="shared" si="0"/>
        <v>131236-WIL21-CH-P-0003</v>
      </c>
      <c r="N40" s="26" t="s">
        <v>3512</v>
      </c>
      <c r="P40" s="34" t="s">
        <v>3467</v>
      </c>
      <c r="S40" s="35">
        <v>46142</v>
      </c>
      <c r="T40" s="35">
        <v>46142</v>
      </c>
      <c r="U40" s="64" cm="1">
        <f t="array" ref="U40">IF(OR(M40="", M40="Deleted"), "", _xlfn.LET(
  _xlpm.dates,
  _xlfn._xlws.FILTER(
    [1]SubmittalLog!$H$1:$H$4000,
    [1]SubmittalLog!$E$1:$E$4000=M40,
    ""
  ),
  _xlpm.min_date, IFERROR(MIN(_xlpm.dates), ""),
  IF(_xlpm.min_date=0, "", _xlpm.min_date)
))</f>
        <v>46153</v>
      </c>
      <c r="V40" s="63" t="str" cm="1">
        <f t="array" ref="V40">IF(OR(M40="", M40="Deleted"), "", IFERROR(
  _xlfn.TEXTJOIN(", ", TRUE,
    _xlfn.MAP(
      _xlfn.UNIQUE(
        _xlfn._xlws.FILTER(
          [1]SubmittalLog!$B$1:$B$4000,
          ([1]SubmittalLog!$E$1:$E$4000=M40) *
          ([1]SubmittalLog!$B$1:$B$4000&lt;&gt;""),
          ""
        )
      ),
      _xlfn.LAMBDA(_xlpm.val, TEXT(_xlpm.val, "000000"))
    )
  ),
""))</f>
        <v>002089</v>
      </c>
      <c r="W40" s="40" t="str" cm="1">
        <f t="array" ref="W40">IF(OR(M40="", M40="Deleted"), "", _xlfn.LET(
  _xlpm.doc_col, [1]SubmittalLog!$E$1:$E$4000,
  _xlpm.date_col, [1]SubmittalLog!$H$1:$H$4000,
  _xlpm.status_col, [1]SubmittalLog!$N$1:$N$4000,
  _xlpm.latest_date, _xlfn.MAXIFS(_xlpm.date_col, _xlpm.doc_col, M40),
  IF(_xlpm.latest_date=0, "NFS",
    _xlfn.LET(
      _xlpm.res, _xlfn.XLOOKUP(M40 &amp; "|" &amp; _xlpm.latest_date, _xlpm.doc_col &amp; "|" &amp; _xlpm.date_col, _xlpm.status_col, ""),
      IF(OR(_xlpm.res="", _xlpm.res=0), "", _xlpm.res)
    )
  )
))</f>
        <v>RTR</v>
      </c>
      <c r="X40" s="39">
        <f>IF(OR(M40="", M40="Deleted"), "", _xlfn.LET(
  _xlpm.doc_col, [1]SubmittalLog!$E$1:$E$4000,
  _xlpm.date_col, [1]SubmittalLog!$H$1:$H$4000,
  _xlpm.status_col, [1]SubmittalLog!$O$1:$O$4000,
  _xlpm.first_app_date, _xlfn.MINIFS(_xlpm.date_col, _xlpm.doc_col, M40, _xlpm.status_col, "APP"),
  _xlpm.first_awc_date, _xlfn.MINIFS(_xlpm.date_col, _xlpm.doc_col, M40, _xlpm.status_col, "AWC"),
  _xlpm.earliest_date, IF(
    AND(_xlpm.first_app_date=0, _xlpm.first_awc_date=0), 0,
    IF(_xlpm.first_app_date=0, _xlpm.first_awc_date,
    IF(_xlpm.first_awc_date=0, _xlpm.first_app_date,
    MIN(_xlpm.first_app_date, _xlpm.first_awc_date)))
  ),
  IF(_xlpm.earliest_date=0, "", _xlpm.earliest_date)
))</f>
        <v>46153</v>
      </c>
      <c r="Y40" s="40" t="str" cm="1">
        <f t="array" ref="Y40">IF(OR(M40="", M40="Deleted"), "", _xlfn.LET(
  _xlpm.doc_col, [1]SubmittalLog!$E$1:$E$4000,
  _xlpm.date_col, [1]SubmittalLog!$H$1:$H$4000,
  _xlpm.status_col, [1]SubmittalLog!$O$1:$O$4000,
  _xlpm.has_sub, COUNTIF(_xlpm.doc_col, M40),
  _xlpm.latest_reviewed_date, _xlfn.MAXIFS(_xlpm.date_col, _xlpm.doc_col, M40, _xlpm.status_col, "&lt;&gt;"),
  IF(_xlpm.has_sub=0, "",
    IF(_xlpm.latest_reviewed_date=0, "",
      _xlfn.LET(
        _xlpm.res, _xlfn.XLOOKUP(1, (_xlpm.doc_col=M40) * (_xlpm.date_col=_xlpm.latest_reviewed_date) * (_xlpm.status_col&lt;&gt;""), _xlpm.status_col, ""),
        IF(OR(_xlpm.res="", _xlpm.res=0), "", _xlpm.res)
      )
    )
  )
))</f>
        <v>AWC</v>
      </c>
    </row>
    <row r="41" spans="1:25" x14ac:dyDescent="0.35">
      <c r="A41" s="33">
        <f>IF($M41="","",MAX($A$1:A40)+1)</f>
        <v>31</v>
      </c>
      <c r="B41" s="23" t="s">
        <v>250</v>
      </c>
      <c r="C41" s="23" t="s">
        <v>257</v>
      </c>
      <c r="G41" s="33">
        <v>131236</v>
      </c>
      <c r="H41" s="33" t="s">
        <v>59</v>
      </c>
      <c r="I41" s="33" t="s">
        <v>442</v>
      </c>
      <c r="J41" s="33" t="s">
        <v>3496</v>
      </c>
      <c r="K41" s="51" t="s">
        <v>3469</v>
      </c>
      <c r="M41" s="34" t="str">
        <f t="shared" si="0"/>
        <v>131236-WIL21-SN-P-0001</v>
      </c>
      <c r="N41" s="26" t="s">
        <v>3513</v>
      </c>
      <c r="P41" s="34" t="s">
        <v>3467</v>
      </c>
      <c r="S41" s="35">
        <v>46142</v>
      </c>
      <c r="T41" s="35">
        <v>46142</v>
      </c>
      <c r="U41" s="64" cm="1">
        <f t="array" ref="U41">IF(OR(M41="", M41="Deleted"), "", _xlfn.LET(
  _xlpm.dates,
  _xlfn._xlws.FILTER(
    [1]SubmittalLog!$H$1:$H$4000,
    [1]SubmittalLog!$E$1:$E$4000=M41,
    ""
  ),
  _xlpm.min_date, IFERROR(MIN(_xlpm.dates), ""),
  IF(_xlpm.min_date=0, "", _xlpm.min_date)
))</f>
        <v>46153</v>
      </c>
      <c r="V41" s="63" t="str" cm="1">
        <f t="array" ref="V41">IF(OR(M41="", M41="Deleted"), "", IFERROR(
  _xlfn.TEXTJOIN(", ", TRUE,
    _xlfn.MAP(
      _xlfn.UNIQUE(
        _xlfn._xlws.FILTER(
          [1]SubmittalLog!$B$1:$B$4000,
          ([1]SubmittalLog!$E$1:$E$4000=M41) *
          ([1]SubmittalLog!$B$1:$B$4000&lt;&gt;""),
          ""
        )
      ),
      _xlfn.LAMBDA(_xlpm.val, TEXT(_xlpm.val, "000000"))
    )
  ),
""))</f>
        <v>002089</v>
      </c>
      <c r="W41" s="40" t="str" cm="1">
        <f t="array" ref="W41">IF(OR(M41="", M41="Deleted"), "", _xlfn.LET(
  _xlpm.doc_col, [1]SubmittalLog!$E$1:$E$4000,
  _xlpm.date_col, [1]SubmittalLog!$H$1:$H$4000,
  _xlpm.status_col, [1]SubmittalLog!$N$1:$N$4000,
  _xlpm.latest_date, _xlfn.MAXIFS(_xlpm.date_col, _xlpm.doc_col, M41),
  IF(_xlpm.latest_date=0, "NFS",
    _xlfn.LET(
      _xlpm.res, _xlfn.XLOOKUP(M41 &amp; "|" &amp; _xlpm.latest_date, _xlpm.doc_col &amp; "|" &amp; _xlpm.date_col, _xlpm.status_col, ""),
      IF(OR(_xlpm.res="", _xlpm.res=0), "", _xlpm.res)
    )
  )
))</f>
        <v>RTR</v>
      </c>
      <c r="X41" s="39">
        <f>IF(OR(M41="", M41="Deleted"), "", _xlfn.LET(
  _xlpm.doc_col, [1]SubmittalLog!$E$1:$E$4000,
  _xlpm.date_col, [1]SubmittalLog!$H$1:$H$4000,
  _xlpm.status_col, [1]SubmittalLog!$O$1:$O$4000,
  _xlpm.first_app_date, _xlfn.MINIFS(_xlpm.date_col, _xlpm.doc_col, M41, _xlpm.status_col, "APP"),
  _xlpm.first_awc_date, _xlfn.MINIFS(_xlpm.date_col, _xlpm.doc_col, M41, _xlpm.status_col, "AWC"),
  _xlpm.earliest_date, IF(
    AND(_xlpm.first_app_date=0, _xlpm.first_awc_date=0), 0,
    IF(_xlpm.first_app_date=0, _xlpm.first_awc_date,
    IF(_xlpm.first_awc_date=0, _xlpm.first_app_date,
    MIN(_xlpm.first_app_date, _xlpm.first_awc_date)))
  ),
  IF(_xlpm.earliest_date=0, "", _xlpm.earliest_date)
))</f>
        <v>46153</v>
      </c>
      <c r="Y41" s="40" t="str" cm="1">
        <f t="array" ref="Y41">IF(OR(M41="", M41="Deleted"), "", _xlfn.LET(
  _xlpm.doc_col, [1]SubmittalLog!$E$1:$E$4000,
  _xlpm.date_col, [1]SubmittalLog!$H$1:$H$4000,
  _xlpm.status_col, [1]SubmittalLog!$O$1:$O$4000,
  _xlpm.has_sub, COUNTIF(_xlpm.doc_col, M41),
  _xlpm.latest_reviewed_date, _xlfn.MAXIFS(_xlpm.date_col, _xlpm.doc_col, M41, _xlpm.status_col, "&lt;&gt;"),
  IF(_xlpm.has_sub=0, "",
    IF(_xlpm.latest_reviewed_date=0, "",
      _xlfn.LET(
        _xlpm.res, _xlfn.XLOOKUP(1, (_xlpm.doc_col=M41) * (_xlpm.date_col=_xlpm.latest_reviewed_date) * (_xlpm.status_col&lt;&gt;""), _xlpm.status_col, ""),
        IF(OR(_xlpm.res="", _xlpm.res=0), "", _xlpm.res)
      )
    )
  )
))</f>
        <v>AWC</v>
      </c>
    </row>
    <row r="42" spans="1:25" x14ac:dyDescent="0.35">
      <c r="A42" s="33">
        <f>IF($M42="","",MAX($A$1:A41)+1)</f>
        <v>32</v>
      </c>
      <c r="B42" s="23" t="s">
        <v>250</v>
      </c>
      <c r="C42" s="23" t="s">
        <v>257</v>
      </c>
      <c r="G42" s="33">
        <v>131236</v>
      </c>
      <c r="H42" s="33" t="s">
        <v>59</v>
      </c>
      <c r="I42" s="33" t="s">
        <v>444</v>
      </c>
      <c r="J42" s="33" t="s">
        <v>3496</v>
      </c>
      <c r="K42" s="51" t="s">
        <v>3469</v>
      </c>
      <c r="M42" s="34" t="str">
        <f t="shared" si="0"/>
        <v>131236-WIL21-SP-P-0001</v>
      </c>
      <c r="N42" s="26" t="s">
        <v>3514</v>
      </c>
      <c r="P42" s="34" t="s">
        <v>3467</v>
      </c>
      <c r="S42" s="35">
        <v>45378</v>
      </c>
      <c r="T42" s="35">
        <v>45378</v>
      </c>
      <c r="U42" s="64" cm="1">
        <f t="array" ref="U42">IF(OR(M42="", M42="Deleted"), "", _xlfn.LET(
  _xlpm.dates,
  _xlfn._xlws.FILTER(
    [1]SubmittalLog!$H$1:$H$4000,
    [1]SubmittalLog!$E$1:$E$4000=M42,
    ""
  ),
  _xlpm.min_date, IFERROR(MIN(_xlpm.dates), ""),
  IF(_xlpm.min_date=0, "", _xlpm.min_date)
))</f>
        <v>45261</v>
      </c>
      <c r="V42" s="63" t="str" cm="1">
        <f t="array" ref="V42">IF(OR(M42="", M42="Deleted"), "", IFERROR(
  _xlfn.TEXTJOIN(", ", TRUE,
    _xlfn.MAP(
      _xlfn.UNIQUE(
        _xlfn._xlws.FILTER(
          [1]SubmittalLog!$B$1:$B$4000,
          ([1]SubmittalLog!$E$1:$E$4000=M42) *
          ([1]SubmittalLog!$B$1:$B$4000&lt;&gt;""),
          ""
        )
      ),
      _xlfn.LAMBDA(_xlpm.val, TEXT(_xlpm.val, "000000"))
    )
  ),
""))</f>
        <v>000403, 000224</v>
      </c>
      <c r="W42" s="40" t="str" cm="1">
        <f t="array" ref="W42">IF(OR(M42="", M42="Deleted"), "", _xlfn.LET(
  _xlpm.doc_col, [1]SubmittalLog!$E$1:$E$4000,
  _xlpm.date_col, [1]SubmittalLog!$H$1:$H$4000,
  _xlpm.status_col, [1]SubmittalLog!$N$1:$N$4000,
  _xlpm.latest_date, _xlfn.MAXIFS(_xlpm.date_col, _xlpm.doc_col, M42),
  IF(_xlpm.latest_date=0, "NFS",
    _xlfn.LET(
      _xlpm.res, _xlfn.XLOOKUP(M42 &amp; "|" &amp; _xlpm.latest_date, _xlpm.doc_col &amp; "|" &amp; _xlpm.date_col, _xlpm.status_col, ""),
      IF(OR(_xlpm.res="", _xlpm.res=0), "", _xlpm.res)
    )
  )
))</f>
        <v>RTR</v>
      </c>
      <c r="X42" s="39">
        <f>IF(OR(M42="", M42="Deleted"), "", _xlfn.LET(
  _xlpm.doc_col, [1]SubmittalLog!$E$1:$E$4000,
  _xlpm.date_col, [1]SubmittalLog!$H$1:$H$4000,
  _xlpm.status_col, [1]SubmittalLog!$O$1:$O$4000,
  _xlpm.first_app_date, _xlfn.MINIFS(_xlpm.date_col, _xlpm.doc_col, M42, _xlpm.status_col, "APP"),
  _xlpm.first_awc_date, _xlfn.MINIFS(_xlpm.date_col, _xlpm.doc_col, M42, _xlpm.status_col, "AWC"),
  _xlpm.earliest_date, IF(
    AND(_xlpm.first_app_date=0, _xlpm.first_awc_date=0), 0,
    IF(_xlpm.first_app_date=0, _xlpm.first_awc_date,
    IF(_xlpm.first_awc_date=0, _xlpm.first_app_date,
    MIN(_xlpm.first_app_date, _xlpm.first_awc_date)))
  ),
  IF(_xlpm.earliest_date=0, "", _xlpm.earliest_date)
))</f>
        <v>45261</v>
      </c>
      <c r="Y42" s="40" t="str" cm="1">
        <f t="array" ref="Y42">IF(OR(M42="", M42="Deleted"), "", _xlfn.LET(
  _xlpm.doc_col, [1]SubmittalLog!$E$1:$E$4000,
  _xlpm.date_col, [1]SubmittalLog!$H$1:$H$4000,
  _xlpm.status_col, [1]SubmittalLog!$O$1:$O$4000,
  _xlpm.has_sub, COUNTIF(_xlpm.doc_col, M42),
  _xlpm.latest_reviewed_date, _xlfn.MAXIFS(_xlpm.date_col, _xlpm.doc_col, M42, _xlpm.status_col, "&lt;&gt;"),
  IF(_xlpm.has_sub=0, "",
    IF(_xlpm.latest_reviewed_date=0, "",
      _xlfn.LET(
        _xlpm.res, _xlfn.XLOOKUP(1, (_xlpm.doc_col=M42) * (_xlpm.date_col=_xlpm.latest_reviewed_date) * (_xlpm.status_col&lt;&gt;""), _xlpm.status_col, ""),
        IF(OR(_xlpm.res="", _xlpm.res=0), "", _xlpm.res)
      )
    )
  )
))</f>
        <v>AWC</v>
      </c>
    </row>
    <row r="43" spans="1:25" x14ac:dyDescent="0.35">
      <c r="A43" s="33">
        <f>IF($M43="","",MAX($A$1:A42)+1)</f>
        <v>33</v>
      </c>
      <c r="B43" s="23" t="s">
        <v>250</v>
      </c>
      <c r="C43" s="23" t="s">
        <v>257</v>
      </c>
      <c r="G43" s="33">
        <v>131236</v>
      </c>
      <c r="H43" s="33" t="s">
        <v>59</v>
      </c>
      <c r="I43" s="33" t="s">
        <v>297</v>
      </c>
      <c r="J43" s="33" t="s">
        <v>3496</v>
      </c>
      <c r="K43" s="51">
        <v>7010</v>
      </c>
      <c r="M43" s="34" t="str">
        <f t="shared" si="0"/>
        <v>131236-WIL21-DR-P-7010</v>
      </c>
      <c r="N43" s="26" t="s">
        <v>3515</v>
      </c>
      <c r="P43" s="34" t="s">
        <v>3498</v>
      </c>
      <c r="S43" s="35">
        <v>45260</v>
      </c>
      <c r="T43" s="35">
        <v>45351</v>
      </c>
      <c r="U43" s="64" cm="1">
        <f t="array" ref="U43">IF(OR(M43="", M43="Deleted"), "", _xlfn.LET(
  _xlpm.dates,
  _xlfn._xlws.FILTER(
    [1]SubmittalLog!$H$1:$H$4000,
    [1]SubmittalLog!$E$1:$E$4000=M43,
    ""
  ),
  _xlpm.min_date, IFERROR(MIN(_xlpm.dates), ""),
  IF(_xlpm.min_date=0, "", _xlpm.min_date)
))</f>
        <v>45385</v>
      </c>
      <c r="V43" s="63" t="str" cm="1">
        <f t="array" ref="V43">IF(OR(M43="", M43="Deleted"), "", IFERROR(
  _xlfn.TEXTJOIN(", ", TRUE,
    _xlfn.MAP(
      _xlfn.UNIQUE(
        _xlfn._xlws.FILTER(
          [1]SubmittalLog!$B$1:$B$4000,
          ([1]SubmittalLog!$E$1:$E$4000=M43) *
          ([1]SubmittalLog!$B$1:$B$4000&lt;&gt;""),
          ""
        )
      ),
      _xlfn.LAMBDA(_xlpm.val, TEXT(_xlpm.val, "000000"))
    )
  ),
""))</f>
        <v>000416</v>
      </c>
      <c r="W43" s="40" t="str" cm="1">
        <f t="array" ref="W43">IF(OR(M43="", M43="Deleted"), "", _xlfn.LET(
  _xlpm.doc_col, [1]SubmittalLog!$E$1:$E$4000,
  _xlpm.date_col, [1]SubmittalLog!$H$1:$H$4000,
  _xlpm.status_col, [1]SubmittalLog!$N$1:$N$4000,
  _xlpm.latest_date, _xlfn.MAXIFS(_xlpm.date_col, _xlpm.doc_col, M43),
  IF(_xlpm.latest_date=0, "NFS",
    _xlfn.LET(
      _xlpm.res, _xlfn.XLOOKUP(M43 &amp; "|" &amp; _xlpm.latest_date, _xlpm.doc_col &amp; "|" &amp; _xlpm.date_col, _xlpm.status_col, ""),
      IF(OR(_xlpm.res="", _xlpm.res=0), "", _xlpm.res)
    )
  )
))</f>
        <v>RTR</v>
      </c>
      <c r="X43" s="39">
        <f>IF(OR(M43="", M43="Deleted"), "", _xlfn.LET(
  _xlpm.doc_col, [1]SubmittalLog!$E$1:$E$4000,
  _xlpm.date_col, [1]SubmittalLog!$H$1:$H$4000,
  _xlpm.status_col, [1]SubmittalLog!$O$1:$O$4000,
  _xlpm.first_app_date, _xlfn.MINIFS(_xlpm.date_col, _xlpm.doc_col, M43, _xlpm.status_col, "APP"),
  _xlpm.first_awc_date, _xlfn.MINIFS(_xlpm.date_col, _xlpm.doc_col, M43, _xlpm.status_col, "AWC"),
  _xlpm.earliest_date, IF(
    AND(_xlpm.first_app_date=0, _xlpm.first_awc_date=0), 0,
    IF(_xlpm.first_app_date=0, _xlpm.first_awc_date,
    IF(_xlpm.first_awc_date=0, _xlpm.first_app_date,
    MIN(_xlpm.first_app_date, _xlpm.first_awc_date)))
  ),
  IF(_xlpm.earliest_date=0, "", _xlpm.earliest_date)
))</f>
        <v>45385</v>
      </c>
      <c r="Y43" s="40" t="str" cm="1">
        <f t="array" ref="Y43">IF(OR(M43="", M43="Deleted"), "", _xlfn.LET(
  _xlpm.doc_col, [1]SubmittalLog!$E$1:$E$4000,
  _xlpm.date_col, [1]SubmittalLog!$H$1:$H$4000,
  _xlpm.status_col, [1]SubmittalLog!$O$1:$O$4000,
  _xlpm.has_sub, COUNTIF(_xlpm.doc_col, M43),
  _xlpm.latest_reviewed_date, _xlfn.MAXIFS(_xlpm.date_col, _xlpm.doc_col, M43, _xlpm.status_col, "&lt;&gt;"),
  IF(_xlpm.has_sub=0, "",
    IF(_xlpm.latest_reviewed_date=0, "",
      _xlfn.LET(
        _xlpm.res, _xlfn.XLOOKUP(1, (_xlpm.doc_col=M43) * (_xlpm.date_col=_xlpm.latest_reviewed_date) * (_xlpm.status_col&lt;&gt;""), _xlpm.status_col, ""),
        IF(OR(_xlpm.res="", _xlpm.res=0), "", _xlpm.res)
      )
    )
  )
))</f>
        <v>APP</v>
      </c>
    </row>
    <row r="44" spans="1:25" x14ac:dyDescent="0.35">
      <c r="A44" s="33">
        <f>IF($M44="","",MAX($A$1:A43)+1)</f>
        <v>34</v>
      </c>
      <c r="B44" s="23" t="s">
        <v>250</v>
      </c>
      <c r="C44" s="23" t="s">
        <v>257</v>
      </c>
      <c r="G44" s="33">
        <v>131236</v>
      </c>
      <c r="H44" s="33" t="s">
        <v>59</v>
      </c>
      <c r="I44" s="33" t="s">
        <v>297</v>
      </c>
      <c r="J44" s="33" t="s">
        <v>3496</v>
      </c>
      <c r="K44" s="51">
        <v>7011</v>
      </c>
      <c r="M44" s="34" t="str">
        <f t="shared" si="0"/>
        <v>131236-WIL21-DR-P-7011</v>
      </c>
      <c r="N44" s="26" t="s">
        <v>3516</v>
      </c>
      <c r="P44" s="34" t="s">
        <v>3498</v>
      </c>
      <c r="S44" s="35">
        <v>45238</v>
      </c>
      <c r="T44" s="35">
        <v>45238</v>
      </c>
      <c r="U44" s="64" cm="1">
        <f t="array" ref="U44">IF(OR(M44="", M44="Deleted"), "", _xlfn.LET(
  _xlpm.dates,
  _xlfn._xlws.FILTER(
    [1]SubmittalLog!$H$1:$H$4000,
    [1]SubmittalLog!$E$1:$E$4000=M44,
    ""
  ),
  _xlpm.min_date, IFERROR(MIN(_xlpm.dates), ""),
  IF(_xlpm.min_date=0, "", _xlpm.min_date)
))</f>
        <v>45238</v>
      </c>
      <c r="V44" s="63" t="str" cm="1">
        <f t="array" ref="V44">IF(OR(M44="", M44="Deleted"), "", IFERROR(
  _xlfn.TEXTJOIN(", ", TRUE,
    _xlfn.MAP(
      _xlfn.UNIQUE(
        _xlfn._xlws.FILTER(
          [1]SubmittalLog!$B$1:$B$4000,
          ([1]SubmittalLog!$E$1:$E$4000=M44) *
          ([1]SubmittalLog!$B$1:$B$4000&lt;&gt;""),
          ""
        )
      ),
      _xlfn.LAMBDA(_xlpm.val, TEXT(_xlpm.val, "000000"))
    )
  ),
""))</f>
        <v>000173</v>
      </c>
      <c r="W44" s="40" t="str" cm="1">
        <f t="array" ref="W44">IF(OR(M44="", M44="Deleted"), "", _xlfn.LET(
  _xlpm.doc_col, [1]SubmittalLog!$E$1:$E$4000,
  _xlpm.date_col, [1]SubmittalLog!$H$1:$H$4000,
  _xlpm.status_col, [1]SubmittalLog!$N$1:$N$4000,
  _xlpm.latest_date, _xlfn.MAXIFS(_xlpm.date_col, _xlpm.doc_col, M44),
  IF(_xlpm.latest_date=0, "NFS",
    _xlfn.LET(
      _xlpm.res, _xlfn.XLOOKUP(M44 &amp; "|" &amp; _xlpm.latest_date, _xlpm.doc_col &amp; "|" &amp; _xlpm.date_col, _xlpm.status_col, ""),
      IF(OR(_xlpm.res="", _xlpm.res=0), "", _xlpm.res)
    )
  )
))</f>
        <v>RTR</v>
      </c>
      <c r="X44" s="39">
        <f>IF(OR(M44="", M44="Deleted"), "", _xlfn.LET(
  _xlpm.doc_col, [1]SubmittalLog!$E$1:$E$4000,
  _xlpm.date_col, [1]SubmittalLog!$H$1:$H$4000,
  _xlpm.status_col, [1]SubmittalLog!$O$1:$O$4000,
  _xlpm.first_app_date, _xlfn.MINIFS(_xlpm.date_col, _xlpm.doc_col, M44, _xlpm.status_col, "APP"),
  _xlpm.first_awc_date, _xlfn.MINIFS(_xlpm.date_col, _xlpm.doc_col, M44, _xlpm.status_col, "AWC"),
  _xlpm.earliest_date, IF(
    AND(_xlpm.first_app_date=0, _xlpm.first_awc_date=0), 0,
    IF(_xlpm.first_app_date=0, _xlpm.first_awc_date,
    IF(_xlpm.first_awc_date=0, _xlpm.first_app_date,
    MIN(_xlpm.first_app_date, _xlpm.first_awc_date)))
  ),
  IF(_xlpm.earliest_date=0, "", _xlpm.earliest_date)
))</f>
        <v>45238</v>
      </c>
      <c r="Y44" s="40" t="str" cm="1">
        <f t="array" ref="Y44">IF(OR(M44="", M44="Deleted"), "", _xlfn.LET(
  _xlpm.doc_col, [1]SubmittalLog!$E$1:$E$4000,
  _xlpm.date_col, [1]SubmittalLog!$H$1:$H$4000,
  _xlpm.status_col, [1]SubmittalLog!$O$1:$O$4000,
  _xlpm.has_sub, COUNTIF(_xlpm.doc_col, M44),
  _xlpm.latest_reviewed_date, _xlfn.MAXIFS(_xlpm.date_col, _xlpm.doc_col, M44, _xlpm.status_col, "&lt;&gt;"),
  IF(_xlpm.has_sub=0, "",
    IF(_xlpm.latest_reviewed_date=0, "",
      _xlfn.LET(
        _xlpm.res, _xlfn.XLOOKUP(1, (_xlpm.doc_col=M44) * (_xlpm.date_col=_xlpm.latest_reviewed_date) * (_xlpm.status_col&lt;&gt;""), _xlpm.status_col, ""),
        IF(OR(_xlpm.res="", _xlpm.res=0), "", _xlpm.res)
      )
    )
  )
))</f>
        <v>APP</v>
      </c>
    </row>
    <row r="45" spans="1:25" x14ac:dyDescent="0.35">
      <c r="A45" s="33">
        <f>IF($M45="","",MAX($A$1:A44)+1)</f>
        <v>35</v>
      </c>
      <c r="B45" s="23" t="s">
        <v>250</v>
      </c>
      <c r="C45" s="23" t="s">
        <v>257</v>
      </c>
      <c r="G45" s="33">
        <v>131236</v>
      </c>
      <c r="H45" s="33" t="s">
        <v>59</v>
      </c>
      <c r="I45" s="33" t="s">
        <v>444</v>
      </c>
      <c r="J45" s="33" t="s">
        <v>3496</v>
      </c>
      <c r="K45" s="51" t="s">
        <v>3503</v>
      </c>
      <c r="M45" s="34" t="str">
        <f t="shared" si="0"/>
        <v>131236-WIL21-SP-P-0002</v>
      </c>
      <c r="N45" s="26" t="s">
        <v>3517</v>
      </c>
      <c r="P45" s="34" t="s">
        <v>3467</v>
      </c>
      <c r="S45" s="35">
        <v>45695</v>
      </c>
      <c r="T45" s="35">
        <v>45695</v>
      </c>
      <c r="U45" s="64" cm="1">
        <f t="array" ref="U45">IF(OR(M45="", M45="Deleted"), "", _xlfn.LET(
  _xlpm.dates,
  _xlfn._xlws.FILTER(
    [1]SubmittalLog!$H$1:$H$4000,
    [1]SubmittalLog!$E$1:$E$4000=M45,
    ""
  ),
  _xlpm.min_date, IFERROR(MIN(_xlpm.dates), ""),
  IF(_xlpm.min_date=0, "", _xlpm.min_date)
))</f>
        <v>45695</v>
      </c>
      <c r="V45" s="63" t="str" cm="1">
        <f t="array" ref="V45">IF(OR(M45="", M45="Deleted"), "", IFERROR(
  _xlfn.TEXTJOIN(", ", TRUE,
    _xlfn.MAP(
      _xlfn.UNIQUE(
        _xlfn._xlws.FILTER(
          [1]SubmittalLog!$B$1:$B$4000,
          ([1]SubmittalLog!$E$1:$E$4000=M45) *
          ([1]SubmittalLog!$B$1:$B$4000&lt;&gt;""),
          ""
        )
      ),
      _xlfn.LAMBDA(_xlpm.val, TEXT(_xlpm.val, "000000"))
    )
  ),
""))</f>
        <v>001032</v>
      </c>
      <c r="W45" s="40" t="str" cm="1">
        <f t="array" ref="W45">IF(OR(M45="", M45="Deleted"), "", _xlfn.LET(
  _xlpm.doc_col, [1]SubmittalLog!$E$1:$E$4000,
  _xlpm.date_col, [1]SubmittalLog!$H$1:$H$4000,
  _xlpm.status_col, [1]SubmittalLog!$N$1:$N$4000,
  _xlpm.latest_date, _xlfn.MAXIFS(_xlpm.date_col, _xlpm.doc_col, M45),
  IF(_xlpm.latest_date=0, "NFS",
    _xlfn.LET(
      _xlpm.res, _xlfn.XLOOKUP(M45 &amp; "|" &amp; _xlpm.latest_date, _xlpm.doc_col &amp; "|" &amp; _xlpm.date_col, _xlpm.status_col, ""),
      IF(OR(_xlpm.res="", _xlpm.res=0), "", _xlpm.res)
    )
  )
))</f>
        <v>RTR</v>
      </c>
      <c r="X45" s="39">
        <f>IF(OR(M45="", M45="Deleted"), "", _xlfn.LET(
  _xlpm.doc_col, [1]SubmittalLog!$E$1:$E$4000,
  _xlpm.date_col, [1]SubmittalLog!$H$1:$H$4000,
  _xlpm.status_col, [1]SubmittalLog!$O$1:$O$4000,
  _xlpm.first_app_date, _xlfn.MINIFS(_xlpm.date_col, _xlpm.doc_col, M45, _xlpm.status_col, "APP"),
  _xlpm.first_awc_date, _xlfn.MINIFS(_xlpm.date_col, _xlpm.doc_col, M45, _xlpm.status_col, "AWC"),
  _xlpm.earliest_date, IF(
    AND(_xlpm.first_app_date=0, _xlpm.first_awc_date=0), 0,
    IF(_xlpm.first_app_date=0, _xlpm.first_awc_date,
    IF(_xlpm.first_awc_date=0, _xlpm.first_app_date,
    MIN(_xlpm.first_app_date, _xlpm.first_awc_date)))
  ),
  IF(_xlpm.earliest_date=0, "", _xlpm.earliest_date)
))</f>
        <v>45695</v>
      </c>
      <c r="Y45" s="40" t="str" cm="1">
        <f t="array" ref="Y45">IF(OR(M45="", M45="Deleted"), "", _xlfn.LET(
  _xlpm.doc_col, [1]SubmittalLog!$E$1:$E$4000,
  _xlpm.date_col, [1]SubmittalLog!$H$1:$H$4000,
  _xlpm.status_col, [1]SubmittalLog!$O$1:$O$4000,
  _xlpm.has_sub, COUNTIF(_xlpm.doc_col, M45),
  _xlpm.latest_reviewed_date, _xlfn.MAXIFS(_xlpm.date_col, _xlpm.doc_col, M45, _xlpm.status_col, "&lt;&gt;"),
  IF(_xlpm.has_sub=0, "",
    IF(_xlpm.latest_reviewed_date=0, "",
      _xlfn.LET(
        _xlpm.res, _xlfn.XLOOKUP(1, (_xlpm.doc_col=M45) * (_xlpm.date_col=_xlpm.latest_reviewed_date) * (_xlpm.status_col&lt;&gt;""), _xlpm.status_col, ""),
        IF(OR(_xlpm.res="", _xlpm.res=0), "", _xlpm.res)
      )
    )
  )
))</f>
        <v>AWC</v>
      </c>
    </row>
    <row r="46" spans="1:25" x14ac:dyDescent="0.35">
      <c r="A46" s="33">
        <f>IF($M46="","",MAX($A$1:A45)+1)</f>
        <v>36</v>
      </c>
      <c r="B46" s="23" t="s">
        <v>250</v>
      </c>
      <c r="C46" s="23" t="s">
        <v>257</v>
      </c>
      <c r="G46" s="33">
        <v>131236</v>
      </c>
      <c r="H46" s="33" t="s">
        <v>59</v>
      </c>
      <c r="I46" s="33" t="s">
        <v>217</v>
      </c>
      <c r="J46" s="33" t="s">
        <v>3496</v>
      </c>
      <c r="K46" s="51" t="s">
        <v>3469</v>
      </c>
      <c r="M46" s="34" t="str">
        <f t="shared" si="0"/>
        <v>131236-WIL21-CL-P-0001</v>
      </c>
      <c r="N46" s="26" t="s">
        <v>3518</v>
      </c>
      <c r="P46" s="34" t="s">
        <v>3467</v>
      </c>
      <c r="S46" s="35">
        <v>45233</v>
      </c>
      <c r="T46" s="35">
        <v>45238</v>
      </c>
      <c r="U46" s="64" cm="1">
        <f t="array" ref="U46">IF(OR(M46="", M46="Deleted"), "", _xlfn.LET(
  _xlpm.dates,
  _xlfn._xlws.FILTER(
    [1]SubmittalLog!$H$1:$H$4000,
    [1]SubmittalLog!$E$1:$E$4000=M46,
    ""
  ),
  _xlpm.min_date, IFERROR(MIN(_xlpm.dates), ""),
  IF(_xlpm.min_date=0, "", _xlpm.min_date)
))</f>
        <v>45238</v>
      </c>
      <c r="V46" s="63" t="str" cm="1">
        <f t="array" ref="V46">IF(OR(M46="", M46="Deleted"), "", IFERROR(
  _xlfn.TEXTJOIN(", ", TRUE,
    _xlfn.MAP(
      _xlfn.UNIQUE(
        _xlfn._xlws.FILTER(
          [1]SubmittalLog!$B$1:$B$4000,
          ([1]SubmittalLog!$E$1:$E$4000=M46) *
          ([1]SubmittalLog!$B$1:$B$4000&lt;&gt;""),
          ""
        )
      ),
      _xlfn.LAMBDA(_xlpm.val, TEXT(_xlpm.val, "000000"))
    )
  ),
""))</f>
        <v>000173, 000172</v>
      </c>
      <c r="W46" s="40" t="str" cm="1">
        <f t="array" ref="W46">IF(OR(M46="", M46="Deleted"), "", _xlfn.LET(
  _xlpm.doc_col, [1]SubmittalLog!$E$1:$E$4000,
  _xlpm.date_col, [1]SubmittalLog!$H$1:$H$4000,
  _xlpm.status_col, [1]SubmittalLog!$N$1:$N$4000,
  _xlpm.latest_date, _xlfn.MAXIFS(_xlpm.date_col, _xlpm.doc_col, M46),
  IF(_xlpm.latest_date=0, "NFS",
    _xlfn.LET(
      _xlpm.res, _xlfn.XLOOKUP(M46 &amp; "|" &amp; _xlpm.latest_date, _xlpm.doc_col &amp; "|" &amp; _xlpm.date_col, _xlpm.status_col, ""),
      IF(OR(_xlpm.res="", _xlpm.res=0), "", _xlpm.res)
    )
  )
))</f>
        <v>RTR</v>
      </c>
      <c r="X46" s="39">
        <f>IF(OR(M46="", M46="Deleted"), "", _xlfn.LET(
  _xlpm.doc_col, [1]SubmittalLog!$E$1:$E$4000,
  _xlpm.date_col, [1]SubmittalLog!$H$1:$H$4000,
  _xlpm.status_col, [1]SubmittalLog!$O$1:$O$4000,
  _xlpm.first_app_date, _xlfn.MINIFS(_xlpm.date_col, _xlpm.doc_col, M46, _xlpm.status_col, "APP"),
  _xlpm.first_awc_date, _xlfn.MINIFS(_xlpm.date_col, _xlpm.doc_col, M46, _xlpm.status_col, "AWC"),
  _xlpm.earliest_date, IF(
    AND(_xlpm.first_app_date=0, _xlpm.first_awc_date=0), 0,
    IF(_xlpm.first_app_date=0, _xlpm.first_awc_date,
    IF(_xlpm.first_awc_date=0, _xlpm.first_app_date,
    MIN(_xlpm.first_app_date, _xlpm.first_awc_date)))
  ),
  IF(_xlpm.earliest_date=0, "", _xlpm.earliest_date)
))</f>
        <v>45238</v>
      </c>
      <c r="Y46" s="40" t="str" cm="1">
        <f t="array" ref="Y46">IF(OR(M46="", M46="Deleted"), "", _xlfn.LET(
  _xlpm.doc_col, [1]SubmittalLog!$E$1:$E$4000,
  _xlpm.date_col, [1]SubmittalLog!$H$1:$H$4000,
  _xlpm.status_col, [1]SubmittalLog!$O$1:$O$4000,
  _xlpm.has_sub, COUNTIF(_xlpm.doc_col, M46),
  _xlpm.latest_reviewed_date, _xlfn.MAXIFS(_xlpm.date_col, _xlpm.doc_col, M46, _xlpm.status_col, "&lt;&gt;"),
  IF(_xlpm.has_sub=0, "",
    IF(_xlpm.latest_reviewed_date=0, "",
      _xlfn.LET(
        _xlpm.res, _xlfn.XLOOKUP(1, (_xlpm.doc_col=M46) * (_xlpm.date_col=_xlpm.latest_reviewed_date) * (_xlpm.status_col&lt;&gt;""), _xlpm.status_col, ""),
        IF(OR(_xlpm.res="", _xlpm.res=0), "", _xlpm.res)
      )
    )
  )
))</f>
        <v>APP</v>
      </c>
    </row>
    <row r="47" spans="1:25" x14ac:dyDescent="0.35">
      <c r="A47" s="33">
        <f>IF($M47="","",MAX($A$1:A46)+1)</f>
        <v>37</v>
      </c>
      <c r="B47" s="23" t="s">
        <v>250</v>
      </c>
      <c r="C47" s="23" t="s">
        <v>257</v>
      </c>
      <c r="G47" s="33">
        <v>131236</v>
      </c>
      <c r="H47" s="33" t="s">
        <v>59</v>
      </c>
      <c r="I47" s="33" t="s">
        <v>217</v>
      </c>
      <c r="J47" s="33" t="s">
        <v>3496</v>
      </c>
      <c r="K47" s="51" t="s">
        <v>3503</v>
      </c>
      <c r="M47" s="34" t="str">
        <f t="shared" si="0"/>
        <v>131236-WIL21-CL-P-0002</v>
      </c>
      <c r="N47" s="26" t="s">
        <v>3519</v>
      </c>
      <c r="P47" s="34" t="s">
        <v>3467</v>
      </c>
      <c r="S47" s="35">
        <v>45240</v>
      </c>
      <c r="T47" s="35">
        <v>45253</v>
      </c>
      <c r="U47" s="64" cm="1">
        <f t="array" ref="U47">IF(OR(M47="", M47="Deleted"), "", _xlfn.LET(
  _xlpm.dates,
  _xlfn._xlws.FILTER(
    [1]SubmittalLog!$H$1:$H$4000,
    [1]SubmittalLog!$E$1:$E$4000=M47,
    ""
  ),
  _xlpm.min_date, IFERROR(MIN(_xlpm.dates), ""),
  IF(_xlpm.min_date=0, "", _xlpm.min_date)
))</f>
        <v>45252</v>
      </c>
      <c r="V47" s="63" t="str" cm="1">
        <f t="array" ref="V47">IF(OR(M47="", M47="Deleted"), "", IFERROR(
  _xlfn.TEXTJOIN(", ", TRUE,
    _xlfn.MAP(
      _xlfn.UNIQUE(
        _xlfn._xlws.FILTER(
          [1]SubmittalLog!$B$1:$B$4000,
          ([1]SubmittalLog!$E$1:$E$4000=M47) *
          ([1]SubmittalLog!$B$1:$B$4000&lt;&gt;""),
          ""
        )
      ),
      _xlfn.LAMBDA(_xlpm.val, TEXT(_xlpm.val, "000000"))
    )
  ),
""))</f>
        <v>000206, 000207</v>
      </c>
      <c r="W47" s="40" t="str" cm="1">
        <f t="array" ref="W47">IF(OR(M47="", M47="Deleted"), "", _xlfn.LET(
  _xlpm.doc_col, [1]SubmittalLog!$E$1:$E$4000,
  _xlpm.date_col, [1]SubmittalLog!$H$1:$H$4000,
  _xlpm.status_col, [1]SubmittalLog!$N$1:$N$4000,
  _xlpm.latest_date, _xlfn.MAXIFS(_xlpm.date_col, _xlpm.doc_col, M47),
  IF(_xlpm.latest_date=0, "NFS",
    _xlfn.LET(
      _xlpm.res, _xlfn.XLOOKUP(M47 &amp; "|" &amp; _xlpm.latest_date, _xlpm.doc_col &amp; "|" &amp; _xlpm.date_col, _xlpm.status_col, ""),
      IF(OR(_xlpm.res="", _xlpm.res=0), "", _xlpm.res)
    )
  )
))</f>
        <v>RTR</v>
      </c>
      <c r="X47" s="39">
        <f>IF(OR(M47="", M47="Deleted"), "", _xlfn.LET(
  _xlpm.doc_col, [1]SubmittalLog!$E$1:$E$4000,
  _xlpm.date_col, [1]SubmittalLog!$H$1:$H$4000,
  _xlpm.status_col, [1]SubmittalLog!$O$1:$O$4000,
  _xlpm.first_app_date, _xlfn.MINIFS(_xlpm.date_col, _xlpm.doc_col, M47, _xlpm.status_col, "APP"),
  _xlpm.first_awc_date, _xlfn.MINIFS(_xlpm.date_col, _xlpm.doc_col, M47, _xlpm.status_col, "AWC"),
  _xlpm.earliest_date, IF(
    AND(_xlpm.first_app_date=0, _xlpm.first_awc_date=0), 0,
    IF(_xlpm.first_app_date=0, _xlpm.first_awc_date,
    IF(_xlpm.first_awc_date=0, _xlpm.first_app_date,
    MIN(_xlpm.first_app_date, _xlpm.first_awc_date)))
  ),
  IF(_xlpm.earliest_date=0, "", _xlpm.earliest_date)
))</f>
        <v>45252</v>
      </c>
      <c r="Y47" s="40" t="str" cm="1">
        <f t="array" ref="Y47">IF(OR(M47="", M47="Deleted"), "", _xlfn.LET(
  _xlpm.doc_col, [1]SubmittalLog!$E$1:$E$4000,
  _xlpm.date_col, [1]SubmittalLog!$H$1:$H$4000,
  _xlpm.status_col, [1]SubmittalLog!$O$1:$O$4000,
  _xlpm.has_sub, COUNTIF(_xlpm.doc_col, M47),
  _xlpm.latest_reviewed_date, _xlfn.MAXIFS(_xlpm.date_col, _xlpm.doc_col, M47, _xlpm.status_col, "&lt;&gt;"),
  IF(_xlpm.has_sub=0, "",
    IF(_xlpm.latest_reviewed_date=0, "",
      _xlfn.LET(
        _xlpm.res, _xlfn.XLOOKUP(1, (_xlpm.doc_col=M47) * (_xlpm.date_col=_xlpm.latest_reviewed_date) * (_xlpm.status_col&lt;&gt;""), _xlpm.status_col, ""),
        IF(OR(_xlpm.res="", _xlpm.res=0), "", _xlpm.res)
      )
    )
  )
))</f>
        <v>APP</v>
      </c>
    </row>
    <row r="48" spans="1:25" x14ac:dyDescent="0.35">
      <c r="A48" s="33">
        <f>IF($M48="","",MAX($A$1:A47)+1)</f>
        <v>38</v>
      </c>
      <c r="B48" s="23" t="s">
        <v>250</v>
      </c>
      <c r="C48" s="23" t="s">
        <v>257</v>
      </c>
      <c r="G48" s="33">
        <v>131236</v>
      </c>
      <c r="H48" s="33" t="s">
        <v>59</v>
      </c>
      <c r="I48" s="33" t="s">
        <v>217</v>
      </c>
      <c r="J48" s="33" t="s">
        <v>3496</v>
      </c>
      <c r="K48" s="51" t="s">
        <v>3505</v>
      </c>
      <c r="M48" s="34" t="str">
        <f t="shared" si="0"/>
        <v>131236-WIL21-CL-P-0003</v>
      </c>
      <c r="N48" s="26" t="s">
        <v>3520</v>
      </c>
      <c r="P48" s="34" t="s">
        <v>3467</v>
      </c>
      <c r="S48" s="35">
        <v>45260</v>
      </c>
      <c r="T48" s="35">
        <v>45366</v>
      </c>
      <c r="U48" s="64" cm="1">
        <f t="array" ref="U48">IF(OR(M48="", M48="Deleted"), "", _xlfn.LET(
  _xlpm.dates,
  _xlfn._xlws.FILTER(
    [1]SubmittalLog!$H$1:$H$4000,
    [1]SubmittalLog!$E$1:$E$4000=M48,
    ""
  ),
  _xlpm.min_date, IFERROR(MIN(_xlpm.dates), ""),
  IF(_xlpm.min_date=0, "", _xlpm.min_date)
))</f>
        <v>45371</v>
      </c>
      <c r="V48" s="63" t="str" cm="1">
        <f t="array" ref="V48">IF(OR(M48="", M48="Deleted"), "", IFERROR(
  _xlfn.TEXTJOIN(", ", TRUE,
    _xlfn.MAP(
      _xlfn.UNIQUE(
        _xlfn._xlws.FILTER(
          [1]SubmittalLog!$B$1:$B$4000,
          ([1]SubmittalLog!$E$1:$E$4000=M48) *
          ([1]SubmittalLog!$B$1:$B$4000&lt;&gt;""),
          ""
        )
      ),
      _xlfn.LAMBDA(_xlpm.val, TEXT(_xlpm.val, "000000"))
    )
  ),
""))</f>
        <v>000384, 000591</v>
      </c>
      <c r="W48" s="40" t="str" cm="1">
        <f t="array" ref="W48">IF(OR(M48="", M48="Deleted"), "", _xlfn.LET(
  _xlpm.doc_col, [1]SubmittalLog!$E$1:$E$4000,
  _xlpm.date_col, [1]SubmittalLog!$H$1:$H$4000,
  _xlpm.status_col, [1]SubmittalLog!$N$1:$N$4000,
  _xlpm.latest_date, _xlfn.MAXIFS(_xlpm.date_col, _xlpm.doc_col, M48),
  IF(_xlpm.latest_date=0, "NFS",
    _xlfn.LET(
      _xlpm.res, _xlfn.XLOOKUP(M48 &amp; "|" &amp; _xlpm.latest_date, _xlpm.doc_col &amp; "|" &amp; _xlpm.date_col, _xlpm.status_col, ""),
      IF(OR(_xlpm.res="", _xlpm.res=0), "", _xlpm.res)
    )
  )
))</f>
        <v>RTR</v>
      </c>
      <c r="X48" s="39">
        <f>IF(OR(M48="", M48="Deleted"), "", _xlfn.LET(
  _xlpm.doc_col, [1]SubmittalLog!$E$1:$E$4000,
  _xlpm.date_col, [1]SubmittalLog!$H$1:$H$4000,
  _xlpm.status_col, [1]SubmittalLog!$O$1:$O$4000,
  _xlpm.first_app_date, _xlfn.MINIFS(_xlpm.date_col, _xlpm.doc_col, M48, _xlpm.status_col, "APP"),
  _xlpm.first_awc_date, _xlfn.MINIFS(_xlpm.date_col, _xlpm.doc_col, M48, _xlpm.status_col, "AWC"),
  _xlpm.earliest_date, IF(
    AND(_xlpm.first_app_date=0, _xlpm.first_awc_date=0), 0,
    IF(_xlpm.first_app_date=0, _xlpm.first_awc_date,
    IF(_xlpm.first_awc_date=0, _xlpm.first_app_date,
    MIN(_xlpm.first_app_date, _xlpm.first_awc_date)))
  ),
  IF(_xlpm.earliest_date=0, "", _xlpm.earliest_date)
))</f>
        <v>45371</v>
      </c>
      <c r="Y48" s="40" t="str" cm="1">
        <f t="array" ref="Y48">IF(OR(M48="", M48="Deleted"), "", _xlfn.LET(
  _xlpm.doc_col, [1]SubmittalLog!$E$1:$E$4000,
  _xlpm.date_col, [1]SubmittalLog!$H$1:$H$4000,
  _xlpm.status_col, [1]SubmittalLog!$O$1:$O$4000,
  _xlpm.has_sub, COUNTIF(_xlpm.doc_col, M48),
  _xlpm.latest_reviewed_date, _xlfn.MAXIFS(_xlpm.date_col, _xlpm.doc_col, M48, _xlpm.status_col, "&lt;&gt;"),
  IF(_xlpm.has_sub=0, "",
    IF(_xlpm.latest_reviewed_date=0, "",
      _xlfn.LET(
        _xlpm.res, _xlfn.XLOOKUP(1, (_xlpm.doc_col=M48) * (_xlpm.date_col=_xlpm.latest_reviewed_date) * (_xlpm.status_col&lt;&gt;""), _xlpm.status_col, ""),
        IF(OR(_xlpm.res="", _xlpm.res=0), "", _xlpm.res)
      )
    )
  )
))</f>
        <v>APP</v>
      </c>
    </row>
    <row r="49" spans="1:25" x14ac:dyDescent="0.35">
      <c r="A49" s="33">
        <f>IF($M49="","",MAX($A$1:A48)+1)</f>
        <v>39</v>
      </c>
      <c r="B49" s="23" t="s">
        <v>250</v>
      </c>
      <c r="C49" s="23" t="s">
        <v>257</v>
      </c>
      <c r="G49" s="33">
        <v>131236</v>
      </c>
      <c r="H49" s="33" t="s">
        <v>59</v>
      </c>
      <c r="I49" s="33" t="s">
        <v>217</v>
      </c>
      <c r="J49" s="33" t="s">
        <v>3496</v>
      </c>
      <c r="K49" s="51" t="s">
        <v>3521</v>
      </c>
      <c r="M49" s="34" t="str">
        <f t="shared" si="0"/>
        <v>131236-WIL21-CL-P-0004</v>
      </c>
      <c r="N49" s="26" t="s">
        <v>3522</v>
      </c>
      <c r="P49" s="34" t="s">
        <v>3467</v>
      </c>
      <c r="S49" s="35">
        <v>45260</v>
      </c>
      <c r="T49" s="35">
        <v>45366</v>
      </c>
      <c r="U49" s="64" cm="1">
        <f t="array" ref="U49">IF(OR(M49="", M49="Deleted"), "", _xlfn.LET(
  _xlpm.dates,
  _xlfn._xlws.FILTER(
    [1]SubmittalLog!$H$1:$H$4000,
    [1]SubmittalLog!$E$1:$E$4000=M49,
    ""
  ),
  _xlpm.min_date, IFERROR(MIN(_xlpm.dates), ""),
  IF(_xlpm.min_date=0, "", _xlpm.min_date)
))</f>
        <v>45379</v>
      </c>
      <c r="V49" s="63" t="str" cm="1">
        <f t="array" ref="V49">IF(OR(M49="", M49="Deleted"), "", IFERROR(
  _xlfn.TEXTJOIN(", ", TRUE,
    _xlfn.MAP(
      _xlfn.UNIQUE(
        _xlfn._xlws.FILTER(
          [1]SubmittalLog!$B$1:$B$4000,
          ([1]SubmittalLog!$E$1:$E$4000=M49) *
          ([1]SubmittalLog!$B$1:$B$4000&lt;&gt;""),
          ""
        )
      ),
      _xlfn.LAMBDA(_xlpm.val, TEXT(_xlpm.val, "000000"))
    )
  ),
""))</f>
        <v>000404, 000649</v>
      </c>
      <c r="W49" s="40" t="str" cm="1">
        <f t="array" ref="W49">IF(OR(M49="", M49="Deleted"), "", _xlfn.LET(
  _xlpm.doc_col, [1]SubmittalLog!$E$1:$E$4000,
  _xlpm.date_col, [1]SubmittalLog!$H$1:$H$4000,
  _xlpm.status_col, [1]SubmittalLog!$N$1:$N$4000,
  _xlpm.latest_date, _xlfn.MAXIFS(_xlpm.date_col, _xlpm.doc_col, M49),
  IF(_xlpm.latest_date=0, "NFS",
    _xlfn.LET(
      _xlpm.res, _xlfn.XLOOKUP(M49 &amp; "|" &amp; _xlpm.latest_date, _xlpm.doc_col &amp; "|" &amp; _xlpm.date_col, _xlpm.status_col, ""),
      IF(OR(_xlpm.res="", _xlpm.res=0), "", _xlpm.res)
    )
  )
))</f>
        <v>RTR</v>
      </c>
      <c r="X49" s="39">
        <f>IF(OR(M49="", M49="Deleted"), "", _xlfn.LET(
  _xlpm.doc_col, [1]SubmittalLog!$E$1:$E$4000,
  _xlpm.date_col, [1]SubmittalLog!$H$1:$H$4000,
  _xlpm.status_col, [1]SubmittalLog!$O$1:$O$4000,
  _xlpm.first_app_date, _xlfn.MINIFS(_xlpm.date_col, _xlpm.doc_col, M49, _xlpm.status_col, "APP"),
  _xlpm.first_awc_date, _xlfn.MINIFS(_xlpm.date_col, _xlpm.doc_col, M49, _xlpm.status_col, "AWC"),
  _xlpm.earliest_date, IF(
    AND(_xlpm.first_app_date=0, _xlpm.first_awc_date=0), 0,
    IF(_xlpm.first_app_date=0, _xlpm.first_awc_date,
    IF(_xlpm.first_awc_date=0, _xlpm.first_app_date,
    MIN(_xlpm.first_app_date, _xlpm.first_awc_date)))
  ),
  IF(_xlpm.earliest_date=0, "", _xlpm.earliest_date)
))</f>
        <v>45379</v>
      </c>
      <c r="Y49" s="40" t="str" cm="1">
        <f t="array" ref="Y49">IF(OR(M49="", M49="Deleted"), "", _xlfn.LET(
  _xlpm.doc_col, [1]SubmittalLog!$E$1:$E$4000,
  _xlpm.date_col, [1]SubmittalLog!$H$1:$H$4000,
  _xlpm.status_col, [1]SubmittalLog!$O$1:$O$4000,
  _xlpm.has_sub, COUNTIF(_xlpm.doc_col, M49),
  _xlpm.latest_reviewed_date, _xlfn.MAXIFS(_xlpm.date_col, _xlpm.doc_col, M49, _xlpm.status_col, "&lt;&gt;"),
  IF(_xlpm.has_sub=0, "",
    IF(_xlpm.latest_reviewed_date=0, "",
      _xlfn.LET(
        _xlpm.res, _xlfn.XLOOKUP(1, (_xlpm.doc_col=M49) * (_xlpm.date_col=_xlpm.latest_reviewed_date) * (_xlpm.status_col&lt;&gt;""), _xlpm.status_col, ""),
        IF(OR(_xlpm.res="", _xlpm.res=0), "", _xlpm.res)
      )
    )
  )
))</f>
        <v>AWC</v>
      </c>
    </row>
    <row r="50" spans="1:25" x14ac:dyDescent="0.35">
      <c r="A50" s="33">
        <f>IF($M50="","",MAX($A$1:A49)+1)</f>
        <v>40</v>
      </c>
      <c r="B50" s="23" t="s">
        <v>250</v>
      </c>
      <c r="C50" s="23" t="s">
        <v>257</v>
      </c>
      <c r="G50" s="33">
        <v>131236</v>
      </c>
      <c r="H50" s="33" t="s">
        <v>59</v>
      </c>
      <c r="I50" s="33" t="s">
        <v>217</v>
      </c>
      <c r="J50" s="33" t="s">
        <v>3496</v>
      </c>
      <c r="K50" s="51" t="s">
        <v>3523</v>
      </c>
      <c r="M50" s="34" t="str">
        <f t="shared" si="0"/>
        <v>131236-WIL21-CL-P-0005</v>
      </c>
      <c r="N50" s="26" t="s">
        <v>3524</v>
      </c>
      <c r="P50" s="34" t="s">
        <v>3467</v>
      </c>
      <c r="S50" s="35">
        <v>45233</v>
      </c>
      <c r="T50" s="35">
        <v>45238</v>
      </c>
      <c r="U50" s="64" cm="1">
        <f t="array" ref="U50">IF(OR(M50="", M50="Deleted"), "", _xlfn.LET(
  _xlpm.dates,
  _xlfn._xlws.FILTER(
    [1]SubmittalLog!$H$1:$H$4000,
    [1]SubmittalLog!$E$1:$E$4000=M50,
    ""
  ),
  _xlpm.min_date, IFERROR(MIN(_xlpm.dates), ""),
  IF(_xlpm.min_date=0, "", _xlpm.min_date)
))</f>
        <v>45385</v>
      </c>
      <c r="V50" s="63" t="str" cm="1">
        <f t="array" ref="V50">IF(OR(M50="", M50="Deleted"), "", IFERROR(
  _xlfn.TEXTJOIN(", ", TRUE,
    _xlfn.MAP(
      _xlfn.UNIQUE(
        _xlfn._xlws.FILTER(
          [1]SubmittalLog!$B$1:$B$4000,
          ([1]SubmittalLog!$E$1:$E$4000=M50) *
          ([1]SubmittalLog!$B$1:$B$4000&lt;&gt;""),
          ""
        )
      ),
      _xlfn.LAMBDA(_xlpm.val, TEXT(_xlpm.val, "000000"))
    )
  ),
""))</f>
        <v>000416</v>
      </c>
      <c r="W50" s="40" t="str" cm="1">
        <f t="array" ref="W50">IF(OR(M50="", M50="Deleted"), "", _xlfn.LET(
  _xlpm.doc_col, [1]SubmittalLog!$E$1:$E$4000,
  _xlpm.date_col, [1]SubmittalLog!$H$1:$H$4000,
  _xlpm.status_col, [1]SubmittalLog!$N$1:$N$4000,
  _xlpm.latest_date, _xlfn.MAXIFS(_xlpm.date_col, _xlpm.doc_col, M50),
  IF(_xlpm.latest_date=0, "NFS",
    _xlfn.LET(
      _xlpm.res, _xlfn.XLOOKUP(M50 &amp; "|" &amp; _xlpm.latest_date, _xlpm.doc_col &amp; "|" &amp; _xlpm.date_col, _xlpm.status_col, ""),
      IF(OR(_xlpm.res="", _xlpm.res=0), "", _xlpm.res)
    )
  )
))</f>
        <v>RTR</v>
      </c>
      <c r="X50" s="39">
        <f>IF(OR(M50="", M50="Deleted"), "", _xlfn.LET(
  _xlpm.doc_col, [1]SubmittalLog!$E$1:$E$4000,
  _xlpm.date_col, [1]SubmittalLog!$H$1:$H$4000,
  _xlpm.status_col, [1]SubmittalLog!$O$1:$O$4000,
  _xlpm.first_app_date, _xlfn.MINIFS(_xlpm.date_col, _xlpm.doc_col, M50, _xlpm.status_col, "APP"),
  _xlpm.first_awc_date, _xlfn.MINIFS(_xlpm.date_col, _xlpm.doc_col, M50, _xlpm.status_col, "AWC"),
  _xlpm.earliest_date, IF(
    AND(_xlpm.first_app_date=0, _xlpm.first_awc_date=0), 0,
    IF(_xlpm.first_app_date=0, _xlpm.first_awc_date,
    IF(_xlpm.first_awc_date=0, _xlpm.first_app_date,
    MIN(_xlpm.first_app_date, _xlpm.first_awc_date)))
  ),
  IF(_xlpm.earliest_date=0, "", _xlpm.earliest_date)
))</f>
        <v>45385</v>
      </c>
      <c r="Y50" s="40" t="str" cm="1">
        <f t="array" ref="Y50">IF(OR(M50="", M50="Deleted"), "", _xlfn.LET(
  _xlpm.doc_col, [1]SubmittalLog!$E$1:$E$4000,
  _xlpm.date_col, [1]SubmittalLog!$H$1:$H$4000,
  _xlpm.status_col, [1]SubmittalLog!$O$1:$O$4000,
  _xlpm.has_sub, COUNTIF(_xlpm.doc_col, M50),
  _xlpm.latest_reviewed_date, _xlfn.MAXIFS(_xlpm.date_col, _xlpm.doc_col, M50, _xlpm.status_col, "&lt;&gt;"),
  IF(_xlpm.has_sub=0, "",
    IF(_xlpm.latest_reviewed_date=0, "",
      _xlfn.LET(
        _xlpm.res, _xlfn.XLOOKUP(1, (_xlpm.doc_col=M50) * (_xlpm.date_col=_xlpm.latest_reviewed_date) * (_xlpm.status_col&lt;&gt;""), _xlpm.status_col, ""),
        IF(OR(_xlpm.res="", _xlpm.res=0), "", _xlpm.res)
      )
    )
  )
))</f>
        <v>APP</v>
      </c>
    </row>
    <row r="51" spans="1:25" x14ac:dyDescent="0.35">
      <c r="A51" s="33">
        <f>IF($M51="","",MAX($A$1:A50)+1)</f>
        <v>41</v>
      </c>
      <c r="B51" s="23" t="s">
        <v>250</v>
      </c>
      <c r="C51" s="23" t="s">
        <v>257</v>
      </c>
      <c r="G51" s="33">
        <v>131236</v>
      </c>
      <c r="H51" s="33" t="s">
        <v>59</v>
      </c>
      <c r="I51" s="33" t="s">
        <v>217</v>
      </c>
      <c r="J51" s="33" t="s">
        <v>3496</v>
      </c>
      <c r="K51" s="51" t="s">
        <v>3525</v>
      </c>
      <c r="M51" s="34" t="str">
        <f t="shared" si="0"/>
        <v>131236-WIL21-CL-P-0006</v>
      </c>
      <c r="N51" s="26" t="s">
        <v>3526</v>
      </c>
      <c r="P51" s="34" t="s">
        <v>3467</v>
      </c>
      <c r="S51" s="35">
        <v>45260</v>
      </c>
      <c r="T51" s="35">
        <v>45366</v>
      </c>
      <c r="U51" s="64" cm="1">
        <f t="array" ref="U51">IF(OR(M51="", M51="Deleted"), "", _xlfn.LET(
  _xlpm.dates,
  _xlfn._xlws.FILTER(
    [1]SubmittalLog!$H$1:$H$4000,
    [1]SubmittalLog!$E$1:$E$4000=M51,
    ""
  ),
  _xlpm.min_date, IFERROR(MIN(_xlpm.dates), ""),
  IF(_xlpm.min_date=0, "", _xlpm.min_date)
))</f>
        <v>45385</v>
      </c>
      <c r="V51" s="63" t="str" cm="1">
        <f t="array" ref="V51">IF(OR(M51="", M51="Deleted"), "", IFERROR(
  _xlfn.TEXTJOIN(", ", TRUE,
    _xlfn.MAP(
      _xlfn.UNIQUE(
        _xlfn._xlws.FILTER(
          [1]SubmittalLog!$B$1:$B$4000,
          ([1]SubmittalLog!$E$1:$E$4000=M51) *
          ([1]SubmittalLog!$B$1:$B$4000&lt;&gt;""),
          ""
        )
      ),
      _xlfn.LAMBDA(_xlpm.val, TEXT(_xlpm.val, "000000"))
    )
  ),
""))</f>
        <v>000415, 000597</v>
      </c>
      <c r="W51" s="40" t="str" cm="1">
        <f t="array" ref="W51">IF(OR(M51="", M51="Deleted"), "", _xlfn.LET(
  _xlpm.doc_col, [1]SubmittalLog!$E$1:$E$4000,
  _xlpm.date_col, [1]SubmittalLog!$H$1:$H$4000,
  _xlpm.status_col, [1]SubmittalLog!$N$1:$N$4000,
  _xlpm.latest_date, _xlfn.MAXIFS(_xlpm.date_col, _xlpm.doc_col, M51),
  IF(_xlpm.latest_date=0, "NFS",
    _xlfn.LET(
      _xlpm.res, _xlfn.XLOOKUP(M51 &amp; "|" &amp; _xlpm.latest_date, _xlpm.doc_col &amp; "|" &amp; _xlpm.date_col, _xlpm.status_col, ""),
      IF(OR(_xlpm.res="", _xlpm.res=0), "", _xlpm.res)
    )
  )
))</f>
        <v>RTR</v>
      </c>
      <c r="X51" s="39">
        <f>IF(OR(M51="", M51="Deleted"), "", _xlfn.LET(
  _xlpm.doc_col, [1]SubmittalLog!$E$1:$E$4000,
  _xlpm.date_col, [1]SubmittalLog!$H$1:$H$4000,
  _xlpm.status_col, [1]SubmittalLog!$O$1:$O$4000,
  _xlpm.first_app_date, _xlfn.MINIFS(_xlpm.date_col, _xlpm.doc_col, M51, _xlpm.status_col, "APP"),
  _xlpm.first_awc_date, _xlfn.MINIFS(_xlpm.date_col, _xlpm.doc_col, M51, _xlpm.status_col, "AWC"),
  _xlpm.earliest_date, IF(
    AND(_xlpm.first_app_date=0, _xlpm.first_awc_date=0), 0,
    IF(_xlpm.first_app_date=0, _xlpm.first_awc_date,
    IF(_xlpm.first_awc_date=0, _xlpm.first_app_date,
    MIN(_xlpm.first_app_date, _xlpm.first_awc_date)))
  ),
  IF(_xlpm.earliest_date=0, "", _xlpm.earliest_date)
))</f>
        <v>45385</v>
      </c>
      <c r="Y51" s="40" t="str" cm="1">
        <f t="array" ref="Y51">IF(OR(M51="", M51="Deleted"), "", _xlfn.LET(
  _xlpm.doc_col, [1]SubmittalLog!$E$1:$E$4000,
  _xlpm.date_col, [1]SubmittalLog!$H$1:$H$4000,
  _xlpm.status_col, [1]SubmittalLog!$O$1:$O$4000,
  _xlpm.has_sub, COUNTIF(_xlpm.doc_col, M51),
  _xlpm.latest_reviewed_date, _xlfn.MAXIFS(_xlpm.date_col, _xlpm.doc_col, M51, _xlpm.status_col, "&lt;&gt;"),
  IF(_xlpm.has_sub=0, "",
    IF(_xlpm.latest_reviewed_date=0, "",
      _xlfn.LET(
        _xlpm.res, _xlfn.XLOOKUP(1, (_xlpm.doc_col=M51) * (_xlpm.date_col=_xlpm.latest_reviewed_date) * (_xlpm.status_col&lt;&gt;""), _xlpm.status_col, ""),
        IF(OR(_xlpm.res="", _xlpm.res=0), "", _xlpm.res)
      )
    )
  )
))</f>
        <v>AWC</v>
      </c>
    </row>
    <row r="52" spans="1:25" x14ac:dyDescent="0.35">
      <c r="A52" s="33">
        <f>IF($M52="","",MAX($A$1:A51)+1)</f>
        <v>42</v>
      </c>
      <c r="B52" s="23" t="s">
        <v>250</v>
      </c>
      <c r="C52" s="23" t="s">
        <v>257</v>
      </c>
      <c r="G52" s="33">
        <v>131236</v>
      </c>
      <c r="H52" s="33" t="s">
        <v>59</v>
      </c>
      <c r="I52" s="33" t="s">
        <v>217</v>
      </c>
      <c r="J52" s="33" t="s">
        <v>3496</v>
      </c>
      <c r="K52" s="51" t="s">
        <v>3527</v>
      </c>
      <c r="M52" s="34" t="str">
        <f t="shared" si="0"/>
        <v>131236-WIL21-CL-P-0007</v>
      </c>
      <c r="N52" s="26" t="s">
        <v>3528</v>
      </c>
      <c r="P52" s="34" t="s">
        <v>3467</v>
      </c>
      <c r="S52" s="35">
        <v>45447</v>
      </c>
      <c r="T52" s="35">
        <v>45447</v>
      </c>
      <c r="U52" s="64" cm="1">
        <f t="array" ref="U52">IF(OR(M52="", M52="Deleted"), "", _xlfn.LET(
  _xlpm.dates,
  _xlfn._xlws.FILTER(
    [1]SubmittalLog!$H$1:$H$4000,
    [1]SubmittalLog!$E$1:$E$4000=M52,
    ""
  ),
  _xlpm.min_date, IFERROR(MIN(_xlpm.dates), ""),
  IF(_xlpm.min_date=0, "", _xlpm.min_date)
))</f>
        <v>45482</v>
      </c>
      <c r="V52" s="63" t="str" cm="1">
        <f t="array" ref="V52">IF(OR(M52="", M52="Deleted"), "", IFERROR(
  _xlfn.TEXTJOIN(", ", TRUE,
    _xlfn.MAP(
      _xlfn.UNIQUE(
        _xlfn._xlws.FILTER(
          [1]SubmittalLog!$B$1:$B$4000,
          ([1]SubmittalLog!$E$1:$E$4000=M52) *
          ([1]SubmittalLog!$B$1:$B$4000&lt;&gt;""),
          ""
        )
      ),
      _xlfn.LAMBDA(_xlpm.val, TEXT(_xlpm.val, "000000"))
    )
  ),
""))</f>
        <v>000553, 000664</v>
      </c>
      <c r="W52" s="40" t="str" cm="1">
        <f t="array" ref="W52">IF(OR(M52="", M52="Deleted"), "", _xlfn.LET(
  _xlpm.doc_col, [1]SubmittalLog!$E$1:$E$4000,
  _xlpm.date_col, [1]SubmittalLog!$H$1:$H$4000,
  _xlpm.status_col, [1]SubmittalLog!$N$1:$N$4000,
  _xlpm.latest_date, _xlfn.MAXIFS(_xlpm.date_col, _xlpm.doc_col, M52),
  IF(_xlpm.latest_date=0, "NFS",
    _xlfn.LET(
      _xlpm.res, _xlfn.XLOOKUP(M52 &amp; "|" &amp; _xlpm.latest_date, _xlpm.doc_col &amp; "|" &amp; _xlpm.date_col, _xlpm.status_col, ""),
      IF(OR(_xlpm.res="", _xlpm.res=0), "", _xlpm.res)
    )
  )
))</f>
        <v>RTR</v>
      </c>
      <c r="X52" s="39">
        <f>IF(OR(M52="", M52="Deleted"), "", _xlfn.LET(
  _xlpm.doc_col, [1]SubmittalLog!$E$1:$E$4000,
  _xlpm.date_col, [1]SubmittalLog!$H$1:$H$4000,
  _xlpm.status_col, [1]SubmittalLog!$O$1:$O$4000,
  _xlpm.first_app_date, _xlfn.MINIFS(_xlpm.date_col, _xlpm.doc_col, M52, _xlpm.status_col, "APP"),
  _xlpm.first_awc_date, _xlfn.MINIFS(_xlpm.date_col, _xlpm.doc_col, M52, _xlpm.status_col, "AWC"),
  _xlpm.earliest_date, IF(
    AND(_xlpm.first_app_date=0, _xlpm.first_awc_date=0), 0,
    IF(_xlpm.first_app_date=0, _xlpm.first_awc_date,
    IF(_xlpm.first_awc_date=0, _xlpm.first_app_date,
    MIN(_xlpm.first_app_date, _xlpm.first_awc_date)))
  ),
  IF(_xlpm.earliest_date=0, "", _xlpm.earliest_date)
))</f>
        <v>45482</v>
      </c>
      <c r="Y52" s="40" t="str" cm="1">
        <f t="array" ref="Y52">IF(OR(M52="", M52="Deleted"), "", _xlfn.LET(
  _xlpm.doc_col, [1]SubmittalLog!$E$1:$E$4000,
  _xlpm.date_col, [1]SubmittalLog!$H$1:$H$4000,
  _xlpm.status_col, [1]SubmittalLog!$O$1:$O$4000,
  _xlpm.has_sub, COUNTIF(_xlpm.doc_col, M52),
  _xlpm.latest_reviewed_date, _xlfn.MAXIFS(_xlpm.date_col, _xlpm.doc_col, M52, _xlpm.status_col, "&lt;&gt;"),
  IF(_xlpm.has_sub=0, "",
    IF(_xlpm.latest_reviewed_date=0, "",
      _xlfn.LET(
        _xlpm.res, _xlfn.XLOOKUP(1, (_xlpm.doc_col=M52) * (_xlpm.date_col=_xlpm.latest_reviewed_date) * (_xlpm.status_col&lt;&gt;""), _xlpm.status_col, ""),
        IF(OR(_xlpm.res="", _xlpm.res=0), "", _xlpm.res)
      )
    )
  )
))</f>
        <v>APP</v>
      </c>
    </row>
    <row r="53" spans="1:25" x14ac:dyDescent="0.35">
      <c r="A53" s="33">
        <f>IF($M53="","",MAX($A$1:A52)+1)</f>
        <v>43</v>
      </c>
      <c r="B53" s="23" t="s">
        <v>250</v>
      </c>
      <c r="C53" s="23" t="s">
        <v>257</v>
      </c>
      <c r="G53" s="33">
        <v>131236</v>
      </c>
      <c r="H53" s="33" t="s">
        <v>59</v>
      </c>
      <c r="I53" s="33" t="s">
        <v>217</v>
      </c>
      <c r="J53" s="33" t="s">
        <v>3496</v>
      </c>
      <c r="K53" s="51" t="s">
        <v>3529</v>
      </c>
      <c r="M53" s="34" t="str">
        <f t="shared" si="0"/>
        <v>131236-WIL21-CL-P-0008</v>
      </c>
      <c r="N53" s="26" t="s">
        <v>3530</v>
      </c>
      <c r="P53" s="34" t="s">
        <v>3467</v>
      </c>
      <c r="S53" s="35">
        <v>45471</v>
      </c>
      <c r="T53" s="35">
        <v>45717</v>
      </c>
      <c r="U53" s="64" cm="1">
        <f t="array" ref="U53">IF(OR(M53="", M53="Deleted"), "", _xlfn.LET(
  _xlpm.dates,
  _xlfn._xlws.FILTER(
    [1]SubmittalLog!$H$1:$H$4000,
    [1]SubmittalLog!$E$1:$E$4000=M53,
    ""
  ),
  _xlpm.min_date, IFERROR(MIN(_xlpm.dates), ""),
  IF(_xlpm.min_date=0, "", _xlpm.min_date)
))</f>
        <v>45519</v>
      </c>
      <c r="V53" s="63" t="str" cm="1">
        <f t="array" ref="V53">IF(OR(M53="", M53="Deleted"), "", IFERROR(
  _xlfn.TEXTJOIN(", ", TRUE,
    _xlfn.MAP(
      _xlfn.UNIQUE(
        _xlfn._xlws.FILTER(
          [1]SubmittalLog!$B$1:$B$4000,
          ([1]SubmittalLog!$E$1:$E$4000=M53) *
          ([1]SubmittalLog!$B$1:$B$4000&lt;&gt;""),
          ""
        )
      ),
      _xlfn.LAMBDA(_xlpm.val, TEXT(_xlpm.val, "000000"))
    )
  ),
""))</f>
        <v>000553, 000650</v>
      </c>
      <c r="W53" s="40" t="str" cm="1">
        <f t="array" ref="W53">IF(OR(M53="", M53="Deleted"), "", _xlfn.LET(
  _xlpm.doc_col, [1]SubmittalLog!$E$1:$E$4000,
  _xlpm.date_col, [1]SubmittalLog!$H$1:$H$4000,
  _xlpm.status_col, [1]SubmittalLog!$N$1:$N$4000,
  _xlpm.latest_date, _xlfn.MAXIFS(_xlpm.date_col, _xlpm.doc_col, M53),
  IF(_xlpm.latest_date=0, "NFS",
    _xlfn.LET(
      _xlpm.res, _xlfn.XLOOKUP(M53 &amp; "|" &amp; _xlpm.latest_date, _xlpm.doc_col &amp; "|" &amp; _xlpm.date_col, _xlpm.status_col, ""),
      IF(OR(_xlpm.res="", _xlpm.res=0), "", _xlpm.res)
    )
  )
))</f>
        <v>RTR</v>
      </c>
      <c r="X53" s="39">
        <f>IF(OR(M53="", M53="Deleted"), "", _xlfn.LET(
  _xlpm.doc_col, [1]SubmittalLog!$E$1:$E$4000,
  _xlpm.date_col, [1]SubmittalLog!$H$1:$H$4000,
  _xlpm.status_col, [1]SubmittalLog!$O$1:$O$4000,
  _xlpm.first_app_date, _xlfn.MINIFS(_xlpm.date_col, _xlpm.doc_col, M53, _xlpm.status_col, "APP"),
  _xlpm.first_awc_date, _xlfn.MINIFS(_xlpm.date_col, _xlpm.doc_col, M53, _xlpm.status_col, "AWC"),
  _xlpm.earliest_date, IF(
    AND(_xlpm.first_app_date=0, _xlpm.first_awc_date=0), 0,
    IF(_xlpm.first_app_date=0, _xlpm.first_awc_date,
    IF(_xlpm.first_awc_date=0, _xlpm.first_app_date,
    MIN(_xlpm.first_app_date, _xlpm.first_awc_date)))
  ),
  IF(_xlpm.earliest_date=0, "", _xlpm.earliest_date)
))</f>
        <v>45519</v>
      </c>
      <c r="Y53" s="40" t="str" cm="1">
        <f t="array" ref="Y53">IF(OR(M53="", M53="Deleted"), "", _xlfn.LET(
  _xlpm.doc_col, [1]SubmittalLog!$E$1:$E$4000,
  _xlpm.date_col, [1]SubmittalLog!$H$1:$H$4000,
  _xlpm.status_col, [1]SubmittalLog!$O$1:$O$4000,
  _xlpm.has_sub, COUNTIF(_xlpm.doc_col, M53),
  _xlpm.latest_reviewed_date, _xlfn.MAXIFS(_xlpm.date_col, _xlpm.doc_col, M53, _xlpm.status_col, "&lt;&gt;"),
  IF(_xlpm.has_sub=0, "",
    IF(_xlpm.latest_reviewed_date=0, "",
      _xlfn.LET(
        _xlpm.res, _xlfn.XLOOKUP(1, (_xlpm.doc_col=M53) * (_xlpm.date_col=_xlpm.latest_reviewed_date) * (_xlpm.status_col&lt;&gt;""), _xlpm.status_col, ""),
        IF(OR(_xlpm.res="", _xlpm.res=0), "", _xlpm.res)
      )
    )
  )
))</f>
        <v>AWC</v>
      </c>
    </row>
    <row r="54" spans="1:25" x14ac:dyDescent="0.35">
      <c r="A54" s="33">
        <f>IF($M54="","",MAX($A$1:A53)+1)</f>
        <v>44</v>
      </c>
      <c r="B54" s="23" t="s">
        <v>250</v>
      </c>
      <c r="C54" s="23" t="s">
        <v>257</v>
      </c>
      <c r="G54" s="33">
        <v>131236</v>
      </c>
      <c r="H54" s="33" t="s">
        <v>59</v>
      </c>
      <c r="I54" s="33" t="s">
        <v>217</v>
      </c>
      <c r="J54" s="33" t="s">
        <v>3496</v>
      </c>
      <c r="K54" s="51" t="s">
        <v>3531</v>
      </c>
      <c r="M54" s="34" t="str">
        <f t="shared" si="0"/>
        <v>131236-WIL21-CL-P-0009</v>
      </c>
      <c r="N54" s="26" t="s">
        <v>3532</v>
      </c>
      <c r="P54" s="34" t="s">
        <v>3467</v>
      </c>
      <c r="S54" s="35">
        <v>45695</v>
      </c>
      <c r="T54" s="35">
        <v>45695</v>
      </c>
      <c r="U54" s="64" cm="1">
        <f t="array" ref="U54">IF(OR(M54="", M54="Deleted"), "", _xlfn.LET(
  _xlpm.dates,
  _xlfn._xlws.FILTER(
    [1]SubmittalLog!$H$1:$H$4000,
    [1]SubmittalLog!$E$1:$E$4000=M54,
    ""
  ),
  _xlpm.min_date, IFERROR(MIN(_xlpm.dates), ""),
  IF(_xlpm.min_date=0, "", _xlpm.min_date)
))</f>
        <v>45524</v>
      </c>
      <c r="V54" s="63" t="str" cm="1">
        <f t="array" ref="V54">IF(OR(M54="", M54="Deleted"), "", IFERROR(
  _xlfn.TEXTJOIN(", ", TRUE,
    _xlfn.MAP(
      _xlfn.UNIQUE(
        _xlfn._xlws.FILTER(
          [1]SubmittalLog!$B$1:$B$4000,
          ([1]SubmittalLog!$E$1:$E$4000=M54) *
          ([1]SubmittalLog!$B$1:$B$4000&lt;&gt;""),
          ""
        )
      ),
      _xlfn.LAMBDA(_xlpm.val, TEXT(_xlpm.val, "000000"))
    )
  ),
""))</f>
        <v>001031, 000662</v>
      </c>
      <c r="W54" s="40" t="str" cm="1">
        <f t="array" ref="W54">IF(OR(M54="", M54="Deleted"), "", _xlfn.LET(
  _xlpm.doc_col, [1]SubmittalLog!$E$1:$E$4000,
  _xlpm.date_col, [1]SubmittalLog!$H$1:$H$4000,
  _xlpm.status_col, [1]SubmittalLog!$N$1:$N$4000,
  _xlpm.latest_date, _xlfn.MAXIFS(_xlpm.date_col, _xlpm.doc_col, M54),
  IF(_xlpm.latest_date=0, "NFS",
    _xlfn.LET(
      _xlpm.res, _xlfn.XLOOKUP(M54 &amp; "|" &amp; _xlpm.latest_date, _xlpm.doc_col &amp; "|" &amp; _xlpm.date_col, _xlpm.status_col, ""),
      IF(OR(_xlpm.res="", _xlpm.res=0), "", _xlpm.res)
    )
  )
))</f>
        <v>RTR</v>
      </c>
      <c r="X54" s="39">
        <f>IF(OR(M54="", M54="Deleted"), "", _xlfn.LET(
  _xlpm.doc_col, [1]SubmittalLog!$E$1:$E$4000,
  _xlpm.date_col, [1]SubmittalLog!$H$1:$H$4000,
  _xlpm.status_col, [1]SubmittalLog!$O$1:$O$4000,
  _xlpm.first_app_date, _xlfn.MINIFS(_xlpm.date_col, _xlpm.doc_col, M54, _xlpm.status_col, "APP"),
  _xlpm.first_awc_date, _xlfn.MINIFS(_xlpm.date_col, _xlpm.doc_col, M54, _xlpm.status_col, "AWC"),
  _xlpm.earliest_date, IF(
    AND(_xlpm.first_app_date=0, _xlpm.first_awc_date=0), 0,
    IF(_xlpm.first_app_date=0, _xlpm.first_awc_date,
    IF(_xlpm.first_awc_date=0, _xlpm.first_app_date,
    MIN(_xlpm.first_app_date, _xlpm.first_awc_date)))
  ),
  IF(_xlpm.earliest_date=0, "", _xlpm.earliest_date)
))</f>
        <v>45524</v>
      </c>
      <c r="Y54" s="40" t="str" cm="1">
        <f t="array" ref="Y54">IF(OR(M54="", M54="Deleted"), "", _xlfn.LET(
  _xlpm.doc_col, [1]SubmittalLog!$E$1:$E$4000,
  _xlpm.date_col, [1]SubmittalLog!$H$1:$H$4000,
  _xlpm.status_col, [1]SubmittalLog!$O$1:$O$4000,
  _xlpm.has_sub, COUNTIF(_xlpm.doc_col, M54),
  _xlpm.latest_reviewed_date, _xlfn.MAXIFS(_xlpm.date_col, _xlpm.doc_col, M54, _xlpm.status_col, "&lt;&gt;"),
  IF(_xlpm.has_sub=0, "",
    IF(_xlpm.latest_reviewed_date=0, "",
      _xlfn.LET(
        _xlpm.res, _xlfn.XLOOKUP(1, (_xlpm.doc_col=M54) * (_xlpm.date_col=_xlpm.latest_reviewed_date) * (_xlpm.status_col&lt;&gt;""), _xlpm.status_col, ""),
        IF(OR(_xlpm.res="", _xlpm.res=0), "", _xlpm.res)
      )
    )
  )
))</f>
        <v>APP</v>
      </c>
    </row>
    <row r="55" spans="1:25" x14ac:dyDescent="0.35">
      <c r="A55" s="33">
        <f>IF($M55="","",MAX($A$1:A54)+1)</f>
        <v>45</v>
      </c>
      <c r="B55" s="23" t="s">
        <v>250</v>
      </c>
      <c r="C55" s="23" t="s">
        <v>257</v>
      </c>
      <c r="G55" s="33">
        <v>131236</v>
      </c>
      <c r="H55" s="33" t="s">
        <v>59</v>
      </c>
      <c r="I55" s="33" t="s">
        <v>217</v>
      </c>
      <c r="J55" s="33" t="s">
        <v>3496</v>
      </c>
      <c r="K55" s="51" t="s">
        <v>3471</v>
      </c>
      <c r="M55" s="34" t="str">
        <f t="shared" si="0"/>
        <v>131236-WIL21-CL-P-0010</v>
      </c>
      <c r="N55" s="26" t="s">
        <v>3533</v>
      </c>
      <c r="P55" s="34" t="s">
        <v>3467</v>
      </c>
      <c r="S55" s="35">
        <v>45447</v>
      </c>
      <c r="T55" s="35">
        <v>45447</v>
      </c>
      <c r="U55" s="64" cm="1">
        <f t="array" ref="U55">IF(OR(M55="", M55="Deleted"), "", _xlfn.LET(
  _xlpm.dates,
  _xlfn._xlws.FILTER(
    [1]SubmittalLog!$H$1:$H$4000,
    [1]SubmittalLog!$E$1:$E$4000=M55,
    ""
  ),
  _xlpm.min_date, IFERROR(MIN(_xlpm.dates), ""),
  IF(_xlpm.min_date=0, "", _xlpm.min_date)
))</f>
        <v>45446</v>
      </c>
      <c r="V55" s="63" t="str" cm="1">
        <f t="array" ref="V55">IF(OR(M55="", M55="Deleted"), "", IFERROR(
  _xlfn.TEXTJOIN(", ", TRUE,
    _xlfn.MAP(
      _xlfn.UNIQUE(
        _xlfn._xlws.FILTER(
          [1]SubmittalLog!$B$1:$B$4000,
          ([1]SubmittalLog!$E$1:$E$4000=M55) *
          ([1]SubmittalLog!$B$1:$B$4000&lt;&gt;""),
          ""
        )
      ),
      _xlfn.LAMBDA(_xlpm.val, TEXT(_xlpm.val, "000000"))
    )
  ),
""))</f>
        <v>000507, 000663</v>
      </c>
      <c r="W55" s="40" t="str" cm="1">
        <f t="array" ref="W55">IF(OR(M55="", M55="Deleted"), "", _xlfn.LET(
  _xlpm.doc_col, [1]SubmittalLog!$E$1:$E$4000,
  _xlpm.date_col, [1]SubmittalLog!$H$1:$H$4000,
  _xlpm.status_col, [1]SubmittalLog!$N$1:$N$4000,
  _xlpm.latest_date, _xlfn.MAXIFS(_xlpm.date_col, _xlpm.doc_col, M55),
  IF(_xlpm.latest_date=0, "NFS",
    _xlfn.LET(
      _xlpm.res, _xlfn.XLOOKUP(M55 &amp; "|" &amp; _xlpm.latest_date, _xlpm.doc_col &amp; "|" &amp; _xlpm.date_col, _xlpm.status_col, ""),
      IF(OR(_xlpm.res="", _xlpm.res=0), "", _xlpm.res)
    )
  )
))</f>
        <v>RTR</v>
      </c>
      <c r="X55" s="39">
        <f>IF(OR(M55="", M55="Deleted"), "", _xlfn.LET(
  _xlpm.doc_col, [1]SubmittalLog!$E$1:$E$4000,
  _xlpm.date_col, [1]SubmittalLog!$H$1:$H$4000,
  _xlpm.status_col, [1]SubmittalLog!$O$1:$O$4000,
  _xlpm.first_app_date, _xlfn.MINIFS(_xlpm.date_col, _xlpm.doc_col, M55, _xlpm.status_col, "APP"),
  _xlpm.first_awc_date, _xlfn.MINIFS(_xlpm.date_col, _xlpm.doc_col, M55, _xlpm.status_col, "AWC"),
  _xlpm.earliest_date, IF(
    AND(_xlpm.first_app_date=0, _xlpm.first_awc_date=0), 0,
    IF(_xlpm.first_app_date=0, _xlpm.first_awc_date,
    IF(_xlpm.first_awc_date=0, _xlpm.first_app_date,
    MIN(_xlpm.first_app_date, _xlpm.first_awc_date)))
  ),
  IF(_xlpm.earliest_date=0, "", _xlpm.earliest_date)
))</f>
        <v>45446</v>
      </c>
      <c r="Y55" s="40" t="str" cm="1">
        <f t="array" ref="Y55">IF(OR(M55="", M55="Deleted"), "", _xlfn.LET(
  _xlpm.doc_col, [1]SubmittalLog!$E$1:$E$4000,
  _xlpm.date_col, [1]SubmittalLog!$H$1:$H$4000,
  _xlpm.status_col, [1]SubmittalLog!$O$1:$O$4000,
  _xlpm.has_sub, COUNTIF(_xlpm.doc_col, M55),
  _xlpm.latest_reviewed_date, _xlfn.MAXIFS(_xlpm.date_col, _xlpm.doc_col, M55, _xlpm.status_col, "&lt;&gt;"),
  IF(_xlpm.has_sub=0, "",
    IF(_xlpm.latest_reviewed_date=0, "",
      _xlfn.LET(
        _xlpm.res, _xlfn.XLOOKUP(1, (_xlpm.doc_col=M55) * (_xlpm.date_col=_xlpm.latest_reviewed_date) * (_xlpm.status_col&lt;&gt;""), _xlpm.status_col, ""),
        IF(OR(_xlpm.res="", _xlpm.res=0), "", _xlpm.res)
      )
    )
  )
))</f>
        <v>AWC</v>
      </c>
    </row>
    <row r="56" spans="1:25" x14ac:dyDescent="0.35">
      <c r="A56" s="33">
        <f>IF($M56="","",MAX($A$1:A55)+1)</f>
        <v>46</v>
      </c>
      <c r="B56" s="23" t="s">
        <v>250</v>
      </c>
      <c r="C56" s="23" t="s">
        <v>257</v>
      </c>
      <c r="G56" s="33">
        <v>131236</v>
      </c>
      <c r="H56" s="33" t="s">
        <v>59</v>
      </c>
      <c r="I56" s="33" t="s">
        <v>217</v>
      </c>
      <c r="J56" s="33" t="s">
        <v>3496</v>
      </c>
      <c r="K56" s="51" t="s">
        <v>3534</v>
      </c>
      <c r="M56" s="34" t="str">
        <f t="shared" si="0"/>
        <v>131236-WIL21-CL-P-0011</v>
      </c>
      <c r="N56" s="26" t="s">
        <v>3535</v>
      </c>
      <c r="P56" s="34" t="s">
        <v>3467</v>
      </c>
      <c r="S56" s="35">
        <v>45233</v>
      </c>
      <c r="T56" s="35">
        <v>45689</v>
      </c>
      <c r="U56" s="64" cm="1">
        <f t="array" ref="U56">IF(OR(M56="", M56="Deleted"), "", _xlfn.LET(
  _xlpm.dates,
  _xlfn._xlws.FILTER(
    [1]SubmittalLog!$H$1:$H$4000,
    [1]SubmittalLog!$E$1:$E$4000=M56,
    ""
  ),
  _xlpm.min_date, IFERROR(MIN(_xlpm.dates), ""),
  IF(_xlpm.min_date=0, "", _xlpm.min_date)
))</f>
        <v>45677</v>
      </c>
      <c r="V56" s="63" t="str" cm="1">
        <f t="array" ref="V56">IF(OR(M56="", M56="Deleted"), "", IFERROR(
  _xlfn.TEXTJOIN(", ", TRUE,
    _xlfn.MAP(
      _xlfn.UNIQUE(
        _xlfn._xlws.FILTER(
          [1]SubmittalLog!$B$1:$B$4000,
          ([1]SubmittalLog!$E$1:$E$4000=M56) *
          ([1]SubmittalLog!$B$1:$B$4000&lt;&gt;""),
          ""
        )
      ),
      _xlfn.LAMBDA(_xlpm.val, TEXT(_xlpm.val, "000000"))
    )
  ),
""))</f>
        <v>000991</v>
      </c>
      <c r="W56" s="40" t="str" cm="1">
        <f t="array" ref="W56">IF(OR(M56="", M56="Deleted"), "", _xlfn.LET(
  _xlpm.doc_col, [1]SubmittalLog!$E$1:$E$4000,
  _xlpm.date_col, [1]SubmittalLog!$H$1:$H$4000,
  _xlpm.status_col, [1]SubmittalLog!$N$1:$N$4000,
  _xlpm.latest_date, _xlfn.MAXIFS(_xlpm.date_col, _xlpm.doc_col, M56),
  IF(_xlpm.latest_date=0, "NFS",
    _xlfn.LET(
      _xlpm.res, _xlfn.XLOOKUP(M56 &amp; "|" &amp; _xlpm.latest_date, _xlpm.doc_col &amp; "|" &amp; _xlpm.date_col, _xlpm.status_col, ""),
      IF(OR(_xlpm.res="", _xlpm.res=0), "", _xlpm.res)
    )
  )
))</f>
        <v>RTR</v>
      </c>
      <c r="X56" s="39">
        <f>IF(OR(M56="", M56="Deleted"), "", _xlfn.LET(
  _xlpm.doc_col, [1]SubmittalLog!$E$1:$E$4000,
  _xlpm.date_col, [1]SubmittalLog!$H$1:$H$4000,
  _xlpm.status_col, [1]SubmittalLog!$O$1:$O$4000,
  _xlpm.first_app_date, _xlfn.MINIFS(_xlpm.date_col, _xlpm.doc_col, M56, _xlpm.status_col, "APP"),
  _xlpm.first_awc_date, _xlfn.MINIFS(_xlpm.date_col, _xlpm.doc_col, M56, _xlpm.status_col, "AWC"),
  _xlpm.earliest_date, IF(
    AND(_xlpm.first_app_date=0, _xlpm.first_awc_date=0), 0,
    IF(_xlpm.first_app_date=0, _xlpm.first_awc_date,
    IF(_xlpm.first_awc_date=0, _xlpm.first_app_date,
    MIN(_xlpm.first_app_date, _xlpm.first_awc_date)))
  ),
  IF(_xlpm.earliest_date=0, "", _xlpm.earliest_date)
))</f>
        <v>45677</v>
      </c>
      <c r="Y56" s="40" t="str" cm="1">
        <f t="array" ref="Y56">IF(OR(M56="", M56="Deleted"), "", _xlfn.LET(
  _xlpm.doc_col, [1]SubmittalLog!$E$1:$E$4000,
  _xlpm.date_col, [1]SubmittalLog!$H$1:$H$4000,
  _xlpm.status_col, [1]SubmittalLog!$O$1:$O$4000,
  _xlpm.has_sub, COUNTIF(_xlpm.doc_col, M56),
  _xlpm.latest_reviewed_date, _xlfn.MAXIFS(_xlpm.date_col, _xlpm.doc_col, M56, _xlpm.status_col, "&lt;&gt;"),
  IF(_xlpm.has_sub=0, "",
    IF(_xlpm.latest_reviewed_date=0, "",
      _xlfn.LET(
        _xlpm.res, _xlfn.XLOOKUP(1, (_xlpm.doc_col=M56) * (_xlpm.date_col=_xlpm.latest_reviewed_date) * (_xlpm.status_col&lt;&gt;""), _xlpm.status_col, ""),
        IF(OR(_xlpm.res="", _xlpm.res=0), "", _xlpm.res)
      )
    )
  )
))</f>
        <v>APP</v>
      </c>
    </row>
    <row r="57" spans="1:25" x14ac:dyDescent="0.35">
      <c r="A57" s="33">
        <f>IF($M57="","",MAX($A$1:A56)+1)</f>
        <v>47</v>
      </c>
      <c r="B57" s="23" t="s">
        <v>250</v>
      </c>
      <c r="C57" s="23" t="s">
        <v>257</v>
      </c>
      <c r="G57" s="33">
        <v>131236</v>
      </c>
      <c r="H57" s="33" t="s">
        <v>59</v>
      </c>
      <c r="I57" s="33" t="s">
        <v>217</v>
      </c>
      <c r="J57" s="33" t="s">
        <v>3496</v>
      </c>
      <c r="K57" s="51" t="s">
        <v>3536</v>
      </c>
      <c r="M57" s="34" t="str">
        <f t="shared" si="0"/>
        <v>131236-WIL21-CL-P-0012</v>
      </c>
      <c r="N57" s="26" t="s">
        <v>3537</v>
      </c>
      <c r="P57" s="34" t="s">
        <v>3467</v>
      </c>
      <c r="S57" s="35">
        <v>45656</v>
      </c>
      <c r="T57" s="35">
        <v>45883</v>
      </c>
      <c r="U57" s="64" cm="1">
        <f t="array" ref="U57">IF(OR(M57="", M57="Deleted"), "", _xlfn.LET(
  _xlpm.dates,
  _xlfn._xlws.FILTER(
    [1]SubmittalLog!$H$1:$H$4000,
    [1]SubmittalLog!$E$1:$E$4000=M57,
    ""
  ),
  _xlpm.min_date, IFERROR(MIN(_xlpm.dates), ""),
  IF(_xlpm.min_date=0, "", _xlpm.min_date)
))</f>
        <v>45891</v>
      </c>
      <c r="V57" s="63" t="str" cm="1">
        <f t="array" ref="V57">IF(OR(M57="", M57="Deleted"), "", IFERROR(
  _xlfn.TEXTJOIN(", ", TRUE,
    _xlfn.MAP(
      _xlfn.UNIQUE(
        _xlfn._xlws.FILTER(
          [1]SubmittalLog!$B$1:$B$4000,
          ([1]SubmittalLog!$E$1:$E$4000=M57) *
          ([1]SubmittalLog!$B$1:$B$4000&lt;&gt;""),
          ""
        )
      ),
      _xlfn.LAMBDA(_xlpm.val, TEXT(_xlpm.val, "000000"))
    )
  ),
""))</f>
        <v>001610</v>
      </c>
      <c r="W57" s="40" t="str" cm="1">
        <f t="array" ref="W57">IF(OR(M57="", M57="Deleted"), "", _xlfn.LET(
  _xlpm.doc_col, [1]SubmittalLog!$E$1:$E$4000,
  _xlpm.date_col, [1]SubmittalLog!$H$1:$H$4000,
  _xlpm.status_col, [1]SubmittalLog!$N$1:$N$4000,
  _xlpm.latest_date, _xlfn.MAXIFS(_xlpm.date_col, _xlpm.doc_col, M57),
  IF(_xlpm.latest_date=0, "NFS",
    _xlfn.LET(
      _xlpm.res, _xlfn.XLOOKUP(M57 &amp; "|" &amp; _xlpm.latest_date, _xlpm.doc_col &amp; "|" &amp; _xlpm.date_col, _xlpm.status_col, ""),
      IF(OR(_xlpm.res="", _xlpm.res=0), "", _xlpm.res)
    )
  )
))</f>
        <v>RTR</v>
      </c>
      <c r="X57" s="39">
        <f>IF(OR(M57="", M57="Deleted"), "", _xlfn.LET(
  _xlpm.doc_col, [1]SubmittalLog!$E$1:$E$4000,
  _xlpm.date_col, [1]SubmittalLog!$H$1:$H$4000,
  _xlpm.status_col, [1]SubmittalLog!$O$1:$O$4000,
  _xlpm.first_app_date, _xlfn.MINIFS(_xlpm.date_col, _xlpm.doc_col, M57, _xlpm.status_col, "APP"),
  _xlpm.first_awc_date, _xlfn.MINIFS(_xlpm.date_col, _xlpm.doc_col, M57, _xlpm.status_col, "AWC"),
  _xlpm.earliest_date, IF(
    AND(_xlpm.first_app_date=0, _xlpm.first_awc_date=0), 0,
    IF(_xlpm.first_app_date=0, _xlpm.first_awc_date,
    IF(_xlpm.first_awc_date=0, _xlpm.first_app_date,
    MIN(_xlpm.first_app_date, _xlpm.first_awc_date)))
  ),
  IF(_xlpm.earliest_date=0, "", _xlpm.earliest_date)
))</f>
        <v>45891</v>
      </c>
      <c r="Y57" s="40" t="str" cm="1">
        <f t="array" ref="Y57">IF(OR(M57="", M57="Deleted"), "", _xlfn.LET(
  _xlpm.doc_col, [1]SubmittalLog!$E$1:$E$4000,
  _xlpm.date_col, [1]SubmittalLog!$H$1:$H$4000,
  _xlpm.status_col, [1]SubmittalLog!$O$1:$O$4000,
  _xlpm.has_sub, COUNTIF(_xlpm.doc_col, M57),
  _xlpm.latest_reviewed_date, _xlfn.MAXIFS(_xlpm.date_col, _xlpm.doc_col, M57, _xlpm.status_col, "&lt;&gt;"),
  IF(_xlpm.has_sub=0, "",
    IF(_xlpm.latest_reviewed_date=0, "",
      _xlfn.LET(
        _xlpm.res, _xlfn.XLOOKUP(1, (_xlpm.doc_col=M57) * (_xlpm.date_col=_xlpm.latest_reviewed_date) * (_xlpm.status_col&lt;&gt;""), _xlpm.status_col, ""),
        IF(OR(_xlpm.res="", _xlpm.res=0), "", _xlpm.res)
      )
    )
  )
))</f>
        <v>AWC</v>
      </c>
    </row>
    <row r="58" spans="1:25" x14ac:dyDescent="0.35">
      <c r="A58" s="33">
        <f>IF($M58="","",MAX($A$1:A57)+1)</f>
        <v>48</v>
      </c>
      <c r="B58" s="23" t="s">
        <v>250</v>
      </c>
      <c r="C58" s="23" t="s">
        <v>257</v>
      </c>
      <c r="G58" s="33">
        <v>131236</v>
      </c>
      <c r="H58" s="33" t="s">
        <v>59</v>
      </c>
      <c r="I58" s="33" t="s">
        <v>217</v>
      </c>
      <c r="J58" s="33" t="s">
        <v>3496</v>
      </c>
      <c r="K58" s="51" t="s">
        <v>3538</v>
      </c>
      <c r="M58" s="34" t="str">
        <f t="shared" si="0"/>
        <v>131236-WIL21-CL-P-5701</v>
      </c>
      <c r="N58" s="26" t="s">
        <v>3539</v>
      </c>
      <c r="P58" s="34" t="s">
        <v>3467</v>
      </c>
      <c r="S58" s="35">
        <v>45743</v>
      </c>
      <c r="T58" s="35">
        <v>45743</v>
      </c>
      <c r="U58" s="64" cm="1">
        <f t="array" ref="U58">IF(OR(M58="", M58="Deleted"), "", _xlfn.LET(
  _xlpm.dates,
  _xlfn._xlws.FILTER(
    [1]SubmittalLog!$H$1:$H$4000,
    [1]SubmittalLog!$E$1:$E$4000=M58,
    ""
  ),
  _xlpm.min_date, IFERROR(MIN(_xlpm.dates), ""),
  IF(_xlpm.min_date=0, "", _xlpm.min_date)
))</f>
        <v>45743</v>
      </c>
      <c r="V58" s="63" t="str" cm="1">
        <f t="array" ref="V58">IF(OR(M58="", M58="Deleted"), "", IFERROR(
  _xlfn.TEXTJOIN(", ", TRUE,
    _xlfn.MAP(
      _xlfn.UNIQUE(
        _xlfn._xlws.FILTER(
          [1]SubmittalLog!$B$1:$B$4000,
          ([1]SubmittalLog!$E$1:$E$4000=M58) *
          ([1]SubmittalLog!$B$1:$B$4000&lt;&gt;""),
          ""
        )
      ),
      _xlfn.LAMBDA(_xlpm.val, TEXT(_xlpm.val, "000000"))
    )
  ),
""))</f>
        <v>001170</v>
      </c>
      <c r="W58" s="40" t="str" cm="1">
        <f t="array" ref="W58">IF(OR(M58="", M58="Deleted"), "", _xlfn.LET(
  _xlpm.doc_col, [1]SubmittalLog!$E$1:$E$4000,
  _xlpm.date_col, [1]SubmittalLog!$H$1:$H$4000,
  _xlpm.status_col, [1]SubmittalLog!$N$1:$N$4000,
  _xlpm.latest_date, _xlfn.MAXIFS(_xlpm.date_col, _xlpm.doc_col, M58),
  IF(_xlpm.latest_date=0, "NFS",
    _xlfn.LET(
      _xlpm.res, _xlfn.XLOOKUP(M58 &amp; "|" &amp; _xlpm.latest_date, _xlpm.doc_col &amp; "|" &amp; _xlpm.date_col, _xlpm.status_col, ""),
      IF(OR(_xlpm.res="", _xlpm.res=0), "", _xlpm.res)
    )
  )
))</f>
        <v>RTR</v>
      </c>
      <c r="X58" s="39">
        <f>IF(OR(M58="", M58="Deleted"), "", _xlfn.LET(
  _xlpm.doc_col, [1]SubmittalLog!$E$1:$E$4000,
  _xlpm.date_col, [1]SubmittalLog!$H$1:$H$4000,
  _xlpm.status_col, [1]SubmittalLog!$O$1:$O$4000,
  _xlpm.first_app_date, _xlfn.MINIFS(_xlpm.date_col, _xlpm.doc_col, M58, _xlpm.status_col, "APP"),
  _xlpm.first_awc_date, _xlfn.MINIFS(_xlpm.date_col, _xlpm.doc_col, M58, _xlpm.status_col, "AWC"),
  _xlpm.earliest_date, IF(
    AND(_xlpm.first_app_date=0, _xlpm.first_awc_date=0), 0,
    IF(_xlpm.first_app_date=0, _xlpm.first_awc_date,
    IF(_xlpm.first_awc_date=0, _xlpm.first_app_date,
    MIN(_xlpm.first_app_date, _xlpm.first_awc_date)))
  ),
  IF(_xlpm.earliest_date=0, "", _xlpm.earliest_date)
))</f>
        <v>45743</v>
      </c>
      <c r="Y58" s="40" t="str" cm="1">
        <f t="array" ref="Y58">IF(OR(M58="", M58="Deleted"), "", _xlfn.LET(
  _xlpm.doc_col, [1]SubmittalLog!$E$1:$E$4000,
  _xlpm.date_col, [1]SubmittalLog!$H$1:$H$4000,
  _xlpm.status_col, [1]SubmittalLog!$O$1:$O$4000,
  _xlpm.has_sub, COUNTIF(_xlpm.doc_col, M58),
  _xlpm.latest_reviewed_date, _xlfn.MAXIFS(_xlpm.date_col, _xlpm.doc_col, M58, _xlpm.status_col, "&lt;&gt;"),
  IF(_xlpm.has_sub=0, "",
    IF(_xlpm.latest_reviewed_date=0, "",
      _xlfn.LET(
        _xlpm.res, _xlfn.XLOOKUP(1, (_xlpm.doc_col=M58) * (_xlpm.date_col=_xlpm.latest_reviewed_date) * (_xlpm.status_col&lt;&gt;""), _xlpm.status_col, ""),
        IF(OR(_xlpm.res="", _xlpm.res=0), "", _xlpm.res)
      )
    )
  )
))</f>
        <v>AWC</v>
      </c>
    </row>
    <row r="59" spans="1:25" x14ac:dyDescent="0.35">
      <c r="A59" s="33">
        <f>IF($M59="","",MAX($A$1:A58)+1)</f>
        <v>49</v>
      </c>
      <c r="B59" s="23" t="s">
        <v>250</v>
      </c>
      <c r="C59" s="23" t="s">
        <v>257</v>
      </c>
      <c r="G59" s="33">
        <v>131236</v>
      </c>
      <c r="H59" s="33" t="s">
        <v>59</v>
      </c>
      <c r="I59" s="33" t="s">
        <v>217</v>
      </c>
      <c r="J59" s="33" t="s">
        <v>3496</v>
      </c>
      <c r="K59" s="51">
        <v>5703</v>
      </c>
      <c r="M59" s="34" t="str">
        <f t="shared" si="0"/>
        <v>131236-WIL21-CL-P-5703</v>
      </c>
      <c r="N59" s="26" t="s">
        <v>3540</v>
      </c>
      <c r="P59" s="34" t="s">
        <v>3467</v>
      </c>
      <c r="S59" s="35">
        <v>45692</v>
      </c>
      <c r="T59" s="35">
        <v>45699</v>
      </c>
      <c r="U59" s="64" cm="1">
        <f t="array" ref="U59">IF(OR(M59="", M59="Deleted"), "", _xlfn.LET(
  _xlpm.dates,
  _xlfn._xlws.FILTER(
    [1]SubmittalLog!$H$1:$H$4000,
    [1]SubmittalLog!$E$1:$E$4000=M59,
    ""
  ),
  _xlpm.min_date, IFERROR(MIN(_xlpm.dates), ""),
  IF(_xlpm.min_date=0, "", _xlpm.min_date)
))</f>
        <v>45743</v>
      </c>
      <c r="V59" s="63" t="str" cm="1">
        <f t="array" ref="V59">IF(OR(M59="", M59="Deleted"), "", IFERROR(
  _xlfn.TEXTJOIN(", ", TRUE,
    _xlfn.MAP(
      _xlfn.UNIQUE(
        _xlfn._xlws.FILTER(
          [1]SubmittalLog!$B$1:$B$4000,
          ([1]SubmittalLog!$E$1:$E$4000=M59) *
          ([1]SubmittalLog!$B$1:$B$4000&lt;&gt;""),
          ""
        )
      ),
      _xlfn.LAMBDA(_xlpm.val, TEXT(_xlpm.val, "000000"))
    )
  ),
""))</f>
        <v>001170</v>
      </c>
      <c r="W59" s="40" t="str" cm="1">
        <f t="array" ref="W59">IF(OR(M59="", M59="Deleted"), "", _xlfn.LET(
  _xlpm.doc_col, [1]SubmittalLog!$E$1:$E$4000,
  _xlpm.date_col, [1]SubmittalLog!$H$1:$H$4000,
  _xlpm.status_col, [1]SubmittalLog!$N$1:$N$4000,
  _xlpm.latest_date, _xlfn.MAXIFS(_xlpm.date_col, _xlpm.doc_col, M59),
  IF(_xlpm.latest_date=0, "NFS",
    _xlfn.LET(
      _xlpm.res, _xlfn.XLOOKUP(M59 &amp; "|" &amp; _xlpm.latest_date, _xlpm.doc_col &amp; "|" &amp; _xlpm.date_col, _xlpm.status_col, ""),
      IF(OR(_xlpm.res="", _xlpm.res=0), "", _xlpm.res)
    )
  )
))</f>
        <v>RTR</v>
      </c>
      <c r="X59" s="39">
        <f>IF(OR(M59="", M59="Deleted"), "", _xlfn.LET(
  _xlpm.doc_col, [1]SubmittalLog!$E$1:$E$4000,
  _xlpm.date_col, [1]SubmittalLog!$H$1:$H$4000,
  _xlpm.status_col, [1]SubmittalLog!$O$1:$O$4000,
  _xlpm.first_app_date, _xlfn.MINIFS(_xlpm.date_col, _xlpm.doc_col, M59, _xlpm.status_col, "APP"),
  _xlpm.first_awc_date, _xlfn.MINIFS(_xlpm.date_col, _xlpm.doc_col, M59, _xlpm.status_col, "AWC"),
  _xlpm.earliest_date, IF(
    AND(_xlpm.first_app_date=0, _xlpm.first_awc_date=0), 0,
    IF(_xlpm.first_app_date=0, _xlpm.first_awc_date,
    IF(_xlpm.first_awc_date=0, _xlpm.first_app_date,
    MIN(_xlpm.first_app_date, _xlpm.first_awc_date)))
  ),
  IF(_xlpm.earliest_date=0, "", _xlpm.earliest_date)
))</f>
        <v>45743</v>
      </c>
      <c r="Y59" s="40" t="str" cm="1">
        <f t="array" ref="Y59">IF(OR(M59="", M59="Deleted"), "", _xlfn.LET(
  _xlpm.doc_col, [1]SubmittalLog!$E$1:$E$4000,
  _xlpm.date_col, [1]SubmittalLog!$H$1:$H$4000,
  _xlpm.status_col, [1]SubmittalLog!$O$1:$O$4000,
  _xlpm.has_sub, COUNTIF(_xlpm.doc_col, M59),
  _xlpm.latest_reviewed_date, _xlfn.MAXIFS(_xlpm.date_col, _xlpm.doc_col, M59, _xlpm.status_col, "&lt;&gt;"),
  IF(_xlpm.has_sub=0, "",
    IF(_xlpm.latest_reviewed_date=0, "",
      _xlfn.LET(
        _xlpm.res, _xlfn.XLOOKUP(1, (_xlpm.doc_col=M59) * (_xlpm.date_col=_xlpm.latest_reviewed_date) * (_xlpm.status_col&lt;&gt;""), _xlpm.status_col, ""),
        IF(OR(_xlpm.res="", _xlpm.res=0), "", _xlpm.res)
      )
    )
  )
))</f>
        <v>AWC</v>
      </c>
    </row>
    <row r="60" spans="1:25" x14ac:dyDescent="0.35">
      <c r="A60" s="33">
        <f>IF($M60="","",MAX($A$1:A59)+1)</f>
        <v>50</v>
      </c>
      <c r="B60" s="23" t="s">
        <v>250</v>
      </c>
      <c r="C60" s="23" t="s">
        <v>257</v>
      </c>
      <c r="G60" s="33">
        <v>131236</v>
      </c>
      <c r="H60" s="33" t="s">
        <v>59</v>
      </c>
      <c r="I60" s="33" t="s">
        <v>217</v>
      </c>
      <c r="J60" s="33" t="s">
        <v>3496</v>
      </c>
      <c r="K60" s="51" t="s">
        <v>3541</v>
      </c>
      <c r="M60" s="34" t="str">
        <f t="shared" si="0"/>
        <v>131236-WIL21-CL-P-5702</v>
      </c>
      <c r="N60" s="26" t="s">
        <v>3542</v>
      </c>
      <c r="P60" s="34" t="s">
        <v>3467</v>
      </c>
      <c r="S60" s="35">
        <v>45534</v>
      </c>
      <c r="T60" s="35">
        <v>45677</v>
      </c>
      <c r="U60" s="64" cm="1">
        <f t="array" ref="U60">IF(OR(M60="", M60="Deleted"), "", _xlfn.LET(
  _xlpm.dates,
  _xlfn._xlws.FILTER(
    [1]SubmittalLog!$H$1:$H$4000,
    [1]SubmittalLog!$E$1:$E$4000=M60,
    ""
  ),
  _xlpm.min_date, IFERROR(MIN(_xlpm.dates), ""),
  IF(_xlpm.min_date=0, "", _xlpm.min_date)
))</f>
        <v>45743</v>
      </c>
      <c r="V60" s="63" t="str" cm="1">
        <f t="array" ref="V60">IF(OR(M60="", M60="Deleted"), "", IFERROR(
  _xlfn.TEXTJOIN(", ", TRUE,
    _xlfn.MAP(
      _xlfn.UNIQUE(
        _xlfn._xlws.FILTER(
          [1]SubmittalLog!$B$1:$B$4000,
          ([1]SubmittalLog!$E$1:$E$4000=M60) *
          ([1]SubmittalLog!$B$1:$B$4000&lt;&gt;""),
          ""
        )
      ),
      _xlfn.LAMBDA(_xlpm.val, TEXT(_xlpm.val, "000000"))
    )
  ),
""))</f>
        <v>001170</v>
      </c>
      <c r="W60" s="40" t="str" cm="1">
        <f t="array" ref="W60">IF(OR(M60="", M60="Deleted"), "", _xlfn.LET(
  _xlpm.doc_col, [1]SubmittalLog!$E$1:$E$4000,
  _xlpm.date_col, [1]SubmittalLog!$H$1:$H$4000,
  _xlpm.status_col, [1]SubmittalLog!$N$1:$N$4000,
  _xlpm.latest_date, _xlfn.MAXIFS(_xlpm.date_col, _xlpm.doc_col, M60),
  IF(_xlpm.latest_date=0, "NFS",
    _xlfn.LET(
      _xlpm.res, _xlfn.XLOOKUP(M60 &amp; "|" &amp; _xlpm.latest_date, _xlpm.doc_col &amp; "|" &amp; _xlpm.date_col, _xlpm.status_col, ""),
      IF(OR(_xlpm.res="", _xlpm.res=0), "", _xlpm.res)
    )
  )
))</f>
        <v>RTR</v>
      </c>
      <c r="X60" s="39">
        <f>IF(OR(M60="", M60="Deleted"), "", _xlfn.LET(
  _xlpm.doc_col, [1]SubmittalLog!$E$1:$E$4000,
  _xlpm.date_col, [1]SubmittalLog!$H$1:$H$4000,
  _xlpm.status_col, [1]SubmittalLog!$O$1:$O$4000,
  _xlpm.first_app_date, _xlfn.MINIFS(_xlpm.date_col, _xlpm.doc_col, M60, _xlpm.status_col, "APP"),
  _xlpm.first_awc_date, _xlfn.MINIFS(_xlpm.date_col, _xlpm.doc_col, M60, _xlpm.status_col, "AWC"),
  _xlpm.earliest_date, IF(
    AND(_xlpm.first_app_date=0, _xlpm.first_awc_date=0), 0,
    IF(_xlpm.first_app_date=0, _xlpm.first_awc_date,
    IF(_xlpm.first_awc_date=0, _xlpm.first_app_date,
    MIN(_xlpm.first_app_date, _xlpm.first_awc_date)))
  ),
  IF(_xlpm.earliest_date=0, "", _xlpm.earliest_date)
))</f>
        <v>45743</v>
      </c>
      <c r="Y60" s="40" t="str" cm="1">
        <f t="array" ref="Y60">IF(OR(M60="", M60="Deleted"), "", _xlfn.LET(
  _xlpm.doc_col, [1]SubmittalLog!$E$1:$E$4000,
  _xlpm.date_col, [1]SubmittalLog!$H$1:$H$4000,
  _xlpm.status_col, [1]SubmittalLog!$O$1:$O$4000,
  _xlpm.has_sub, COUNTIF(_xlpm.doc_col, M60),
  _xlpm.latest_reviewed_date, _xlfn.MAXIFS(_xlpm.date_col, _xlpm.doc_col, M60, _xlpm.status_col, "&lt;&gt;"),
  IF(_xlpm.has_sub=0, "",
    IF(_xlpm.latest_reviewed_date=0, "",
      _xlfn.LET(
        _xlpm.res, _xlfn.XLOOKUP(1, (_xlpm.doc_col=M60) * (_xlpm.date_col=_xlpm.latest_reviewed_date) * (_xlpm.status_col&lt;&gt;""), _xlpm.status_col, ""),
        IF(OR(_xlpm.res="", _xlpm.res=0), "", _xlpm.res)
      )
    )
  )
))</f>
        <v>AWC</v>
      </c>
    </row>
    <row r="61" spans="1:25" x14ac:dyDescent="0.35">
      <c r="A61" s="33">
        <f>IF($M61="","",MAX($A$1:A60)+1)</f>
        <v>51</v>
      </c>
      <c r="B61" s="23" t="s">
        <v>54</v>
      </c>
      <c r="C61" s="23" t="s">
        <v>257</v>
      </c>
      <c r="G61" s="33">
        <v>131236</v>
      </c>
      <c r="H61" s="33" t="s">
        <v>59</v>
      </c>
      <c r="I61" s="33" t="s">
        <v>217</v>
      </c>
      <c r="J61" s="33" t="s">
        <v>3496</v>
      </c>
      <c r="K61" s="51">
        <v>5711</v>
      </c>
      <c r="M61" s="34" t="str">
        <f t="shared" si="0"/>
        <v>Deleted</v>
      </c>
      <c r="N61" s="26" t="s">
        <v>3543</v>
      </c>
      <c r="P61" s="34" t="s">
        <v>3467</v>
      </c>
      <c r="S61" s="35">
        <v>45692</v>
      </c>
      <c r="T61" s="35">
        <v>45925</v>
      </c>
      <c r="U61" s="64" t="str" cm="1">
        <f t="array" ref="U61">IF(OR(M61="", M61="Deleted"), "", _xlfn.LET(
  _xlpm.dates,
  _xlfn._xlws.FILTER(
    [1]SubmittalLog!$H$1:$H$4000,
    [1]SubmittalLog!$E$1:$E$4000=M61,
    ""
  ),
  _xlpm.min_date, IFERROR(MIN(_xlpm.dates), ""),
  IF(_xlpm.min_date=0, "", _xlpm.min_date)
))</f>
        <v/>
      </c>
      <c r="V61" s="63" t="str" cm="1">
        <f t="array" ref="V61">IF(OR(M61="", M61="Deleted"), "", IFERROR(
  _xlfn.TEXTJOIN(", ", TRUE,
    _xlfn.MAP(
      _xlfn.UNIQUE(
        _xlfn._xlws.FILTER(
          [1]SubmittalLog!$B$1:$B$4000,
          ([1]SubmittalLog!$E$1:$E$4000=M61) *
          ([1]SubmittalLog!$B$1:$B$4000&lt;&gt;""),
          ""
        )
      ),
      _xlfn.LAMBDA(_xlpm.val, TEXT(_xlpm.val, "000000"))
    )
  ),
""))</f>
        <v/>
      </c>
      <c r="W61" s="40" t="str" cm="1">
        <f t="array" ref="W61">IF(OR(M61="", M61="Deleted"), "", _xlfn.LET(
  _xlpm.doc_col, [1]SubmittalLog!$E$1:$E$4000,
  _xlpm.date_col, [1]SubmittalLog!$H$1:$H$4000,
  _xlpm.status_col, [1]SubmittalLog!$N$1:$N$4000,
  _xlpm.latest_date, _xlfn.MAXIFS(_xlpm.date_col, _xlpm.doc_col, M61),
  IF(_xlpm.latest_date=0, "NFS",
    _xlfn.LET(
      _xlpm.res, _xlfn.XLOOKUP(M61 &amp; "|" &amp; _xlpm.latest_date, _xlpm.doc_col &amp; "|" &amp; _xlpm.date_col, _xlpm.status_col, ""),
      IF(OR(_xlpm.res="", _xlpm.res=0), "", _xlpm.res)
    )
  )
))</f>
        <v/>
      </c>
      <c r="X61" s="39" t="str">
        <f>IF(OR(M61="", M61="Deleted"), "", _xlfn.LET(
  _xlpm.doc_col, [1]SubmittalLog!$E$1:$E$4000,
  _xlpm.date_col, [1]SubmittalLog!$H$1:$H$4000,
  _xlpm.status_col, [1]SubmittalLog!$O$1:$O$4000,
  _xlpm.first_app_date, _xlfn.MINIFS(_xlpm.date_col, _xlpm.doc_col, M61, _xlpm.status_col, "APP"),
  _xlpm.first_awc_date, _xlfn.MINIFS(_xlpm.date_col, _xlpm.doc_col, M61, _xlpm.status_col, "AWC"),
  _xlpm.earliest_date, IF(
    AND(_xlpm.first_app_date=0, _xlpm.first_awc_date=0), 0,
    IF(_xlpm.first_app_date=0, _xlpm.first_awc_date,
    IF(_xlpm.first_awc_date=0, _xlpm.first_app_date,
    MIN(_xlpm.first_app_date, _xlpm.first_awc_date)))
  ),
  IF(_xlpm.earliest_date=0, "", _xlpm.earliest_date)
))</f>
        <v/>
      </c>
      <c r="Y61" s="40" t="str" cm="1">
        <f t="array" ref="Y61">IF(OR(M61="", M61="Deleted"), "", _xlfn.LET(
  _xlpm.doc_col, [1]SubmittalLog!$E$1:$E$4000,
  _xlpm.date_col, [1]SubmittalLog!$H$1:$H$4000,
  _xlpm.status_col, [1]SubmittalLog!$O$1:$O$4000,
  _xlpm.has_sub, COUNTIF(_xlpm.doc_col, M61),
  _xlpm.latest_reviewed_date, _xlfn.MAXIFS(_xlpm.date_col, _xlpm.doc_col, M61, _xlpm.status_col, "&lt;&gt;"),
  IF(_xlpm.has_sub=0, "",
    IF(_xlpm.latest_reviewed_date=0, "",
      _xlfn.LET(
        _xlpm.res, _xlfn.XLOOKUP(1, (_xlpm.doc_col=M61) * (_xlpm.date_col=_xlpm.latest_reviewed_date) * (_xlpm.status_col&lt;&gt;""), _xlpm.status_col, ""),
        IF(OR(_xlpm.res="", _xlpm.res=0), "", _xlpm.res)
      )
    )
  )
))</f>
        <v/>
      </c>
    </row>
    <row r="62" spans="1:25" x14ac:dyDescent="0.35">
      <c r="A62" s="33">
        <f>IF($M62="","",MAX($A$1:A61)+1)</f>
        <v>52</v>
      </c>
      <c r="B62" s="23" t="s">
        <v>54</v>
      </c>
      <c r="C62" s="23" t="s">
        <v>257</v>
      </c>
      <c r="G62" s="33">
        <v>131236</v>
      </c>
      <c r="H62" s="33" t="s">
        <v>59</v>
      </c>
      <c r="I62" s="33" t="s">
        <v>217</v>
      </c>
      <c r="J62" s="33" t="s">
        <v>3496</v>
      </c>
      <c r="K62" s="51">
        <v>5721</v>
      </c>
      <c r="M62" s="34" t="str">
        <f t="shared" si="0"/>
        <v>Deleted</v>
      </c>
      <c r="N62" s="26" t="s">
        <v>3544</v>
      </c>
      <c r="P62" s="34" t="s">
        <v>3467</v>
      </c>
      <c r="S62" s="35">
        <v>45786</v>
      </c>
      <c r="T62" s="35">
        <v>45894</v>
      </c>
      <c r="U62" s="64" t="str" cm="1">
        <f t="array" ref="U62">IF(OR(M62="", M62="Deleted"), "", _xlfn.LET(
  _xlpm.dates,
  _xlfn._xlws.FILTER(
    [1]SubmittalLog!$H$1:$H$4000,
    [1]SubmittalLog!$E$1:$E$4000=M62,
    ""
  ),
  _xlpm.min_date, IFERROR(MIN(_xlpm.dates), ""),
  IF(_xlpm.min_date=0, "", _xlpm.min_date)
))</f>
        <v/>
      </c>
      <c r="V62" s="63" t="str" cm="1">
        <f t="array" ref="V62">IF(OR(M62="", M62="Deleted"), "", IFERROR(
  _xlfn.TEXTJOIN(", ", TRUE,
    _xlfn.MAP(
      _xlfn.UNIQUE(
        _xlfn._xlws.FILTER(
          [1]SubmittalLog!$B$1:$B$4000,
          ([1]SubmittalLog!$E$1:$E$4000=M62) *
          ([1]SubmittalLog!$B$1:$B$4000&lt;&gt;""),
          ""
        )
      ),
      _xlfn.LAMBDA(_xlpm.val, TEXT(_xlpm.val, "000000"))
    )
  ),
""))</f>
        <v/>
      </c>
      <c r="W62" s="40" t="str" cm="1">
        <f t="array" ref="W62">IF(OR(M62="", M62="Deleted"), "", _xlfn.LET(
  _xlpm.doc_col, [1]SubmittalLog!$E$1:$E$4000,
  _xlpm.date_col, [1]SubmittalLog!$H$1:$H$4000,
  _xlpm.status_col, [1]SubmittalLog!$N$1:$N$4000,
  _xlpm.latest_date, _xlfn.MAXIFS(_xlpm.date_col, _xlpm.doc_col, M62),
  IF(_xlpm.latest_date=0, "NFS",
    _xlfn.LET(
      _xlpm.res, _xlfn.XLOOKUP(M62 &amp; "|" &amp; _xlpm.latest_date, _xlpm.doc_col &amp; "|" &amp; _xlpm.date_col, _xlpm.status_col, ""),
      IF(OR(_xlpm.res="", _xlpm.res=0), "", _xlpm.res)
    )
  )
))</f>
        <v/>
      </c>
      <c r="X62" s="39" t="str">
        <f>IF(OR(M62="", M62="Deleted"), "", _xlfn.LET(
  _xlpm.doc_col, [1]SubmittalLog!$E$1:$E$4000,
  _xlpm.date_col, [1]SubmittalLog!$H$1:$H$4000,
  _xlpm.status_col, [1]SubmittalLog!$O$1:$O$4000,
  _xlpm.first_app_date, _xlfn.MINIFS(_xlpm.date_col, _xlpm.doc_col, M62, _xlpm.status_col, "APP"),
  _xlpm.first_awc_date, _xlfn.MINIFS(_xlpm.date_col, _xlpm.doc_col, M62, _xlpm.status_col, "AWC"),
  _xlpm.earliest_date, IF(
    AND(_xlpm.first_app_date=0, _xlpm.first_awc_date=0), 0,
    IF(_xlpm.first_app_date=0, _xlpm.first_awc_date,
    IF(_xlpm.first_awc_date=0, _xlpm.first_app_date,
    MIN(_xlpm.first_app_date, _xlpm.first_awc_date)))
  ),
  IF(_xlpm.earliest_date=0, "", _xlpm.earliest_date)
))</f>
        <v/>
      </c>
      <c r="Y62" s="40" t="str" cm="1">
        <f t="array" ref="Y62">IF(OR(M62="", M62="Deleted"), "", _xlfn.LET(
  _xlpm.doc_col, [1]SubmittalLog!$E$1:$E$4000,
  _xlpm.date_col, [1]SubmittalLog!$H$1:$H$4000,
  _xlpm.status_col, [1]SubmittalLog!$O$1:$O$4000,
  _xlpm.has_sub, COUNTIF(_xlpm.doc_col, M62),
  _xlpm.latest_reviewed_date, _xlfn.MAXIFS(_xlpm.date_col, _xlpm.doc_col, M62, _xlpm.status_col, "&lt;&gt;"),
  IF(_xlpm.has_sub=0, "",
    IF(_xlpm.latest_reviewed_date=0, "",
      _xlfn.LET(
        _xlpm.res, _xlfn.XLOOKUP(1, (_xlpm.doc_col=M62) * (_xlpm.date_col=_xlpm.latest_reviewed_date) * (_xlpm.status_col&lt;&gt;""), _xlpm.status_col, ""),
        IF(OR(_xlpm.res="", _xlpm.res=0), "", _xlpm.res)
      )
    )
  )
))</f>
        <v/>
      </c>
    </row>
    <row r="63" spans="1:25" x14ac:dyDescent="0.35">
      <c r="A63" s="33">
        <f>IF($M63="","",MAX($A$1:A62)+1)</f>
        <v>53</v>
      </c>
      <c r="B63" s="23" t="s">
        <v>54</v>
      </c>
      <c r="C63" s="23" t="s">
        <v>257</v>
      </c>
      <c r="G63" s="33">
        <v>131236</v>
      </c>
      <c r="H63" s="33" t="s">
        <v>59</v>
      </c>
      <c r="I63" s="33" t="s">
        <v>217</v>
      </c>
      <c r="J63" s="33" t="s">
        <v>3496</v>
      </c>
      <c r="K63" s="51">
        <v>5722</v>
      </c>
      <c r="M63" s="34" t="str">
        <f t="shared" si="0"/>
        <v>Deleted</v>
      </c>
      <c r="N63" s="26" t="s">
        <v>3545</v>
      </c>
      <c r="P63" s="34" t="s">
        <v>3467</v>
      </c>
      <c r="S63" s="35">
        <v>45786</v>
      </c>
      <c r="T63" s="35">
        <v>45894</v>
      </c>
      <c r="U63" s="64" t="str" cm="1">
        <f t="array" ref="U63">IF(OR(M63="", M63="Deleted"), "", _xlfn.LET(
  _xlpm.dates,
  _xlfn._xlws.FILTER(
    [1]SubmittalLog!$H$1:$H$4000,
    [1]SubmittalLog!$E$1:$E$4000=M63,
    ""
  ),
  _xlpm.min_date, IFERROR(MIN(_xlpm.dates), ""),
  IF(_xlpm.min_date=0, "", _xlpm.min_date)
))</f>
        <v/>
      </c>
      <c r="V63" s="63" t="str" cm="1">
        <f t="array" ref="V63">IF(OR(M63="", M63="Deleted"), "", IFERROR(
  _xlfn.TEXTJOIN(", ", TRUE,
    _xlfn.MAP(
      _xlfn.UNIQUE(
        _xlfn._xlws.FILTER(
          [1]SubmittalLog!$B$1:$B$4000,
          ([1]SubmittalLog!$E$1:$E$4000=M63) *
          ([1]SubmittalLog!$B$1:$B$4000&lt;&gt;""),
          ""
        )
      ),
      _xlfn.LAMBDA(_xlpm.val, TEXT(_xlpm.val, "000000"))
    )
  ),
""))</f>
        <v/>
      </c>
      <c r="W63" s="40" t="str" cm="1">
        <f t="array" ref="W63">IF(OR(M63="", M63="Deleted"), "", _xlfn.LET(
  _xlpm.doc_col, [1]SubmittalLog!$E$1:$E$4000,
  _xlpm.date_col, [1]SubmittalLog!$H$1:$H$4000,
  _xlpm.status_col, [1]SubmittalLog!$N$1:$N$4000,
  _xlpm.latest_date, _xlfn.MAXIFS(_xlpm.date_col, _xlpm.doc_col, M63),
  IF(_xlpm.latest_date=0, "NFS",
    _xlfn.LET(
      _xlpm.res, _xlfn.XLOOKUP(M63 &amp; "|" &amp; _xlpm.latest_date, _xlpm.doc_col &amp; "|" &amp; _xlpm.date_col, _xlpm.status_col, ""),
      IF(OR(_xlpm.res="", _xlpm.res=0), "", _xlpm.res)
    )
  )
))</f>
        <v/>
      </c>
      <c r="X63" s="39" t="str">
        <f>IF(OR(M63="", M63="Deleted"), "", _xlfn.LET(
  _xlpm.doc_col, [1]SubmittalLog!$E$1:$E$4000,
  _xlpm.date_col, [1]SubmittalLog!$H$1:$H$4000,
  _xlpm.status_col, [1]SubmittalLog!$O$1:$O$4000,
  _xlpm.first_app_date, _xlfn.MINIFS(_xlpm.date_col, _xlpm.doc_col, M63, _xlpm.status_col, "APP"),
  _xlpm.first_awc_date, _xlfn.MINIFS(_xlpm.date_col, _xlpm.doc_col, M63, _xlpm.status_col, "AWC"),
  _xlpm.earliest_date, IF(
    AND(_xlpm.first_app_date=0, _xlpm.first_awc_date=0), 0,
    IF(_xlpm.first_app_date=0, _xlpm.first_awc_date,
    IF(_xlpm.first_awc_date=0, _xlpm.first_app_date,
    MIN(_xlpm.first_app_date, _xlpm.first_awc_date)))
  ),
  IF(_xlpm.earliest_date=0, "", _xlpm.earliest_date)
))</f>
        <v/>
      </c>
      <c r="Y63" s="40" t="str" cm="1">
        <f t="array" ref="Y63">IF(OR(M63="", M63="Deleted"), "", _xlfn.LET(
  _xlpm.doc_col, [1]SubmittalLog!$E$1:$E$4000,
  _xlpm.date_col, [1]SubmittalLog!$H$1:$H$4000,
  _xlpm.status_col, [1]SubmittalLog!$O$1:$O$4000,
  _xlpm.has_sub, COUNTIF(_xlpm.doc_col, M63),
  _xlpm.latest_reviewed_date, _xlfn.MAXIFS(_xlpm.date_col, _xlpm.doc_col, M63, _xlpm.status_col, "&lt;&gt;"),
  IF(_xlpm.has_sub=0, "",
    IF(_xlpm.latest_reviewed_date=0, "",
      _xlfn.LET(
        _xlpm.res, _xlfn.XLOOKUP(1, (_xlpm.doc_col=M63) * (_xlpm.date_col=_xlpm.latest_reviewed_date) * (_xlpm.status_col&lt;&gt;""), _xlpm.status_col, ""),
        IF(OR(_xlpm.res="", _xlpm.res=0), "", _xlpm.res)
      )
    )
  )
))</f>
        <v/>
      </c>
    </row>
    <row r="64" spans="1:25" x14ac:dyDescent="0.35">
      <c r="A64" s="33">
        <f>IF($M64="","",MAX($A$1:A63)+1)</f>
        <v>54</v>
      </c>
      <c r="B64" s="23" t="s">
        <v>54</v>
      </c>
      <c r="C64" s="23" t="s">
        <v>257</v>
      </c>
      <c r="G64" s="33">
        <v>131236</v>
      </c>
      <c r="H64" s="33" t="s">
        <v>59</v>
      </c>
      <c r="I64" s="33" t="s">
        <v>217</v>
      </c>
      <c r="J64" s="33" t="s">
        <v>3496</v>
      </c>
      <c r="K64" s="51">
        <v>5723</v>
      </c>
      <c r="M64" s="34" t="str">
        <f t="shared" si="0"/>
        <v>Deleted</v>
      </c>
      <c r="N64" s="26" t="s">
        <v>3546</v>
      </c>
      <c r="P64" s="34" t="s">
        <v>3467</v>
      </c>
      <c r="S64" s="35">
        <v>45786</v>
      </c>
      <c r="T64" s="35">
        <v>45894</v>
      </c>
      <c r="U64" s="64" t="str" cm="1">
        <f t="array" ref="U64">IF(OR(M64="", M64="Deleted"), "", _xlfn.LET(
  _xlpm.dates,
  _xlfn._xlws.FILTER(
    [1]SubmittalLog!$H$1:$H$4000,
    [1]SubmittalLog!$E$1:$E$4000=M64,
    ""
  ),
  _xlpm.min_date, IFERROR(MIN(_xlpm.dates), ""),
  IF(_xlpm.min_date=0, "", _xlpm.min_date)
))</f>
        <v/>
      </c>
      <c r="V64" s="63" t="str" cm="1">
        <f t="array" ref="V64">IF(OR(M64="", M64="Deleted"), "", IFERROR(
  _xlfn.TEXTJOIN(", ", TRUE,
    _xlfn.MAP(
      _xlfn.UNIQUE(
        _xlfn._xlws.FILTER(
          [1]SubmittalLog!$B$1:$B$4000,
          ([1]SubmittalLog!$E$1:$E$4000=M64) *
          ([1]SubmittalLog!$B$1:$B$4000&lt;&gt;""),
          ""
        )
      ),
      _xlfn.LAMBDA(_xlpm.val, TEXT(_xlpm.val, "000000"))
    )
  ),
""))</f>
        <v/>
      </c>
      <c r="W64" s="40" t="str" cm="1">
        <f t="array" ref="W64">IF(OR(M64="", M64="Deleted"), "", _xlfn.LET(
  _xlpm.doc_col, [1]SubmittalLog!$E$1:$E$4000,
  _xlpm.date_col, [1]SubmittalLog!$H$1:$H$4000,
  _xlpm.status_col, [1]SubmittalLog!$N$1:$N$4000,
  _xlpm.latest_date, _xlfn.MAXIFS(_xlpm.date_col, _xlpm.doc_col, M64),
  IF(_xlpm.latest_date=0, "NFS",
    _xlfn.LET(
      _xlpm.res, _xlfn.XLOOKUP(M64 &amp; "|" &amp; _xlpm.latest_date, _xlpm.doc_col &amp; "|" &amp; _xlpm.date_col, _xlpm.status_col, ""),
      IF(OR(_xlpm.res="", _xlpm.res=0), "", _xlpm.res)
    )
  )
))</f>
        <v/>
      </c>
      <c r="X64" s="39" t="str">
        <f>IF(OR(M64="", M64="Deleted"), "", _xlfn.LET(
  _xlpm.doc_col, [1]SubmittalLog!$E$1:$E$4000,
  _xlpm.date_col, [1]SubmittalLog!$H$1:$H$4000,
  _xlpm.status_col, [1]SubmittalLog!$O$1:$O$4000,
  _xlpm.first_app_date, _xlfn.MINIFS(_xlpm.date_col, _xlpm.doc_col, M64, _xlpm.status_col, "APP"),
  _xlpm.first_awc_date, _xlfn.MINIFS(_xlpm.date_col, _xlpm.doc_col, M64, _xlpm.status_col, "AWC"),
  _xlpm.earliest_date, IF(
    AND(_xlpm.first_app_date=0, _xlpm.first_awc_date=0), 0,
    IF(_xlpm.first_app_date=0, _xlpm.first_awc_date,
    IF(_xlpm.first_awc_date=0, _xlpm.first_app_date,
    MIN(_xlpm.first_app_date, _xlpm.first_awc_date)))
  ),
  IF(_xlpm.earliest_date=0, "", _xlpm.earliest_date)
))</f>
        <v/>
      </c>
      <c r="Y64" s="40" t="str" cm="1">
        <f t="array" ref="Y64">IF(OR(M64="", M64="Deleted"), "", _xlfn.LET(
  _xlpm.doc_col, [1]SubmittalLog!$E$1:$E$4000,
  _xlpm.date_col, [1]SubmittalLog!$H$1:$H$4000,
  _xlpm.status_col, [1]SubmittalLog!$O$1:$O$4000,
  _xlpm.has_sub, COUNTIF(_xlpm.doc_col, M64),
  _xlpm.latest_reviewed_date, _xlfn.MAXIFS(_xlpm.date_col, _xlpm.doc_col, M64, _xlpm.status_col, "&lt;&gt;"),
  IF(_xlpm.has_sub=0, "",
    IF(_xlpm.latest_reviewed_date=0, "",
      _xlfn.LET(
        _xlpm.res, _xlfn.XLOOKUP(1, (_xlpm.doc_col=M64) * (_xlpm.date_col=_xlpm.latest_reviewed_date) * (_xlpm.status_col&lt;&gt;""), _xlpm.status_col, ""),
        IF(OR(_xlpm.res="", _xlpm.res=0), "", _xlpm.res)
      )
    )
  )
))</f>
        <v/>
      </c>
    </row>
    <row r="65" spans="1:25" x14ac:dyDescent="0.35">
      <c r="A65" s="33">
        <f>IF($M65="","",MAX($A$1:A64)+1)</f>
        <v>55</v>
      </c>
      <c r="B65" s="23" t="s">
        <v>54</v>
      </c>
      <c r="C65" s="23" t="s">
        <v>257</v>
      </c>
      <c r="G65" s="33">
        <v>131236</v>
      </c>
      <c r="H65" s="33" t="s">
        <v>59</v>
      </c>
      <c r="I65" s="33" t="s">
        <v>217</v>
      </c>
      <c r="J65" s="33" t="s">
        <v>3496</v>
      </c>
      <c r="K65" s="51">
        <v>5724</v>
      </c>
      <c r="M65" s="34" t="str">
        <f t="shared" si="0"/>
        <v>Deleted</v>
      </c>
      <c r="N65" s="26" t="s">
        <v>3547</v>
      </c>
      <c r="P65" s="34" t="s">
        <v>3467</v>
      </c>
      <c r="S65" s="35">
        <v>45786</v>
      </c>
      <c r="T65" s="35">
        <v>45894</v>
      </c>
      <c r="U65" s="64" t="str" cm="1">
        <f t="array" ref="U65">IF(OR(M65="", M65="Deleted"), "", _xlfn.LET(
  _xlpm.dates,
  _xlfn._xlws.FILTER(
    [1]SubmittalLog!$H$1:$H$4000,
    [1]SubmittalLog!$E$1:$E$4000=M65,
    ""
  ),
  _xlpm.min_date, IFERROR(MIN(_xlpm.dates), ""),
  IF(_xlpm.min_date=0, "", _xlpm.min_date)
))</f>
        <v/>
      </c>
      <c r="V65" s="63" t="str" cm="1">
        <f t="array" ref="V65">IF(OR(M65="", M65="Deleted"), "", IFERROR(
  _xlfn.TEXTJOIN(", ", TRUE,
    _xlfn.MAP(
      _xlfn.UNIQUE(
        _xlfn._xlws.FILTER(
          [1]SubmittalLog!$B$1:$B$4000,
          ([1]SubmittalLog!$E$1:$E$4000=M65) *
          ([1]SubmittalLog!$B$1:$B$4000&lt;&gt;""),
          ""
        )
      ),
      _xlfn.LAMBDA(_xlpm.val, TEXT(_xlpm.val, "000000"))
    )
  ),
""))</f>
        <v/>
      </c>
      <c r="W65" s="40" t="str" cm="1">
        <f t="array" ref="W65">IF(OR(M65="", M65="Deleted"), "", _xlfn.LET(
  _xlpm.doc_col, [1]SubmittalLog!$E$1:$E$4000,
  _xlpm.date_col, [1]SubmittalLog!$H$1:$H$4000,
  _xlpm.status_col, [1]SubmittalLog!$N$1:$N$4000,
  _xlpm.latest_date, _xlfn.MAXIFS(_xlpm.date_col, _xlpm.doc_col, M65),
  IF(_xlpm.latest_date=0, "NFS",
    _xlfn.LET(
      _xlpm.res, _xlfn.XLOOKUP(M65 &amp; "|" &amp; _xlpm.latest_date, _xlpm.doc_col &amp; "|" &amp; _xlpm.date_col, _xlpm.status_col, ""),
      IF(OR(_xlpm.res="", _xlpm.res=0), "", _xlpm.res)
    )
  )
))</f>
        <v/>
      </c>
      <c r="X65" s="39" t="str">
        <f>IF(OR(M65="", M65="Deleted"), "", _xlfn.LET(
  _xlpm.doc_col, [1]SubmittalLog!$E$1:$E$4000,
  _xlpm.date_col, [1]SubmittalLog!$H$1:$H$4000,
  _xlpm.status_col, [1]SubmittalLog!$O$1:$O$4000,
  _xlpm.first_app_date, _xlfn.MINIFS(_xlpm.date_col, _xlpm.doc_col, M65, _xlpm.status_col, "APP"),
  _xlpm.first_awc_date, _xlfn.MINIFS(_xlpm.date_col, _xlpm.doc_col, M65, _xlpm.status_col, "AWC"),
  _xlpm.earliest_date, IF(
    AND(_xlpm.first_app_date=0, _xlpm.first_awc_date=0), 0,
    IF(_xlpm.first_app_date=0, _xlpm.first_awc_date,
    IF(_xlpm.first_awc_date=0, _xlpm.first_app_date,
    MIN(_xlpm.first_app_date, _xlpm.first_awc_date)))
  ),
  IF(_xlpm.earliest_date=0, "", _xlpm.earliest_date)
))</f>
        <v/>
      </c>
      <c r="Y65" s="40" t="str" cm="1">
        <f t="array" ref="Y65">IF(OR(M65="", M65="Deleted"), "", _xlfn.LET(
  _xlpm.doc_col, [1]SubmittalLog!$E$1:$E$4000,
  _xlpm.date_col, [1]SubmittalLog!$H$1:$H$4000,
  _xlpm.status_col, [1]SubmittalLog!$O$1:$O$4000,
  _xlpm.has_sub, COUNTIF(_xlpm.doc_col, M65),
  _xlpm.latest_reviewed_date, _xlfn.MAXIFS(_xlpm.date_col, _xlpm.doc_col, M65, _xlpm.status_col, "&lt;&gt;"),
  IF(_xlpm.has_sub=0, "",
    IF(_xlpm.latest_reviewed_date=0, "",
      _xlfn.LET(
        _xlpm.res, _xlfn.XLOOKUP(1, (_xlpm.doc_col=M65) * (_xlpm.date_col=_xlpm.latest_reviewed_date) * (_xlpm.status_col&lt;&gt;""), _xlpm.status_col, ""),
        IF(OR(_xlpm.res="", _xlpm.res=0), "", _xlpm.res)
      )
    )
  )
))</f>
        <v/>
      </c>
    </row>
    <row r="66" spans="1:25" x14ac:dyDescent="0.35">
      <c r="A66" s="33">
        <f>IF($M66="","",MAX($A$1:A65)+1)</f>
        <v>56</v>
      </c>
      <c r="B66" s="23" t="s">
        <v>54</v>
      </c>
      <c r="C66" s="23" t="s">
        <v>257</v>
      </c>
      <c r="G66" s="33">
        <v>131236</v>
      </c>
      <c r="H66" s="33" t="s">
        <v>59</v>
      </c>
      <c r="I66" s="33" t="s">
        <v>217</v>
      </c>
      <c r="J66" s="33" t="s">
        <v>3496</v>
      </c>
      <c r="K66" s="51">
        <v>5725</v>
      </c>
      <c r="M66" s="34" t="str">
        <f t="shared" si="0"/>
        <v>Deleted</v>
      </c>
      <c r="N66" s="26" t="s">
        <v>3548</v>
      </c>
      <c r="P66" s="34" t="s">
        <v>3467</v>
      </c>
      <c r="S66" s="35">
        <v>45786</v>
      </c>
      <c r="T66" s="35">
        <v>45946</v>
      </c>
      <c r="U66" s="64" t="str" cm="1">
        <f t="array" ref="U66">IF(OR(M66="", M66="Deleted"), "", _xlfn.LET(
  _xlpm.dates,
  _xlfn._xlws.FILTER(
    [1]SubmittalLog!$H$1:$H$4000,
    [1]SubmittalLog!$E$1:$E$4000=M66,
    ""
  ),
  _xlpm.min_date, IFERROR(MIN(_xlpm.dates), ""),
  IF(_xlpm.min_date=0, "", _xlpm.min_date)
))</f>
        <v/>
      </c>
      <c r="V66" s="63" t="str" cm="1">
        <f t="array" ref="V66">IF(OR(M66="", M66="Deleted"), "", IFERROR(
  _xlfn.TEXTJOIN(", ", TRUE,
    _xlfn.MAP(
      _xlfn.UNIQUE(
        _xlfn._xlws.FILTER(
          [1]SubmittalLog!$B$1:$B$4000,
          ([1]SubmittalLog!$E$1:$E$4000=M66) *
          ([1]SubmittalLog!$B$1:$B$4000&lt;&gt;""),
          ""
        )
      ),
      _xlfn.LAMBDA(_xlpm.val, TEXT(_xlpm.val, "000000"))
    )
  ),
""))</f>
        <v/>
      </c>
      <c r="W66" s="40" t="str" cm="1">
        <f t="array" ref="W66">IF(OR(M66="", M66="Deleted"), "", _xlfn.LET(
  _xlpm.doc_col, [1]SubmittalLog!$E$1:$E$4000,
  _xlpm.date_col, [1]SubmittalLog!$H$1:$H$4000,
  _xlpm.status_col, [1]SubmittalLog!$N$1:$N$4000,
  _xlpm.latest_date, _xlfn.MAXIFS(_xlpm.date_col, _xlpm.doc_col, M66),
  IF(_xlpm.latest_date=0, "NFS",
    _xlfn.LET(
      _xlpm.res, _xlfn.XLOOKUP(M66 &amp; "|" &amp; _xlpm.latest_date, _xlpm.doc_col &amp; "|" &amp; _xlpm.date_col, _xlpm.status_col, ""),
      IF(OR(_xlpm.res="", _xlpm.res=0), "", _xlpm.res)
    )
  )
))</f>
        <v/>
      </c>
      <c r="X66" s="39" t="str">
        <f>IF(OR(M66="", M66="Deleted"), "", _xlfn.LET(
  _xlpm.doc_col, [1]SubmittalLog!$E$1:$E$4000,
  _xlpm.date_col, [1]SubmittalLog!$H$1:$H$4000,
  _xlpm.status_col, [1]SubmittalLog!$O$1:$O$4000,
  _xlpm.first_app_date, _xlfn.MINIFS(_xlpm.date_col, _xlpm.doc_col, M66, _xlpm.status_col, "APP"),
  _xlpm.first_awc_date, _xlfn.MINIFS(_xlpm.date_col, _xlpm.doc_col, M66, _xlpm.status_col, "AWC"),
  _xlpm.earliest_date, IF(
    AND(_xlpm.first_app_date=0, _xlpm.first_awc_date=0), 0,
    IF(_xlpm.first_app_date=0, _xlpm.first_awc_date,
    IF(_xlpm.first_awc_date=0, _xlpm.first_app_date,
    MIN(_xlpm.first_app_date, _xlpm.first_awc_date)))
  ),
  IF(_xlpm.earliest_date=0, "", _xlpm.earliest_date)
))</f>
        <v/>
      </c>
      <c r="Y66" s="40" t="str" cm="1">
        <f t="array" ref="Y66">IF(OR(M66="", M66="Deleted"), "", _xlfn.LET(
  _xlpm.doc_col, [1]SubmittalLog!$E$1:$E$4000,
  _xlpm.date_col, [1]SubmittalLog!$H$1:$H$4000,
  _xlpm.status_col, [1]SubmittalLog!$O$1:$O$4000,
  _xlpm.has_sub, COUNTIF(_xlpm.doc_col, M66),
  _xlpm.latest_reviewed_date, _xlfn.MAXIFS(_xlpm.date_col, _xlpm.doc_col, M66, _xlpm.status_col, "&lt;&gt;"),
  IF(_xlpm.has_sub=0, "",
    IF(_xlpm.latest_reviewed_date=0, "",
      _xlfn.LET(
        _xlpm.res, _xlfn.XLOOKUP(1, (_xlpm.doc_col=M66) * (_xlpm.date_col=_xlpm.latest_reviewed_date) * (_xlpm.status_col&lt;&gt;""), _xlpm.status_col, ""),
        IF(OR(_xlpm.res="", _xlpm.res=0), "", _xlpm.res)
      )
    )
  )
))</f>
        <v/>
      </c>
    </row>
    <row r="67" spans="1:25" x14ac:dyDescent="0.35">
      <c r="A67" s="33">
        <f>IF($M67="","",MAX($A$1:A66)+1)</f>
        <v>57</v>
      </c>
      <c r="B67" s="23" t="s">
        <v>250</v>
      </c>
      <c r="C67" s="23" t="s">
        <v>257</v>
      </c>
      <c r="G67" s="33">
        <v>131236</v>
      </c>
      <c r="H67" s="33" t="s">
        <v>59</v>
      </c>
      <c r="I67" s="33" t="s">
        <v>217</v>
      </c>
      <c r="J67" s="33" t="s">
        <v>3496</v>
      </c>
      <c r="K67" s="51">
        <v>5301</v>
      </c>
      <c r="M67" s="34" t="str">
        <f t="shared" ref="M67:M130" si="1">IF(B67="Deleted","Deleted",_xlfn.TEXTJOIN("-",TRUE,G67,H67,I67,J67,IF(K67="","",TEXT(K67,"0000"))))</f>
        <v>131236-WIL21-CL-P-5301</v>
      </c>
      <c r="N67" s="26" t="s">
        <v>3549</v>
      </c>
      <c r="P67" s="34" t="s">
        <v>3467</v>
      </c>
      <c r="S67" s="35">
        <v>45553</v>
      </c>
      <c r="T67" s="35">
        <v>45553</v>
      </c>
      <c r="U67" s="64" cm="1">
        <f t="array" ref="U67">IF(OR(M67="", M67="Deleted"), "", _xlfn.LET(
  _xlpm.dates,
  _xlfn._xlws.FILTER(
    [1]SubmittalLog!$H$1:$H$4000,
    [1]SubmittalLog!$E$1:$E$4000=M67,
    ""
  ),
  _xlpm.min_date, IFERROR(MIN(_xlpm.dates), ""),
  IF(_xlpm.min_date=0, "", _xlpm.min_date)
))</f>
        <v>45553</v>
      </c>
      <c r="V67" s="63" t="str" cm="1">
        <f t="array" ref="V67">IF(OR(M67="", M67="Deleted"), "", IFERROR(
  _xlfn.TEXTJOIN(", ", TRUE,
    _xlfn.MAP(
      _xlfn.UNIQUE(
        _xlfn._xlws.FILTER(
          [1]SubmittalLog!$B$1:$B$4000,
          ([1]SubmittalLog!$E$1:$E$4000=M67) *
          ([1]SubmittalLog!$B$1:$B$4000&lt;&gt;""),
          ""
        )
      ),
      _xlfn.LAMBDA(_xlpm.val, TEXT(_xlpm.val, "000000"))
    )
  ),
""))</f>
        <v>000729</v>
      </c>
      <c r="W67" s="40" t="str" cm="1">
        <f t="array" ref="W67">IF(OR(M67="", M67="Deleted"), "", _xlfn.LET(
  _xlpm.doc_col, [1]SubmittalLog!$E$1:$E$4000,
  _xlpm.date_col, [1]SubmittalLog!$H$1:$H$4000,
  _xlpm.status_col, [1]SubmittalLog!$N$1:$N$4000,
  _xlpm.latest_date, _xlfn.MAXIFS(_xlpm.date_col, _xlpm.doc_col, M67),
  IF(_xlpm.latest_date=0, "NFS",
    _xlfn.LET(
      _xlpm.res, _xlfn.XLOOKUP(M67 &amp; "|" &amp; _xlpm.latest_date, _xlpm.doc_col &amp; "|" &amp; _xlpm.date_col, _xlpm.status_col, ""),
      IF(OR(_xlpm.res="", _xlpm.res=0), "", _xlpm.res)
    )
  )
))</f>
        <v>RTR</v>
      </c>
      <c r="X67" s="39">
        <f>IF(OR(M67="", M67="Deleted"), "", _xlfn.LET(
  _xlpm.doc_col, [1]SubmittalLog!$E$1:$E$4000,
  _xlpm.date_col, [1]SubmittalLog!$H$1:$H$4000,
  _xlpm.status_col, [1]SubmittalLog!$O$1:$O$4000,
  _xlpm.first_app_date, _xlfn.MINIFS(_xlpm.date_col, _xlpm.doc_col, M67, _xlpm.status_col, "APP"),
  _xlpm.first_awc_date, _xlfn.MINIFS(_xlpm.date_col, _xlpm.doc_col, M67, _xlpm.status_col, "AWC"),
  _xlpm.earliest_date, IF(
    AND(_xlpm.first_app_date=0, _xlpm.first_awc_date=0), 0,
    IF(_xlpm.first_app_date=0, _xlpm.first_awc_date,
    IF(_xlpm.first_awc_date=0, _xlpm.first_app_date,
    MIN(_xlpm.first_app_date, _xlpm.first_awc_date)))
  ),
  IF(_xlpm.earliest_date=0, "", _xlpm.earliest_date)
))</f>
        <v>45553</v>
      </c>
      <c r="Y67" s="40" t="str" cm="1">
        <f t="array" ref="Y67">IF(OR(M67="", M67="Deleted"), "", _xlfn.LET(
  _xlpm.doc_col, [1]SubmittalLog!$E$1:$E$4000,
  _xlpm.date_col, [1]SubmittalLog!$H$1:$H$4000,
  _xlpm.status_col, [1]SubmittalLog!$O$1:$O$4000,
  _xlpm.has_sub, COUNTIF(_xlpm.doc_col, M67),
  _xlpm.latest_reviewed_date, _xlfn.MAXIFS(_xlpm.date_col, _xlpm.doc_col, M67, _xlpm.status_col, "&lt;&gt;"),
  IF(_xlpm.has_sub=0, "",
    IF(_xlpm.latest_reviewed_date=0, "",
      _xlfn.LET(
        _xlpm.res, _xlfn.XLOOKUP(1, (_xlpm.doc_col=M67) * (_xlpm.date_col=_xlpm.latest_reviewed_date) * (_xlpm.status_col&lt;&gt;""), _xlpm.status_col, ""),
        IF(OR(_xlpm.res="", _xlpm.res=0), "", _xlpm.res)
      )
    )
  )
))</f>
        <v>AWC</v>
      </c>
    </row>
    <row r="68" spans="1:25" x14ac:dyDescent="0.35">
      <c r="A68" s="33">
        <f>IF($M68="","",MAX($A$1:A67)+1)</f>
        <v>58</v>
      </c>
      <c r="B68" s="23" t="s">
        <v>250</v>
      </c>
      <c r="C68" s="23" t="s">
        <v>257</v>
      </c>
      <c r="G68" s="33">
        <v>131236</v>
      </c>
      <c r="H68" s="33" t="s">
        <v>59</v>
      </c>
      <c r="I68" s="33" t="s">
        <v>217</v>
      </c>
      <c r="J68" s="33" t="s">
        <v>3496</v>
      </c>
      <c r="K68" s="51">
        <v>5311</v>
      </c>
      <c r="M68" s="34" t="str">
        <f t="shared" si="1"/>
        <v>131236-WIL21-CL-P-5311</v>
      </c>
      <c r="N68" s="26" t="s">
        <v>3550</v>
      </c>
      <c r="P68" s="34" t="s">
        <v>3467</v>
      </c>
      <c r="S68" s="35">
        <v>45553</v>
      </c>
      <c r="T68" s="35">
        <v>45553</v>
      </c>
      <c r="U68" s="64" cm="1">
        <f t="array" ref="U68">IF(OR(M68="", M68="Deleted"), "", _xlfn.LET(
  _xlpm.dates,
  _xlfn._xlws.FILTER(
    [1]SubmittalLog!$H$1:$H$4000,
    [1]SubmittalLog!$E$1:$E$4000=M68,
    ""
  ),
  _xlpm.min_date, IFERROR(MIN(_xlpm.dates), ""),
  IF(_xlpm.min_date=0, "", _xlpm.min_date)
))</f>
        <v>45553</v>
      </c>
      <c r="V68" s="63" t="str" cm="1">
        <f t="array" ref="V68">IF(OR(M68="", M68="Deleted"), "", IFERROR(
  _xlfn.TEXTJOIN(", ", TRUE,
    _xlfn.MAP(
      _xlfn.UNIQUE(
        _xlfn._xlws.FILTER(
          [1]SubmittalLog!$B$1:$B$4000,
          ([1]SubmittalLog!$E$1:$E$4000=M68) *
          ([1]SubmittalLog!$B$1:$B$4000&lt;&gt;""),
          ""
        )
      ),
      _xlfn.LAMBDA(_xlpm.val, TEXT(_xlpm.val, "000000"))
    )
  ),
""))</f>
        <v>000729</v>
      </c>
      <c r="W68" s="40" t="str" cm="1">
        <f t="array" ref="W68">IF(OR(M68="", M68="Deleted"), "", _xlfn.LET(
  _xlpm.doc_col, [1]SubmittalLog!$E$1:$E$4000,
  _xlpm.date_col, [1]SubmittalLog!$H$1:$H$4000,
  _xlpm.status_col, [1]SubmittalLog!$N$1:$N$4000,
  _xlpm.latest_date, _xlfn.MAXIFS(_xlpm.date_col, _xlpm.doc_col, M68),
  IF(_xlpm.latest_date=0, "NFS",
    _xlfn.LET(
      _xlpm.res, _xlfn.XLOOKUP(M68 &amp; "|" &amp; _xlpm.latest_date, _xlpm.doc_col &amp; "|" &amp; _xlpm.date_col, _xlpm.status_col, ""),
      IF(OR(_xlpm.res="", _xlpm.res=0), "", _xlpm.res)
    )
  )
))</f>
        <v>RTR</v>
      </c>
      <c r="X68" s="39">
        <f>IF(OR(M68="", M68="Deleted"), "", _xlfn.LET(
  _xlpm.doc_col, [1]SubmittalLog!$E$1:$E$4000,
  _xlpm.date_col, [1]SubmittalLog!$H$1:$H$4000,
  _xlpm.status_col, [1]SubmittalLog!$O$1:$O$4000,
  _xlpm.first_app_date, _xlfn.MINIFS(_xlpm.date_col, _xlpm.doc_col, M68, _xlpm.status_col, "APP"),
  _xlpm.first_awc_date, _xlfn.MINIFS(_xlpm.date_col, _xlpm.doc_col, M68, _xlpm.status_col, "AWC"),
  _xlpm.earliest_date, IF(
    AND(_xlpm.first_app_date=0, _xlpm.first_awc_date=0), 0,
    IF(_xlpm.first_app_date=0, _xlpm.first_awc_date,
    IF(_xlpm.first_awc_date=0, _xlpm.first_app_date,
    MIN(_xlpm.first_app_date, _xlpm.first_awc_date)))
  ),
  IF(_xlpm.earliest_date=0, "", _xlpm.earliest_date)
))</f>
        <v>45553</v>
      </c>
      <c r="Y68" s="40" t="str" cm="1">
        <f t="array" ref="Y68">IF(OR(M68="", M68="Deleted"), "", _xlfn.LET(
  _xlpm.doc_col, [1]SubmittalLog!$E$1:$E$4000,
  _xlpm.date_col, [1]SubmittalLog!$H$1:$H$4000,
  _xlpm.status_col, [1]SubmittalLog!$O$1:$O$4000,
  _xlpm.has_sub, COUNTIF(_xlpm.doc_col, M68),
  _xlpm.latest_reviewed_date, _xlfn.MAXIFS(_xlpm.date_col, _xlpm.doc_col, M68, _xlpm.status_col, "&lt;&gt;"),
  IF(_xlpm.has_sub=0, "",
    IF(_xlpm.latest_reviewed_date=0, "",
      _xlfn.LET(
        _xlpm.res, _xlfn.XLOOKUP(1, (_xlpm.doc_col=M68) * (_xlpm.date_col=_xlpm.latest_reviewed_date) * (_xlpm.status_col&lt;&gt;""), _xlpm.status_col, ""),
        IF(OR(_xlpm.res="", _xlpm.res=0), "", _xlpm.res)
      )
    )
  )
))</f>
        <v>AWC</v>
      </c>
    </row>
    <row r="69" spans="1:25" x14ac:dyDescent="0.35">
      <c r="A69" s="33">
        <f>IF($M69="","",MAX($A$1:A68)+1)</f>
        <v>59</v>
      </c>
      <c r="B69" s="23" t="s">
        <v>250</v>
      </c>
      <c r="C69" s="23" t="s">
        <v>257</v>
      </c>
      <c r="G69" s="33">
        <v>131236</v>
      </c>
      <c r="H69" s="33" t="s">
        <v>59</v>
      </c>
      <c r="I69" s="33" t="s">
        <v>217</v>
      </c>
      <c r="J69" s="33" t="s">
        <v>3496</v>
      </c>
      <c r="K69" s="51">
        <v>5351</v>
      </c>
      <c r="M69" s="34" t="str">
        <f t="shared" si="1"/>
        <v>131236-WIL21-CL-P-5351</v>
      </c>
      <c r="N69" s="26" t="s">
        <v>3551</v>
      </c>
      <c r="P69" s="34" t="s">
        <v>3467</v>
      </c>
      <c r="S69" s="35">
        <v>45551</v>
      </c>
      <c r="T69" s="35">
        <v>45551</v>
      </c>
      <c r="U69" s="64" cm="1">
        <f t="array" ref="U69">IF(OR(M69="", M69="Deleted"), "", _xlfn.LET(
  _xlpm.dates,
  _xlfn._xlws.FILTER(
    [1]SubmittalLog!$H$1:$H$4000,
    [1]SubmittalLog!$E$1:$E$4000=M69,
    ""
  ),
  _xlpm.min_date, IFERROR(MIN(_xlpm.dates), ""),
  IF(_xlpm.min_date=0, "", _xlpm.min_date)
))</f>
        <v>45551</v>
      </c>
      <c r="V69" s="63" t="str" cm="1">
        <f t="array" ref="V69">IF(OR(M69="", M69="Deleted"), "", IFERROR(
  _xlfn.TEXTJOIN(", ", TRUE,
    _xlfn.MAP(
      _xlfn.UNIQUE(
        _xlfn._xlws.FILTER(
          [1]SubmittalLog!$B$1:$B$4000,
          ([1]SubmittalLog!$E$1:$E$4000=M69) *
          ([1]SubmittalLog!$B$1:$B$4000&lt;&gt;""),
          ""
        )
      ),
      _xlfn.LAMBDA(_xlpm.val, TEXT(_xlpm.val, "000000"))
    )
  ),
""))</f>
        <v>000725</v>
      </c>
      <c r="W69" s="40" t="str" cm="1">
        <f t="array" ref="W69">IF(OR(M69="", M69="Deleted"), "", _xlfn.LET(
  _xlpm.doc_col, [1]SubmittalLog!$E$1:$E$4000,
  _xlpm.date_col, [1]SubmittalLog!$H$1:$H$4000,
  _xlpm.status_col, [1]SubmittalLog!$N$1:$N$4000,
  _xlpm.latest_date, _xlfn.MAXIFS(_xlpm.date_col, _xlpm.doc_col, M69),
  IF(_xlpm.latest_date=0, "NFS",
    _xlfn.LET(
      _xlpm.res, _xlfn.XLOOKUP(M69 &amp; "|" &amp; _xlpm.latest_date, _xlpm.doc_col &amp; "|" &amp; _xlpm.date_col, _xlpm.status_col, ""),
      IF(OR(_xlpm.res="", _xlpm.res=0), "", _xlpm.res)
    )
  )
))</f>
        <v>RTR</v>
      </c>
      <c r="X69" s="39">
        <f>IF(OR(M69="", M69="Deleted"), "", _xlfn.LET(
  _xlpm.doc_col, [1]SubmittalLog!$E$1:$E$4000,
  _xlpm.date_col, [1]SubmittalLog!$H$1:$H$4000,
  _xlpm.status_col, [1]SubmittalLog!$O$1:$O$4000,
  _xlpm.first_app_date, _xlfn.MINIFS(_xlpm.date_col, _xlpm.doc_col, M69, _xlpm.status_col, "APP"),
  _xlpm.first_awc_date, _xlfn.MINIFS(_xlpm.date_col, _xlpm.doc_col, M69, _xlpm.status_col, "AWC"),
  _xlpm.earliest_date, IF(
    AND(_xlpm.first_app_date=0, _xlpm.first_awc_date=0), 0,
    IF(_xlpm.first_app_date=0, _xlpm.first_awc_date,
    IF(_xlpm.first_awc_date=0, _xlpm.first_app_date,
    MIN(_xlpm.first_app_date, _xlpm.first_awc_date)))
  ),
  IF(_xlpm.earliest_date=0, "", _xlpm.earliest_date)
))</f>
        <v>45551</v>
      </c>
      <c r="Y69" s="40" t="str" cm="1">
        <f t="array" ref="Y69">IF(OR(M69="", M69="Deleted"), "", _xlfn.LET(
  _xlpm.doc_col, [1]SubmittalLog!$E$1:$E$4000,
  _xlpm.date_col, [1]SubmittalLog!$H$1:$H$4000,
  _xlpm.status_col, [1]SubmittalLog!$O$1:$O$4000,
  _xlpm.has_sub, COUNTIF(_xlpm.doc_col, M69),
  _xlpm.latest_reviewed_date, _xlfn.MAXIFS(_xlpm.date_col, _xlpm.doc_col, M69, _xlpm.status_col, "&lt;&gt;"),
  IF(_xlpm.has_sub=0, "",
    IF(_xlpm.latest_reviewed_date=0, "",
      _xlfn.LET(
        _xlpm.res, _xlfn.XLOOKUP(1, (_xlpm.doc_col=M69) * (_xlpm.date_col=_xlpm.latest_reviewed_date) * (_xlpm.status_col&lt;&gt;""), _xlpm.status_col, ""),
        IF(OR(_xlpm.res="", _xlpm.res=0), "", _xlpm.res)
      )
    )
  )
))</f>
        <v>AWC</v>
      </c>
    </row>
    <row r="70" spans="1:25" x14ac:dyDescent="0.35">
      <c r="A70" s="33">
        <f>IF($M70="","",MAX($A$1:A69)+1)</f>
        <v>60</v>
      </c>
      <c r="B70" s="23" t="s">
        <v>250</v>
      </c>
      <c r="C70" s="23" t="s">
        <v>257</v>
      </c>
      <c r="G70" s="33">
        <v>131236</v>
      </c>
      <c r="H70" s="33" t="s">
        <v>59</v>
      </c>
      <c r="I70" s="33" t="s">
        <v>217</v>
      </c>
      <c r="J70" s="33" t="s">
        <v>3496</v>
      </c>
      <c r="K70" s="51">
        <v>5361</v>
      </c>
      <c r="M70" s="34" t="str">
        <f t="shared" si="1"/>
        <v>131236-WIL21-CL-P-5361</v>
      </c>
      <c r="N70" s="26" t="s">
        <v>3552</v>
      </c>
      <c r="P70" s="34" t="s">
        <v>3467</v>
      </c>
      <c r="S70" s="35">
        <v>45551</v>
      </c>
      <c r="T70" s="35">
        <v>45551</v>
      </c>
      <c r="U70" s="64" cm="1">
        <f t="array" ref="U70">IF(OR(M70="", M70="Deleted"), "", _xlfn.LET(
  _xlpm.dates,
  _xlfn._xlws.FILTER(
    [1]SubmittalLog!$H$1:$H$4000,
    [1]SubmittalLog!$E$1:$E$4000=M70,
    ""
  ),
  _xlpm.min_date, IFERROR(MIN(_xlpm.dates), ""),
  IF(_xlpm.min_date=0, "", _xlpm.min_date)
))</f>
        <v>45551</v>
      </c>
      <c r="V70" s="63" t="str" cm="1">
        <f t="array" ref="V70">IF(OR(M70="", M70="Deleted"), "", IFERROR(
  _xlfn.TEXTJOIN(", ", TRUE,
    _xlfn.MAP(
      _xlfn.UNIQUE(
        _xlfn._xlws.FILTER(
          [1]SubmittalLog!$B$1:$B$4000,
          ([1]SubmittalLog!$E$1:$E$4000=M70) *
          ([1]SubmittalLog!$B$1:$B$4000&lt;&gt;""),
          ""
        )
      ),
      _xlfn.LAMBDA(_xlpm.val, TEXT(_xlpm.val, "000000"))
    )
  ),
""))</f>
        <v>000725</v>
      </c>
      <c r="W70" s="40" t="str" cm="1">
        <f t="array" ref="W70">IF(OR(M70="", M70="Deleted"), "", _xlfn.LET(
  _xlpm.doc_col, [1]SubmittalLog!$E$1:$E$4000,
  _xlpm.date_col, [1]SubmittalLog!$H$1:$H$4000,
  _xlpm.status_col, [1]SubmittalLog!$N$1:$N$4000,
  _xlpm.latest_date, _xlfn.MAXIFS(_xlpm.date_col, _xlpm.doc_col, M70),
  IF(_xlpm.latest_date=0, "NFS",
    _xlfn.LET(
      _xlpm.res, _xlfn.XLOOKUP(M70 &amp; "|" &amp; _xlpm.latest_date, _xlpm.doc_col &amp; "|" &amp; _xlpm.date_col, _xlpm.status_col, ""),
      IF(OR(_xlpm.res="", _xlpm.res=0), "", _xlpm.res)
    )
  )
))</f>
        <v>RTR</v>
      </c>
      <c r="X70" s="39">
        <f>IF(OR(M70="", M70="Deleted"), "", _xlfn.LET(
  _xlpm.doc_col, [1]SubmittalLog!$E$1:$E$4000,
  _xlpm.date_col, [1]SubmittalLog!$H$1:$H$4000,
  _xlpm.status_col, [1]SubmittalLog!$O$1:$O$4000,
  _xlpm.first_app_date, _xlfn.MINIFS(_xlpm.date_col, _xlpm.doc_col, M70, _xlpm.status_col, "APP"),
  _xlpm.first_awc_date, _xlfn.MINIFS(_xlpm.date_col, _xlpm.doc_col, M70, _xlpm.status_col, "AWC"),
  _xlpm.earliest_date, IF(
    AND(_xlpm.first_app_date=0, _xlpm.first_awc_date=0), 0,
    IF(_xlpm.first_app_date=0, _xlpm.first_awc_date,
    IF(_xlpm.first_awc_date=0, _xlpm.first_app_date,
    MIN(_xlpm.first_app_date, _xlpm.first_awc_date)))
  ),
  IF(_xlpm.earliest_date=0, "", _xlpm.earliest_date)
))</f>
        <v>45551</v>
      </c>
      <c r="Y70" s="40" t="str" cm="1">
        <f t="array" ref="Y70">IF(OR(M70="", M70="Deleted"), "", _xlfn.LET(
  _xlpm.doc_col, [1]SubmittalLog!$E$1:$E$4000,
  _xlpm.date_col, [1]SubmittalLog!$H$1:$H$4000,
  _xlpm.status_col, [1]SubmittalLog!$O$1:$O$4000,
  _xlpm.has_sub, COUNTIF(_xlpm.doc_col, M70),
  _xlpm.latest_reviewed_date, _xlfn.MAXIFS(_xlpm.date_col, _xlpm.doc_col, M70, _xlpm.status_col, "&lt;&gt;"),
  IF(_xlpm.has_sub=0, "",
    IF(_xlpm.latest_reviewed_date=0, "",
      _xlfn.LET(
        _xlpm.res, _xlfn.XLOOKUP(1, (_xlpm.doc_col=M70) * (_xlpm.date_col=_xlpm.latest_reviewed_date) * (_xlpm.status_col&lt;&gt;""), _xlpm.status_col, ""),
        IF(OR(_xlpm.res="", _xlpm.res=0), "", _xlpm.res)
      )
    )
  )
))</f>
        <v>AWC</v>
      </c>
    </row>
    <row r="71" spans="1:25" x14ac:dyDescent="0.35">
      <c r="A71" s="33">
        <f>IF($M71="","",MAX($A$1:A70)+1)</f>
        <v>61</v>
      </c>
      <c r="B71" s="23" t="s">
        <v>250</v>
      </c>
      <c r="C71" s="23" t="s">
        <v>257</v>
      </c>
      <c r="G71" s="33">
        <v>131236</v>
      </c>
      <c r="H71" s="33" t="s">
        <v>59</v>
      </c>
      <c r="I71" s="33" t="s">
        <v>217</v>
      </c>
      <c r="J71" s="33" t="s">
        <v>3496</v>
      </c>
      <c r="K71" s="51">
        <v>5371</v>
      </c>
      <c r="M71" s="34" t="str">
        <f t="shared" si="1"/>
        <v>131236-WIL21-CL-P-5371</v>
      </c>
      <c r="N71" s="26" t="s">
        <v>3553</v>
      </c>
      <c r="P71" s="34" t="s">
        <v>3467</v>
      </c>
      <c r="S71" s="35">
        <v>45551</v>
      </c>
      <c r="T71" s="35">
        <v>45551</v>
      </c>
      <c r="U71" s="64" cm="1">
        <f t="array" ref="U71">IF(OR(M71="", M71="Deleted"), "", _xlfn.LET(
  _xlpm.dates,
  _xlfn._xlws.FILTER(
    [1]SubmittalLog!$H$1:$H$4000,
    [1]SubmittalLog!$E$1:$E$4000=M71,
    ""
  ),
  _xlpm.min_date, IFERROR(MIN(_xlpm.dates), ""),
  IF(_xlpm.min_date=0, "", _xlpm.min_date)
))</f>
        <v>45551</v>
      </c>
      <c r="V71" s="63" t="str" cm="1">
        <f t="array" ref="V71">IF(OR(M71="", M71="Deleted"), "", IFERROR(
  _xlfn.TEXTJOIN(", ", TRUE,
    _xlfn.MAP(
      _xlfn.UNIQUE(
        _xlfn._xlws.FILTER(
          [1]SubmittalLog!$B$1:$B$4000,
          ([1]SubmittalLog!$E$1:$E$4000=M71) *
          ([1]SubmittalLog!$B$1:$B$4000&lt;&gt;""),
          ""
        )
      ),
      _xlfn.LAMBDA(_xlpm.val, TEXT(_xlpm.val, "000000"))
    )
  ),
""))</f>
        <v>000725</v>
      </c>
      <c r="W71" s="40" t="str" cm="1">
        <f t="array" ref="W71">IF(OR(M71="", M71="Deleted"), "", _xlfn.LET(
  _xlpm.doc_col, [1]SubmittalLog!$E$1:$E$4000,
  _xlpm.date_col, [1]SubmittalLog!$H$1:$H$4000,
  _xlpm.status_col, [1]SubmittalLog!$N$1:$N$4000,
  _xlpm.latest_date, _xlfn.MAXIFS(_xlpm.date_col, _xlpm.doc_col, M71),
  IF(_xlpm.latest_date=0, "NFS",
    _xlfn.LET(
      _xlpm.res, _xlfn.XLOOKUP(M71 &amp; "|" &amp; _xlpm.latest_date, _xlpm.doc_col &amp; "|" &amp; _xlpm.date_col, _xlpm.status_col, ""),
      IF(OR(_xlpm.res="", _xlpm.res=0), "", _xlpm.res)
    )
  )
))</f>
        <v>RTR</v>
      </c>
      <c r="X71" s="39">
        <f>IF(OR(M71="", M71="Deleted"), "", _xlfn.LET(
  _xlpm.doc_col, [1]SubmittalLog!$E$1:$E$4000,
  _xlpm.date_col, [1]SubmittalLog!$H$1:$H$4000,
  _xlpm.status_col, [1]SubmittalLog!$O$1:$O$4000,
  _xlpm.first_app_date, _xlfn.MINIFS(_xlpm.date_col, _xlpm.doc_col, M71, _xlpm.status_col, "APP"),
  _xlpm.first_awc_date, _xlfn.MINIFS(_xlpm.date_col, _xlpm.doc_col, M71, _xlpm.status_col, "AWC"),
  _xlpm.earliest_date, IF(
    AND(_xlpm.first_app_date=0, _xlpm.first_awc_date=0), 0,
    IF(_xlpm.first_app_date=0, _xlpm.first_awc_date,
    IF(_xlpm.first_awc_date=0, _xlpm.first_app_date,
    MIN(_xlpm.first_app_date, _xlpm.first_awc_date)))
  ),
  IF(_xlpm.earliest_date=0, "", _xlpm.earliest_date)
))</f>
        <v>45551</v>
      </c>
      <c r="Y71" s="40" t="str" cm="1">
        <f t="array" ref="Y71">IF(OR(M71="", M71="Deleted"), "", _xlfn.LET(
  _xlpm.doc_col, [1]SubmittalLog!$E$1:$E$4000,
  _xlpm.date_col, [1]SubmittalLog!$H$1:$H$4000,
  _xlpm.status_col, [1]SubmittalLog!$O$1:$O$4000,
  _xlpm.has_sub, COUNTIF(_xlpm.doc_col, M71),
  _xlpm.latest_reviewed_date, _xlfn.MAXIFS(_xlpm.date_col, _xlpm.doc_col, M71, _xlpm.status_col, "&lt;&gt;"),
  IF(_xlpm.has_sub=0, "",
    IF(_xlpm.latest_reviewed_date=0, "",
      _xlfn.LET(
        _xlpm.res, _xlfn.XLOOKUP(1, (_xlpm.doc_col=M71) * (_xlpm.date_col=_xlpm.latest_reviewed_date) * (_xlpm.status_col&lt;&gt;""), _xlpm.status_col, ""),
        IF(OR(_xlpm.res="", _xlpm.res=0), "", _xlpm.res)
      )
    )
  )
))</f>
        <v>AWC</v>
      </c>
    </row>
    <row r="72" spans="1:25" x14ac:dyDescent="0.35">
      <c r="A72" s="33">
        <f>IF($M72="","",MAX($A$1:A71)+1)</f>
        <v>62</v>
      </c>
      <c r="B72" s="23" t="s">
        <v>250</v>
      </c>
      <c r="C72" s="23" t="s">
        <v>257</v>
      </c>
      <c r="G72" s="33">
        <v>131236</v>
      </c>
      <c r="H72" s="33" t="s">
        <v>59</v>
      </c>
      <c r="I72" s="33" t="s">
        <v>217</v>
      </c>
      <c r="J72" s="33" t="s">
        <v>3496</v>
      </c>
      <c r="K72" s="51">
        <v>5381</v>
      </c>
      <c r="M72" s="34" t="str">
        <f t="shared" si="1"/>
        <v>131236-WIL21-CL-P-5381</v>
      </c>
      <c r="N72" s="26" t="s">
        <v>3554</v>
      </c>
      <c r="P72" s="34" t="s">
        <v>3467</v>
      </c>
      <c r="S72" s="35">
        <v>45551</v>
      </c>
      <c r="T72" s="35">
        <v>45551</v>
      </c>
      <c r="U72" s="64" cm="1">
        <f t="array" ref="U72">IF(OR(M72="", M72="Deleted"), "", _xlfn.LET(
  _xlpm.dates,
  _xlfn._xlws.FILTER(
    [1]SubmittalLog!$H$1:$H$4000,
    [1]SubmittalLog!$E$1:$E$4000=M72,
    ""
  ),
  _xlpm.min_date, IFERROR(MIN(_xlpm.dates), ""),
  IF(_xlpm.min_date=0, "", _xlpm.min_date)
))</f>
        <v>45551</v>
      </c>
      <c r="V72" s="63" t="str" cm="1">
        <f t="array" ref="V72">IF(OR(M72="", M72="Deleted"), "", IFERROR(
  _xlfn.TEXTJOIN(", ", TRUE,
    _xlfn.MAP(
      _xlfn.UNIQUE(
        _xlfn._xlws.FILTER(
          [1]SubmittalLog!$B$1:$B$4000,
          ([1]SubmittalLog!$E$1:$E$4000=M72) *
          ([1]SubmittalLog!$B$1:$B$4000&lt;&gt;""),
          ""
        )
      ),
      _xlfn.LAMBDA(_xlpm.val, TEXT(_xlpm.val, "000000"))
    )
  ),
""))</f>
        <v>000725</v>
      </c>
      <c r="W72" s="40" t="str" cm="1">
        <f t="array" ref="W72">IF(OR(M72="", M72="Deleted"), "", _xlfn.LET(
  _xlpm.doc_col, [1]SubmittalLog!$E$1:$E$4000,
  _xlpm.date_col, [1]SubmittalLog!$H$1:$H$4000,
  _xlpm.status_col, [1]SubmittalLog!$N$1:$N$4000,
  _xlpm.latest_date, _xlfn.MAXIFS(_xlpm.date_col, _xlpm.doc_col, M72),
  IF(_xlpm.latest_date=0, "NFS",
    _xlfn.LET(
      _xlpm.res, _xlfn.XLOOKUP(M72 &amp; "|" &amp; _xlpm.latest_date, _xlpm.doc_col &amp; "|" &amp; _xlpm.date_col, _xlpm.status_col, ""),
      IF(OR(_xlpm.res="", _xlpm.res=0), "", _xlpm.res)
    )
  )
))</f>
        <v>RTR</v>
      </c>
      <c r="X72" s="39">
        <f>IF(OR(M72="", M72="Deleted"), "", _xlfn.LET(
  _xlpm.doc_col, [1]SubmittalLog!$E$1:$E$4000,
  _xlpm.date_col, [1]SubmittalLog!$H$1:$H$4000,
  _xlpm.status_col, [1]SubmittalLog!$O$1:$O$4000,
  _xlpm.first_app_date, _xlfn.MINIFS(_xlpm.date_col, _xlpm.doc_col, M72, _xlpm.status_col, "APP"),
  _xlpm.first_awc_date, _xlfn.MINIFS(_xlpm.date_col, _xlpm.doc_col, M72, _xlpm.status_col, "AWC"),
  _xlpm.earliest_date, IF(
    AND(_xlpm.first_app_date=0, _xlpm.first_awc_date=0), 0,
    IF(_xlpm.first_app_date=0, _xlpm.first_awc_date,
    IF(_xlpm.first_awc_date=0, _xlpm.first_app_date,
    MIN(_xlpm.first_app_date, _xlpm.first_awc_date)))
  ),
  IF(_xlpm.earliest_date=0, "", _xlpm.earliest_date)
))</f>
        <v>45551</v>
      </c>
      <c r="Y72" s="40" t="str" cm="1">
        <f t="array" ref="Y72">IF(OR(M72="", M72="Deleted"), "", _xlfn.LET(
  _xlpm.doc_col, [1]SubmittalLog!$E$1:$E$4000,
  _xlpm.date_col, [1]SubmittalLog!$H$1:$H$4000,
  _xlpm.status_col, [1]SubmittalLog!$O$1:$O$4000,
  _xlpm.has_sub, COUNTIF(_xlpm.doc_col, M72),
  _xlpm.latest_reviewed_date, _xlfn.MAXIFS(_xlpm.date_col, _xlpm.doc_col, M72, _xlpm.status_col, "&lt;&gt;"),
  IF(_xlpm.has_sub=0, "",
    IF(_xlpm.latest_reviewed_date=0, "",
      _xlfn.LET(
        _xlpm.res, _xlfn.XLOOKUP(1, (_xlpm.doc_col=M72) * (_xlpm.date_col=_xlpm.latest_reviewed_date) * (_xlpm.status_col&lt;&gt;""), _xlpm.status_col, ""),
        IF(OR(_xlpm.res="", _xlpm.res=0), "", _xlpm.res)
      )
    )
  )
))</f>
        <v>AWC</v>
      </c>
    </row>
    <row r="73" spans="1:25" x14ac:dyDescent="0.35">
      <c r="A73" s="33">
        <f>IF($M73="","",MAX($A$1:A72)+1)</f>
        <v>63</v>
      </c>
      <c r="B73" s="23" t="s">
        <v>250</v>
      </c>
      <c r="C73" s="23" t="s">
        <v>257</v>
      </c>
      <c r="G73" s="33">
        <v>131236</v>
      </c>
      <c r="H73" s="33" t="s">
        <v>59</v>
      </c>
      <c r="I73" s="33" t="s">
        <v>217</v>
      </c>
      <c r="J73" s="33" t="s">
        <v>3496</v>
      </c>
      <c r="K73" s="51">
        <v>5391</v>
      </c>
      <c r="M73" s="34" t="str">
        <f t="shared" si="1"/>
        <v>131236-WIL21-CL-P-5391</v>
      </c>
      <c r="N73" s="26" t="s">
        <v>3555</v>
      </c>
      <c r="P73" s="34" t="s">
        <v>3467</v>
      </c>
      <c r="S73" s="35">
        <v>45696</v>
      </c>
      <c r="T73" s="35">
        <v>45696</v>
      </c>
      <c r="U73" s="64" cm="1">
        <f t="array" ref="U73">IF(OR(M73="", M73="Deleted"), "", _xlfn.LET(
  _xlpm.dates,
  _xlfn._xlws.FILTER(
    [1]SubmittalLog!$H$1:$H$4000,
    [1]SubmittalLog!$E$1:$E$4000=M73,
    ""
  ),
  _xlpm.min_date, IFERROR(MIN(_xlpm.dates), ""),
  IF(_xlpm.min_date=0, "", _xlpm.min_date)
))</f>
        <v>45636</v>
      </c>
      <c r="V73" s="63" t="str" cm="1">
        <f t="array" ref="V73">IF(OR(M73="", M73="Deleted"), "", IFERROR(
  _xlfn.TEXTJOIN(", ", TRUE,
    _xlfn.MAP(
      _xlfn.UNIQUE(
        _xlfn._xlws.FILTER(
          [1]SubmittalLog!$B$1:$B$4000,
          ([1]SubmittalLog!$E$1:$E$4000=M73) *
          ([1]SubmittalLog!$B$1:$B$4000&lt;&gt;""),
          ""
        )
      ),
      _xlfn.LAMBDA(_xlpm.val, TEXT(_xlpm.val, "000000"))
    )
  ),
""))</f>
        <v>000880</v>
      </c>
      <c r="W73" s="40" t="str" cm="1">
        <f t="array" ref="W73">IF(OR(M73="", M73="Deleted"), "", _xlfn.LET(
  _xlpm.doc_col, [1]SubmittalLog!$E$1:$E$4000,
  _xlpm.date_col, [1]SubmittalLog!$H$1:$H$4000,
  _xlpm.status_col, [1]SubmittalLog!$N$1:$N$4000,
  _xlpm.latest_date, _xlfn.MAXIFS(_xlpm.date_col, _xlpm.doc_col, M73),
  IF(_xlpm.latest_date=0, "NFS",
    _xlfn.LET(
      _xlpm.res, _xlfn.XLOOKUP(M73 &amp; "|" &amp; _xlpm.latest_date, _xlpm.doc_col &amp; "|" &amp; _xlpm.date_col, _xlpm.status_col, ""),
      IF(OR(_xlpm.res="", _xlpm.res=0), "", _xlpm.res)
    )
  )
))</f>
        <v>RTR</v>
      </c>
      <c r="X73" s="39">
        <f>IF(OR(M73="", M73="Deleted"), "", _xlfn.LET(
  _xlpm.doc_col, [1]SubmittalLog!$E$1:$E$4000,
  _xlpm.date_col, [1]SubmittalLog!$H$1:$H$4000,
  _xlpm.status_col, [1]SubmittalLog!$O$1:$O$4000,
  _xlpm.first_app_date, _xlfn.MINIFS(_xlpm.date_col, _xlpm.doc_col, M73, _xlpm.status_col, "APP"),
  _xlpm.first_awc_date, _xlfn.MINIFS(_xlpm.date_col, _xlpm.doc_col, M73, _xlpm.status_col, "AWC"),
  _xlpm.earliest_date, IF(
    AND(_xlpm.first_app_date=0, _xlpm.first_awc_date=0), 0,
    IF(_xlpm.first_app_date=0, _xlpm.first_awc_date,
    IF(_xlpm.first_awc_date=0, _xlpm.first_app_date,
    MIN(_xlpm.first_app_date, _xlpm.first_awc_date)))
  ),
  IF(_xlpm.earliest_date=0, "", _xlpm.earliest_date)
))</f>
        <v>45636</v>
      </c>
      <c r="Y73" s="40" t="str" cm="1">
        <f t="array" ref="Y73">IF(OR(M73="", M73="Deleted"), "", _xlfn.LET(
  _xlpm.doc_col, [1]SubmittalLog!$E$1:$E$4000,
  _xlpm.date_col, [1]SubmittalLog!$H$1:$H$4000,
  _xlpm.status_col, [1]SubmittalLog!$O$1:$O$4000,
  _xlpm.has_sub, COUNTIF(_xlpm.doc_col, M73),
  _xlpm.latest_reviewed_date, _xlfn.MAXIFS(_xlpm.date_col, _xlpm.doc_col, M73, _xlpm.status_col, "&lt;&gt;"),
  IF(_xlpm.has_sub=0, "",
    IF(_xlpm.latest_reviewed_date=0, "",
      _xlfn.LET(
        _xlpm.res, _xlfn.XLOOKUP(1, (_xlpm.doc_col=M73) * (_xlpm.date_col=_xlpm.latest_reviewed_date) * (_xlpm.status_col&lt;&gt;""), _xlpm.status_col, ""),
        IF(OR(_xlpm.res="", _xlpm.res=0), "", _xlpm.res)
      )
    )
  )
))</f>
        <v>APP</v>
      </c>
    </row>
    <row r="74" spans="1:25" x14ac:dyDescent="0.35">
      <c r="A74" s="33">
        <f>IF($M74="","",MAX($A$1:A73)+1)</f>
        <v>64</v>
      </c>
      <c r="B74" s="23" t="s">
        <v>250</v>
      </c>
      <c r="C74" s="23" t="s">
        <v>257</v>
      </c>
      <c r="G74" s="33">
        <v>131236</v>
      </c>
      <c r="H74" s="33" t="s">
        <v>59</v>
      </c>
      <c r="I74" s="33" t="s">
        <v>217</v>
      </c>
      <c r="J74" s="33" t="s">
        <v>3496</v>
      </c>
      <c r="K74" s="51">
        <v>5431</v>
      </c>
      <c r="M74" s="34" t="str">
        <f t="shared" si="1"/>
        <v>131236-WIL21-CL-P-5431</v>
      </c>
      <c r="N74" s="26" t="s">
        <v>3556</v>
      </c>
      <c r="P74" s="34" t="s">
        <v>3467</v>
      </c>
      <c r="S74" s="35">
        <v>45632</v>
      </c>
      <c r="T74" s="35">
        <v>45632</v>
      </c>
      <c r="U74" s="64" cm="1">
        <f t="array" ref="U74">IF(OR(M74="", M74="Deleted"), "", _xlfn.LET(
  _xlpm.dates,
  _xlfn._xlws.FILTER(
    [1]SubmittalLog!$H$1:$H$4000,
    [1]SubmittalLog!$E$1:$E$4000=M74,
    ""
  ),
  _xlpm.min_date, IFERROR(MIN(_xlpm.dates), ""),
  IF(_xlpm.min_date=0, "", _xlpm.min_date)
))</f>
        <v>45630</v>
      </c>
      <c r="V74" s="63" t="str" cm="1">
        <f t="array" ref="V74">IF(OR(M74="", M74="Deleted"), "", IFERROR(
  _xlfn.TEXTJOIN(", ", TRUE,
    _xlfn.MAP(
      _xlfn.UNIQUE(
        _xlfn._xlws.FILTER(
          [1]SubmittalLog!$B$1:$B$4000,
          ([1]SubmittalLog!$E$1:$E$4000=M74) *
          ([1]SubmittalLog!$B$1:$B$4000&lt;&gt;""),
          ""
        )
      ),
      _xlfn.LAMBDA(_xlpm.val, TEXT(_xlpm.val, "000000"))
    )
  ),
""))</f>
        <v>000874</v>
      </c>
      <c r="W74" s="40" t="str" cm="1">
        <f t="array" ref="W74">IF(OR(M74="", M74="Deleted"), "", _xlfn.LET(
  _xlpm.doc_col, [1]SubmittalLog!$E$1:$E$4000,
  _xlpm.date_col, [1]SubmittalLog!$H$1:$H$4000,
  _xlpm.status_col, [1]SubmittalLog!$N$1:$N$4000,
  _xlpm.latest_date, _xlfn.MAXIFS(_xlpm.date_col, _xlpm.doc_col, M74),
  IF(_xlpm.latest_date=0, "NFS",
    _xlfn.LET(
      _xlpm.res, _xlfn.XLOOKUP(M74 &amp; "|" &amp; _xlpm.latest_date, _xlpm.doc_col &amp; "|" &amp; _xlpm.date_col, _xlpm.status_col, ""),
      IF(OR(_xlpm.res="", _xlpm.res=0), "", _xlpm.res)
    )
  )
))</f>
        <v>RTR</v>
      </c>
      <c r="X74" s="39">
        <f>IF(OR(M74="", M74="Deleted"), "", _xlfn.LET(
  _xlpm.doc_col, [1]SubmittalLog!$E$1:$E$4000,
  _xlpm.date_col, [1]SubmittalLog!$H$1:$H$4000,
  _xlpm.status_col, [1]SubmittalLog!$O$1:$O$4000,
  _xlpm.first_app_date, _xlfn.MINIFS(_xlpm.date_col, _xlpm.doc_col, M74, _xlpm.status_col, "APP"),
  _xlpm.first_awc_date, _xlfn.MINIFS(_xlpm.date_col, _xlpm.doc_col, M74, _xlpm.status_col, "AWC"),
  _xlpm.earliest_date, IF(
    AND(_xlpm.first_app_date=0, _xlpm.first_awc_date=0), 0,
    IF(_xlpm.first_app_date=0, _xlpm.first_awc_date,
    IF(_xlpm.first_awc_date=0, _xlpm.first_app_date,
    MIN(_xlpm.first_app_date, _xlpm.first_awc_date)))
  ),
  IF(_xlpm.earliest_date=0, "", _xlpm.earliest_date)
))</f>
        <v>45630</v>
      </c>
      <c r="Y74" s="40" t="str" cm="1">
        <f t="array" ref="Y74">IF(OR(M74="", M74="Deleted"), "", _xlfn.LET(
  _xlpm.doc_col, [1]SubmittalLog!$E$1:$E$4000,
  _xlpm.date_col, [1]SubmittalLog!$H$1:$H$4000,
  _xlpm.status_col, [1]SubmittalLog!$O$1:$O$4000,
  _xlpm.has_sub, COUNTIF(_xlpm.doc_col, M74),
  _xlpm.latest_reviewed_date, _xlfn.MAXIFS(_xlpm.date_col, _xlpm.doc_col, M74, _xlpm.status_col, "&lt;&gt;"),
  IF(_xlpm.has_sub=0, "",
    IF(_xlpm.latest_reviewed_date=0, "",
      _xlfn.LET(
        _xlpm.res, _xlfn.XLOOKUP(1, (_xlpm.doc_col=M74) * (_xlpm.date_col=_xlpm.latest_reviewed_date) * (_xlpm.status_col&lt;&gt;""), _xlpm.status_col, ""),
        IF(OR(_xlpm.res="", _xlpm.res=0), "", _xlpm.res)
      )
    )
  )
))</f>
        <v>AWC</v>
      </c>
    </row>
    <row r="75" spans="1:25" x14ac:dyDescent="0.35">
      <c r="A75" s="33">
        <f>IF($M75="","",MAX($A$1:A74)+1)</f>
        <v>65</v>
      </c>
      <c r="B75" s="23" t="s">
        <v>250</v>
      </c>
      <c r="C75" s="23" t="s">
        <v>257</v>
      </c>
      <c r="G75" s="33">
        <v>131236</v>
      </c>
      <c r="H75" s="33" t="s">
        <v>59</v>
      </c>
      <c r="I75" s="33" t="s">
        <v>217</v>
      </c>
      <c r="J75" s="33" t="s">
        <v>3496</v>
      </c>
      <c r="K75" s="51">
        <v>5481</v>
      </c>
      <c r="M75" s="34" t="str">
        <f t="shared" si="1"/>
        <v>131236-WIL21-CL-P-5481</v>
      </c>
      <c r="N75" s="26" t="s">
        <v>3557</v>
      </c>
      <c r="P75" s="34" t="s">
        <v>3467</v>
      </c>
      <c r="S75" s="35">
        <v>45624</v>
      </c>
      <c r="T75" s="35">
        <v>45624</v>
      </c>
      <c r="U75" s="64" cm="1">
        <f t="array" ref="U75">IF(OR(M75="", M75="Deleted"), "", _xlfn.LET(
  _xlpm.dates,
  _xlfn._xlws.FILTER(
    [1]SubmittalLog!$H$1:$H$4000,
    [1]SubmittalLog!$E$1:$E$4000=M75,
    ""
  ),
  _xlpm.min_date, IFERROR(MIN(_xlpm.dates), ""),
  IF(_xlpm.min_date=0, "", _xlpm.min_date)
))</f>
        <v>45624</v>
      </c>
      <c r="V75" s="63" t="str" cm="1">
        <f t="array" ref="V75">IF(OR(M75="", M75="Deleted"), "", IFERROR(
  _xlfn.TEXTJOIN(", ", TRUE,
    _xlfn.MAP(
      _xlfn.UNIQUE(
        _xlfn._xlws.FILTER(
          [1]SubmittalLog!$B$1:$B$4000,
          ([1]SubmittalLog!$E$1:$E$4000=M75) *
          ([1]SubmittalLog!$B$1:$B$4000&lt;&gt;""),
          ""
        )
      ),
      _xlfn.LAMBDA(_xlpm.val, TEXT(_xlpm.val, "000000"))
    )
  ),
""))</f>
        <v>000847</v>
      </c>
      <c r="W75" s="40" t="str" cm="1">
        <f t="array" ref="W75">IF(OR(M75="", M75="Deleted"), "", _xlfn.LET(
  _xlpm.doc_col, [1]SubmittalLog!$E$1:$E$4000,
  _xlpm.date_col, [1]SubmittalLog!$H$1:$H$4000,
  _xlpm.status_col, [1]SubmittalLog!$N$1:$N$4000,
  _xlpm.latest_date, _xlfn.MAXIFS(_xlpm.date_col, _xlpm.doc_col, M75),
  IF(_xlpm.latest_date=0, "NFS",
    _xlfn.LET(
      _xlpm.res, _xlfn.XLOOKUP(M75 &amp; "|" &amp; _xlpm.latest_date, _xlpm.doc_col &amp; "|" &amp; _xlpm.date_col, _xlpm.status_col, ""),
      IF(OR(_xlpm.res="", _xlpm.res=0), "", _xlpm.res)
    )
  )
))</f>
        <v>RTR</v>
      </c>
      <c r="X75" s="39" t="str">
        <f>IF(OR(M75="", M75="Deleted"), "", _xlfn.LET(
  _xlpm.doc_col, [1]SubmittalLog!$E$1:$E$4000,
  _xlpm.date_col, [1]SubmittalLog!$H$1:$H$4000,
  _xlpm.status_col, [1]SubmittalLog!$O$1:$O$4000,
  _xlpm.first_app_date, _xlfn.MINIFS(_xlpm.date_col, _xlpm.doc_col, M75, _xlpm.status_col, "APP"),
  _xlpm.first_awc_date, _xlfn.MINIFS(_xlpm.date_col, _xlpm.doc_col, M75, _xlpm.status_col, "AWC"),
  _xlpm.earliest_date, IF(
    AND(_xlpm.first_app_date=0, _xlpm.first_awc_date=0), 0,
    IF(_xlpm.first_app_date=0, _xlpm.first_awc_date,
    IF(_xlpm.first_awc_date=0, _xlpm.first_app_date,
    MIN(_xlpm.first_app_date, _xlpm.first_awc_date)))
  ),
  IF(_xlpm.earliest_date=0, "", _xlpm.earliest_date)
))</f>
        <v/>
      </c>
      <c r="Y75" s="40" t="str" cm="1">
        <f t="array" ref="Y75">IF(OR(M75="", M75="Deleted"), "", _xlfn.LET(
  _xlpm.doc_col, [1]SubmittalLog!$E$1:$E$4000,
  _xlpm.date_col, [1]SubmittalLog!$H$1:$H$4000,
  _xlpm.status_col, [1]SubmittalLog!$O$1:$O$4000,
  _xlpm.has_sub, COUNTIF(_xlpm.doc_col, M75),
  _xlpm.latest_reviewed_date, _xlfn.MAXIFS(_xlpm.date_col, _xlpm.doc_col, M75, _xlpm.status_col, "&lt;&gt;"),
  IF(_xlpm.has_sub=0, "",
    IF(_xlpm.latest_reviewed_date=0, "",
      _xlfn.LET(
        _xlpm.res, _xlfn.XLOOKUP(1, (_xlpm.doc_col=M75) * (_xlpm.date_col=_xlpm.latest_reviewed_date) * (_xlpm.status_col&lt;&gt;""), _xlpm.status_col, ""),
        IF(OR(_xlpm.res="", _xlpm.res=0), "", _xlpm.res)
      )
    )
  )
))</f>
        <v>REJ</v>
      </c>
    </row>
    <row r="76" spans="1:25" x14ac:dyDescent="0.35">
      <c r="A76" s="33">
        <f>IF($M76="","",MAX($A$1:A75)+1)</f>
        <v>66</v>
      </c>
      <c r="B76" s="23" t="s">
        <v>250</v>
      </c>
      <c r="C76" s="23" t="s">
        <v>257</v>
      </c>
      <c r="G76" s="33">
        <v>131236</v>
      </c>
      <c r="H76" s="33" t="s">
        <v>59</v>
      </c>
      <c r="I76" s="33" t="s">
        <v>217</v>
      </c>
      <c r="J76" s="33" t="s">
        <v>3496</v>
      </c>
      <c r="K76" s="51">
        <v>5501</v>
      </c>
      <c r="M76" s="34" t="str">
        <f t="shared" si="1"/>
        <v>131236-WIL21-CL-P-5501</v>
      </c>
      <c r="N76" s="26" t="s">
        <v>3558</v>
      </c>
      <c r="P76" s="34" t="s">
        <v>3467</v>
      </c>
      <c r="S76" s="35">
        <v>45586</v>
      </c>
      <c r="T76" s="35">
        <v>45586</v>
      </c>
      <c r="U76" s="64" cm="1">
        <f t="array" ref="U76">IF(OR(M76="", M76="Deleted"), "", _xlfn.LET(
  _xlpm.dates,
  _xlfn._xlws.FILTER(
    [1]SubmittalLog!$H$1:$H$4000,
    [1]SubmittalLog!$E$1:$E$4000=M76,
    ""
  ),
  _xlpm.min_date, IFERROR(MIN(_xlpm.dates), ""),
  IF(_xlpm.min_date=0, "", _xlpm.min_date)
))</f>
        <v>45586</v>
      </c>
      <c r="V76" s="63" t="str" cm="1">
        <f t="array" ref="V76">IF(OR(M76="", M76="Deleted"), "", IFERROR(
  _xlfn.TEXTJOIN(", ", TRUE,
    _xlfn.MAP(
      _xlfn.UNIQUE(
        _xlfn._xlws.FILTER(
          [1]SubmittalLog!$B$1:$B$4000,
          ([1]SubmittalLog!$E$1:$E$4000=M76) *
          ([1]SubmittalLog!$B$1:$B$4000&lt;&gt;""),
          ""
        )
      ),
      _xlfn.LAMBDA(_xlpm.val, TEXT(_xlpm.val, "000000"))
    )
  ),
""))</f>
        <v>000769</v>
      </c>
      <c r="W76" s="40" t="str" cm="1">
        <f t="array" ref="W76">IF(OR(M76="", M76="Deleted"), "", _xlfn.LET(
  _xlpm.doc_col, [1]SubmittalLog!$E$1:$E$4000,
  _xlpm.date_col, [1]SubmittalLog!$H$1:$H$4000,
  _xlpm.status_col, [1]SubmittalLog!$N$1:$N$4000,
  _xlpm.latest_date, _xlfn.MAXIFS(_xlpm.date_col, _xlpm.doc_col, M76),
  IF(_xlpm.latest_date=0, "NFS",
    _xlfn.LET(
      _xlpm.res, _xlfn.XLOOKUP(M76 &amp; "|" &amp; _xlpm.latest_date, _xlpm.doc_col &amp; "|" &amp; _xlpm.date_col, _xlpm.status_col, ""),
      IF(OR(_xlpm.res="", _xlpm.res=0), "", _xlpm.res)
    )
  )
))</f>
        <v>RTR</v>
      </c>
      <c r="X76" s="39">
        <f>IF(OR(M76="", M76="Deleted"), "", _xlfn.LET(
  _xlpm.doc_col, [1]SubmittalLog!$E$1:$E$4000,
  _xlpm.date_col, [1]SubmittalLog!$H$1:$H$4000,
  _xlpm.status_col, [1]SubmittalLog!$O$1:$O$4000,
  _xlpm.first_app_date, _xlfn.MINIFS(_xlpm.date_col, _xlpm.doc_col, M76, _xlpm.status_col, "APP"),
  _xlpm.first_awc_date, _xlfn.MINIFS(_xlpm.date_col, _xlpm.doc_col, M76, _xlpm.status_col, "AWC"),
  _xlpm.earliest_date, IF(
    AND(_xlpm.first_app_date=0, _xlpm.first_awc_date=0), 0,
    IF(_xlpm.first_app_date=0, _xlpm.first_awc_date,
    IF(_xlpm.first_awc_date=0, _xlpm.first_app_date,
    MIN(_xlpm.first_app_date, _xlpm.first_awc_date)))
  ),
  IF(_xlpm.earliest_date=0, "", _xlpm.earliest_date)
))</f>
        <v>45586</v>
      </c>
      <c r="Y76" s="40" t="str" cm="1">
        <f t="array" ref="Y76">IF(OR(M76="", M76="Deleted"), "", _xlfn.LET(
  _xlpm.doc_col, [1]SubmittalLog!$E$1:$E$4000,
  _xlpm.date_col, [1]SubmittalLog!$H$1:$H$4000,
  _xlpm.status_col, [1]SubmittalLog!$O$1:$O$4000,
  _xlpm.has_sub, COUNTIF(_xlpm.doc_col, M76),
  _xlpm.latest_reviewed_date, _xlfn.MAXIFS(_xlpm.date_col, _xlpm.doc_col, M76, _xlpm.status_col, "&lt;&gt;"),
  IF(_xlpm.has_sub=0, "",
    IF(_xlpm.latest_reviewed_date=0, "",
      _xlfn.LET(
        _xlpm.res, _xlfn.XLOOKUP(1, (_xlpm.doc_col=M76) * (_xlpm.date_col=_xlpm.latest_reviewed_date) * (_xlpm.status_col&lt;&gt;""), _xlpm.status_col, ""),
        IF(OR(_xlpm.res="", _xlpm.res=0), "", _xlpm.res)
      )
    )
  )
))</f>
        <v>AWC</v>
      </c>
    </row>
    <row r="77" spans="1:25" x14ac:dyDescent="0.35">
      <c r="A77" s="33">
        <f>IF($M77="","",MAX($A$1:A76)+1)</f>
        <v>67</v>
      </c>
      <c r="B77" s="23" t="s">
        <v>250</v>
      </c>
      <c r="C77" s="23" t="s">
        <v>257</v>
      </c>
      <c r="G77" s="33">
        <v>131236</v>
      </c>
      <c r="H77" s="33" t="s">
        <v>59</v>
      </c>
      <c r="I77" s="33" t="s">
        <v>217</v>
      </c>
      <c r="J77" s="33" t="s">
        <v>3496</v>
      </c>
      <c r="K77" s="51">
        <v>5511</v>
      </c>
      <c r="M77" s="34" t="str">
        <f t="shared" si="1"/>
        <v>131236-WIL21-CL-P-5511</v>
      </c>
      <c r="N77" s="26" t="s">
        <v>3559</v>
      </c>
      <c r="P77" s="34" t="s">
        <v>3467</v>
      </c>
      <c r="S77" s="35">
        <v>45586</v>
      </c>
      <c r="T77" s="35">
        <v>45586</v>
      </c>
      <c r="U77" s="64" cm="1">
        <f t="array" ref="U77">IF(OR(M77="", M77="Deleted"), "", _xlfn.LET(
  _xlpm.dates,
  _xlfn._xlws.FILTER(
    [1]SubmittalLog!$H$1:$H$4000,
    [1]SubmittalLog!$E$1:$E$4000=M77,
    ""
  ),
  _xlpm.min_date, IFERROR(MIN(_xlpm.dates), ""),
  IF(_xlpm.min_date=0, "", _xlpm.min_date)
))</f>
        <v>45586</v>
      </c>
      <c r="V77" s="63" t="str" cm="1">
        <f t="array" ref="V77">IF(OR(M77="", M77="Deleted"), "", IFERROR(
  _xlfn.TEXTJOIN(", ", TRUE,
    _xlfn.MAP(
      _xlfn.UNIQUE(
        _xlfn._xlws.FILTER(
          [1]SubmittalLog!$B$1:$B$4000,
          ([1]SubmittalLog!$E$1:$E$4000=M77) *
          ([1]SubmittalLog!$B$1:$B$4000&lt;&gt;""),
          ""
        )
      ),
      _xlfn.LAMBDA(_xlpm.val, TEXT(_xlpm.val, "000000"))
    )
  ),
""))</f>
        <v>000769</v>
      </c>
      <c r="W77" s="40" t="str" cm="1">
        <f t="array" ref="W77">IF(OR(M77="", M77="Deleted"), "", _xlfn.LET(
  _xlpm.doc_col, [1]SubmittalLog!$E$1:$E$4000,
  _xlpm.date_col, [1]SubmittalLog!$H$1:$H$4000,
  _xlpm.status_col, [1]SubmittalLog!$N$1:$N$4000,
  _xlpm.latest_date, _xlfn.MAXIFS(_xlpm.date_col, _xlpm.doc_col, M77),
  IF(_xlpm.latest_date=0, "NFS",
    _xlfn.LET(
      _xlpm.res, _xlfn.XLOOKUP(M77 &amp; "|" &amp; _xlpm.latest_date, _xlpm.doc_col &amp; "|" &amp; _xlpm.date_col, _xlpm.status_col, ""),
      IF(OR(_xlpm.res="", _xlpm.res=0), "", _xlpm.res)
    )
  )
))</f>
        <v>RTR</v>
      </c>
      <c r="X77" s="39">
        <f>IF(OR(M77="", M77="Deleted"), "", _xlfn.LET(
  _xlpm.doc_col, [1]SubmittalLog!$E$1:$E$4000,
  _xlpm.date_col, [1]SubmittalLog!$H$1:$H$4000,
  _xlpm.status_col, [1]SubmittalLog!$O$1:$O$4000,
  _xlpm.first_app_date, _xlfn.MINIFS(_xlpm.date_col, _xlpm.doc_col, M77, _xlpm.status_col, "APP"),
  _xlpm.first_awc_date, _xlfn.MINIFS(_xlpm.date_col, _xlpm.doc_col, M77, _xlpm.status_col, "AWC"),
  _xlpm.earliest_date, IF(
    AND(_xlpm.first_app_date=0, _xlpm.first_awc_date=0), 0,
    IF(_xlpm.first_app_date=0, _xlpm.first_awc_date,
    IF(_xlpm.first_awc_date=0, _xlpm.first_app_date,
    MIN(_xlpm.first_app_date, _xlpm.first_awc_date)))
  ),
  IF(_xlpm.earliest_date=0, "", _xlpm.earliest_date)
))</f>
        <v>45586</v>
      </c>
      <c r="Y77" s="40" t="str" cm="1">
        <f t="array" ref="Y77">IF(OR(M77="", M77="Deleted"), "", _xlfn.LET(
  _xlpm.doc_col, [1]SubmittalLog!$E$1:$E$4000,
  _xlpm.date_col, [1]SubmittalLog!$H$1:$H$4000,
  _xlpm.status_col, [1]SubmittalLog!$O$1:$O$4000,
  _xlpm.has_sub, COUNTIF(_xlpm.doc_col, M77),
  _xlpm.latest_reviewed_date, _xlfn.MAXIFS(_xlpm.date_col, _xlpm.doc_col, M77, _xlpm.status_col, "&lt;&gt;"),
  IF(_xlpm.has_sub=0, "",
    IF(_xlpm.latest_reviewed_date=0, "",
      _xlfn.LET(
        _xlpm.res, _xlfn.XLOOKUP(1, (_xlpm.doc_col=M77) * (_xlpm.date_col=_xlpm.latest_reviewed_date) * (_xlpm.status_col&lt;&gt;""), _xlpm.status_col, ""),
        IF(OR(_xlpm.res="", _xlpm.res=0), "", _xlpm.res)
      )
    )
  )
))</f>
        <v>AWC</v>
      </c>
    </row>
    <row r="78" spans="1:25" x14ac:dyDescent="0.35">
      <c r="A78" s="33">
        <f>IF($M78="","",MAX($A$1:A77)+1)</f>
        <v>68</v>
      </c>
      <c r="B78" s="23" t="s">
        <v>250</v>
      </c>
      <c r="C78" s="23" t="s">
        <v>257</v>
      </c>
      <c r="G78" s="33">
        <v>131236</v>
      </c>
      <c r="H78" s="33" t="s">
        <v>59</v>
      </c>
      <c r="I78" s="33" t="s">
        <v>217</v>
      </c>
      <c r="J78" s="33" t="s">
        <v>3496</v>
      </c>
      <c r="K78" s="51">
        <v>5521</v>
      </c>
      <c r="M78" s="34" t="str">
        <f t="shared" si="1"/>
        <v>131236-WIL21-CL-P-5521</v>
      </c>
      <c r="N78" s="26" t="s">
        <v>3560</v>
      </c>
      <c r="P78" s="34" t="s">
        <v>3467</v>
      </c>
      <c r="S78" s="35">
        <v>45586</v>
      </c>
      <c r="T78" s="35">
        <v>45586</v>
      </c>
      <c r="U78" s="64" cm="1">
        <f t="array" ref="U78">IF(OR(M78="", M78="Deleted"), "", _xlfn.LET(
  _xlpm.dates,
  _xlfn._xlws.FILTER(
    [1]SubmittalLog!$H$1:$H$4000,
    [1]SubmittalLog!$E$1:$E$4000=M78,
    ""
  ),
  _xlpm.min_date, IFERROR(MIN(_xlpm.dates), ""),
  IF(_xlpm.min_date=0, "", _xlpm.min_date)
))</f>
        <v>45586</v>
      </c>
      <c r="V78" s="63" t="str" cm="1">
        <f t="array" ref="V78">IF(OR(M78="", M78="Deleted"), "", IFERROR(
  _xlfn.TEXTJOIN(", ", TRUE,
    _xlfn.MAP(
      _xlfn.UNIQUE(
        _xlfn._xlws.FILTER(
          [1]SubmittalLog!$B$1:$B$4000,
          ([1]SubmittalLog!$E$1:$E$4000=M78) *
          ([1]SubmittalLog!$B$1:$B$4000&lt;&gt;""),
          ""
        )
      ),
      _xlfn.LAMBDA(_xlpm.val, TEXT(_xlpm.val, "000000"))
    )
  ),
""))</f>
        <v>000769</v>
      </c>
      <c r="W78" s="40" t="str" cm="1">
        <f t="array" ref="W78">IF(OR(M78="", M78="Deleted"), "", _xlfn.LET(
  _xlpm.doc_col, [1]SubmittalLog!$E$1:$E$4000,
  _xlpm.date_col, [1]SubmittalLog!$H$1:$H$4000,
  _xlpm.status_col, [1]SubmittalLog!$N$1:$N$4000,
  _xlpm.latest_date, _xlfn.MAXIFS(_xlpm.date_col, _xlpm.doc_col, M78),
  IF(_xlpm.latest_date=0, "NFS",
    _xlfn.LET(
      _xlpm.res, _xlfn.XLOOKUP(M78 &amp; "|" &amp; _xlpm.latest_date, _xlpm.doc_col &amp; "|" &amp; _xlpm.date_col, _xlpm.status_col, ""),
      IF(OR(_xlpm.res="", _xlpm.res=0), "", _xlpm.res)
    )
  )
))</f>
        <v>RTR</v>
      </c>
      <c r="X78" s="39">
        <f>IF(OR(M78="", M78="Deleted"), "", _xlfn.LET(
  _xlpm.doc_col, [1]SubmittalLog!$E$1:$E$4000,
  _xlpm.date_col, [1]SubmittalLog!$H$1:$H$4000,
  _xlpm.status_col, [1]SubmittalLog!$O$1:$O$4000,
  _xlpm.first_app_date, _xlfn.MINIFS(_xlpm.date_col, _xlpm.doc_col, M78, _xlpm.status_col, "APP"),
  _xlpm.first_awc_date, _xlfn.MINIFS(_xlpm.date_col, _xlpm.doc_col, M78, _xlpm.status_col, "AWC"),
  _xlpm.earliest_date, IF(
    AND(_xlpm.first_app_date=0, _xlpm.first_awc_date=0), 0,
    IF(_xlpm.first_app_date=0, _xlpm.first_awc_date,
    IF(_xlpm.first_awc_date=0, _xlpm.first_app_date,
    MIN(_xlpm.first_app_date, _xlpm.first_awc_date)))
  ),
  IF(_xlpm.earliest_date=0, "", _xlpm.earliest_date)
))</f>
        <v>45586</v>
      </c>
      <c r="Y78" s="40" t="str" cm="1">
        <f t="array" ref="Y78">IF(OR(M78="", M78="Deleted"), "", _xlfn.LET(
  _xlpm.doc_col, [1]SubmittalLog!$E$1:$E$4000,
  _xlpm.date_col, [1]SubmittalLog!$H$1:$H$4000,
  _xlpm.status_col, [1]SubmittalLog!$O$1:$O$4000,
  _xlpm.has_sub, COUNTIF(_xlpm.doc_col, M78),
  _xlpm.latest_reviewed_date, _xlfn.MAXIFS(_xlpm.date_col, _xlpm.doc_col, M78, _xlpm.status_col, "&lt;&gt;"),
  IF(_xlpm.has_sub=0, "",
    IF(_xlpm.latest_reviewed_date=0, "",
      _xlfn.LET(
        _xlpm.res, _xlfn.XLOOKUP(1, (_xlpm.doc_col=M78) * (_xlpm.date_col=_xlpm.latest_reviewed_date) * (_xlpm.status_col&lt;&gt;""), _xlpm.status_col, ""),
        IF(OR(_xlpm.res="", _xlpm.res=0), "", _xlpm.res)
      )
    )
  )
))</f>
        <v>AWC</v>
      </c>
    </row>
    <row r="79" spans="1:25" x14ac:dyDescent="0.35">
      <c r="A79" s="33">
        <f>IF($M79="","",MAX($A$1:A78)+1)</f>
        <v>69</v>
      </c>
      <c r="B79" s="23" t="s">
        <v>250</v>
      </c>
      <c r="C79" s="23" t="s">
        <v>257</v>
      </c>
      <c r="G79" s="33">
        <v>131236</v>
      </c>
      <c r="H79" s="33" t="s">
        <v>59</v>
      </c>
      <c r="I79" s="33" t="s">
        <v>217</v>
      </c>
      <c r="J79" s="33" t="s">
        <v>3496</v>
      </c>
      <c r="K79" s="51">
        <v>5531</v>
      </c>
      <c r="M79" s="34" t="str">
        <f t="shared" si="1"/>
        <v>131236-WIL21-CL-P-5531</v>
      </c>
      <c r="N79" s="26" t="s">
        <v>3561</v>
      </c>
      <c r="P79" s="34" t="s">
        <v>3467</v>
      </c>
      <c r="S79" s="35">
        <v>45586</v>
      </c>
      <c r="T79" s="35">
        <v>45586</v>
      </c>
      <c r="U79" s="64" cm="1">
        <f t="array" ref="U79">IF(OR(M79="", M79="Deleted"), "", _xlfn.LET(
  _xlpm.dates,
  _xlfn._xlws.FILTER(
    [1]SubmittalLog!$H$1:$H$4000,
    [1]SubmittalLog!$E$1:$E$4000=M79,
    ""
  ),
  _xlpm.min_date, IFERROR(MIN(_xlpm.dates), ""),
  IF(_xlpm.min_date=0, "", _xlpm.min_date)
))</f>
        <v>45586</v>
      </c>
      <c r="V79" s="63" t="str" cm="1">
        <f t="array" ref="V79">IF(OR(M79="", M79="Deleted"), "", IFERROR(
  _xlfn.TEXTJOIN(", ", TRUE,
    _xlfn.MAP(
      _xlfn.UNIQUE(
        _xlfn._xlws.FILTER(
          [1]SubmittalLog!$B$1:$B$4000,
          ([1]SubmittalLog!$E$1:$E$4000=M79) *
          ([1]SubmittalLog!$B$1:$B$4000&lt;&gt;""),
          ""
        )
      ),
      _xlfn.LAMBDA(_xlpm.val, TEXT(_xlpm.val, "000000"))
    )
  ),
""))</f>
        <v>000769</v>
      </c>
      <c r="W79" s="40" t="str" cm="1">
        <f t="array" ref="W79">IF(OR(M79="", M79="Deleted"), "", _xlfn.LET(
  _xlpm.doc_col, [1]SubmittalLog!$E$1:$E$4000,
  _xlpm.date_col, [1]SubmittalLog!$H$1:$H$4000,
  _xlpm.status_col, [1]SubmittalLog!$N$1:$N$4000,
  _xlpm.latest_date, _xlfn.MAXIFS(_xlpm.date_col, _xlpm.doc_col, M79),
  IF(_xlpm.latest_date=0, "NFS",
    _xlfn.LET(
      _xlpm.res, _xlfn.XLOOKUP(M79 &amp; "|" &amp; _xlpm.latest_date, _xlpm.doc_col &amp; "|" &amp; _xlpm.date_col, _xlpm.status_col, ""),
      IF(OR(_xlpm.res="", _xlpm.res=0), "", _xlpm.res)
    )
  )
))</f>
        <v>RTR</v>
      </c>
      <c r="X79" s="39">
        <f>IF(OR(M79="", M79="Deleted"), "", _xlfn.LET(
  _xlpm.doc_col, [1]SubmittalLog!$E$1:$E$4000,
  _xlpm.date_col, [1]SubmittalLog!$H$1:$H$4000,
  _xlpm.status_col, [1]SubmittalLog!$O$1:$O$4000,
  _xlpm.first_app_date, _xlfn.MINIFS(_xlpm.date_col, _xlpm.doc_col, M79, _xlpm.status_col, "APP"),
  _xlpm.first_awc_date, _xlfn.MINIFS(_xlpm.date_col, _xlpm.doc_col, M79, _xlpm.status_col, "AWC"),
  _xlpm.earliest_date, IF(
    AND(_xlpm.first_app_date=0, _xlpm.first_awc_date=0), 0,
    IF(_xlpm.first_app_date=0, _xlpm.first_awc_date,
    IF(_xlpm.first_awc_date=0, _xlpm.first_app_date,
    MIN(_xlpm.first_app_date, _xlpm.first_awc_date)))
  ),
  IF(_xlpm.earliest_date=0, "", _xlpm.earliest_date)
))</f>
        <v>45586</v>
      </c>
      <c r="Y79" s="40" t="str" cm="1">
        <f t="array" ref="Y79">IF(OR(M79="", M79="Deleted"), "", _xlfn.LET(
  _xlpm.doc_col, [1]SubmittalLog!$E$1:$E$4000,
  _xlpm.date_col, [1]SubmittalLog!$H$1:$H$4000,
  _xlpm.status_col, [1]SubmittalLog!$O$1:$O$4000,
  _xlpm.has_sub, COUNTIF(_xlpm.doc_col, M79),
  _xlpm.latest_reviewed_date, _xlfn.MAXIFS(_xlpm.date_col, _xlpm.doc_col, M79, _xlpm.status_col, "&lt;&gt;"),
  IF(_xlpm.has_sub=0, "",
    IF(_xlpm.latest_reviewed_date=0, "",
      _xlfn.LET(
        _xlpm.res, _xlfn.XLOOKUP(1, (_xlpm.doc_col=M79) * (_xlpm.date_col=_xlpm.latest_reviewed_date) * (_xlpm.status_col&lt;&gt;""), _xlpm.status_col, ""),
        IF(OR(_xlpm.res="", _xlpm.res=0), "", _xlpm.res)
      )
    )
  )
))</f>
        <v>AWC</v>
      </c>
    </row>
    <row r="80" spans="1:25" x14ac:dyDescent="0.35">
      <c r="A80" s="33">
        <f>IF($M80="","",MAX($A$1:A79)+1)</f>
        <v>70</v>
      </c>
      <c r="B80" s="23" t="s">
        <v>250</v>
      </c>
      <c r="C80" s="23" t="s">
        <v>257</v>
      </c>
      <c r="G80" s="33">
        <v>131236</v>
      </c>
      <c r="H80" s="33" t="s">
        <v>59</v>
      </c>
      <c r="I80" s="33" t="s">
        <v>217</v>
      </c>
      <c r="J80" s="33" t="s">
        <v>3496</v>
      </c>
      <c r="K80" s="51">
        <v>5541</v>
      </c>
      <c r="M80" s="34" t="str">
        <f t="shared" si="1"/>
        <v>131236-WIL21-CL-P-5541</v>
      </c>
      <c r="N80" s="26" t="s">
        <v>3562</v>
      </c>
      <c r="P80" s="34" t="s">
        <v>3467</v>
      </c>
      <c r="S80" s="35">
        <v>45586</v>
      </c>
      <c r="T80" s="35">
        <v>45586</v>
      </c>
      <c r="U80" s="64" cm="1">
        <f t="array" ref="U80">IF(OR(M80="", M80="Deleted"), "", _xlfn.LET(
  _xlpm.dates,
  _xlfn._xlws.FILTER(
    [1]SubmittalLog!$H$1:$H$4000,
    [1]SubmittalLog!$E$1:$E$4000=M80,
    ""
  ),
  _xlpm.min_date, IFERROR(MIN(_xlpm.dates), ""),
  IF(_xlpm.min_date=0, "", _xlpm.min_date)
))</f>
        <v>45586</v>
      </c>
      <c r="V80" s="63" t="str" cm="1">
        <f t="array" ref="V80">IF(OR(M80="", M80="Deleted"), "", IFERROR(
  _xlfn.TEXTJOIN(", ", TRUE,
    _xlfn.MAP(
      _xlfn.UNIQUE(
        _xlfn._xlws.FILTER(
          [1]SubmittalLog!$B$1:$B$4000,
          ([1]SubmittalLog!$E$1:$E$4000=M80) *
          ([1]SubmittalLog!$B$1:$B$4000&lt;&gt;""),
          ""
        )
      ),
      _xlfn.LAMBDA(_xlpm.val, TEXT(_xlpm.val, "000000"))
    )
  ),
""))</f>
        <v>000769</v>
      </c>
      <c r="W80" s="40" t="str" cm="1">
        <f t="array" ref="W80">IF(OR(M80="", M80="Deleted"), "", _xlfn.LET(
  _xlpm.doc_col, [1]SubmittalLog!$E$1:$E$4000,
  _xlpm.date_col, [1]SubmittalLog!$H$1:$H$4000,
  _xlpm.status_col, [1]SubmittalLog!$N$1:$N$4000,
  _xlpm.latest_date, _xlfn.MAXIFS(_xlpm.date_col, _xlpm.doc_col, M80),
  IF(_xlpm.latest_date=0, "NFS",
    _xlfn.LET(
      _xlpm.res, _xlfn.XLOOKUP(M80 &amp; "|" &amp; _xlpm.latest_date, _xlpm.doc_col &amp; "|" &amp; _xlpm.date_col, _xlpm.status_col, ""),
      IF(OR(_xlpm.res="", _xlpm.res=0), "", _xlpm.res)
    )
  )
))</f>
        <v>RTR</v>
      </c>
      <c r="X80" s="39">
        <f>IF(OR(M80="", M80="Deleted"), "", _xlfn.LET(
  _xlpm.doc_col, [1]SubmittalLog!$E$1:$E$4000,
  _xlpm.date_col, [1]SubmittalLog!$H$1:$H$4000,
  _xlpm.status_col, [1]SubmittalLog!$O$1:$O$4000,
  _xlpm.first_app_date, _xlfn.MINIFS(_xlpm.date_col, _xlpm.doc_col, M80, _xlpm.status_col, "APP"),
  _xlpm.first_awc_date, _xlfn.MINIFS(_xlpm.date_col, _xlpm.doc_col, M80, _xlpm.status_col, "AWC"),
  _xlpm.earliest_date, IF(
    AND(_xlpm.first_app_date=0, _xlpm.first_awc_date=0), 0,
    IF(_xlpm.first_app_date=0, _xlpm.first_awc_date,
    IF(_xlpm.first_awc_date=0, _xlpm.first_app_date,
    MIN(_xlpm.first_app_date, _xlpm.first_awc_date)))
  ),
  IF(_xlpm.earliest_date=0, "", _xlpm.earliest_date)
))</f>
        <v>45586</v>
      </c>
      <c r="Y80" s="40" t="str" cm="1">
        <f t="array" ref="Y80">IF(OR(M80="", M80="Deleted"), "", _xlfn.LET(
  _xlpm.doc_col, [1]SubmittalLog!$E$1:$E$4000,
  _xlpm.date_col, [1]SubmittalLog!$H$1:$H$4000,
  _xlpm.status_col, [1]SubmittalLog!$O$1:$O$4000,
  _xlpm.has_sub, COUNTIF(_xlpm.doc_col, M80),
  _xlpm.latest_reviewed_date, _xlfn.MAXIFS(_xlpm.date_col, _xlpm.doc_col, M80, _xlpm.status_col, "&lt;&gt;"),
  IF(_xlpm.has_sub=0, "",
    IF(_xlpm.latest_reviewed_date=0, "",
      _xlfn.LET(
        _xlpm.res, _xlfn.XLOOKUP(1, (_xlpm.doc_col=M80) * (_xlpm.date_col=_xlpm.latest_reviewed_date) * (_xlpm.status_col&lt;&gt;""), _xlpm.status_col, ""),
        IF(OR(_xlpm.res="", _xlpm.res=0), "", _xlpm.res)
      )
    )
  )
))</f>
        <v>AWC</v>
      </c>
    </row>
    <row r="81" spans="1:25" x14ac:dyDescent="0.35">
      <c r="A81" s="33">
        <f>IF($M81="","",MAX($A$1:A80)+1)</f>
        <v>71</v>
      </c>
      <c r="B81" s="23" t="s">
        <v>250</v>
      </c>
      <c r="C81" s="23" t="s">
        <v>257</v>
      </c>
      <c r="G81" s="33">
        <v>131236</v>
      </c>
      <c r="H81" s="33" t="s">
        <v>59</v>
      </c>
      <c r="I81" s="33" t="s">
        <v>217</v>
      </c>
      <c r="J81" s="33" t="s">
        <v>3496</v>
      </c>
      <c r="K81" s="51">
        <v>5551</v>
      </c>
      <c r="M81" s="34" t="str">
        <f t="shared" si="1"/>
        <v>131236-WIL21-CL-P-5551</v>
      </c>
      <c r="N81" s="26" t="s">
        <v>3563</v>
      </c>
      <c r="P81" s="34" t="s">
        <v>3467</v>
      </c>
      <c r="S81" s="35">
        <v>45586</v>
      </c>
      <c r="T81" s="35">
        <v>45586</v>
      </c>
      <c r="U81" s="64" cm="1">
        <f t="array" ref="U81">IF(OR(M81="", M81="Deleted"), "", _xlfn.LET(
  _xlpm.dates,
  _xlfn._xlws.FILTER(
    [1]SubmittalLog!$H$1:$H$4000,
    [1]SubmittalLog!$E$1:$E$4000=M81,
    ""
  ),
  _xlpm.min_date, IFERROR(MIN(_xlpm.dates), ""),
  IF(_xlpm.min_date=0, "", _xlpm.min_date)
))</f>
        <v>45586</v>
      </c>
      <c r="V81" s="63" t="str" cm="1">
        <f t="array" ref="V81">IF(OR(M81="", M81="Deleted"), "", IFERROR(
  _xlfn.TEXTJOIN(", ", TRUE,
    _xlfn.MAP(
      _xlfn.UNIQUE(
        _xlfn._xlws.FILTER(
          [1]SubmittalLog!$B$1:$B$4000,
          ([1]SubmittalLog!$E$1:$E$4000=M81) *
          ([1]SubmittalLog!$B$1:$B$4000&lt;&gt;""),
          ""
        )
      ),
      _xlfn.LAMBDA(_xlpm.val, TEXT(_xlpm.val, "000000"))
    )
  ),
""))</f>
        <v>000769</v>
      </c>
      <c r="W81" s="40" t="str" cm="1">
        <f t="array" ref="W81">IF(OR(M81="", M81="Deleted"), "", _xlfn.LET(
  _xlpm.doc_col, [1]SubmittalLog!$E$1:$E$4000,
  _xlpm.date_col, [1]SubmittalLog!$H$1:$H$4000,
  _xlpm.status_col, [1]SubmittalLog!$N$1:$N$4000,
  _xlpm.latest_date, _xlfn.MAXIFS(_xlpm.date_col, _xlpm.doc_col, M81),
  IF(_xlpm.latest_date=0, "NFS",
    _xlfn.LET(
      _xlpm.res, _xlfn.XLOOKUP(M81 &amp; "|" &amp; _xlpm.latest_date, _xlpm.doc_col &amp; "|" &amp; _xlpm.date_col, _xlpm.status_col, ""),
      IF(OR(_xlpm.res="", _xlpm.res=0), "", _xlpm.res)
    )
  )
))</f>
        <v>RTR</v>
      </c>
      <c r="X81" s="39">
        <f>IF(OR(M81="", M81="Deleted"), "", _xlfn.LET(
  _xlpm.doc_col, [1]SubmittalLog!$E$1:$E$4000,
  _xlpm.date_col, [1]SubmittalLog!$H$1:$H$4000,
  _xlpm.status_col, [1]SubmittalLog!$O$1:$O$4000,
  _xlpm.first_app_date, _xlfn.MINIFS(_xlpm.date_col, _xlpm.doc_col, M81, _xlpm.status_col, "APP"),
  _xlpm.first_awc_date, _xlfn.MINIFS(_xlpm.date_col, _xlpm.doc_col, M81, _xlpm.status_col, "AWC"),
  _xlpm.earliest_date, IF(
    AND(_xlpm.first_app_date=0, _xlpm.first_awc_date=0), 0,
    IF(_xlpm.first_app_date=0, _xlpm.first_awc_date,
    IF(_xlpm.first_awc_date=0, _xlpm.first_app_date,
    MIN(_xlpm.first_app_date, _xlpm.first_awc_date)))
  ),
  IF(_xlpm.earliest_date=0, "", _xlpm.earliest_date)
))</f>
        <v>45586</v>
      </c>
      <c r="Y81" s="40" t="str" cm="1">
        <f t="array" ref="Y81">IF(OR(M81="", M81="Deleted"), "", _xlfn.LET(
  _xlpm.doc_col, [1]SubmittalLog!$E$1:$E$4000,
  _xlpm.date_col, [1]SubmittalLog!$H$1:$H$4000,
  _xlpm.status_col, [1]SubmittalLog!$O$1:$O$4000,
  _xlpm.has_sub, COUNTIF(_xlpm.doc_col, M81),
  _xlpm.latest_reviewed_date, _xlfn.MAXIFS(_xlpm.date_col, _xlpm.doc_col, M81, _xlpm.status_col, "&lt;&gt;"),
  IF(_xlpm.has_sub=0, "",
    IF(_xlpm.latest_reviewed_date=0, "",
      _xlfn.LET(
        _xlpm.res, _xlfn.XLOOKUP(1, (_xlpm.doc_col=M81) * (_xlpm.date_col=_xlpm.latest_reviewed_date) * (_xlpm.status_col&lt;&gt;""), _xlpm.status_col, ""),
        IF(OR(_xlpm.res="", _xlpm.res=0), "", _xlpm.res)
      )
    )
  )
))</f>
        <v>AWC</v>
      </c>
    </row>
    <row r="82" spans="1:25" x14ac:dyDescent="0.35">
      <c r="A82" s="33">
        <f>IF($M82="","",MAX($A$1:A81)+1)</f>
        <v>72</v>
      </c>
      <c r="B82" s="23" t="s">
        <v>250</v>
      </c>
      <c r="C82" s="23" t="s">
        <v>257</v>
      </c>
      <c r="G82" s="33">
        <v>131236</v>
      </c>
      <c r="H82" s="33" t="s">
        <v>59</v>
      </c>
      <c r="I82" s="33" t="s">
        <v>217</v>
      </c>
      <c r="J82" s="33" t="s">
        <v>3496</v>
      </c>
      <c r="K82" s="51">
        <v>5751</v>
      </c>
      <c r="M82" s="34" t="str">
        <f t="shared" si="1"/>
        <v>131236-WIL21-CL-P-5751</v>
      </c>
      <c r="N82" s="26" t="s">
        <v>3564</v>
      </c>
      <c r="P82" s="34" t="s">
        <v>3467</v>
      </c>
      <c r="S82" s="35">
        <v>45716</v>
      </c>
      <c r="T82" s="35">
        <v>45716</v>
      </c>
      <c r="U82" s="64" cm="1">
        <f t="array" ref="U82">IF(OR(M82="", M82="Deleted"), "", _xlfn.LET(
  _xlpm.dates,
  _xlfn._xlws.FILTER(
    [1]SubmittalLog!$H$1:$H$4000,
    [1]SubmittalLog!$E$1:$E$4000=M82,
    ""
  ),
  _xlpm.min_date, IFERROR(MIN(_xlpm.dates), ""),
  IF(_xlpm.min_date=0, "", _xlpm.min_date)
))</f>
        <v>45716</v>
      </c>
      <c r="V82" s="63" t="str" cm="1">
        <f t="array" ref="V82">IF(OR(M82="", M82="Deleted"), "", IFERROR(
  _xlfn.TEXTJOIN(", ", TRUE,
    _xlfn.MAP(
      _xlfn.UNIQUE(
        _xlfn._xlws.FILTER(
          [1]SubmittalLog!$B$1:$B$4000,
          ([1]SubmittalLog!$E$1:$E$4000=M82) *
          ([1]SubmittalLog!$B$1:$B$4000&lt;&gt;""),
          ""
        )
      ),
      _xlfn.LAMBDA(_xlpm.val, TEXT(_xlpm.val, "000000"))
    )
  ),
""))</f>
        <v>001079</v>
      </c>
      <c r="W82" s="40" t="str" cm="1">
        <f t="array" ref="W82">IF(OR(M82="", M82="Deleted"), "", _xlfn.LET(
  _xlpm.doc_col, [1]SubmittalLog!$E$1:$E$4000,
  _xlpm.date_col, [1]SubmittalLog!$H$1:$H$4000,
  _xlpm.status_col, [1]SubmittalLog!$N$1:$N$4000,
  _xlpm.latest_date, _xlfn.MAXIFS(_xlpm.date_col, _xlpm.doc_col, M82),
  IF(_xlpm.latest_date=0, "NFS",
    _xlfn.LET(
      _xlpm.res, _xlfn.XLOOKUP(M82 &amp; "|" &amp; _xlpm.latest_date, _xlpm.doc_col &amp; "|" &amp; _xlpm.date_col, _xlpm.status_col, ""),
      IF(OR(_xlpm.res="", _xlpm.res=0), "", _xlpm.res)
    )
  )
))</f>
        <v>RTR</v>
      </c>
      <c r="X82" s="39">
        <f>IF(OR(M82="", M82="Deleted"), "", _xlfn.LET(
  _xlpm.doc_col, [1]SubmittalLog!$E$1:$E$4000,
  _xlpm.date_col, [1]SubmittalLog!$H$1:$H$4000,
  _xlpm.status_col, [1]SubmittalLog!$O$1:$O$4000,
  _xlpm.first_app_date, _xlfn.MINIFS(_xlpm.date_col, _xlpm.doc_col, M82, _xlpm.status_col, "APP"),
  _xlpm.first_awc_date, _xlfn.MINIFS(_xlpm.date_col, _xlpm.doc_col, M82, _xlpm.status_col, "AWC"),
  _xlpm.earliest_date, IF(
    AND(_xlpm.first_app_date=0, _xlpm.first_awc_date=0), 0,
    IF(_xlpm.first_app_date=0, _xlpm.first_awc_date,
    IF(_xlpm.first_awc_date=0, _xlpm.first_app_date,
    MIN(_xlpm.first_app_date, _xlpm.first_awc_date)))
  ),
  IF(_xlpm.earliest_date=0, "", _xlpm.earliest_date)
))</f>
        <v>45716</v>
      </c>
      <c r="Y82" s="40" t="str" cm="1">
        <f t="array" ref="Y82">IF(OR(M82="", M82="Deleted"), "", _xlfn.LET(
  _xlpm.doc_col, [1]SubmittalLog!$E$1:$E$4000,
  _xlpm.date_col, [1]SubmittalLog!$H$1:$H$4000,
  _xlpm.status_col, [1]SubmittalLog!$O$1:$O$4000,
  _xlpm.has_sub, COUNTIF(_xlpm.doc_col, M82),
  _xlpm.latest_reviewed_date, _xlfn.MAXIFS(_xlpm.date_col, _xlpm.doc_col, M82, _xlpm.status_col, "&lt;&gt;"),
  IF(_xlpm.has_sub=0, "",
    IF(_xlpm.latest_reviewed_date=0, "",
      _xlfn.LET(
        _xlpm.res, _xlfn.XLOOKUP(1, (_xlpm.doc_col=M82) * (_xlpm.date_col=_xlpm.latest_reviewed_date) * (_xlpm.status_col&lt;&gt;""), _xlpm.status_col, ""),
        IF(OR(_xlpm.res="", _xlpm.res=0), "", _xlpm.res)
      )
    )
  )
))</f>
        <v>APP</v>
      </c>
    </row>
    <row r="83" spans="1:25" x14ac:dyDescent="0.35">
      <c r="A83" s="33">
        <f>IF($M83="","",MAX($A$1:A82)+1)</f>
        <v>73</v>
      </c>
      <c r="B83" s="23" t="s">
        <v>54</v>
      </c>
      <c r="C83" s="23" t="s">
        <v>257</v>
      </c>
      <c r="G83" s="33">
        <v>131236</v>
      </c>
      <c r="H83" s="33" t="s">
        <v>59</v>
      </c>
      <c r="I83" s="33" t="s">
        <v>217</v>
      </c>
      <c r="J83" s="33" t="s">
        <v>3496</v>
      </c>
      <c r="K83" s="51" t="s">
        <v>3565</v>
      </c>
      <c r="M83" s="34" t="str">
        <f t="shared" si="1"/>
        <v>Deleted</v>
      </c>
      <c r="N83" s="26" t="s">
        <v>3566</v>
      </c>
      <c r="P83" s="34" t="s">
        <v>3467</v>
      </c>
      <c r="S83" s="35">
        <v>45807</v>
      </c>
      <c r="T83" s="35">
        <v>45930</v>
      </c>
      <c r="U83" s="64" t="str" cm="1">
        <f t="array" ref="U83">IF(OR(M83="", M83="Deleted"), "", _xlfn.LET(
  _xlpm.dates,
  _xlfn._xlws.FILTER(
    [1]SubmittalLog!$H$1:$H$4000,
    [1]SubmittalLog!$E$1:$E$4000=M83,
    ""
  ),
  _xlpm.min_date, IFERROR(MIN(_xlpm.dates), ""),
  IF(_xlpm.min_date=0, "", _xlpm.min_date)
))</f>
        <v/>
      </c>
      <c r="V83" s="63" t="str" cm="1">
        <f t="array" ref="V83">IF(OR(M83="", M83="Deleted"), "", IFERROR(
  _xlfn.TEXTJOIN(", ", TRUE,
    _xlfn.MAP(
      _xlfn.UNIQUE(
        _xlfn._xlws.FILTER(
          [1]SubmittalLog!$B$1:$B$4000,
          ([1]SubmittalLog!$E$1:$E$4000=M83) *
          ([1]SubmittalLog!$B$1:$B$4000&lt;&gt;""),
          ""
        )
      ),
      _xlfn.LAMBDA(_xlpm.val, TEXT(_xlpm.val, "000000"))
    )
  ),
""))</f>
        <v/>
      </c>
      <c r="W83" s="40" t="str" cm="1">
        <f t="array" ref="W83">IF(OR(M83="", M83="Deleted"), "", _xlfn.LET(
  _xlpm.doc_col, [1]SubmittalLog!$E$1:$E$4000,
  _xlpm.date_col, [1]SubmittalLog!$H$1:$H$4000,
  _xlpm.status_col, [1]SubmittalLog!$N$1:$N$4000,
  _xlpm.latest_date, _xlfn.MAXIFS(_xlpm.date_col, _xlpm.doc_col, M83),
  IF(_xlpm.latest_date=0, "NFS",
    _xlfn.LET(
      _xlpm.res, _xlfn.XLOOKUP(M83 &amp; "|" &amp; _xlpm.latest_date, _xlpm.doc_col &amp; "|" &amp; _xlpm.date_col, _xlpm.status_col, ""),
      IF(OR(_xlpm.res="", _xlpm.res=0), "", _xlpm.res)
    )
  )
))</f>
        <v/>
      </c>
      <c r="X83" s="39" t="str">
        <f>IF(OR(M83="", M83="Deleted"), "", _xlfn.LET(
  _xlpm.doc_col, [1]SubmittalLog!$E$1:$E$4000,
  _xlpm.date_col, [1]SubmittalLog!$H$1:$H$4000,
  _xlpm.status_col, [1]SubmittalLog!$O$1:$O$4000,
  _xlpm.first_app_date, _xlfn.MINIFS(_xlpm.date_col, _xlpm.doc_col, M83, _xlpm.status_col, "APP"),
  _xlpm.first_awc_date, _xlfn.MINIFS(_xlpm.date_col, _xlpm.doc_col, M83, _xlpm.status_col, "AWC"),
  _xlpm.earliest_date, IF(
    AND(_xlpm.first_app_date=0, _xlpm.first_awc_date=0), 0,
    IF(_xlpm.first_app_date=0, _xlpm.first_awc_date,
    IF(_xlpm.first_awc_date=0, _xlpm.first_app_date,
    MIN(_xlpm.first_app_date, _xlpm.first_awc_date)))
  ),
  IF(_xlpm.earliest_date=0, "", _xlpm.earliest_date)
))</f>
        <v/>
      </c>
      <c r="Y83" s="40" t="str" cm="1">
        <f t="array" ref="Y83">IF(OR(M83="", M83="Deleted"), "", _xlfn.LET(
  _xlpm.doc_col, [1]SubmittalLog!$E$1:$E$4000,
  _xlpm.date_col, [1]SubmittalLog!$H$1:$H$4000,
  _xlpm.status_col, [1]SubmittalLog!$O$1:$O$4000,
  _xlpm.has_sub, COUNTIF(_xlpm.doc_col, M83),
  _xlpm.latest_reviewed_date, _xlfn.MAXIFS(_xlpm.date_col, _xlpm.doc_col, M83, _xlpm.status_col, "&lt;&gt;"),
  IF(_xlpm.has_sub=0, "",
    IF(_xlpm.latest_reviewed_date=0, "",
      _xlfn.LET(
        _xlpm.res, _xlfn.XLOOKUP(1, (_xlpm.doc_col=M83) * (_xlpm.date_col=_xlpm.latest_reviewed_date) * (_xlpm.status_col&lt;&gt;""), _xlpm.status_col, ""),
        IF(OR(_xlpm.res="", _xlpm.res=0), "", _xlpm.res)
      )
    )
  )
))</f>
        <v/>
      </c>
    </row>
    <row r="84" spans="1:25" x14ac:dyDescent="0.35">
      <c r="A84" s="33">
        <f>IF($M84="","",MAX($A$1:A83)+1)</f>
        <v>74</v>
      </c>
      <c r="B84" s="23" t="s">
        <v>54</v>
      </c>
      <c r="C84" s="23" t="s">
        <v>257</v>
      </c>
      <c r="G84" s="33">
        <v>131236</v>
      </c>
      <c r="H84" s="33" t="s">
        <v>59</v>
      </c>
      <c r="I84" s="33" t="s">
        <v>217</v>
      </c>
      <c r="J84" s="33" t="s">
        <v>3496</v>
      </c>
      <c r="K84" s="51" t="s">
        <v>3567</v>
      </c>
      <c r="M84" s="34" t="str">
        <f t="shared" si="1"/>
        <v>Deleted</v>
      </c>
      <c r="N84" s="26" t="s">
        <v>3568</v>
      </c>
      <c r="P84" s="34" t="s">
        <v>3467</v>
      </c>
      <c r="S84" s="35">
        <v>45498</v>
      </c>
      <c r="T84" s="35">
        <v>45779</v>
      </c>
      <c r="U84" s="64" t="str" cm="1">
        <f t="array" ref="U84">IF(OR(M84="", M84="Deleted"), "", _xlfn.LET(
  _xlpm.dates,
  _xlfn._xlws.FILTER(
    [1]SubmittalLog!$H$1:$H$4000,
    [1]SubmittalLog!$E$1:$E$4000=M84,
    ""
  ),
  _xlpm.min_date, IFERROR(MIN(_xlpm.dates), ""),
  IF(_xlpm.min_date=0, "", _xlpm.min_date)
))</f>
        <v/>
      </c>
      <c r="V84" s="63" t="str" cm="1">
        <f t="array" ref="V84">IF(OR(M84="", M84="Deleted"), "", IFERROR(
  _xlfn.TEXTJOIN(", ", TRUE,
    _xlfn.MAP(
      _xlfn.UNIQUE(
        _xlfn._xlws.FILTER(
          [1]SubmittalLog!$B$1:$B$4000,
          ([1]SubmittalLog!$E$1:$E$4000=M84) *
          ([1]SubmittalLog!$B$1:$B$4000&lt;&gt;""),
          ""
        )
      ),
      _xlfn.LAMBDA(_xlpm.val, TEXT(_xlpm.val, "000000"))
    )
  ),
""))</f>
        <v/>
      </c>
      <c r="W84" s="40" t="str" cm="1">
        <f t="array" ref="W84">IF(OR(M84="", M84="Deleted"), "", _xlfn.LET(
  _xlpm.doc_col, [1]SubmittalLog!$E$1:$E$4000,
  _xlpm.date_col, [1]SubmittalLog!$H$1:$H$4000,
  _xlpm.status_col, [1]SubmittalLog!$N$1:$N$4000,
  _xlpm.latest_date, _xlfn.MAXIFS(_xlpm.date_col, _xlpm.doc_col, M84),
  IF(_xlpm.latest_date=0, "NFS",
    _xlfn.LET(
      _xlpm.res, _xlfn.XLOOKUP(M84 &amp; "|" &amp; _xlpm.latest_date, _xlpm.doc_col &amp; "|" &amp; _xlpm.date_col, _xlpm.status_col, ""),
      IF(OR(_xlpm.res="", _xlpm.res=0), "", _xlpm.res)
    )
  )
))</f>
        <v/>
      </c>
      <c r="X84" s="39" t="str">
        <f>IF(OR(M84="", M84="Deleted"), "", _xlfn.LET(
  _xlpm.doc_col, [1]SubmittalLog!$E$1:$E$4000,
  _xlpm.date_col, [1]SubmittalLog!$H$1:$H$4000,
  _xlpm.status_col, [1]SubmittalLog!$O$1:$O$4000,
  _xlpm.first_app_date, _xlfn.MINIFS(_xlpm.date_col, _xlpm.doc_col, M84, _xlpm.status_col, "APP"),
  _xlpm.first_awc_date, _xlfn.MINIFS(_xlpm.date_col, _xlpm.doc_col, M84, _xlpm.status_col, "AWC"),
  _xlpm.earliest_date, IF(
    AND(_xlpm.first_app_date=0, _xlpm.first_awc_date=0), 0,
    IF(_xlpm.first_app_date=0, _xlpm.first_awc_date,
    IF(_xlpm.first_awc_date=0, _xlpm.first_app_date,
    MIN(_xlpm.first_app_date, _xlpm.first_awc_date)))
  ),
  IF(_xlpm.earliest_date=0, "", _xlpm.earliest_date)
))</f>
        <v/>
      </c>
      <c r="Y84" s="40" t="str" cm="1">
        <f t="array" ref="Y84">IF(OR(M84="", M84="Deleted"), "", _xlfn.LET(
  _xlpm.doc_col, [1]SubmittalLog!$E$1:$E$4000,
  _xlpm.date_col, [1]SubmittalLog!$H$1:$H$4000,
  _xlpm.status_col, [1]SubmittalLog!$O$1:$O$4000,
  _xlpm.has_sub, COUNTIF(_xlpm.doc_col, M84),
  _xlpm.latest_reviewed_date, _xlfn.MAXIFS(_xlpm.date_col, _xlpm.doc_col, M84, _xlpm.status_col, "&lt;&gt;"),
  IF(_xlpm.has_sub=0, "",
    IF(_xlpm.latest_reviewed_date=0, "",
      _xlfn.LET(
        _xlpm.res, _xlfn.XLOOKUP(1, (_xlpm.doc_col=M84) * (_xlpm.date_col=_xlpm.latest_reviewed_date) * (_xlpm.status_col&lt;&gt;""), _xlpm.status_col, ""),
        IF(OR(_xlpm.res="", _xlpm.res=0), "", _xlpm.res)
      )
    )
  )
))</f>
        <v/>
      </c>
    </row>
    <row r="85" spans="1:25" x14ac:dyDescent="0.35">
      <c r="A85" s="33">
        <f>IF($M85="","",MAX($A$1:A84)+1)</f>
        <v>75</v>
      </c>
      <c r="B85" s="23" t="s">
        <v>54</v>
      </c>
      <c r="C85" s="23" t="s">
        <v>257</v>
      </c>
      <c r="G85" s="33">
        <v>131236</v>
      </c>
      <c r="H85" s="33" t="s">
        <v>59</v>
      </c>
      <c r="I85" s="33" t="s">
        <v>217</v>
      </c>
      <c r="J85" s="33" t="s">
        <v>3496</v>
      </c>
      <c r="K85" s="51" t="s">
        <v>3569</v>
      </c>
      <c r="M85" s="34" t="str">
        <f t="shared" si="1"/>
        <v>Deleted</v>
      </c>
      <c r="N85" s="26" t="s">
        <v>3570</v>
      </c>
      <c r="P85" s="34" t="s">
        <v>3467</v>
      </c>
      <c r="S85" s="35">
        <v>45779</v>
      </c>
      <c r="T85" s="35">
        <v>45779</v>
      </c>
      <c r="U85" s="64" t="str" cm="1">
        <f t="array" ref="U85">IF(OR(M85="", M85="Deleted"), "", _xlfn.LET(
  _xlpm.dates,
  _xlfn._xlws.FILTER(
    [1]SubmittalLog!$H$1:$H$4000,
    [1]SubmittalLog!$E$1:$E$4000=M85,
    ""
  ),
  _xlpm.min_date, IFERROR(MIN(_xlpm.dates), ""),
  IF(_xlpm.min_date=0, "", _xlpm.min_date)
))</f>
        <v/>
      </c>
      <c r="V85" s="63" t="str" cm="1">
        <f t="array" ref="V85">IF(OR(M85="", M85="Deleted"), "", IFERROR(
  _xlfn.TEXTJOIN(", ", TRUE,
    _xlfn.MAP(
      _xlfn.UNIQUE(
        _xlfn._xlws.FILTER(
          [1]SubmittalLog!$B$1:$B$4000,
          ([1]SubmittalLog!$E$1:$E$4000=M85) *
          ([1]SubmittalLog!$B$1:$B$4000&lt;&gt;""),
          ""
        )
      ),
      _xlfn.LAMBDA(_xlpm.val, TEXT(_xlpm.val, "000000"))
    )
  ),
""))</f>
        <v/>
      </c>
      <c r="W85" s="40" t="str" cm="1">
        <f t="array" ref="W85">IF(OR(M85="", M85="Deleted"), "", _xlfn.LET(
  _xlpm.doc_col, [1]SubmittalLog!$E$1:$E$4000,
  _xlpm.date_col, [1]SubmittalLog!$H$1:$H$4000,
  _xlpm.status_col, [1]SubmittalLog!$N$1:$N$4000,
  _xlpm.latest_date, _xlfn.MAXIFS(_xlpm.date_col, _xlpm.doc_col, M85),
  IF(_xlpm.latest_date=0, "NFS",
    _xlfn.LET(
      _xlpm.res, _xlfn.XLOOKUP(M85 &amp; "|" &amp; _xlpm.latest_date, _xlpm.doc_col &amp; "|" &amp; _xlpm.date_col, _xlpm.status_col, ""),
      IF(OR(_xlpm.res="", _xlpm.res=0), "", _xlpm.res)
    )
  )
))</f>
        <v/>
      </c>
      <c r="X85" s="39" t="str">
        <f>IF(OR(M85="", M85="Deleted"), "", _xlfn.LET(
  _xlpm.doc_col, [1]SubmittalLog!$E$1:$E$4000,
  _xlpm.date_col, [1]SubmittalLog!$H$1:$H$4000,
  _xlpm.status_col, [1]SubmittalLog!$O$1:$O$4000,
  _xlpm.first_app_date, _xlfn.MINIFS(_xlpm.date_col, _xlpm.doc_col, M85, _xlpm.status_col, "APP"),
  _xlpm.first_awc_date, _xlfn.MINIFS(_xlpm.date_col, _xlpm.doc_col, M85, _xlpm.status_col, "AWC"),
  _xlpm.earliest_date, IF(
    AND(_xlpm.first_app_date=0, _xlpm.first_awc_date=0), 0,
    IF(_xlpm.first_app_date=0, _xlpm.first_awc_date,
    IF(_xlpm.first_awc_date=0, _xlpm.first_app_date,
    MIN(_xlpm.first_app_date, _xlpm.first_awc_date)))
  ),
  IF(_xlpm.earliest_date=0, "", _xlpm.earliest_date)
))</f>
        <v/>
      </c>
      <c r="Y85" s="40" t="str" cm="1">
        <f t="array" ref="Y85">IF(OR(M85="", M85="Deleted"), "", _xlfn.LET(
  _xlpm.doc_col, [1]SubmittalLog!$E$1:$E$4000,
  _xlpm.date_col, [1]SubmittalLog!$H$1:$H$4000,
  _xlpm.status_col, [1]SubmittalLog!$O$1:$O$4000,
  _xlpm.has_sub, COUNTIF(_xlpm.doc_col, M85),
  _xlpm.latest_reviewed_date, _xlfn.MAXIFS(_xlpm.date_col, _xlpm.doc_col, M85, _xlpm.status_col, "&lt;&gt;"),
  IF(_xlpm.has_sub=0, "",
    IF(_xlpm.latest_reviewed_date=0, "",
      _xlfn.LET(
        _xlpm.res, _xlfn.XLOOKUP(1, (_xlpm.doc_col=M85) * (_xlpm.date_col=_xlpm.latest_reviewed_date) * (_xlpm.status_col&lt;&gt;""), _xlpm.status_col, ""),
        IF(OR(_xlpm.res="", _xlpm.res=0), "", _xlpm.res)
      )
    )
  )
))</f>
        <v/>
      </c>
    </row>
    <row r="86" spans="1:25" x14ac:dyDescent="0.35">
      <c r="A86" s="33">
        <f>IF($M86="","",MAX($A$1:A85)+1)</f>
        <v>76</v>
      </c>
      <c r="B86" s="23" t="s">
        <v>54</v>
      </c>
      <c r="C86" s="23" t="s">
        <v>257</v>
      </c>
      <c r="G86" s="33">
        <v>131236</v>
      </c>
      <c r="H86" s="33" t="s">
        <v>59</v>
      </c>
      <c r="I86" s="33" t="s">
        <v>217</v>
      </c>
      <c r="J86" s="33" t="s">
        <v>3496</v>
      </c>
      <c r="K86" s="51" t="s">
        <v>3571</v>
      </c>
      <c r="M86" s="34" t="str">
        <f t="shared" si="1"/>
        <v>Deleted</v>
      </c>
      <c r="N86" s="26" t="s">
        <v>3572</v>
      </c>
      <c r="P86" s="34" t="s">
        <v>3467</v>
      </c>
      <c r="S86" s="35">
        <v>45779</v>
      </c>
      <c r="T86" s="35">
        <v>45779</v>
      </c>
      <c r="U86" s="64" t="str" cm="1">
        <f t="array" ref="U86">IF(OR(M86="", M86="Deleted"), "", _xlfn.LET(
  _xlpm.dates,
  _xlfn._xlws.FILTER(
    [1]SubmittalLog!$H$1:$H$4000,
    [1]SubmittalLog!$E$1:$E$4000=M86,
    ""
  ),
  _xlpm.min_date, IFERROR(MIN(_xlpm.dates), ""),
  IF(_xlpm.min_date=0, "", _xlpm.min_date)
))</f>
        <v/>
      </c>
      <c r="V86" s="63" t="str" cm="1">
        <f t="array" ref="V86">IF(OR(M86="", M86="Deleted"), "", IFERROR(
  _xlfn.TEXTJOIN(", ", TRUE,
    _xlfn.MAP(
      _xlfn.UNIQUE(
        _xlfn._xlws.FILTER(
          [1]SubmittalLog!$B$1:$B$4000,
          ([1]SubmittalLog!$E$1:$E$4000=M86) *
          ([1]SubmittalLog!$B$1:$B$4000&lt;&gt;""),
          ""
        )
      ),
      _xlfn.LAMBDA(_xlpm.val, TEXT(_xlpm.val, "000000"))
    )
  ),
""))</f>
        <v/>
      </c>
      <c r="W86" s="40" t="str" cm="1">
        <f t="array" ref="W86">IF(OR(M86="", M86="Deleted"), "", _xlfn.LET(
  _xlpm.doc_col, [1]SubmittalLog!$E$1:$E$4000,
  _xlpm.date_col, [1]SubmittalLog!$H$1:$H$4000,
  _xlpm.status_col, [1]SubmittalLog!$N$1:$N$4000,
  _xlpm.latest_date, _xlfn.MAXIFS(_xlpm.date_col, _xlpm.doc_col, M86),
  IF(_xlpm.latest_date=0, "NFS",
    _xlfn.LET(
      _xlpm.res, _xlfn.XLOOKUP(M86 &amp; "|" &amp; _xlpm.latest_date, _xlpm.doc_col &amp; "|" &amp; _xlpm.date_col, _xlpm.status_col, ""),
      IF(OR(_xlpm.res="", _xlpm.res=0), "", _xlpm.res)
    )
  )
))</f>
        <v/>
      </c>
      <c r="X86" s="39" t="str">
        <f>IF(OR(M86="", M86="Deleted"), "", _xlfn.LET(
  _xlpm.doc_col, [1]SubmittalLog!$E$1:$E$4000,
  _xlpm.date_col, [1]SubmittalLog!$H$1:$H$4000,
  _xlpm.status_col, [1]SubmittalLog!$O$1:$O$4000,
  _xlpm.first_app_date, _xlfn.MINIFS(_xlpm.date_col, _xlpm.doc_col, M86, _xlpm.status_col, "APP"),
  _xlpm.first_awc_date, _xlfn.MINIFS(_xlpm.date_col, _xlpm.doc_col, M86, _xlpm.status_col, "AWC"),
  _xlpm.earliest_date, IF(
    AND(_xlpm.first_app_date=0, _xlpm.first_awc_date=0), 0,
    IF(_xlpm.first_app_date=0, _xlpm.first_awc_date,
    IF(_xlpm.first_awc_date=0, _xlpm.first_app_date,
    MIN(_xlpm.first_app_date, _xlpm.first_awc_date)))
  ),
  IF(_xlpm.earliest_date=0, "", _xlpm.earliest_date)
))</f>
        <v/>
      </c>
      <c r="Y86" s="40" t="str" cm="1">
        <f t="array" ref="Y86">IF(OR(M86="", M86="Deleted"), "", _xlfn.LET(
  _xlpm.doc_col, [1]SubmittalLog!$E$1:$E$4000,
  _xlpm.date_col, [1]SubmittalLog!$H$1:$H$4000,
  _xlpm.status_col, [1]SubmittalLog!$O$1:$O$4000,
  _xlpm.has_sub, COUNTIF(_xlpm.doc_col, M86),
  _xlpm.latest_reviewed_date, _xlfn.MAXIFS(_xlpm.date_col, _xlpm.doc_col, M86, _xlpm.status_col, "&lt;&gt;"),
  IF(_xlpm.has_sub=0, "",
    IF(_xlpm.latest_reviewed_date=0, "",
      _xlfn.LET(
        _xlpm.res, _xlfn.XLOOKUP(1, (_xlpm.doc_col=M86) * (_xlpm.date_col=_xlpm.latest_reviewed_date) * (_xlpm.status_col&lt;&gt;""), _xlpm.status_col, ""),
        IF(OR(_xlpm.res="", _xlpm.res=0), "", _xlpm.res)
      )
    )
  )
))</f>
        <v/>
      </c>
    </row>
    <row r="87" spans="1:25" x14ac:dyDescent="0.35">
      <c r="A87" s="33">
        <f>IF($M87="","",MAX($A$1:A86)+1)</f>
        <v>77</v>
      </c>
      <c r="B87" s="23" t="s">
        <v>54</v>
      </c>
      <c r="C87" s="23" t="s">
        <v>257</v>
      </c>
      <c r="G87" s="33">
        <v>131236</v>
      </c>
      <c r="H87" s="33" t="s">
        <v>59</v>
      </c>
      <c r="I87" s="33" t="s">
        <v>217</v>
      </c>
      <c r="J87" s="33" t="s">
        <v>3496</v>
      </c>
      <c r="K87" s="51" t="s">
        <v>3573</v>
      </c>
      <c r="M87" s="34" t="str">
        <f t="shared" si="1"/>
        <v>Deleted</v>
      </c>
      <c r="N87" s="26" t="s">
        <v>3574</v>
      </c>
      <c r="P87" s="34" t="s">
        <v>3467</v>
      </c>
      <c r="S87" s="35">
        <v>45779</v>
      </c>
      <c r="T87" s="35">
        <v>45779</v>
      </c>
      <c r="U87" s="64" t="str" cm="1">
        <f t="array" ref="U87">IF(OR(M87="", M87="Deleted"), "", _xlfn.LET(
  _xlpm.dates,
  _xlfn._xlws.FILTER(
    [1]SubmittalLog!$H$1:$H$4000,
    [1]SubmittalLog!$E$1:$E$4000=M87,
    ""
  ),
  _xlpm.min_date, IFERROR(MIN(_xlpm.dates), ""),
  IF(_xlpm.min_date=0, "", _xlpm.min_date)
))</f>
        <v/>
      </c>
      <c r="V87" s="63" t="str" cm="1">
        <f t="array" ref="V87">IF(OR(M87="", M87="Deleted"), "", IFERROR(
  _xlfn.TEXTJOIN(", ", TRUE,
    _xlfn.MAP(
      _xlfn.UNIQUE(
        _xlfn._xlws.FILTER(
          [1]SubmittalLog!$B$1:$B$4000,
          ([1]SubmittalLog!$E$1:$E$4000=M87) *
          ([1]SubmittalLog!$B$1:$B$4000&lt;&gt;""),
          ""
        )
      ),
      _xlfn.LAMBDA(_xlpm.val, TEXT(_xlpm.val, "000000"))
    )
  ),
""))</f>
        <v/>
      </c>
      <c r="W87" s="40" t="str" cm="1">
        <f t="array" ref="W87">IF(OR(M87="", M87="Deleted"), "", _xlfn.LET(
  _xlpm.doc_col, [1]SubmittalLog!$E$1:$E$4000,
  _xlpm.date_col, [1]SubmittalLog!$H$1:$H$4000,
  _xlpm.status_col, [1]SubmittalLog!$N$1:$N$4000,
  _xlpm.latest_date, _xlfn.MAXIFS(_xlpm.date_col, _xlpm.doc_col, M87),
  IF(_xlpm.latest_date=0, "NFS",
    _xlfn.LET(
      _xlpm.res, _xlfn.XLOOKUP(M87 &amp; "|" &amp; _xlpm.latest_date, _xlpm.doc_col &amp; "|" &amp; _xlpm.date_col, _xlpm.status_col, ""),
      IF(OR(_xlpm.res="", _xlpm.res=0), "", _xlpm.res)
    )
  )
))</f>
        <v/>
      </c>
      <c r="X87" s="39" t="str">
        <f>IF(OR(M87="", M87="Deleted"), "", _xlfn.LET(
  _xlpm.doc_col, [1]SubmittalLog!$E$1:$E$4000,
  _xlpm.date_col, [1]SubmittalLog!$H$1:$H$4000,
  _xlpm.status_col, [1]SubmittalLog!$O$1:$O$4000,
  _xlpm.first_app_date, _xlfn.MINIFS(_xlpm.date_col, _xlpm.doc_col, M87, _xlpm.status_col, "APP"),
  _xlpm.first_awc_date, _xlfn.MINIFS(_xlpm.date_col, _xlpm.doc_col, M87, _xlpm.status_col, "AWC"),
  _xlpm.earliest_date, IF(
    AND(_xlpm.first_app_date=0, _xlpm.first_awc_date=0), 0,
    IF(_xlpm.first_app_date=0, _xlpm.first_awc_date,
    IF(_xlpm.first_awc_date=0, _xlpm.first_app_date,
    MIN(_xlpm.first_app_date, _xlpm.first_awc_date)))
  ),
  IF(_xlpm.earliest_date=0, "", _xlpm.earliest_date)
))</f>
        <v/>
      </c>
      <c r="Y87" s="40" t="str" cm="1">
        <f t="array" ref="Y87">IF(OR(M87="", M87="Deleted"), "", _xlfn.LET(
  _xlpm.doc_col, [1]SubmittalLog!$E$1:$E$4000,
  _xlpm.date_col, [1]SubmittalLog!$H$1:$H$4000,
  _xlpm.status_col, [1]SubmittalLog!$O$1:$O$4000,
  _xlpm.has_sub, COUNTIF(_xlpm.doc_col, M87),
  _xlpm.latest_reviewed_date, _xlfn.MAXIFS(_xlpm.date_col, _xlpm.doc_col, M87, _xlpm.status_col, "&lt;&gt;"),
  IF(_xlpm.has_sub=0, "",
    IF(_xlpm.latest_reviewed_date=0, "",
      _xlfn.LET(
        _xlpm.res, _xlfn.XLOOKUP(1, (_xlpm.doc_col=M87) * (_xlpm.date_col=_xlpm.latest_reviewed_date) * (_xlpm.status_col&lt;&gt;""), _xlpm.status_col, ""),
        IF(OR(_xlpm.res="", _xlpm.res=0), "", _xlpm.res)
      )
    )
  )
))</f>
        <v/>
      </c>
    </row>
    <row r="88" spans="1:25" x14ac:dyDescent="0.35">
      <c r="A88" s="33">
        <f>IF($M88="","",MAX($A$1:A87)+1)</f>
        <v>78</v>
      </c>
      <c r="B88" s="23" t="s">
        <v>54</v>
      </c>
      <c r="C88" s="23" t="s">
        <v>257</v>
      </c>
      <c r="G88" s="33">
        <v>131236</v>
      </c>
      <c r="H88" s="33" t="s">
        <v>59</v>
      </c>
      <c r="I88" s="33" t="s">
        <v>217</v>
      </c>
      <c r="J88" s="33" t="s">
        <v>3496</v>
      </c>
      <c r="K88" s="51" t="s">
        <v>3575</v>
      </c>
      <c r="M88" s="34" t="str">
        <f t="shared" si="1"/>
        <v>Deleted</v>
      </c>
      <c r="N88" s="26" t="s">
        <v>3576</v>
      </c>
      <c r="P88" s="34" t="s">
        <v>3467</v>
      </c>
      <c r="S88" s="35">
        <v>45779</v>
      </c>
      <c r="T88" s="35">
        <v>45779</v>
      </c>
      <c r="U88" s="64" t="str" cm="1">
        <f t="array" ref="U88">IF(OR(M88="", M88="Deleted"), "", _xlfn.LET(
  _xlpm.dates,
  _xlfn._xlws.FILTER(
    [1]SubmittalLog!$H$1:$H$4000,
    [1]SubmittalLog!$E$1:$E$4000=M88,
    ""
  ),
  _xlpm.min_date, IFERROR(MIN(_xlpm.dates), ""),
  IF(_xlpm.min_date=0, "", _xlpm.min_date)
))</f>
        <v/>
      </c>
      <c r="V88" s="63" t="str" cm="1">
        <f t="array" ref="V88">IF(OR(M88="", M88="Deleted"), "", IFERROR(
  _xlfn.TEXTJOIN(", ", TRUE,
    _xlfn.MAP(
      _xlfn.UNIQUE(
        _xlfn._xlws.FILTER(
          [1]SubmittalLog!$B$1:$B$4000,
          ([1]SubmittalLog!$E$1:$E$4000=M88) *
          ([1]SubmittalLog!$B$1:$B$4000&lt;&gt;""),
          ""
        )
      ),
      _xlfn.LAMBDA(_xlpm.val, TEXT(_xlpm.val, "000000"))
    )
  ),
""))</f>
        <v/>
      </c>
      <c r="W88" s="40" t="str" cm="1">
        <f t="array" ref="W88">IF(OR(M88="", M88="Deleted"), "", _xlfn.LET(
  _xlpm.doc_col, [1]SubmittalLog!$E$1:$E$4000,
  _xlpm.date_col, [1]SubmittalLog!$H$1:$H$4000,
  _xlpm.status_col, [1]SubmittalLog!$N$1:$N$4000,
  _xlpm.latest_date, _xlfn.MAXIFS(_xlpm.date_col, _xlpm.doc_col, M88),
  IF(_xlpm.latest_date=0, "NFS",
    _xlfn.LET(
      _xlpm.res, _xlfn.XLOOKUP(M88 &amp; "|" &amp; _xlpm.latest_date, _xlpm.doc_col &amp; "|" &amp; _xlpm.date_col, _xlpm.status_col, ""),
      IF(OR(_xlpm.res="", _xlpm.res=0), "", _xlpm.res)
    )
  )
))</f>
        <v/>
      </c>
      <c r="X88" s="39" t="str">
        <f>IF(OR(M88="", M88="Deleted"), "", _xlfn.LET(
  _xlpm.doc_col, [1]SubmittalLog!$E$1:$E$4000,
  _xlpm.date_col, [1]SubmittalLog!$H$1:$H$4000,
  _xlpm.status_col, [1]SubmittalLog!$O$1:$O$4000,
  _xlpm.first_app_date, _xlfn.MINIFS(_xlpm.date_col, _xlpm.doc_col, M88, _xlpm.status_col, "APP"),
  _xlpm.first_awc_date, _xlfn.MINIFS(_xlpm.date_col, _xlpm.doc_col, M88, _xlpm.status_col, "AWC"),
  _xlpm.earliest_date, IF(
    AND(_xlpm.first_app_date=0, _xlpm.first_awc_date=0), 0,
    IF(_xlpm.first_app_date=0, _xlpm.first_awc_date,
    IF(_xlpm.first_awc_date=0, _xlpm.first_app_date,
    MIN(_xlpm.first_app_date, _xlpm.first_awc_date)))
  ),
  IF(_xlpm.earliest_date=0, "", _xlpm.earliest_date)
))</f>
        <v/>
      </c>
      <c r="Y88" s="40" t="str" cm="1">
        <f t="array" ref="Y88">IF(OR(M88="", M88="Deleted"), "", _xlfn.LET(
  _xlpm.doc_col, [1]SubmittalLog!$E$1:$E$4000,
  _xlpm.date_col, [1]SubmittalLog!$H$1:$H$4000,
  _xlpm.status_col, [1]SubmittalLog!$O$1:$O$4000,
  _xlpm.has_sub, COUNTIF(_xlpm.doc_col, M88),
  _xlpm.latest_reviewed_date, _xlfn.MAXIFS(_xlpm.date_col, _xlpm.doc_col, M88, _xlpm.status_col, "&lt;&gt;"),
  IF(_xlpm.has_sub=0, "",
    IF(_xlpm.latest_reviewed_date=0, "",
      _xlfn.LET(
        _xlpm.res, _xlfn.XLOOKUP(1, (_xlpm.doc_col=M88) * (_xlpm.date_col=_xlpm.latest_reviewed_date) * (_xlpm.status_col&lt;&gt;""), _xlpm.status_col, ""),
        IF(OR(_xlpm.res="", _xlpm.res=0), "", _xlpm.res)
      )
    )
  )
))</f>
        <v/>
      </c>
    </row>
    <row r="89" spans="1:25" x14ac:dyDescent="0.35">
      <c r="A89" s="33">
        <f>IF($M89="","",MAX($A$1:A88)+1)</f>
        <v>79</v>
      </c>
      <c r="B89" s="23" t="s">
        <v>54</v>
      </c>
      <c r="C89" s="23" t="s">
        <v>257</v>
      </c>
      <c r="G89" s="33">
        <v>131236</v>
      </c>
      <c r="H89" s="33" t="s">
        <v>59</v>
      </c>
      <c r="I89" s="33" t="s">
        <v>217</v>
      </c>
      <c r="J89" s="33" t="s">
        <v>3496</v>
      </c>
      <c r="M89" s="34" t="str">
        <f t="shared" si="1"/>
        <v>Deleted</v>
      </c>
      <c r="N89" s="26"/>
      <c r="P89" s="34" t="s">
        <v>3467</v>
      </c>
      <c r="U89" s="64" t="str" cm="1">
        <f t="array" ref="U89">IF(OR(M89="", M89="Deleted"), "", _xlfn.LET(
  _xlpm.dates,
  _xlfn._xlws.FILTER(
    [1]SubmittalLog!$H$1:$H$4000,
    [1]SubmittalLog!$E$1:$E$4000=M89,
    ""
  ),
  _xlpm.min_date, IFERROR(MIN(_xlpm.dates), ""),
  IF(_xlpm.min_date=0, "", _xlpm.min_date)
))</f>
        <v/>
      </c>
      <c r="V89" s="63" t="str" cm="1">
        <f t="array" ref="V89">IF(OR(M89="", M89="Deleted"), "", IFERROR(
  _xlfn.TEXTJOIN(", ", TRUE,
    _xlfn.MAP(
      _xlfn.UNIQUE(
        _xlfn._xlws.FILTER(
          [1]SubmittalLog!$B$1:$B$4000,
          ([1]SubmittalLog!$E$1:$E$4000=M89) *
          ([1]SubmittalLog!$B$1:$B$4000&lt;&gt;""),
          ""
        )
      ),
      _xlfn.LAMBDA(_xlpm.val, TEXT(_xlpm.val, "000000"))
    )
  ),
""))</f>
        <v/>
      </c>
      <c r="W89" s="40" t="str" cm="1">
        <f t="array" ref="W89">IF(OR(M89="", M89="Deleted"), "", _xlfn.LET(
  _xlpm.doc_col, [1]SubmittalLog!$E$1:$E$4000,
  _xlpm.date_col, [1]SubmittalLog!$H$1:$H$4000,
  _xlpm.status_col, [1]SubmittalLog!$N$1:$N$4000,
  _xlpm.latest_date, _xlfn.MAXIFS(_xlpm.date_col, _xlpm.doc_col, M89),
  IF(_xlpm.latest_date=0, "NFS",
    _xlfn.LET(
      _xlpm.res, _xlfn.XLOOKUP(M89 &amp; "|" &amp; _xlpm.latest_date, _xlpm.doc_col &amp; "|" &amp; _xlpm.date_col, _xlpm.status_col, ""),
      IF(OR(_xlpm.res="", _xlpm.res=0), "", _xlpm.res)
    )
  )
))</f>
        <v/>
      </c>
      <c r="X89" s="39" t="str">
        <f>IF(OR(M89="", M89="Deleted"), "", _xlfn.LET(
  _xlpm.doc_col, [1]SubmittalLog!$E$1:$E$4000,
  _xlpm.date_col, [1]SubmittalLog!$H$1:$H$4000,
  _xlpm.status_col, [1]SubmittalLog!$O$1:$O$4000,
  _xlpm.first_app_date, _xlfn.MINIFS(_xlpm.date_col, _xlpm.doc_col, M89, _xlpm.status_col, "APP"),
  _xlpm.first_awc_date, _xlfn.MINIFS(_xlpm.date_col, _xlpm.doc_col, M89, _xlpm.status_col, "AWC"),
  _xlpm.earliest_date, IF(
    AND(_xlpm.first_app_date=0, _xlpm.first_awc_date=0), 0,
    IF(_xlpm.first_app_date=0, _xlpm.first_awc_date,
    IF(_xlpm.first_awc_date=0, _xlpm.first_app_date,
    MIN(_xlpm.first_app_date, _xlpm.first_awc_date)))
  ),
  IF(_xlpm.earliest_date=0, "", _xlpm.earliest_date)
))</f>
        <v/>
      </c>
      <c r="Y89" s="40" t="str" cm="1">
        <f t="array" ref="Y89">IF(OR(M89="", M89="Deleted"), "", _xlfn.LET(
  _xlpm.doc_col, [1]SubmittalLog!$E$1:$E$4000,
  _xlpm.date_col, [1]SubmittalLog!$H$1:$H$4000,
  _xlpm.status_col, [1]SubmittalLog!$O$1:$O$4000,
  _xlpm.has_sub, COUNTIF(_xlpm.doc_col, M89),
  _xlpm.latest_reviewed_date, _xlfn.MAXIFS(_xlpm.date_col, _xlpm.doc_col, M89, _xlpm.status_col, "&lt;&gt;"),
  IF(_xlpm.has_sub=0, "",
    IF(_xlpm.latest_reviewed_date=0, "",
      _xlfn.LET(
        _xlpm.res, _xlfn.XLOOKUP(1, (_xlpm.doc_col=M89) * (_xlpm.date_col=_xlpm.latest_reviewed_date) * (_xlpm.status_col&lt;&gt;""), _xlpm.status_col, ""),
        IF(OR(_xlpm.res="", _xlpm.res=0), "", _xlpm.res)
      )
    )
  )
))</f>
        <v/>
      </c>
    </row>
    <row r="90" spans="1:25" x14ac:dyDescent="0.35">
      <c r="A90" s="33">
        <f>IF($M90="","",MAX($A$1:A89)+1)</f>
        <v>80</v>
      </c>
      <c r="B90" s="23" t="s">
        <v>54</v>
      </c>
      <c r="C90" s="23" t="s">
        <v>257</v>
      </c>
      <c r="G90" s="33">
        <v>131236</v>
      </c>
      <c r="H90" s="33" t="s">
        <v>59</v>
      </c>
      <c r="I90" s="33" t="s">
        <v>436</v>
      </c>
      <c r="J90" s="33" t="s">
        <v>3496</v>
      </c>
      <c r="K90" s="51" t="s">
        <v>3505</v>
      </c>
      <c r="M90" s="34" t="str">
        <f t="shared" si="1"/>
        <v>Deleted</v>
      </c>
      <c r="N90" s="26" t="s">
        <v>3577</v>
      </c>
      <c r="P90" s="34" t="s">
        <v>3467</v>
      </c>
      <c r="U90" s="64" t="str" cm="1">
        <f t="array" ref="U90">IF(OR(M90="", M90="Deleted"), "", _xlfn.LET(
  _xlpm.dates,
  _xlfn._xlws.FILTER(
    [1]SubmittalLog!$H$1:$H$4000,
    [1]SubmittalLog!$E$1:$E$4000=M90,
    ""
  ),
  _xlpm.min_date, IFERROR(MIN(_xlpm.dates), ""),
  IF(_xlpm.min_date=0, "", _xlpm.min_date)
))</f>
        <v/>
      </c>
      <c r="V90" s="63" t="str" cm="1">
        <f t="array" ref="V90">IF(OR(M90="", M90="Deleted"), "", IFERROR(
  _xlfn.TEXTJOIN(", ", TRUE,
    _xlfn.MAP(
      _xlfn.UNIQUE(
        _xlfn._xlws.FILTER(
          [1]SubmittalLog!$B$1:$B$4000,
          ([1]SubmittalLog!$E$1:$E$4000=M90) *
          ([1]SubmittalLog!$B$1:$B$4000&lt;&gt;""),
          ""
        )
      ),
      _xlfn.LAMBDA(_xlpm.val, TEXT(_xlpm.val, "000000"))
    )
  ),
""))</f>
        <v/>
      </c>
      <c r="W90" s="40" t="str" cm="1">
        <f t="array" ref="W90">IF(OR(M90="", M90="Deleted"), "", _xlfn.LET(
  _xlpm.doc_col, [1]SubmittalLog!$E$1:$E$4000,
  _xlpm.date_col, [1]SubmittalLog!$H$1:$H$4000,
  _xlpm.status_col, [1]SubmittalLog!$N$1:$N$4000,
  _xlpm.latest_date, _xlfn.MAXIFS(_xlpm.date_col, _xlpm.doc_col, M90),
  IF(_xlpm.latest_date=0, "NFS",
    _xlfn.LET(
      _xlpm.res, _xlfn.XLOOKUP(M90 &amp; "|" &amp; _xlpm.latest_date, _xlpm.doc_col &amp; "|" &amp; _xlpm.date_col, _xlpm.status_col, ""),
      IF(OR(_xlpm.res="", _xlpm.res=0), "", _xlpm.res)
    )
  )
))</f>
        <v/>
      </c>
      <c r="X90" s="39" t="str">
        <f>IF(OR(M90="", M90="Deleted"), "", _xlfn.LET(
  _xlpm.doc_col, [1]SubmittalLog!$E$1:$E$4000,
  _xlpm.date_col, [1]SubmittalLog!$H$1:$H$4000,
  _xlpm.status_col, [1]SubmittalLog!$O$1:$O$4000,
  _xlpm.first_app_date, _xlfn.MINIFS(_xlpm.date_col, _xlpm.doc_col, M90, _xlpm.status_col, "APP"),
  _xlpm.first_awc_date, _xlfn.MINIFS(_xlpm.date_col, _xlpm.doc_col, M90, _xlpm.status_col, "AWC"),
  _xlpm.earliest_date, IF(
    AND(_xlpm.first_app_date=0, _xlpm.first_awc_date=0), 0,
    IF(_xlpm.first_app_date=0, _xlpm.first_awc_date,
    IF(_xlpm.first_awc_date=0, _xlpm.first_app_date,
    MIN(_xlpm.first_app_date, _xlpm.first_awc_date)))
  ),
  IF(_xlpm.earliest_date=0, "", _xlpm.earliest_date)
))</f>
        <v/>
      </c>
      <c r="Y90" s="40" t="str" cm="1">
        <f t="array" ref="Y90">IF(OR(M90="", M90="Deleted"), "", _xlfn.LET(
  _xlpm.doc_col, [1]SubmittalLog!$E$1:$E$4000,
  _xlpm.date_col, [1]SubmittalLog!$H$1:$H$4000,
  _xlpm.status_col, [1]SubmittalLog!$O$1:$O$4000,
  _xlpm.has_sub, COUNTIF(_xlpm.doc_col, M90),
  _xlpm.latest_reviewed_date, _xlfn.MAXIFS(_xlpm.date_col, _xlpm.doc_col, M90, _xlpm.status_col, "&lt;&gt;"),
  IF(_xlpm.has_sub=0, "",
    IF(_xlpm.latest_reviewed_date=0, "",
      _xlfn.LET(
        _xlpm.res, _xlfn.XLOOKUP(1, (_xlpm.doc_col=M90) * (_xlpm.date_col=_xlpm.latest_reviewed_date) * (_xlpm.status_col&lt;&gt;""), _xlpm.status_col, ""),
        IF(OR(_xlpm.res="", _xlpm.res=0), "", _xlpm.res)
      )
    )
  )
))</f>
        <v/>
      </c>
    </row>
    <row r="91" spans="1:25" x14ac:dyDescent="0.35">
      <c r="A91" s="33">
        <f>IF($M91="","",MAX($A$1:A90)+1)</f>
        <v>81</v>
      </c>
      <c r="B91" s="23" t="s">
        <v>54</v>
      </c>
      <c r="C91" s="23" t="s">
        <v>257</v>
      </c>
      <c r="G91" s="33">
        <v>131236</v>
      </c>
      <c r="H91" s="33" t="s">
        <v>59</v>
      </c>
      <c r="I91" s="33" t="s">
        <v>444</v>
      </c>
      <c r="J91" s="33" t="s">
        <v>3496</v>
      </c>
      <c r="K91" s="51" t="s">
        <v>3505</v>
      </c>
      <c r="M91" s="34" t="str">
        <f t="shared" si="1"/>
        <v>Deleted</v>
      </c>
      <c r="N91" s="26" t="s">
        <v>3578</v>
      </c>
      <c r="P91" s="34" t="s">
        <v>3467</v>
      </c>
      <c r="U91" s="64" t="str" cm="1">
        <f t="array" ref="U91">IF(OR(M91="", M91="Deleted"), "", _xlfn.LET(
  _xlpm.dates,
  _xlfn._xlws.FILTER(
    [1]SubmittalLog!$H$1:$H$4000,
    [1]SubmittalLog!$E$1:$E$4000=M91,
    ""
  ),
  _xlpm.min_date, IFERROR(MIN(_xlpm.dates), ""),
  IF(_xlpm.min_date=0, "", _xlpm.min_date)
))</f>
        <v/>
      </c>
      <c r="V91" s="63" t="str" cm="1">
        <f t="array" ref="V91">IF(OR(M91="", M91="Deleted"), "", IFERROR(
  _xlfn.TEXTJOIN(", ", TRUE,
    _xlfn.MAP(
      _xlfn.UNIQUE(
        _xlfn._xlws.FILTER(
          [1]SubmittalLog!$B$1:$B$4000,
          ([1]SubmittalLog!$E$1:$E$4000=M91) *
          ([1]SubmittalLog!$B$1:$B$4000&lt;&gt;""),
          ""
        )
      ),
      _xlfn.LAMBDA(_xlpm.val, TEXT(_xlpm.val, "000000"))
    )
  ),
""))</f>
        <v/>
      </c>
      <c r="W91" s="40" t="str" cm="1">
        <f t="array" ref="W91">IF(OR(M91="", M91="Deleted"), "", _xlfn.LET(
  _xlpm.doc_col, [1]SubmittalLog!$E$1:$E$4000,
  _xlpm.date_col, [1]SubmittalLog!$H$1:$H$4000,
  _xlpm.status_col, [1]SubmittalLog!$N$1:$N$4000,
  _xlpm.latest_date, _xlfn.MAXIFS(_xlpm.date_col, _xlpm.doc_col, M91),
  IF(_xlpm.latest_date=0, "NFS",
    _xlfn.LET(
      _xlpm.res, _xlfn.XLOOKUP(M91 &amp; "|" &amp; _xlpm.latest_date, _xlpm.doc_col &amp; "|" &amp; _xlpm.date_col, _xlpm.status_col, ""),
      IF(OR(_xlpm.res="", _xlpm.res=0), "", _xlpm.res)
    )
  )
))</f>
        <v/>
      </c>
      <c r="X91" s="39" t="str">
        <f>IF(OR(M91="", M91="Deleted"), "", _xlfn.LET(
  _xlpm.doc_col, [1]SubmittalLog!$E$1:$E$4000,
  _xlpm.date_col, [1]SubmittalLog!$H$1:$H$4000,
  _xlpm.status_col, [1]SubmittalLog!$O$1:$O$4000,
  _xlpm.first_app_date, _xlfn.MINIFS(_xlpm.date_col, _xlpm.doc_col, M91, _xlpm.status_col, "APP"),
  _xlpm.first_awc_date, _xlfn.MINIFS(_xlpm.date_col, _xlpm.doc_col, M91, _xlpm.status_col, "AWC"),
  _xlpm.earliest_date, IF(
    AND(_xlpm.first_app_date=0, _xlpm.first_awc_date=0), 0,
    IF(_xlpm.first_app_date=0, _xlpm.first_awc_date,
    IF(_xlpm.first_awc_date=0, _xlpm.first_app_date,
    MIN(_xlpm.first_app_date, _xlpm.first_awc_date)))
  ),
  IF(_xlpm.earliest_date=0, "", _xlpm.earliest_date)
))</f>
        <v/>
      </c>
      <c r="Y91" s="40" t="str" cm="1">
        <f t="array" ref="Y91">IF(OR(M91="", M91="Deleted"), "", _xlfn.LET(
  _xlpm.doc_col, [1]SubmittalLog!$E$1:$E$4000,
  _xlpm.date_col, [1]SubmittalLog!$H$1:$H$4000,
  _xlpm.status_col, [1]SubmittalLog!$O$1:$O$4000,
  _xlpm.has_sub, COUNTIF(_xlpm.doc_col, M91),
  _xlpm.latest_reviewed_date, _xlfn.MAXIFS(_xlpm.date_col, _xlpm.doc_col, M91, _xlpm.status_col, "&lt;&gt;"),
  IF(_xlpm.has_sub=0, "",
    IF(_xlpm.latest_reviewed_date=0, "",
      _xlfn.LET(
        _xlpm.res, _xlfn.XLOOKUP(1, (_xlpm.doc_col=M91) * (_xlpm.date_col=_xlpm.latest_reviewed_date) * (_xlpm.status_col&lt;&gt;""), _xlpm.status_col, ""),
        IF(OR(_xlpm.res="", _xlpm.res=0), "", _xlpm.res)
      )
    )
  )
))</f>
        <v/>
      </c>
    </row>
    <row r="92" spans="1:25" x14ac:dyDescent="0.35">
      <c r="A92" s="33">
        <f>IF($M92="","",MAX($A$1:A91)+1)</f>
        <v>82</v>
      </c>
      <c r="B92" s="23" t="s">
        <v>54</v>
      </c>
      <c r="C92" s="23" t="s">
        <v>257</v>
      </c>
      <c r="G92" s="33">
        <v>131236</v>
      </c>
      <c r="H92" s="33" t="s">
        <v>59</v>
      </c>
      <c r="I92" s="33" t="s">
        <v>444</v>
      </c>
      <c r="J92" s="33" t="s">
        <v>3496</v>
      </c>
      <c r="M92" s="34" t="str">
        <f t="shared" si="1"/>
        <v>Deleted</v>
      </c>
      <c r="N92" s="26" t="s">
        <v>3579</v>
      </c>
      <c r="P92" s="34" t="s">
        <v>3467</v>
      </c>
      <c r="U92" s="64" t="str" cm="1">
        <f t="array" ref="U92">IF(OR(M92="", M92="Deleted"), "", _xlfn.LET(
  _xlpm.dates,
  _xlfn._xlws.FILTER(
    [1]SubmittalLog!$H$1:$H$4000,
    [1]SubmittalLog!$E$1:$E$4000=M92,
    ""
  ),
  _xlpm.min_date, IFERROR(MIN(_xlpm.dates), ""),
  IF(_xlpm.min_date=0, "", _xlpm.min_date)
))</f>
        <v/>
      </c>
      <c r="V92" s="63" t="str" cm="1">
        <f t="array" ref="V92">IF(OR(M92="", M92="Deleted"), "", IFERROR(
  _xlfn.TEXTJOIN(", ", TRUE,
    _xlfn.MAP(
      _xlfn.UNIQUE(
        _xlfn._xlws.FILTER(
          [1]SubmittalLog!$B$1:$B$4000,
          ([1]SubmittalLog!$E$1:$E$4000=M92) *
          ([1]SubmittalLog!$B$1:$B$4000&lt;&gt;""),
          ""
        )
      ),
      _xlfn.LAMBDA(_xlpm.val, TEXT(_xlpm.val, "000000"))
    )
  ),
""))</f>
        <v/>
      </c>
      <c r="W92" s="40" t="str" cm="1">
        <f t="array" ref="W92">IF(OR(M92="", M92="Deleted"), "", _xlfn.LET(
  _xlpm.doc_col, [1]SubmittalLog!$E$1:$E$4000,
  _xlpm.date_col, [1]SubmittalLog!$H$1:$H$4000,
  _xlpm.status_col, [1]SubmittalLog!$N$1:$N$4000,
  _xlpm.latest_date, _xlfn.MAXIFS(_xlpm.date_col, _xlpm.doc_col, M92),
  IF(_xlpm.latest_date=0, "NFS",
    _xlfn.LET(
      _xlpm.res, _xlfn.XLOOKUP(M92 &amp; "|" &amp; _xlpm.latest_date, _xlpm.doc_col &amp; "|" &amp; _xlpm.date_col, _xlpm.status_col, ""),
      IF(OR(_xlpm.res="", _xlpm.res=0), "", _xlpm.res)
    )
  )
))</f>
        <v/>
      </c>
      <c r="X92" s="39" t="str">
        <f>IF(OR(M92="", M92="Deleted"), "", _xlfn.LET(
  _xlpm.doc_col, [1]SubmittalLog!$E$1:$E$4000,
  _xlpm.date_col, [1]SubmittalLog!$H$1:$H$4000,
  _xlpm.status_col, [1]SubmittalLog!$O$1:$O$4000,
  _xlpm.first_app_date, _xlfn.MINIFS(_xlpm.date_col, _xlpm.doc_col, M92, _xlpm.status_col, "APP"),
  _xlpm.first_awc_date, _xlfn.MINIFS(_xlpm.date_col, _xlpm.doc_col, M92, _xlpm.status_col, "AWC"),
  _xlpm.earliest_date, IF(
    AND(_xlpm.first_app_date=0, _xlpm.first_awc_date=0), 0,
    IF(_xlpm.first_app_date=0, _xlpm.first_awc_date,
    IF(_xlpm.first_awc_date=0, _xlpm.first_app_date,
    MIN(_xlpm.first_app_date, _xlpm.first_awc_date)))
  ),
  IF(_xlpm.earliest_date=0, "", _xlpm.earliest_date)
))</f>
        <v/>
      </c>
      <c r="Y92" s="40" t="str" cm="1">
        <f t="array" ref="Y92">IF(OR(M92="", M92="Deleted"), "", _xlfn.LET(
  _xlpm.doc_col, [1]SubmittalLog!$E$1:$E$4000,
  _xlpm.date_col, [1]SubmittalLog!$H$1:$H$4000,
  _xlpm.status_col, [1]SubmittalLog!$O$1:$O$4000,
  _xlpm.has_sub, COUNTIF(_xlpm.doc_col, M92),
  _xlpm.latest_reviewed_date, _xlfn.MAXIFS(_xlpm.date_col, _xlpm.doc_col, M92, _xlpm.status_col, "&lt;&gt;"),
  IF(_xlpm.has_sub=0, "",
    IF(_xlpm.latest_reviewed_date=0, "",
      _xlfn.LET(
        _xlpm.res, _xlfn.XLOOKUP(1, (_xlpm.doc_col=M92) * (_xlpm.date_col=_xlpm.latest_reviewed_date) * (_xlpm.status_col&lt;&gt;""), _xlpm.status_col, ""),
        IF(OR(_xlpm.res="", _xlpm.res=0), "", _xlpm.res)
      )
    )
  )
))</f>
        <v/>
      </c>
    </row>
    <row r="93" spans="1:25" x14ac:dyDescent="0.35">
      <c r="A93" s="33">
        <f>IF($M93="","",MAX($A$1:A92)+1)</f>
        <v>83</v>
      </c>
      <c r="B93" s="23" t="s">
        <v>54</v>
      </c>
      <c r="C93" s="23" t="s">
        <v>257</v>
      </c>
      <c r="G93" s="33">
        <v>131236</v>
      </c>
      <c r="H93" s="33" t="s">
        <v>59</v>
      </c>
      <c r="I93" s="33" t="s">
        <v>204</v>
      </c>
      <c r="J93" s="33" t="s">
        <v>3496</v>
      </c>
      <c r="M93" s="34" t="str">
        <f t="shared" si="1"/>
        <v>Deleted</v>
      </c>
      <c r="N93" s="26" t="s">
        <v>3580</v>
      </c>
      <c r="P93" s="34" t="s">
        <v>3467</v>
      </c>
      <c r="U93" s="64" t="str" cm="1">
        <f t="array" ref="U93">IF(OR(M93="", M93="Deleted"), "", _xlfn.LET(
  _xlpm.dates,
  _xlfn._xlws.FILTER(
    [1]SubmittalLog!$H$1:$H$4000,
    [1]SubmittalLog!$E$1:$E$4000=M93,
    ""
  ),
  _xlpm.min_date, IFERROR(MIN(_xlpm.dates), ""),
  IF(_xlpm.min_date=0, "", _xlpm.min_date)
))</f>
        <v/>
      </c>
      <c r="V93" s="63" t="str" cm="1">
        <f t="array" ref="V93">IF(OR(M93="", M93="Deleted"), "", IFERROR(
  _xlfn.TEXTJOIN(", ", TRUE,
    _xlfn.MAP(
      _xlfn.UNIQUE(
        _xlfn._xlws.FILTER(
          [1]SubmittalLog!$B$1:$B$4000,
          ([1]SubmittalLog!$E$1:$E$4000=M93) *
          ([1]SubmittalLog!$B$1:$B$4000&lt;&gt;""),
          ""
        )
      ),
      _xlfn.LAMBDA(_xlpm.val, TEXT(_xlpm.val, "000000"))
    )
  ),
""))</f>
        <v/>
      </c>
      <c r="W93" s="40" t="str" cm="1">
        <f t="array" ref="W93">IF(OR(M93="", M93="Deleted"), "", _xlfn.LET(
  _xlpm.doc_col, [1]SubmittalLog!$E$1:$E$4000,
  _xlpm.date_col, [1]SubmittalLog!$H$1:$H$4000,
  _xlpm.status_col, [1]SubmittalLog!$N$1:$N$4000,
  _xlpm.latest_date, _xlfn.MAXIFS(_xlpm.date_col, _xlpm.doc_col, M93),
  IF(_xlpm.latest_date=0, "NFS",
    _xlfn.LET(
      _xlpm.res, _xlfn.XLOOKUP(M93 &amp; "|" &amp; _xlpm.latest_date, _xlpm.doc_col &amp; "|" &amp; _xlpm.date_col, _xlpm.status_col, ""),
      IF(OR(_xlpm.res="", _xlpm.res=0), "", _xlpm.res)
    )
  )
))</f>
        <v/>
      </c>
      <c r="X93" s="39" t="str">
        <f>IF(OR(M93="", M93="Deleted"), "", _xlfn.LET(
  _xlpm.doc_col, [1]SubmittalLog!$E$1:$E$4000,
  _xlpm.date_col, [1]SubmittalLog!$H$1:$H$4000,
  _xlpm.status_col, [1]SubmittalLog!$O$1:$O$4000,
  _xlpm.first_app_date, _xlfn.MINIFS(_xlpm.date_col, _xlpm.doc_col, M93, _xlpm.status_col, "APP"),
  _xlpm.first_awc_date, _xlfn.MINIFS(_xlpm.date_col, _xlpm.doc_col, M93, _xlpm.status_col, "AWC"),
  _xlpm.earliest_date, IF(
    AND(_xlpm.first_app_date=0, _xlpm.first_awc_date=0), 0,
    IF(_xlpm.first_app_date=0, _xlpm.first_awc_date,
    IF(_xlpm.first_awc_date=0, _xlpm.first_app_date,
    MIN(_xlpm.first_app_date, _xlpm.first_awc_date)))
  ),
  IF(_xlpm.earliest_date=0, "", _xlpm.earliest_date)
))</f>
        <v/>
      </c>
      <c r="Y93" s="40" t="str" cm="1">
        <f t="array" ref="Y93">IF(OR(M93="", M93="Deleted"), "", _xlfn.LET(
  _xlpm.doc_col, [1]SubmittalLog!$E$1:$E$4000,
  _xlpm.date_col, [1]SubmittalLog!$H$1:$H$4000,
  _xlpm.status_col, [1]SubmittalLog!$O$1:$O$4000,
  _xlpm.has_sub, COUNTIF(_xlpm.doc_col, M93),
  _xlpm.latest_reviewed_date, _xlfn.MAXIFS(_xlpm.date_col, _xlpm.doc_col, M93, _xlpm.status_col, "&lt;&gt;"),
  IF(_xlpm.has_sub=0, "",
    IF(_xlpm.latest_reviewed_date=0, "",
      _xlfn.LET(
        _xlpm.res, _xlfn.XLOOKUP(1, (_xlpm.doc_col=M93) * (_xlpm.date_col=_xlpm.latest_reviewed_date) * (_xlpm.status_col&lt;&gt;""), _xlpm.status_col, ""),
        IF(OR(_xlpm.res="", _xlpm.res=0), "", _xlpm.res)
      )
    )
  )
))</f>
        <v/>
      </c>
    </row>
    <row r="94" spans="1:25" x14ac:dyDescent="0.35">
      <c r="A94" s="33">
        <f>IF($M94="","",MAX($A$1:A93)+1)</f>
        <v>84</v>
      </c>
      <c r="B94" s="23" t="s">
        <v>250</v>
      </c>
      <c r="C94" s="23" t="s">
        <v>257</v>
      </c>
      <c r="G94" s="33">
        <v>131236</v>
      </c>
      <c r="H94" s="33" t="s">
        <v>59</v>
      </c>
      <c r="I94" s="33" t="s">
        <v>444</v>
      </c>
      <c r="J94" s="33" t="s">
        <v>3496</v>
      </c>
      <c r="K94" s="51" t="s">
        <v>3521</v>
      </c>
      <c r="M94" s="34" t="str">
        <f t="shared" si="1"/>
        <v>131236-WIL21-SP-P-0004</v>
      </c>
      <c r="N94" s="26" t="s">
        <v>3581</v>
      </c>
      <c r="S94" s="35">
        <v>46013</v>
      </c>
      <c r="T94" s="35">
        <v>46013</v>
      </c>
      <c r="U94" s="64" cm="1">
        <f t="array" ref="U94">IF(OR(M94="", M94="Deleted"), "", _xlfn.LET(
  _xlpm.dates,
  _xlfn._xlws.FILTER(
    [1]SubmittalLog!$H$1:$H$4000,
    [1]SubmittalLog!$E$1:$E$4000=M94,
    ""
  ),
  _xlpm.min_date, IFERROR(MIN(_xlpm.dates), ""),
  IF(_xlpm.min_date=0, "", _xlpm.min_date)
))</f>
        <v>46013</v>
      </c>
      <c r="V94" s="63" t="str" cm="1">
        <f t="array" ref="V94">IF(OR(M94="", M94="Deleted"), "", IFERROR(
  _xlfn.TEXTJOIN(", ", TRUE,
    _xlfn.MAP(
      _xlfn.UNIQUE(
        _xlfn._xlws.FILTER(
          [1]SubmittalLog!$B$1:$B$4000,
          ([1]SubmittalLog!$E$1:$E$4000=M94) *
          ([1]SubmittalLog!$B$1:$B$4000&lt;&gt;""),
          ""
        )
      ),
      _xlfn.LAMBDA(_xlpm.val, TEXT(_xlpm.val, "000000"))
    )
  ),
""))</f>
        <v>001925</v>
      </c>
      <c r="W94" s="40" t="str" cm="1">
        <f t="array" ref="W94">IF(OR(M94="", M94="Deleted"), "", _xlfn.LET(
  _xlpm.doc_col, [1]SubmittalLog!$E$1:$E$4000,
  _xlpm.date_col, [1]SubmittalLog!$H$1:$H$4000,
  _xlpm.status_col, [1]SubmittalLog!$N$1:$N$4000,
  _xlpm.latest_date, _xlfn.MAXIFS(_xlpm.date_col, _xlpm.doc_col, M94),
  IF(_xlpm.latest_date=0, "NFS",
    _xlfn.LET(
      _xlpm.res, _xlfn.XLOOKUP(M94 &amp; "|" &amp; _xlpm.latest_date, _xlpm.doc_col &amp; "|" &amp; _xlpm.date_col, _xlpm.status_col, ""),
      IF(OR(_xlpm.res="", _xlpm.res=0), "", _xlpm.res)
    )
  )
))</f>
        <v>RTR</v>
      </c>
      <c r="X94" s="39">
        <f>IF(OR(M94="", M94="Deleted"), "", _xlfn.LET(
  _xlpm.doc_col, [1]SubmittalLog!$E$1:$E$4000,
  _xlpm.date_col, [1]SubmittalLog!$H$1:$H$4000,
  _xlpm.status_col, [1]SubmittalLog!$O$1:$O$4000,
  _xlpm.first_app_date, _xlfn.MINIFS(_xlpm.date_col, _xlpm.doc_col, M94, _xlpm.status_col, "APP"),
  _xlpm.first_awc_date, _xlfn.MINIFS(_xlpm.date_col, _xlpm.doc_col, M94, _xlpm.status_col, "AWC"),
  _xlpm.earliest_date, IF(
    AND(_xlpm.first_app_date=0, _xlpm.first_awc_date=0), 0,
    IF(_xlpm.first_app_date=0, _xlpm.first_awc_date,
    IF(_xlpm.first_awc_date=0, _xlpm.first_app_date,
    MIN(_xlpm.first_app_date, _xlpm.first_awc_date)))
  ),
  IF(_xlpm.earliest_date=0, "", _xlpm.earliest_date)
))</f>
        <v>46013</v>
      </c>
      <c r="Y94" s="40" t="str" cm="1">
        <f t="array" ref="Y94">IF(OR(M94="", M94="Deleted"), "", _xlfn.LET(
  _xlpm.doc_col, [1]SubmittalLog!$E$1:$E$4000,
  _xlpm.date_col, [1]SubmittalLog!$H$1:$H$4000,
  _xlpm.status_col, [1]SubmittalLog!$O$1:$O$4000,
  _xlpm.has_sub, COUNTIF(_xlpm.doc_col, M94),
  _xlpm.latest_reviewed_date, _xlfn.MAXIFS(_xlpm.date_col, _xlpm.doc_col, M94, _xlpm.status_col, "&lt;&gt;"),
  IF(_xlpm.has_sub=0, "",
    IF(_xlpm.latest_reviewed_date=0, "",
      _xlfn.LET(
        _xlpm.res, _xlfn.XLOOKUP(1, (_xlpm.doc_col=M94) * (_xlpm.date_col=_xlpm.latest_reviewed_date) * (_xlpm.status_col&lt;&gt;""), _xlpm.status_col, ""),
        IF(OR(_xlpm.res="", _xlpm.res=0), "", _xlpm.res)
      )
    )
  )
))</f>
        <v>AWC</v>
      </c>
    </row>
    <row r="95" spans="1:25" x14ac:dyDescent="0.35">
      <c r="A95" s="33">
        <f>IF($M95="","",MAX($A$1:A94)+1)</f>
        <v>85</v>
      </c>
      <c r="B95" s="23" t="s">
        <v>250</v>
      </c>
      <c r="C95" s="23" t="s">
        <v>257</v>
      </c>
      <c r="G95" s="33">
        <v>131236</v>
      </c>
      <c r="H95" s="33" t="s">
        <v>59</v>
      </c>
      <c r="I95" s="33" t="s">
        <v>432</v>
      </c>
      <c r="J95" s="33" t="s">
        <v>323</v>
      </c>
      <c r="K95" s="51" t="s">
        <v>3503</v>
      </c>
      <c r="M95" s="34" t="str">
        <f t="shared" si="1"/>
        <v>131236-WIL21-RT-Z-0002</v>
      </c>
      <c r="N95" s="26" t="s">
        <v>3582</v>
      </c>
      <c r="S95" s="35">
        <v>45911</v>
      </c>
      <c r="T95" s="35">
        <v>45911</v>
      </c>
      <c r="U95" s="64" cm="1">
        <f t="array" ref="U95">IF(OR(M95="", M95="Deleted"), "", _xlfn.LET(
  _xlpm.dates,
  _xlfn._xlws.FILTER(
    [1]SubmittalLog!$H$1:$H$4000,
    [1]SubmittalLog!$E$1:$E$4000=M95,
    ""
  ),
  _xlpm.min_date, IFERROR(MIN(_xlpm.dates), ""),
  IF(_xlpm.min_date=0, "", _xlpm.min_date)
))</f>
        <v>45911</v>
      </c>
      <c r="V95" s="63" t="str" cm="1">
        <f t="array" ref="V95">IF(OR(M95="", M95="Deleted"), "", IFERROR(
  _xlfn.TEXTJOIN(", ", TRUE,
    _xlfn.MAP(
      _xlfn.UNIQUE(
        _xlfn._xlws.FILTER(
          [1]SubmittalLog!$B$1:$B$4000,
          ([1]SubmittalLog!$E$1:$E$4000=M95) *
          ([1]SubmittalLog!$B$1:$B$4000&lt;&gt;""),
          ""
        )
      ),
      _xlfn.LAMBDA(_xlpm.val, TEXT(_xlpm.val, "000000"))
    )
  ),
""))</f>
        <v>001676</v>
      </c>
      <c r="W95" s="40" t="str" cm="1">
        <f t="array" ref="W95">IF(OR(M95="", M95="Deleted"), "", _xlfn.LET(
  _xlpm.doc_col, [1]SubmittalLog!$E$1:$E$4000,
  _xlpm.date_col, [1]SubmittalLog!$H$1:$H$4000,
  _xlpm.status_col, [1]SubmittalLog!$N$1:$N$4000,
  _xlpm.latest_date, _xlfn.MAXIFS(_xlpm.date_col, _xlpm.doc_col, M95),
  IF(_xlpm.latest_date=0, "NFS",
    _xlfn.LET(
      _xlpm.res, _xlfn.XLOOKUP(M95 &amp; "|" &amp; _xlpm.latest_date, _xlpm.doc_col &amp; "|" &amp; _xlpm.date_col, _xlpm.status_col, ""),
      IF(OR(_xlpm.res="", _xlpm.res=0), "", _xlpm.res)
    )
  )
))</f>
        <v>RTR</v>
      </c>
      <c r="X95" s="39">
        <f>IF(OR(M95="", M95="Deleted"), "", _xlfn.LET(
  _xlpm.doc_col, [1]SubmittalLog!$E$1:$E$4000,
  _xlpm.date_col, [1]SubmittalLog!$H$1:$H$4000,
  _xlpm.status_col, [1]SubmittalLog!$O$1:$O$4000,
  _xlpm.first_app_date, _xlfn.MINIFS(_xlpm.date_col, _xlpm.doc_col, M95, _xlpm.status_col, "APP"),
  _xlpm.first_awc_date, _xlfn.MINIFS(_xlpm.date_col, _xlpm.doc_col, M95, _xlpm.status_col, "AWC"),
  _xlpm.earliest_date, IF(
    AND(_xlpm.first_app_date=0, _xlpm.first_awc_date=0), 0,
    IF(_xlpm.first_app_date=0, _xlpm.first_awc_date,
    IF(_xlpm.first_awc_date=0, _xlpm.first_app_date,
    MIN(_xlpm.first_app_date, _xlpm.first_awc_date)))
  ),
  IF(_xlpm.earliest_date=0, "", _xlpm.earliest_date)
))</f>
        <v>45911</v>
      </c>
      <c r="Y95" s="40" t="str" cm="1">
        <f t="array" ref="Y95">IF(OR(M95="", M95="Deleted"), "", _xlfn.LET(
  _xlpm.doc_col, [1]SubmittalLog!$E$1:$E$4000,
  _xlpm.date_col, [1]SubmittalLog!$H$1:$H$4000,
  _xlpm.status_col, [1]SubmittalLog!$O$1:$O$4000,
  _xlpm.has_sub, COUNTIF(_xlpm.doc_col, M95),
  _xlpm.latest_reviewed_date, _xlfn.MAXIFS(_xlpm.date_col, _xlpm.doc_col, M95, _xlpm.status_col, "&lt;&gt;"),
  IF(_xlpm.has_sub=0, "",
    IF(_xlpm.latest_reviewed_date=0, "",
      _xlfn.LET(
        _xlpm.res, _xlfn.XLOOKUP(1, (_xlpm.doc_col=M95) * (_xlpm.date_col=_xlpm.latest_reviewed_date) * (_xlpm.status_col&lt;&gt;""), _xlpm.status_col, ""),
        IF(OR(_xlpm.res="", _xlpm.res=0), "", _xlpm.res)
      )
    )
  )
))</f>
        <v>AWC</v>
      </c>
    </row>
    <row r="96" spans="1:25" x14ac:dyDescent="0.35">
      <c r="A96" s="33">
        <f>IF($M96="","",MAX($A$1:A95)+1)</f>
        <v>86</v>
      </c>
      <c r="B96" s="23" t="s">
        <v>54</v>
      </c>
      <c r="C96" s="23" t="s">
        <v>56</v>
      </c>
      <c r="G96" s="33">
        <v>131236</v>
      </c>
      <c r="H96" s="33" t="s">
        <v>59</v>
      </c>
      <c r="I96" s="33" t="s">
        <v>397</v>
      </c>
      <c r="J96" s="33" t="s">
        <v>323</v>
      </c>
      <c r="K96" s="51" t="s">
        <v>3469</v>
      </c>
      <c r="M96" s="34" t="str">
        <f t="shared" si="1"/>
        <v>Deleted</v>
      </c>
      <c r="N96" s="26" t="s">
        <v>3583</v>
      </c>
      <c r="P96" s="34" t="s">
        <v>3467</v>
      </c>
      <c r="U96" s="64" t="str" cm="1">
        <f t="array" ref="U96">IF(OR(M96="", M96="Deleted"), "", _xlfn.LET(
  _xlpm.dates,
  _xlfn._xlws.FILTER(
    [1]SubmittalLog!$H$1:$H$4000,
    [1]SubmittalLog!$E$1:$E$4000=M96,
    ""
  ),
  _xlpm.min_date, IFERROR(MIN(_xlpm.dates), ""),
  IF(_xlpm.min_date=0, "", _xlpm.min_date)
))</f>
        <v/>
      </c>
      <c r="V96" s="63" t="str" cm="1">
        <f t="array" ref="V96">IF(OR(M96="", M96="Deleted"), "", IFERROR(
  _xlfn.TEXTJOIN(", ", TRUE,
    _xlfn.MAP(
      _xlfn.UNIQUE(
        _xlfn._xlws.FILTER(
          [1]SubmittalLog!$B$1:$B$4000,
          ([1]SubmittalLog!$E$1:$E$4000=M96) *
          ([1]SubmittalLog!$B$1:$B$4000&lt;&gt;""),
          ""
        )
      ),
      _xlfn.LAMBDA(_xlpm.val, TEXT(_xlpm.val, "000000"))
    )
  ),
""))</f>
        <v/>
      </c>
      <c r="W96" s="40" t="str" cm="1">
        <f t="array" ref="W96">IF(OR(M96="", M96="Deleted"), "", _xlfn.LET(
  _xlpm.doc_col, [1]SubmittalLog!$E$1:$E$4000,
  _xlpm.date_col, [1]SubmittalLog!$H$1:$H$4000,
  _xlpm.status_col, [1]SubmittalLog!$N$1:$N$4000,
  _xlpm.latest_date, _xlfn.MAXIFS(_xlpm.date_col, _xlpm.doc_col, M96),
  IF(_xlpm.latest_date=0, "NFS",
    _xlfn.LET(
      _xlpm.res, _xlfn.XLOOKUP(M96 &amp; "|" &amp; _xlpm.latest_date, _xlpm.doc_col &amp; "|" &amp; _xlpm.date_col, _xlpm.status_col, ""),
      IF(OR(_xlpm.res="", _xlpm.res=0), "", _xlpm.res)
    )
  )
))</f>
        <v/>
      </c>
      <c r="X96" s="39" t="str">
        <f>IF(OR(M96="", M96="Deleted"), "", _xlfn.LET(
  _xlpm.doc_col, [1]SubmittalLog!$E$1:$E$4000,
  _xlpm.date_col, [1]SubmittalLog!$H$1:$H$4000,
  _xlpm.status_col, [1]SubmittalLog!$O$1:$O$4000,
  _xlpm.first_app_date, _xlfn.MINIFS(_xlpm.date_col, _xlpm.doc_col, M96, _xlpm.status_col, "APP"),
  _xlpm.first_awc_date, _xlfn.MINIFS(_xlpm.date_col, _xlpm.doc_col, M96, _xlpm.status_col, "AWC"),
  _xlpm.earliest_date, IF(
    AND(_xlpm.first_app_date=0, _xlpm.first_awc_date=0), 0,
    IF(_xlpm.first_app_date=0, _xlpm.first_awc_date,
    IF(_xlpm.first_awc_date=0, _xlpm.first_app_date,
    MIN(_xlpm.first_app_date, _xlpm.first_awc_date)))
  ),
  IF(_xlpm.earliest_date=0, "", _xlpm.earliest_date)
))</f>
        <v/>
      </c>
      <c r="Y96" s="40" t="str" cm="1">
        <f t="array" ref="Y96">IF(OR(M96="", M96="Deleted"), "", _xlfn.LET(
  _xlpm.doc_col, [1]SubmittalLog!$E$1:$E$4000,
  _xlpm.date_col, [1]SubmittalLog!$H$1:$H$4000,
  _xlpm.status_col, [1]SubmittalLog!$O$1:$O$4000,
  _xlpm.has_sub, COUNTIF(_xlpm.doc_col, M96),
  _xlpm.latest_reviewed_date, _xlfn.MAXIFS(_xlpm.date_col, _xlpm.doc_col, M96, _xlpm.status_col, "&lt;&gt;"),
  IF(_xlpm.has_sub=0, "",
    IF(_xlpm.latest_reviewed_date=0, "",
      _xlfn.LET(
        _xlpm.res, _xlfn.XLOOKUP(1, (_xlpm.doc_col=M96) * (_xlpm.date_col=_xlpm.latest_reviewed_date) * (_xlpm.status_col&lt;&gt;""), _xlpm.status_col, ""),
        IF(OR(_xlpm.res="", _xlpm.res=0), "", _xlpm.res)
      )
    )
  )
))</f>
        <v/>
      </c>
    </row>
    <row r="97" spans="1:25" x14ac:dyDescent="0.35">
      <c r="A97" s="33" t="str">
        <f>IF($M97="","",MAX($A$1:A96)+1)</f>
        <v/>
      </c>
      <c r="M97" s="34" t="str">
        <f t="shared" si="1"/>
        <v/>
      </c>
      <c r="N97" s="26" t="s">
        <v>3584</v>
      </c>
      <c r="U97" s="64" t="str" cm="1">
        <f t="array" ref="U97">IF(OR(M97="", M97="Deleted"), "", _xlfn.LET(
  _xlpm.dates,
  _xlfn._xlws.FILTER(
    [1]SubmittalLog!$H$1:$H$4000,
    [1]SubmittalLog!$E$1:$E$4000=M97,
    ""
  ),
  _xlpm.min_date, IFERROR(MIN(_xlpm.dates), ""),
  IF(_xlpm.min_date=0, "", _xlpm.min_date)
))</f>
        <v/>
      </c>
      <c r="V97" s="63" t="str" cm="1">
        <f t="array" ref="V97">IF(OR(M97="", M97="Deleted"), "", IFERROR(
  _xlfn.TEXTJOIN(", ", TRUE,
    _xlfn.MAP(
      _xlfn.UNIQUE(
        _xlfn._xlws.FILTER(
          [1]SubmittalLog!$B$1:$B$4000,
          ([1]SubmittalLog!$E$1:$E$4000=M97) *
          ([1]SubmittalLog!$B$1:$B$4000&lt;&gt;""),
          ""
        )
      ),
      _xlfn.LAMBDA(_xlpm.val, TEXT(_xlpm.val, "000000"))
    )
  ),
""))</f>
        <v/>
      </c>
      <c r="W97" s="40" t="str" cm="1">
        <f t="array" ref="W97">IF(OR(M97="", M97="Deleted"), "", _xlfn.LET(
  _xlpm.doc_col, [1]SubmittalLog!$E$1:$E$4000,
  _xlpm.date_col, [1]SubmittalLog!$H$1:$H$4000,
  _xlpm.status_col, [1]SubmittalLog!$N$1:$N$4000,
  _xlpm.latest_date, _xlfn.MAXIFS(_xlpm.date_col, _xlpm.doc_col, M97),
  IF(_xlpm.latest_date=0, "NFS",
    _xlfn.LET(
      _xlpm.res, _xlfn.XLOOKUP(M97 &amp; "|" &amp; _xlpm.latest_date, _xlpm.doc_col &amp; "|" &amp; _xlpm.date_col, _xlpm.status_col, ""),
      IF(OR(_xlpm.res="", _xlpm.res=0), "", _xlpm.res)
    )
  )
))</f>
        <v/>
      </c>
      <c r="X97" s="39" t="str">
        <f>IF(OR(M97="", M97="Deleted"), "", _xlfn.LET(
  _xlpm.doc_col, [1]SubmittalLog!$E$1:$E$4000,
  _xlpm.date_col, [1]SubmittalLog!$H$1:$H$4000,
  _xlpm.status_col, [1]SubmittalLog!$O$1:$O$4000,
  _xlpm.first_app_date, _xlfn.MINIFS(_xlpm.date_col, _xlpm.doc_col, M97, _xlpm.status_col, "APP"),
  _xlpm.first_awc_date, _xlfn.MINIFS(_xlpm.date_col, _xlpm.doc_col, M97, _xlpm.status_col, "AWC"),
  _xlpm.earliest_date, IF(
    AND(_xlpm.first_app_date=0, _xlpm.first_awc_date=0), 0,
    IF(_xlpm.first_app_date=0, _xlpm.first_awc_date,
    IF(_xlpm.first_awc_date=0, _xlpm.first_app_date,
    MIN(_xlpm.first_app_date, _xlpm.first_awc_date)))
  ),
  IF(_xlpm.earliest_date=0, "", _xlpm.earliest_date)
))</f>
        <v/>
      </c>
      <c r="Y97" s="40" t="str" cm="1">
        <f t="array" ref="Y97">IF(OR(M97="", M97="Deleted"), "", _xlfn.LET(
  _xlpm.doc_col, [1]SubmittalLog!$E$1:$E$4000,
  _xlpm.date_col, [1]SubmittalLog!$H$1:$H$4000,
  _xlpm.status_col, [1]SubmittalLog!$O$1:$O$4000,
  _xlpm.has_sub, COUNTIF(_xlpm.doc_col, M97),
  _xlpm.latest_reviewed_date, _xlfn.MAXIFS(_xlpm.date_col, _xlpm.doc_col, M97, _xlpm.status_col, "&lt;&gt;"),
  IF(_xlpm.has_sub=0, "",
    IF(_xlpm.latest_reviewed_date=0, "",
      _xlfn.LET(
        _xlpm.res, _xlfn.XLOOKUP(1, (_xlpm.doc_col=M97) * (_xlpm.date_col=_xlpm.latest_reviewed_date) * (_xlpm.status_col&lt;&gt;""), _xlpm.status_col, ""),
        IF(OR(_xlpm.res="", _xlpm.res=0), "", _xlpm.res)
      )
    )
  )
))</f>
        <v/>
      </c>
    </row>
    <row r="98" spans="1:25" x14ac:dyDescent="0.35">
      <c r="A98" s="33">
        <f>IF($M98="","",MAX($A$1:A97)+1)</f>
        <v>87</v>
      </c>
      <c r="B98" s="23" t="s">
        <v>250</v>
      </c>
      <c r="C98" s="23" t="s">
        <v>257</v>
      </c>
      <c r="G98" s="33">
        <v>131236</v>
      </c>
      <c r="H98" s="33" t="s">
        <v>59</v>
      </c>
      <c r="I98" s="33" t="s">
        <v>147</v>
      </c>
      <c r="J98" s="33" t="s">
        <v>3496</v>
      </c>
      <c r="K98" s="51" t="s">
        <v>3469</v>
      </c>
      <c r="M98" s="34" t="str">
        <f t="shared" si="1"/>
        <v>131236-WIL21-BQ-P-0001</v>
      </c>
      <c r="N98" s="26" t="s">
        <v>3585</v>
      </c>
      <c r="P98" s="34" t="s">
        <v>3467</v>
      </c>
      <c r="S98" s="35">
        <v>45260</v>
      </c>
      <c r="T98" s="35">
        <v>45358</v>
      </c>
      <c r="U98" s="64" cm="1">
        <f t="array" ref="U98">IF(OR(M98="", M98="Deleted"), "", _xlfn.LET(
  _xlpm.dates,
  _xlfn._xlws.FILTER(
    [1]SubmittalLog!$H$1:$H$4000,
    [1]SubmittalLog!$E$1:$E$4000=M98,
    ""
  ),
  _xlpm.min_date, IFERROR(MIN(_xlpm.dates), ""),
  IF(_xlpm.min_date=0, "", _xlpm.min_date)
))</f>
        <v>45219</v>
      </c>
      <c r="V98" s="63" t="str" cm="1">
        <f t="array" ref="V98">IF(OR(M98="", M98="Deleted"), "", IFERROR(
  _xlfn.TEXTJOIN(", ", TRUE,
    _xlfn.MAP(
      _xlfn.UNIQUE(
        _xlfn._xlws.FILTER(
          [1]SubmittalLog!$B$1:$B$4000,
          ([1]SubmittalLog!$E$1:$E$4000=M98) *
          ([1]SubmittalLog!$B$1:$B$4000&lt;&gt;""),
          ""
        )
      ),
      _xlfn.LAMBDA(_xlpm.val, TEXT(_xlpm.val, "000000"))
    )
  ),
""))</f>
        <v>000358, 000133</v>
      </c>
      <c r="W98" s="40" t="str" cm="1">
        <f t="array" ref="W98">IF(OR(M98="", M98="Deleted"), "", _xlfn.LET(
  _xlpm.doc_col, [1]SubmittalLog!$E$1:$E$4000,
  _xlpm.date_col, [1]SubmittalLog!$H$1:$H$4000,
  _xlpm.status_col, [1]SubmittalLog!$N$1:$N$4000,
  _xlpm.latest_date, _xlfn.MAXIFS(_xlpm.date_col, _xlpm.doc_col, M98),
  IF(_xlpm.latest_date=0, "NFS",
    _xlfn.LET(
      _xlpm.res, _xlfn.XLOOKUP(M98 &amp; "|" &amp; _xlpm.latest_date, _xlpm.doc_col &amp; "|" &amp; _xlpm.date_col, _xlpm.status_col, ""),
      IF(OR(_xlpm.res="", _xlpm.res=0), "", _xlpm.res)
    )
  )
))</f>
        <v>RTR</v>
      </c>
      <c r="X98" s="39">
        <f>IF(OR(M98="", M98="Deleted"), "", _xlfn.LET(
  _xlpm.doc_col, [1]SubmittalLog!$E$1:$E$4000,
  _xlpm.date_col, [1]SubmittalLog!$H$1:$H$4000,
  _xlpm.status_col, [1]SubmittalLog!$O$1:$O$4000,
  _xlpm.first_app_date, _xlfn.MINIFS(_xlpm.date_col, _xlpm.doc_col, M98, _xlpm.status_col, "APP"),
  _xlpm.first_awc_date, _xlfn.MINIFS(_xlpm.date_col, _xlpm.doc_col, M98, _xlpm.status_col, "AWC"),
  _xlpm.earliest_date, IF(
    AND(_xlpm.first_app_date=0, _xlpm.first_awc_date=0), 0,
    IF(_xlpm.first_app_date=0, _xlpm.first_awc_date,
    IF(_xlpm.first_awc_date=0, _xlpm.first_app_date,
    MIN(_xlpm.first_app_date, _xlpm.first_awc_date)))
  ),
  IF(_xlpm.earliest_date=0, "", _xlpm.earliest_date)
))</f>
        <v>45219</v>
      </c>
      <c r="Y98" s="40" t="str" cm="1">
        <f t="array" ref="Y98">IF(OR(M98="", M98="Deleted"), "", _xlfn.LET(
  _xlpm.doc_col, [1]SubmittalLog!$E$1:$E$4000,
  _xlpm.date_col, [1]SubmittalLog!$H$1:$H$4000,
  _xlpm.status_col, [1]SubmittalLog!$O$1:$O$4000,
  _xlpm.has_sub, COUNTIF(_xlpm.doc_col, M98),
  _xlpm.latest_reviewed_date, _xlfn.MAXIFS(_xlpm.date_col, _xlpm.doc_col, M98, _xlpm.status_col, "&lt;&gt;"),
  IF(_xlpm.has_sub=0, "",
    IF(_xlpm.latest_reviewed_date=0, "",
      _xlfn.LET(
        _xlpm.res, _xlfn.XLOOKUP(1, (_xlpm.doc_col=M98) * (_xlpm.date_col=_xlpm.latest_reviewed_date) * (_xlpm.status_col&lt;&gt;""), _xlpm.status_col, ""),
        IF(OR(_xlpm.res="", _xlpm.res=0), "", _xlpm.res)
      )
    )
  )
))</f>
        <v>APP</v>
      </c>
    </row>
    <row r="99" spans="1:25" x14ac:dyDescent="0.35">
      <c r="A99" s="33">
        <f>IF($M99="","",MAX($A$1:A98)+1)</f>
        <v>88</v>
      </c>
      <c r="B99" s="23" t="s">
        <v>54</v>
      </c>
      <c r="C99" s="23" t="s">
        <v>257</v>
      </c>
      <c r="G99" s="33">
        <v>131236</v>
      </c>
      <c r="H99" s="33" t="s">
        <v>59</v>
      </c>
      <c r="I99" s="33" t="s">
        <v>147</v>
      </c>
      <c r="J99" s="33" t="s">
        <v>233</v>
      </c>
      <c r="K99" s="51" t="s">
        <v>3503</v>
      </c>
      <c r="M99" s="34" t="str">
        <f t="shared" si="1"/>
        <v>Deleted</v>
      </c>
      <c r="N99" s="26" t="s">
        <v>3586</v>
      </c>
      <c r="P99" s="34" t="s">
        <v>3467</v>
      </c>
      <c r="S99" s="35">
        <v>45535</v>
      </c>
      <c r="T99" s="35">
        <v>45657</v>
      </c>
      <c r="U99" s="64" t="str" cm="1">
        <f t="array" ref="U99">IF(OR(M99="", M99="Deleted"), "", _xlfn.LET(
  _xlpm.dates,
  _xlfn._xlws.FILTER(
    [1]SubmittalLog!$H$1:$H$4000,
    [1]SubmittalLog!$E$1:$E$4000=M99,
    ""
  ),
  _xlpm.min_date, IFERROR(MIN(_xlpm.dates), ""),
  IF(_xlpm.min_date=0, "", _xlpm.min_date)
))</f>
        <v/>
      </c>
      <c r="V99" s="63" t="str" cm="1">
        <f t="array" ref="V99">IF(OR(M99="", M99="Deleted"), "", IFERROR(
  _xlfn.TEXTJOIN(", ", TRUE,
    _xlfn.MAP(
      _xlfn.UNIQUE(
        _xlfn._xlws.FILTER(
          [1]SubmittalLog!$B$1:$B$4000,
          ([1]SubmittalLog!$E$1:$E$4000=M99) *
          ([1]SubmittalLog!$B$1:$B$4000&lt;&gt;""),
          ""
        )
      ),
      _xlfn.LAMBDA(_xlpm.val, TEXT(_xlpm.val, "000000"))
    )
  ),
""))</f>
        <v/>
      </c>
      <c r="W99" s="40" t="str" cm="1">
        <f t="array" ref="W99">IF(OR(M99="", M99="Deleted"), "", _xlfn.LET(
  _xlpm.doc_col, [1]SubmittalLog!$E$1:$E$4000,
  _xlpm.date_col, [1]SubmittalLog!$H$1:$H$4000,
  _xlpm.status_col, [1]SubmittalLog!$N$1:$N$4000,
  _xlpm.latest_date, _xlfn.MAXIFS(_xlpm.date_col, _xlpm.doc_col, M99),
  IF(_xlpm.latest_date=0, "NFS",
    _xlfn.LET(
      _xlpm.res, _xlfn.XLOOKUP(M99 &amp; "|" &amp; _xlpm.latest_date, _xlpm.doc_col &amp; "|" &amp; _xlpm.date_col, _xlpm.status_col, ""),
      IF(OR(_xlpm.res="", _xlpm.res=0), "", _xlpm.res)
    )
  )
))</f>
        <v/>
      </c>
      <c r="X99" s="39" t="str">
        <f>IF(OR(M99="", M99="Deleted"), "", _xlfn.LET(
  _xlpm.doc_col, [1]SubmittalLog!$E$1:$E$4000,
  _xlpm.date_col, [1]SubmittalLog!$H$1:$H$4000,
  _xlpm.status_col, [1]SubmittalLog!$O$1:$O$4000,
  _xlpm.first_app_date, _xlfn.MINIFS(_xlpm.date_col, _xlpm.doc_col, M99, _xlpm.status_col, "APP"),
  _xlpm.first_awc_date, _xlfn.MINIFS(_xlpm.date_col, _xlpm.doc_col, M99, _xlpm.status_col, "AWC"),
  _xlpm.earliest_date, IF(
    AND(_xlpm.first_app_date=0, _xlpm.first_awc_date=0), 0,
    IF(_xlpm.first_app_date=0, _xlpm.first_awc_date,
    IF(_xlpm.first_awc_date=0, _xlpm.first_app_date,
    MIN(_xlpm.first_app_date, _xlpm.first_awc_date)))
  ),
  IF(_xlpm.earliest_date=0, "", _xlpm.earliest_date)
))</f>
        <v/>
      </c>
      <c r="Y99" s="40" t="str" cm="1">
        <f t="array" ref="Y99">IF(OR(M99="", M99="Deleted"), "", _xlfn.LET(
  _xlpm.doc_col, [1]SubmittalLog!$E$1:$E$4000,
  _xlpm.date_col, [1]SubmittalLog!$H$1:$H$4000,
  _xlpm.status_col, [1]SubmittalLog!$O$1:$O$4000,
  _xlpm.has_sub, COUNTIF(_xlpm.doc_col, M99),
  _xlpm.latest_reviewed_date, _xlfn.MAXIFS(_xlpm.date_col, _xlpm.doc_col, M99, _xlpm.status_col, "&lt;&gt;"),
  IF(_xlpm.has_sub=0, "",
    IF(_xlpm.latest_reviewed_date=0, "",
      _xlfn.LET(
        _xlpm.res, _xlfn.XLOOKUP(1, (_xlpm.doc_col=M99) * (_xlpm.date_col=_xlpm.latest_reviewed_date) * (_xlpm.status_col&lt;&gt;""), _xlpm.status_col, ""),
        IF(OR(_xlpm.res="", _xlpm.res=0), "", _xlpm.res)
      )
    )
  )
))</f>
        <v/>
      </c>
    </row>
    <row r="100" spans="1:25" x14ac:dyDescent="0.35">
      <c r="A100" s="33">
        <f>IF($M100="","",MAX($A$1:A99)+1)</f>
        <v>89</v>
      </c>
      <c r="B100" s="23" t="s">
        <v>54</v>
      </c>
      <c r="C100" s="23" t="s">
        <v>257</v>
      </c>
      <c r="G100" s="33">
        <v>131236</v>
      </c>
      <c r="H100" s="33" t="s">
        <v>59</v>
      </c>
      <c r="I100" s="33" t="s">
        <v>147</v>
      </c>
      <c r="J100" s="33" t="s">
        <v>233</v>
      </c>
      <c r="K100" s="51" t="s">
        <v>3505</v>
      </c>
      <c r="M100" s="34" t="str">
        <f t="shared" si="1"/>
        <v>Deleted</v>
      </c>
      <c r="N100" s="26" t="s">
        <v>3587</v>
      </c>
      <c r="P100" s="34" t="s">
        <v>3467</v>
      </c>
      <c r="S100" s="35">
        <v>45535</v>
      </c>
      <c r="T100" s="35">
        <v>45698</v>
      </c>
      <c r="U100" s="64" t="str" cm="1">
        <f t="array" ref="U100">IF(OR(M100="", M100="Deleted"), "", _xlfn.LET(
  _xlpm.dates,
  _xlfn._xlws.FILTER(
    [1]SubmittalLog!$H$1:$H$4000,
    [1]SubmittalLog!$E$1:$E$4000=M100,
    ""
  ),
  _xlpm.min_date, IFERROR(MIN(_xlpm.dates), ""),
  IF(_xlpm.min_date=0, "", _xlpm.min_date)
))</f>
        <v/>
      </c>
      <c r="V100" s="63" t="str" cm="1">
        <f t="array" ref="V100">IF(OR(M100="", M100="Deleted"), "", IFERROR(
  _xlfn.TEXTJOIN(", ", TRUE,
    _xlfn.MAP(
      _xlfn.UNIQUE(
        _xlfn._xlws.FILTER(
          [1]SubmittalLog!$B$1:$B$4000,
          ([1]SubmittalLog!$E$1:$E$4000=M100) *
          ([1]SubmittalLog!$B$1:$B$4000&lt;&gt;""),
          ""
        )
      ),
      _xlfn.LAMBDA(_xlpm.val, TEXT(_xlpm.val, "000000"))
    )
  ),
""))</f>
        <v/>
      </c>
      <c r="W100" s="40" t="str" cm="1">
        <f t="array" ref="W100">IF(OR(M100="", M100="Deleted"), "", _xlfn.LET(
  _xlpm.doc_col, [1]SubmittalLog!$E$1:$E$4000,
  _xlpm.date_col, [1]SubmittalLog!$H$1:$H$4000,
  _xlpm.status_col, [1]SubmittalLog!$N$1:$N$4000,
  _xlpm.latest_date, _xlfn.MAXIFS(_xlpm.date_col, _xlpm.doc_col, M100),
  IF(_xlpm.latest_date=0, "NFS",
    _xlfn.LET(
      _xlpm.res, _xlfn.XLOOKUP(M100 &amp; "|" &amp; _xlpm.latest_date, _xlpm.doc_col &amp; "|" &amp; _xlpm.date_col, _xlpm.status_col, ""),
      IF(OR(_xlpm.res="", _xlpm.res=0), "", _xlpm.res)
    )
  )
))</f>
        <v/>
      </c>
      <c r="X100" s="39" t="str">
        <f>IF(OR(M100="", M100="Deleted"), "", _xlfn.LET(
  _xlpm.doc_col, [1]SubmittalLog!$E$1:$E$4000,
  _xlpm.date_col, [1]SubmittalLog!$H$1:$H$4000,
  _xlpm.status_col, [1]SubmittalLog!$O$1:$O$4000,
  _xlpm.first_app_date, _xlfn.MINIFS(_xlpm.date_col, _xlpm.doc_col, M100, _xlpm.status_col, "APP"),
  _xlpm.first_awc_date, _xlfn.MINIFS(_xlpm.date_col, _xlpm.doc_col, M100, _xlpm.status_col, "AWC"),
  _xlpm.earliest_date, IF(
    AND(_xlpm.first_app_date=0, _xlpm.first_awc_date=0), 0,
    IF(_xlpm.first_app_date=0, _xlpm.first_awc_date,
    IF(_xlpm.first_awc_date=0, _xlpm.first_app_date,
    MIN(_xlpm.first_app_date, _xlpm.first_awc_date)))
  ),
  IF(_xlpm.earliest_date=0, "", _xlpm.earliest_date)
))</f>
        <v/>
      </c>
      <c r="Y100" s="40" t="str" cm="1">
        <f t="array" ref="Y100">IF(OR(M100="", M100="Deleted"), "", _xlfn.LET(
  _xlpm.doc_col, [1]SubmittalLog!$E$1:$E$4000,
  _xlpm.date_col, [1]SubmittalLog!$H$1:$H$4000,
  _xlpm.status_col, [1]SubmittalLog!$O$1:$O$4000,
  _xlpm.has_sub, COUNTIF(_xlpm.doc_col, M100),
  _xlpm.latest_reviewed_date, _xlfn.MAXIFS(_xlpm.date_col, _xlpm.doc_col, M100, _xlpm.status_col, "&lt;&gt;"),
  IF(_xlpm.has_sub=0, "",
    IF(_xlpm.latest_reviewed_date=0, "",
      _xlfn.LET(
        _xlpm.res, _xlfn.XLOOKUP(1, (_xlpm.doc_col=M100) * (_xlpm.date_col=_xlpm.latest_reviewed_date) * (_xlpm.status_col&lt;&gt;""), _xlpm.status_col, ""),
        IF(OR(_xlpm.res="", _xlpm.res=0), "", _xlpm.res)
      )
    )
  )
))</f>
        <v/>
      </c>
    </row>
    <row r="101" spans="1:25" x14ac:dyDescent="0.35">
      <c r="A101" s="33">
        <f>IF($M101="","",MAX($A$1:A100)+1)</f>
        <v>90</v>
      </c>
      <c r="B101" s="23" t="s">
        <v>54</v>
      </c>
      <c r="C101" s="23" t="s">
        <v>234</v>
      </c>
      <c r="G101" s="33">
        <v>131236</v>
      </c>
      <c r="H101" s="33" t="s">
        <v>59</v>
      </c>
      <c r="I101" s="33" t="s">
        <v>436</v>
      </c>
      <c r="J101" s="33" t="s">
        <v>233</v>
      </c>
      <c r="K101" s="51" t="s">
        <v>3503</v>
      </c>
      <c r="M101" s="34" t="str">
        <f t="shared" si="1"/>
        <v>Deleted</v>
      </c>
      <c r="N101" s="26" t="s">
        <v>3588</v>
      </c>
      <c r="P101" s="34" t="s">
        <v>3467</v>
      </c>
      <c r="S101" s="35">
        <v>45260</v>
      </c>
      <c r="T101" s="35">
        <v>45703</v>
      </c>
      <c r="U101" s="64" t="str" cm="1">
        <f t="array" ref="U101">IF(OR(M101="", M101="Deleted"), "", _xlfn.LET(
  _xlpm.dates,
  _xlfn._xlws.FILTER(
    [1]SubmittalLog!$H$1:$H$4000,
    [1]SubmittalLog!$E$1:$E$4000=M101,
    ""
  ),
  _xlpm.min_date, IFERROR(MIN(_xlpm.dates), ""),
  IF(_xlpm.min_date=0, "", _xlpm.min_date)
))</f>
        <v/>
      </c>
      <c r="V101" s="63" t="str" cm="1">
        <f t="array" ref="V101">IF(OR(M101="", M101="Deleted"), "", IFERROR(
  _xlfn.TEXTJOIN(", ", TRUE,
    _xlfn.MAP(
      _xlfn.UNIQUE(
        _xlfn._xlws.FILTER(
          [1]SubmittalLog!$B$1:$B$4000,
          ([1]SubmittalLog!$E$1:$E$4000=M101) *
          ([1]SubmittalLog!$B$1:$B$4000&lt;&gt;""),
          ""
        )
      ),
      _xlfn.LAMBDA(_xlpm.val, TEXT(_xlpm.val, "000000"))
    )
  ),
""))</f>
        <v/>
      </c>
      <c r="W101" s="40" t="str" cm="1">
        <f t="array" ref="W101">IF(OR(M101="", M101="Deleted"), "", _xlfn.LET(
  _xlpm.doc_col, [1]SubmittalLog!$E$1:$E$4000,
  _xlpm.date_col, [1]SubmittalLog!$H$1:$H$4000,
  _xlpm.status_col, [1]SubmittalLog!$N$1:$N$4000,
  _xlpm.latest_date, _xlfn.MAXIFS(_xlpm.date_col, _xlpm.doc_col, M101),
  IF(_xlpm.latest_date=0, "NFS",
    _xlfn.LET(
      _xlpm.res, _xlfn.XLOOKUP(M101 &amp; "|" &amp; _xlpm.latest_date, _xlpm.doc_col &amp; "|" &amp; _xlpm.date_col, _xlpm.status_col, ""),
      IF(OR(_xlpm.res="", _xlpm.res=0), "", _xlpm.res)
    )
  )
))</f>
        <v/>
      </c>
      <c r="X101" s="39" t="str">
        <f>IF(OR(M101="", M101="Deleted"), "", _xlfn.LET(
  _xlpm.doc_col, [1]SubmittalLog!$E$1:$E$4000,
  _xlpm.date_col, [1]SubmittalLog!$H$1:$H$4000,
  _xlpm.status_col, [1]SubmittalLog!$O$1:$O$4000,
  _xlpm.first_app_date, _xlfn.MINIFS(_xlpm.date_col, _xlpm.doc_col, M101, _xlpm.status_col, "APP"),
  _xlpm.first_awc_date, _xlfn.MINIFS(_xlpm.date_col, _xlpm.doc_col, M101, _xlpm.status_col, "AWC"),
  _xlpm.earliest_date, IF(
    AND(_xlpm.first_app_date=0, _xlpm.first_awc_date=0), 0,
    IF(_xlpm.first_app_date=0, _xlpm.first_awc_date,
    IF(_xlpm.first_awc_date=0, _xlpm.first_app_date,
    MIN(_xlpm.first_app_date, _xlpm.first_awc_date)))
  ),
  IF(_xlpm.earliest_date=0, "", _xlpm.earliest_date)
))</f>
        <v/>
      </c>
      <c r="Y101" s="40" t="str" cm="1">
        <f t="array" ref="Y101">IF(OR(M101="", M101="Deleted"), "", _xlfn.LET(
  _xlpm.doc_col, [1]SubmittalLog!$E$1:$E$4000,
  _xlpm.date_col, [1]SubmittalLog!$H$1:$H$4000,
  _xlpm.status_col, [1]SubmittalLog!$O$1:$O$4000,
  _xlpm.has_sub, COUNTIF(_xlpm.doc_col, M101),
  _xlpm.latest_reviewed_date, _xlfn.MAXIFS(_xlpm.date_col, _xlpm.doc_col, M101, _xlpm.status_col, "&lt;&gt;"),
  IF(_xlpm.has_sub=0, "",
    IF(_xlpm.latest_reviewed_date=0, "",
      _xlfn.LET(
        _xlpm.res, _xlfn.XLOOKUP(1, (_xlpm.doc_col=M101) * (_xlpm.date_col=_xlpm.latest_reviewed_date) * (_xlpm.status_col&lt;&gt;""), _xlpm.status_col, ""),
        IF(OR(_xlpm.res="", _xlpm.res=0), "", _xlpm.res)
      )
    )
  )
))</f>
        <v/>
      </c>
    </row>
    <row r="102" spans="1:25" x14ac:dyDescent="0.35">
      <c r="A102" s="33">
        <f>IF($M102="","",MAX($A$1:A101)+1)</f>
        <v>91</v>
      </c>
      <c r="B102" s="23" t="s">
        <v>54</v>
      </c>
      <c r="C102" s="23" t="s">
        <v>257</v>
      </c>
      <c r="M102" s="34" t="str">
        <f t="shared" si="1"/>
        <v>Deleted</v>
      </c>
      <c r="N102" s="26" t="s">
        <v>3589</v>
      </c>
      <c r="P102" s="34" t="s">
        <v>3467</v>
      </c>
      <c r="U102" s="64" t="str" cm="1">
        <f t="array" ref="U102">IF(OR(M102="", M102="Deleted"), "", _xlfn.LET(
  _xlpm.dates,
  _xlfn._xlws.FILTER(
    [1]SubmittalLog!$H$1:$H$4000,
    [1]SubmittalLog!$E$1:$E$4000=M102,
    ""
  ),
  _xlpm.min_date, IFERROR(MIN(_xlpm.dates), ""),
  IF(_xlpm.min_date=0, "", _xlpm.min_date)
))</f>
        <v/>
      </c>
      <c r="V102" s="63" t="str" cm="1">
        <f t="array" ref="V102">IF(OR(M102="", M102="Deleted"), "", IFERROR(
  _xlfn.TEXTJOIN(", ", TRUE,
    _xlfn.MAP(
      _xlfn.UNIQUE(
        _xlfn._xlws.FILTER(
          [1]SubmittalLog!$B$1:$B$4000,
          ([1]SubmittalLog!$E$1:$E$4000=M102) *
          ([1]SubmittalLog!$B$1:$B$4000&lt;&gt;""),
          ""
        )
      ),
      _xlfn.LAMBDA(_xlpm.val, TEXT(_xlpm.val, "000000"))
    )
  ),
""))</f>
        <v/>
      </c>
      <c r="W102" s="40" t="str" cm="1">
        <f t="array" ref="W102">IF(OR(M102="", M102="Deleted"), "", _xlfn.LET(
  _xlpm.doc_col, [1]SubmittalLog!$E$1:$E$4000,
  _xlpm.date_col, [1]SubmittalLog!$H$1:$H$4000,
  _xlpm.status_col, [1]SubmittalLog!$N$1:$N$4000,
  _xlpm.latest_date, _xlfn.MAXIFS(_xlpm.date_col, _xlpm.doc_col, M102),
  IF(_xlpm.latest_date=0, "NFS",
    _xlfn.LET(
      _xlpm.res, _xlfn.XLOOKUP(M102 &amp; "|" &amp; _xlpm.latest_date, _xlpm.doc_col &amp; "|" &amp; _xlpm.date_col, _xlpm.status_col, ""),
      IF(OR(_xlpm.res="", _xlpm.res=0), "", _xlpm.res)
    )
  )
))</f>
        <v/>
      </c>
      <c r="X102" s="39" t="str">
        <f>IF(OR(M102="", M102="Deleted"), "", _xlfn.LET(
  _xlpm.doc_col, [1]SubmittalLog!$E$1:$E$4000,
  _xlpm.date_col, [1]SubmittalLog!$H$1:$H$4000,
  _xlpm.status_col, [1]SubmittalLog!$O$1:$O$4000,
  _xlpm.first_app_date, _xlfn.MINIFS(_xlpm.date_col, _xlpm.doc_col, M102, _xlpm.status_col, "APP"),
  _xlpm.first_awc_date, _xlfn.MINIFS(_xlpm.date_col, _xlpm.doc_col, M102, _xlpm.status_col, "AWC"),
  _xlpm.earliest_date, IF(
    AND(_xlpm.first_app_date=0, _xlpm.first_awc_date=0), 0,
    IF(_xlpm.first_app_date=0, _xlpm.first_awc_date,
    IF(_xlpm.first_awc_date=0, _xlpm.first_app_date,
    MIN(_xlpm.first_app_date, _xlpm.first_awc_date)))
  ),
  IF(_xlpm.earliest_date=0, "", _xlpm.earliest_date)
))</f>
        <v/>
      </c>
      <c r="Y102" s="40" t="str" cm="1">
        <f t="array" ref="Y102">IF(OR(M102="", M102="Deleted"), "", _xlfn.LET(
  _xlpm.doc_col, [1]SubmittalLog!$E$1:$E$4000,
  _xlpm.date_col, [1]SubmittalLog!$H$1:$H$4000,
  _xlpm.status_col, [1]SubmittalLog!$O$1:$O$4000,
  _xlpm.has_sub, COUNTIF(_xlpm.doc_col, M102),
  _xlpm.latest_reviewed_date, _xlfn.MAXIFS(_xlpm.date_col, _xlpm.doc_col, M102, _xlpm.status_col, "&lt;&gt;"),
  IF(_xlpm.has_sub=0, "",
    IF(_xlpm.latest_reviewed_date=0, "",
      _xlfn.LET(
        _xlpm.res, _xlfn.XLOOKUP(1, (_xlpm.doc_col=M102) * (_xlpm.date_col=_xlpm.latest_reviewed_date) * (_xlpm.status_col&lt;&gt;""), _xlpm.status_col, ""),
        IF(OR(_xlpm.res="", _xlpm.res=0), "", _xlpm.res)
      )
    )
  )
))</f>
        <v/>
      </c>
    </row>
    <row r="103" spans="1:25" x14ac:dyDescent="0.35">
      <c r="A103" s="33">
        <f>IF($M103="","",MAX($A$1:A102)+1)</f>
        <v>92</v>
      </c>
      <c r="B103" s="23" t="s">
        <v>54</v>
      </c>
      <c r="C103" s="23" t="s">
        <v>257</v>
      </c>
      <c r="M103" s="34" t="str">
        <f t="shared" si="1"/>
        <v>Deleted</v>
      </c>
      <c r="N103" s="26" t="s">
        <v>3590</v>
      </c>
      <c r="P103" s="34" t="s">
        <v>3467</v>
      </c>
      <c r="U103" s="64" t="str" cm="1">
        <f t="array" ref="U103">IF(OR(M103="", M103="Deleted"), "", _xlfn.LET(
  _xlpm.dates,
  _xlfn._xlws.FILTER(
    [1]SubmittalLog!$H$1:$H$4000,
    [1]SubmittalLog!$E$1:$E$4000=M103,
    ""
  ),
  _xlpm.min_date, IFERROR(MIN(_xlpm.dates), ""),
  IF(_xlpm.min_date=0, "", _xlpm.min_date)
))</f>
        <v/>
      </c>
      <c r="V103" s="63" t="str" cm="1">
        <f t="array" ref="V103">IF(OR(M103="", M103="Deleted"), "", IFERROR(
  _xlfn.TEXTJOIN(", ", TRUE,
    _xlfn.MAP(
      _xlfn.UNIQUE(
        _xlfn._xlws.FILTER(
          [1]SubmittalLog!$B$1:$B$4000,
          ([1]SubmittalLog!$E$1:$E$4000=M103) *
          ([1]SubmittalLog!$B$1:$B$4000&lt;&gt;""),
          ""
        )
      ),
      _xlfn.LAMBDA(_xlpm.val, TEXT(_xlpm.val, "000000"))
    )
  ),
""))</f>
        <v/>
      </c>
      <c r="W103" s="40" t="str" cm="1">
        <f t="array" ref="W103">IF(OR(M103="", M103="Deleted"), "", _xlfn.LET(
  _xlpm.doc_col, [1]SubmittalLog!$E$1:$E$4000,
  _xlpm.date_col, [1]SubmittalLog!$H$1:$H$4000,
  _xlpm.status_col, [1]SubmittalLog!$N$1:$N$4000,
  _xlpm.latest_date, _xlfn.MAXIFS(_xlpm.date_col, _xlpm.doc_col, M103),
  IF(_xlpm.latest_date=0, "NFS",
    _xlfn.LET(
      _xlpm.res, _xlfn.XLOOKUP(M103 &amp; "|" &amp; _xlpm.latest_date, _xlpm.doc_col &amp; "|" &amp; _xlpm.date_col, _xlpm.status_col, ""),
      IF(OR(_xlpm.res="", _xlpm.res=0), "", _xlpm.res)
    )
  )
))</f>
        <v/>
      </c>
      <c r="X103" s="39" t="str">
        <f>IF(OR(M103="", M103="Deleted"), "", _xlfn.LET(
  _xlpm.doc_col, [1]SubmittalLog!$E$1:$E$4000,
  _xlpm.date_col, [1]SubmittalLog!$H$1:$H$4000,
  _xlpm.status_col, [1]SubmittalLog!$O$1:$O$4000,
  _xlpm.first_app_date, _xlfn.MINIFS(_xlpm.date_col, _xlpm.doc_col, M103, _xlpm.status_col, "APP"),
  _xlpm.first_awc_date, _xlfn.MINIFS(_xlpm.date_col, _xlpm.doc_col, M103, _xlpm.status_col, "AWC"),
  _xlpm.earliest_date, IF(
    AND(_xlpm.first_app_date=0, _xlpm.first_awc_date=0), 0,
    IF(_xlpm.first_app_date=0, _xlpm.first_awc_date,
    IF(_xlpm.first_awc_date=0, _xlpm.first_app_date,
    MIN(_xlpm.first_app_date, _xlpm.first_awc_date)))
  ),
  IF(_xlpm.earliest_date=0, "", _xlpm.earliest_date)
))</f>
        <v/>
      </c>
      <c r="Y103" s="40" t="str" cm="1">
        <f t="array" ref="Y103">IF(OR(M103="", M103="Deleted"), "", _xlfn.LET(
  _xlpm.doc_col, [1]SubmittalLog!$E$1:$E$4000,
  _xlpm.date_col, [1]SubmittalLog!$H$1:$H$4000,
  _xlpm.status_col, [1]SubmittalLog!$O$1:$O$4000,
  _xlpm.has_sub, COUNTIF(_xlpm.doc_col, M103),
  _xlpm.latest_reviewed_date, _xlfn.MAXIFS(_xlpm.date_col, _xlpm.doc_col, M103, _xlpm.status_col, "&lt;&gt;"),
  IF(_xlpm.has_sub=0, "",
    IF(_xlpm.latest_reviewed_date=0, "",
      _xlfn.LET(
        _xlpm.res, _xlfn.XLOOKUP(1, (_xlpm.doc_col=M103) * (_xlpm.date_col=_xlpm.latest_reviewed_date) * (_xlpm.status_col&lt;&gt;""), _xlpm.status_col, ""),
        IF(OR(_xlpm.res="", _xlpm.res=0), "", _xlpm.res)
      )
    )
  )
))</f>
        <v/>
      </c>
    </row>
    <row r="104" spans="1:25" x14ac:dyDescent="0.35">
      <c r="A104" s="33">
        <f>IF($M104="","",MAX($A$1:A103)+1)</f>
        <v>93</v>
      </c>
      <c r="B104" s="23" t="s">
        <v>54</v>
      </c>
      <c r="C104" s="23" t="s">
        <v>257</v>
      </c>
      <c r="M104" s="34" t="str">
        <f t="shared" si="1"/>
        <v>Deleted</v>
      </c>
      <c r="N104" s="26" t="s">
        <v>3591</v>
      </c>
      <c r="P104" s="34" t="s">
        <v>3467</v>
      </c>
      <c r="U104" s="64" t="str" cm="1">
        <f t="array" ref="U104">IF(OR(M104="", M104="Deleted"), "", _xlfn.LET(
  _xlpm.dates,
  _xlfn._xlws.FILTER(
    [1]SubmittalLog!$H$1:$H$4000,
    [1]SubmittalLog!$E$1:$E$4000=M104,
    ""
  ),
  _xlpm.min_date, IFERROR(MIN(_xlpm.dates), ""),
  IF(_xlpm.min_date=0, "", _xlpm.min_date)
))</f>
        <v/>
      </c>
      <c r="V104" s="63" t="str" cm="1">
        <f t="array" ref="V104">IF(OR(M104="", M104="Deleted"), "", IFERROR(
  _xlfn.TEXTJOIN(", ", TRUE,
    _xlfn.MAP(
      _xlfn.UNIQUE(
        _xlfn._xlws.FILTER(
          [1]SubmittalLog!$B$1:$B$4000,
          ([1]SubmittalLog!$E$1:$E$4000=M104) *
          ([1]SubmittalLog!$B$1:$B$4000&lt;&gt;""),
          ""
        )
      ),
      _xlfn.LAMBDA(_xlpm.val, TEXT(_xlpm.val, "000000"))
    )
  ),
""))</f>
        <v/>
      </c>
      <c r="W104" s="40" t="str" cm="1">
        <f t="array" ref="W104">IF(OR(M104="", M104="Deleted"), "", _xlfn.LET(
  _xlpm.doc_col, [1]SubmittalLog!$E$1:$E$4000,
  _xlpm.date_col, [1]SubmittalLog!$H$1:$H$4000,
  _xlpm.status_col, [1]SubmittalLog!$N$1:$N$4000,
  _xlpm.latest_date, _xlfn.MAXIFS(_xlpm.date_col, _xlpm.doc_col, M104),
  IF(_xlpm.latest_date=0, "NFS",
    _xlfn.LET(
      _xlpm.res, _xlfn.XLOOKUP(M104 &amp; "|" &amp; _xlpm.latest_date, _xlpm.doc_col &amp; "|" &amp; _xlpm.date_col, _xlpm.status_col, ""),
      IF(OR(_xlpm.res="", _xlpm.res=0), "", _xlpm.res)
    )
  )
))</f>
        <v/>
      </c>
      <c r="X104" s="39" t="str">
        <f>IF(OR(M104="", M104="Deleted"), "", _xlfn.LET(
  _xlpm.doc_col, [1]SubmittalLog!$E$1:$E$4000,
  _xlpm.date_col, [1]SubmittalLog!$H$1:$H$4000,
  _xlpm.status_col, [1]SubmittalLog!$O$1:$O$4000,
  _xlpm.first_app_date, _xlfn.MINIFS(_xlpm.date_col, _xlpm.doc_col, M104, _xlpm.status_col, "APP"),
  _xlpm.first_awc_date, _xlfn.MINIFS(_xlpm.date_col, _xlpm.doc_col, M104, _xlpm.status_col, "AWC"),
  _xlpm.earliest_date, IF(
    AND(_xlpm.first_app_date=0, _xlpm.first_awc_date=0), 0,
    IF(_xlpm.first_app_date=0, _xlpm.first_awc_date,
    IF(_xlpm.first_awc_date=0, _xlpm.first_app_date,
    MIN(_xlpm.first_app_date, _xlpm.first_awc_date)))
  ),
  IF(_xlpm.earliest_date=0, "", _xlpm.earliest_date)
))</f>
        <v/>
      </c>
      <c r="Y104" s="40" t="str" cm="1">
        <f t="array" ref="Y104">IF(OR(M104="", M104="Deleted"), "", _xlfn.LET(
  _xlpm.doc_col, [1]SubmittalLog!$E$1:$E$4000,
  _xlpm.date_col, [1]SubmittalLog!$H$1:$H$4000,
  _xlpm.status_col, [1]SubmittalLog!$O$1:$O$4000,
  _xlpm.has_sub, COUNTIF(_xlpm.doc_col, M104),
  _xlpm.latest_reviewed_date, _xlfn.MAXIFS(_xlpm.date_col, _xlpm.doc_col, M104, _xlpm.status_col, "&lt;&gt;"),
  IF(_xlpm.has_sub=0, "",
    IF(_xlpm.latest_reviewed_date=0, "",
      _xlfn.LET(
        _xlpm.res, _xlfn.XLOOKUP(1, (_xlpm.doc_col=M104) * (_xlpm.date_col=_xlpm.latest_reviewed_date) * (_xlpm.status_col&lt;&gt;""), _xlpm.status_col, ""),
        IF(OR(_xlpm.res="", _xlpm.res=0), "", _xlpm.res)
      )
    )
  )
))</f>
        <v/>
      </c>
    </row>
    <row r="105" spans="1:25" x14ac:dyDescent="0.35">
      <c r="A105" s="33">
        <f>IF($M105="","",MAX($A$1:A104)+1)</f>
        <v>94</v>
      </c>
      <c r="B105" s="23" t="s">
        <v>54</v>
      </c>
      <c r="C105" s="23" t="s">
        <v>257</v>
      </c>
      <c r="M105" s="34" t="str">
        <f t="shared" si="1"/>
        <v>Deleted</v>
      </c>
      <c r="N105" s="26" t="s">
        <v>3592</v>
      </c>
      <c r="P105" s="34" t="s">
        <v>3467</v>
      </c>
      <c r="U105" s="64" t="str" cm="1">
        <f t="array" ref="U105">IF(OR(M105="", M105="Deleted"), "", _xlfn.LET(
  _xlpm.dates,
  _xlfn._xlws.FILTER(
    [1]SubmittalLog!$H$1:$H$4000,
    [1]SubmittalLog!$E$1:$E$4000=M105,
    ""
  ),
  _xlpm.min_date, IFERROR(MIN(_xlpm.dates), ""),
  IF(_xlpm.min_date=0, "", _xlpm.min_date)
))</f>
        <v/>
      </c>
      <c r="V105" s="63" t="str" cm="1">
        <f t="array" ref="V105">IF(OR(M105="", M105="Deleted"), "", IFERROR(
  _xlfn.TEXTJOIN(", ", TRUE,
    _xlfn.MAP(
      _xlfn.UNIQUE(
        _xlfn._xlws.FILTER(
          [1]SubmittalLog!$B$1:$B$4000,
          ([1]SubmittalLog!$E$1:$E$4000=M105) *
          ([1]SubmittalLog!$B$1:$B$4000&lt;&gt;""),
          ""
        )
      ),
      _xlfn.LAMBDA(_xlpm.val, TEXT(_xlpm.val, "000000"))
    )
  ),
""))</f>
        <v/>
      </c>
      <c r="W105" s="40" t="str" cm="1">
        <f t="array" ref="W105">IF(OR(M105="", M105="Deleted"), "", _xlfn.LET(
  _xlpm.doc_col, [1]SubmittalLog!$E$1:$E$4000,
  _xlpm.date_col, [1]SubmittalLog!$H$1:$H$4000,
  _xlpm.status_col, [1]SubmittalLog!$N$1:$N$4000,
  _xlpm.latest_date, _xlfn.MAXIFS(_xlpm.date_col, _xlpm.doc_col, M105),
  IF(_xlpm.latest_date=0, "NFS",
    _xlfn.LET(
      _xlpm.res, _xlfn.XLOOKUP(M105 &amp; "|" &amp; _xlpm.latest_date, _xlpm.doc_col &amp; "|" &amp; _xlpm.date_col, _xlpm.status_col, ""),
      IF(OR(_xlpm.res="", _xlpm.res=0), "", _xlpm.res)
    )
  )
))</f>
        <v/>
      </c>
      <c r="X105" s="39" t="str">
        <f>IF(OR(M105="", M105="Deleted"), "", _xlfn.LET(
  _xlpm.doc_col, [1]SubmittalLog!$E$1:$E$4000,
  _xlpm.date_col, [1]SubmittalLog!$H$1:$H$4000,
  _xlpm.status_col, [1]SubmittalLog!$O$1:$O$4000,
  _xlpm.first_app_date, _xlfn.MINIFS(_xlpm.date_col, _xlpm.doc_col, M105, _xlpm.status_col, "APP"),
  _xlpm.first_awc_date, _xlfn.MINIFS(_xlpm.date_col, _xlpm.doc_col, M105, _xlpm.status_col, "AWC"),
  _xlpm.earliest_date, IF(
    AND(_xlpm.first_app_date=0, _xlpm.first_awc_date=0), 0,
    IF(_xlpm.first_app_date=0, _xlpm.first_awc_date,
    IF(_xlpm.first_awc_date=0, _xlpm.first_app_date,
    MIN(_xlpm.first_app_date, _xlpm.first_awc_date)))
  ),
  IF(_xlpm.earliest_date=0, "", _xlpm.earliest_date)
))</f>
        <v/>
      </c>
      <c r="Y105" s="40" t="str" cm="1">
        <f t="array" ref="Y105">IF(OR(M105="", M105="Deleted"), "", _xlfn.LET(
  _xlpm.doc_col, [1]SubmittalLog!$E$1:$E$4000,
  _xlpm.date_col, [1]SubmittalLog!$H$1:$H$4000,
  _xlpm.status_col, [1]SubmittalLog!$O$1:$O$4000,
  _xlpm.has_sub, COUNTIF(_xlpm.doc_col, M105),
  _xlpm.latest_reviewed_date, _xlfn.MAXIFS(_xlpm.date_col, _xlpm.doc_col, M105, _xlpm.status_col, "&lt;&gt;"),
  IF(_xlpm.has_sub=0, "",
    IF(_xlpm.latest_reviewed_date=0, "",
      _xlfn.LET(
        _xlpm.res, _xlfn.XLOOKUP(1, (_xlpm.doc_col=M105) * (_xlpm.date_col=_xlpm.latest_reviewed_date) * (_xlpm.status_col&lt;&gt;""), _xlpm.status_col, ""),
        IF(OR(_xlpm.res="", _xlpm.res=0), "", _xlpm.res)
      )
    )
  )
))</f>
        <v/>
      </c>
    </row>
    <row r="106" spans="1:25" x14ac:dyDescent="0.35">
      <c r="A106" s="33">
        <f>IF($M106="","",MAX($A$1:A105)+1)</f>
        <v>95</v>
      </c>
      <c r="B106" s="23" t="s">
        <v>54</v>
      </c>
      <c r="C106" s="23" t="s">
        <v>257</v>
      </c>
      <c r="M106" s="34" t="str">
        <f t="shared" si="1"/>
        <v>Deleted</v>
      </c>
      <c r="N106" s="26" t="s">
        <v>3593</v>
      </c>
      <c r="P106" s="34" t="s">
        <v>3467</v>
      </c>
      <c r="U106" s="64" t="str" cm="1">
        <f t="array" ref="U106">IF(OR(M106="", M106="Deleted"), "", _xlfn.LET(
  _xlpm.dates,
  _xlfn._xlws.FILTER(
    [1]SubmittalLog!$H$1:$H$4000,
    [1]SubmittalLog!$E$1:$E$4000=M106,
    ""
  ),
  _xlpm.min_date, IFERROR(MIN(_xlpm.dates), ""),
  IF(_xlpm.min_date=0, "", _xlpm.min_date)
))</f>
        <v/>
      </c>
      <c r="V106" s="63" t="str" cm="1">
        <f t="array" ref="V106">IF(OR(M106="", M106="Deleted"), "", IFERROR(
  _xlfn.TEXTJOIN(", ", TRUE,
    _xlfn.MAP(
      _xlfn.UNIQUE(
        _xlfn._xlws.FILTER(
          [1]SubmittalLog!$B$1:$B$4000,
          ([1]SubmittalLog!$E$1:$E$4000=M106) *
          ([1]SubmittalLog!$B$1:$B$4000&lt;&gt;""),
          ""
        )
      ),
      _xlfn.LAMBDA(_xlpm.val, TEXT(_xlpm.val, "000000"))
    )
  ),
""))</f>
        <v/>
      </c>
      <c r="W106" s="40" t="str" cm="1">
        <f t="array" ref="W106">IF(OR(M106="", M106="Deleted"), "", _xlfn.LET(
  _xlpm.doc_col, [1]SubmittalLog!$E$1:$E$4000,
  _xlpm.date_col, [1]SubmittalLog!$H$1:$H$4000,
  _xlpm.status_col, [1]SubmittalLog!$N$1:$N$4000,
  _xlpm.latest_date, _xlfn.MAXIFS(_xlpm.date_col, _xlpm.doc_col, M106),
  IF(_xlpm.latest_date=0, "NFS",
    _xlfn.LET(
      _xlpm.res, _xlfn.XLOOKUP(M106 &amp; "|" &amp; _xlpm.latest_date, _xlpm.doc_col &amp; "|" &amp; _xlpm.date_col, _xlpm.status_col, ""),
      IF(OR(_xlpm.res="", _xlpm.res=0), "", _xlpm.res)
    )
  )
))</f>
        <v/>
      </c>
      <c r="X106" s="39" t="str">
        <f>IF(OR(M106="", M106="Deleted"), "", _xlfn.LET(
  _xlpm.doc_col, [1]SubmittalLog!$E$1:$E$4000,
  _xlpm.date_col, [1]SubmittalLog!$H$1:$H$4000,
  _xlpm.status_col, [1]SubmittalLog!$O$1:$O$4000,
  _xlpm.first_app_date, _xlfn.MINIFS(_xlpm.date_col, _xlpm.doc_col, M106, _xlpm.status_col, "APP"),
  _xlpm.first_awc_date, _xlfn.MINIFS(_xlpm.date_col, _xlpm.doc_col, M106, _xlpm.status_col, "AWC"),
  _xlpm.earliest_date, IF(
    AND(_xlpm.first_app_date=0, _xlpm.first_awc_date=0), 0,
    IF(_xlpm.first_app_date=0, _xlpm.first_awc_date,
    IF(_xlpm.first_awc_date=0, _xlpm.first_app_date,
    MIN(_xlpm.first_app_date, _xlpm.first_awc_date)))
  ),
  IF(_xlpm.earliest_date=0, "", _xlpm.earliest_date)
))</f>
        <v/>
      </c>
      <c r="Y106" s="40" t="str" cm="1">
        <f t="array" ref="Y106">IF(OR(M106="", M106="Deleted"), "", _xlfn.LET(
  _xlpm.doc_col, [1]SubmittalLog!$E$1:$E$4000,
  _xlpm.date_col, [1]SubmittalLog!$H$1:$H$4000,
  _xlpm.status_col, [1]SubmittalLog!$O$1:$O$4000,
  _xlpm.has_sub, COUNTIF(_xlpm.doc_col, M106),
  _xlpm.latest_reviewed_date, _xlfn.MAXIFS(_xlpm.date_col, _xlpm.doc_col, M106, _xlpm.status_col, "&lt;&gt;"),
  IF(_xlpm.has_sub=0, "",
    IF(_xlpm.latest_reviewed_date=0, "",
      _xlfn.LET(
        _xlpm.res, _xlfn.XLOOKUP(1, (_xlpm.doc_col=M106) * (_xlpm.date_col=_xlpm.latest_reviewed_date) * (_xlpm.status_col&lt;&gt;""), _xlpm.status_col, ""),
        IF(OR(_xlpm.res="", _xlpm.res=0), "", _xlpm.res)
      )
    )
  )
))</f>
        <v/>
      </c>
    </row>
    <row r="107" spans="1:25" x14ac:dyDescent="0.35">
      <c r="A107" s="33">
        <f>IF($M107="","",MAX($A$1:A106)+1)</f>
        <v>96</v>
      </c>
      <c r="B107" s="23" t="s">
        <v>54</v>
      </c>
      <c r="C107" s="23" t="s">
        <v>257</v>
      </c>
      <c r="M107" s="34" t="str">
        <f t="shared" si="1"/>
        <v>Deleted</v>
      </c>
      <c r="N107" s="26" t="s">
        <v>3594</v>
      </c>
      <c r="P107" s="34" t="s">
        <v>3467</v>
      </c>
      <c r="U107" s="64" t="str" cm="1">
        <f t="array" ref="U107">IF(OR(M107="", M107="Deleted"), "", _xlfn.LET(
  _xlpm.dates,
  _xlfn._xlws.FILTER(
    [1]SubmittalLog!$H$1:$H$4000,
    [1]SubmittalLog!$E$1:$E$4000=M107,
    ""
  ),
  _xlpm.min_date, IFERROR(MIN(_xlpm.dates), ""),
  IF(_xlpm.min_date=0, "", _xlpm.min_date)
))</f>
        <v/>
      </c>
      <c r="V107" s="63" t="str" cm="1">
        <f t="array" ref="V107">IF(OR(M107="", M107="Deleted"), "", IFERROR(
  _xlfn.TEXTJOIN(", ", TRUE,
    _xlfn.MAP(
      _xlfn.UNIQUE(
        _xlfn._xlws.FILTER(
          [1]SubmittalLog!$B$1:$B$4000,
          ([1]SubmittalLog!$E$1:$E$4000=M107) *
          ([1]SubmittalLog!$B$1:$B$4000&lt;&gt;""),
          ""
        )
      ),
      _xlfn.LAMBDA(_xlpm.val, TEXT(_xlpm.val, "000000"))
    )
  ),
""))</f>
        <v/>
      </c>
      <c r="W107" s="40" t="str" cm="1">
        <f t="array" ref="W107">IF(OR(M107="", M107="Deleted"), "", _xlfn.LET(
  _xlpm.doc_col, [1]SubmittalLog!$E$1:$E$4000,
  _xlpm.date_col, [1]SubmittalLog!$H$1:$H$4000,
  _xlpm.status_col, [1]SubmittalLog!$N$1:$N$4000,
  _xlpm.latest_date, _xlfn.MAXIFS(_xlpm.date_col, _xlpm.doc_col, M107),
  IF(_xlpm.latest_date=0, "NFS",
    _xlfn.LET(
      _xlpm.res, _xlfn.XLOOKUP(M107 &amp; "|" &amp; _xlpm.latest_date, _xlpm.doc_col &amp; "|" &amp; _xlpm.date_col, _xlpm.status_col, ""),
      IF(OR(_xlpm.res="", _xlpm.res=0), "", _xlpm.res)
    )
  )
))</f>
        <v/>
      </c>
      <c r="X107" s="39" t="str">
        <f>IF(OR(M107="", M107="Deleted"), "", _xlfn.LET(
  _xlpm.doc_col, [1]SubmittalLog!$E$1:$E$4000,
  _xlpm.date_col, [1]SubmittalLog!$H$1:$H$4000,
  _xlpm.status_col, [1]SubmittalLog!$O$1:$O$4000,
  _xlpm.first_app_date, _xlfn.MINIFS(_xlpm.date_col, _xlpm.doc_col, M107, _xlpm.status_col, "APP"),
  _xlpm.first_awc_date, _xlfn.MINIFS(_xlpm.date_col, _xlpm.doc_col, M107, _xlpm.status_col, "AWC"),
  _xlpm.earliest_date, IF(
    AND(_xlpm.first_app_date=0, _xlpm.first_awc_date=0), 0,
    IF(_xlpm.first_app_date=0, _xlpm.first_awc_date,
    IF(_xlpm.first_awc_date=0, _xlpm.first_app_date,
    MIN(_xlpm.first_app_date, _xlpm.first_awc_date)))
  ),
  IF(_xlpm.earliest_date=0, "", _xlpm.earliest_date)
))</f>
        <v/>
      </c>
      <c r="Y107" s="40" t="str" cm="1">
        <f t="array" ref="Y107">IF(OR(M107="", M107="Deleted"), "", _xlfn.LET(
  _xlpm.doc_col, [1]SubmittalLog!$E$1:$E$4000,
  _xlpm.date_col, [1]SubmittalLog!$H$1:$H$4000,
  _xlpm.status_col, [1]SubmittalLog!$O$1:$O$4000,
  _xlpm.has_sub, COUNTIF(_xlpm.doc_col, M107),
  _xlpm.latest_reviewed_date, _xlfn.MAXIFS(_xlpm.date_col, _xlpm.doc_col, M107, _xlpm.status_col, "&lt;&gt;"),
  IF(_xlpm.has_sub=0, "",
    IF(_xlpm.latest_reviewed_date=0, "",
      _xlfn.LET(
        _xlpm.res, _xlfn.XLOOKUP(1, (_xlpm.doc_col=M107) * (_xlpm.date_col=_xlpm.latest_reviewed_date) * (_xlpm.status_col&lt;&gt;""), _xlpm.status_col, ""),
        IF(OR(_xlpm.res="", _xlpm.res=0), "", _xlpm.res)
      )
    )
  )
))</f>
        <v/>
      </c>
    </row>
    <row r="108" spans="1:25" x14ac:dyDescent="0.35">
      <c r="A108" s="33">
        <f>IF($M108="","",MAX($A$1:A107)+1)</f>
        <v>97</v>
      </c>
      <c r="B108" s="23" t="s">
        <v>54</v>
      </c>
      <c r="C108" s="23" t="s">
        <v>257</v>
      </c>
      <c r="M108" s="34" t="str">
        <f t="shared" si="1"/>
        <v>Deleted</v>
      </c>
      <c r="N108" s="26" t="s">
        <v>3595</v>
      </c>
      <c r="P108" s="34" t="s">
        <v>3467</v>
      </c>
      <c r="U108" s="64" t="str" cm="1">
        <f t="array" ref="U108">IF(OR(M108="", M108="Deleted"), "", _xlfn.LET(
  _xlpm.dates,
  _xlfn._xlws.FILTER(
    [1]SubmittalLog!$H$1:$H$4000,
    [1]SubmittalLog!$E$1:$E$4000=M108,
    ""
  ),
  _xlpm.min_date, IFERROR(MIN(_xlpm.dates), ""),
  IF(_xlpm.min_date=0, "", _xlpm.min_date)
))</f>
        <v/>
      </c>
      <c r="V108" s="63" t="str" cm="1">
        <f t="array" ref="V108">IF(OR(M108="", M108="Deleted"), "", IFERROR(
  _xlfn.TEXTJOIN(", ", TRUE,
    _xlfn.MAP(
      _xlfn.UNIQUE(
        _xlfn._xlws.FILTER(
          [1]SubmittalLog!$B$1:$B$4000,
          ([1]SubmittalLog!$E$1:$E$4000=M108) *
          ([1]SubmittalLog!$B$1:$B$4000&lt;&gt;""),
          ""
        )
      ),
      _xlfn.LAMBDA(_xlpm.val, TEXT(_xlpm.val, "000000"))
    )
  ),
""))</f>
        <v/>
      </c>
      <c r="W108" s="40" t="str" cm="1">
        <f t="array" ref="W108">IF(OR(M108="", M108="Deleted"), "", _xlfn.LET(
  _xlpm.doc_col, [1]SubmittalLog!$E$1:$E$4000,
  _xlpm.date_col, [1]SubmittalLog!$H$1:$H$4000,
  _xlpm.status_col, [1]SubmittalLog!$N$1:$N$4000,
  _xlpm.latest_date, _xlfn.MAXIFS(_xlpm.date_col, _xlpm.doc_col, M108),
  IF(_xlpm.latest_date=0, "NFS",
    _xlfn.LET(
      _xlpm.res, _xlfn.XLOOKUP(M108 &amp; "|" &amp; _xlpm.latest_date, _xlpm.doc_col &amp; "|" &amp; _xlpm.date_col, _xlpm.status_col, ""),
      IF(OR(_xlpm.res="", _xlpm.res=0), "", _xlpm.res)
    )
  )
))</f>
        <v/>
      </c>
      <c r="X108" s="39" t="str">
        <f>IF(OR(M108="", M108="Deleted"), "", _xlfn.LET(
  _xlpm.doc_col, [1]SubmittalLog!$E$1:$E$4000,
  _xlpm.date_col, [1]SubmittalLog!$H$1:$H$4000,
  _xlpm.status_col, [1]SubmittalLog!$O$1:$O$4000,
  _xlpm.first_app_date, _xlfn.MINIFS(_xlpm.date_col, _xlpm.doc_col, M108, _xlpm.status_col, "APP"),
  _xlpm.first_awc_date, _xlfn.MINIFS(_xlpm.date_col, _xlpm.doc_col, M108, _xlpm.status_col, "AWC"),
  _xlpm.earliest_date, IF(
    AND(_xlpm.first_app_date=0, _xlpm.first_awc_date=0), 0,
    IF(_xlpm.first_app_date=0, _xlpm.first_awc_date,
    IF(_xlpm.first_awc_date=0, _xlpm.first_app_date,
    MIN(_xlpm.first_app_date, _xlpm.first_awc_date)))
  ),
  IF(_xlpm.earliest_date=0, "", _xlpm.earliest_date)
))</f>
        <v/>
      </c>
      <c r="Y108" s="40" t="str" cm="1">
        <f t="array" ref="Y108">IF(OR(M108="", M108="Deleted"), "", _xlfn.LET(
  _xlpm.doc_col, [1]SubmittalLog!$E$1:$E$4000,
  _xlpm.date_col, [1]SubmittalLog!$H$1:$H$4000,
  _xlpm.status_col, [1]SubmittalLog!$O$1:$O$4000,
  _xlpm.has_sub, COUNTIF(_xlpm.doc_col, M108),
  _xlpm.latest_reviewed_date, _xlfn.MAXIFS(_xlpm.date_col, _xlpm.doc_col, M108, _xlpm.status_col, "&lt;&gt;"),
  IF(_xlpm.has_sub=0, "",
    IF(_xlpm.latest_reviewed_date=0, "",
      _xlfn.LET(
        _xlpm.res, _xlfn.XLOOKUP(1, (_xlpm.doc_col=M108) * (_xlpm.date_col=_xlpm.latest_reviewed_date) * (_xlpm.status_col&lt;&gt;""), _xlpm.status_col, ""),
        IF(OR(_xlpm.res="", _xlpm.res=0), "", _xlpm.res)
      )
    )
  )
))</f>
        <v/>
      </c>
    </row>
    <row r="109" spans="1:25" x14ac:dyDescent="0.35">
      <c r="A109" s="33">
        <f>IF($M109="","",MAX($A$1:A108)+1)</f>
        <v>98</v>
      </c>
      <c r="B109" s="23" t="s">
        <v>54</v>
      </c>
      <c r="C109" s="23" t="s">
        <v>257</v>
      </c>
      <c r="G109" s="33">
        <v>131236</v>
      </c>
      <c r="H109" s="33" t="s">
        <v>59</v>
      </c>
      <c r="I109" s="33" t="s">
        <v>204</v>
      </c>
      <c r="J109" s="33" t="s">
        <v>3496</v>
      </c>
      <c r="M109" s="34" t="str">
        <f t="shared" si="1"/>
        <v>Deleted</v>
      </c>
      <c r="N109" s="26" t="s">
        <v>3596</v>
      </c>
      <c r="P109" s="34" t="s">
        <v>3467</v>
      </c>
      <c r="U109" s="64" t="str" cm="1">
        <f t="array" ref="U109">IF(OR(M109="", M109="Deleted"), "", _xlfn.LET(
  _xlpm.dates,
  _xlfn._xlws.FILTER(
    [1]SubmittalLog!$H$1:$H$4000,
    [1]SubmittalLog!$E$1:$E$4000=M109,
    ""
  ),
  _xlpm.min_date, IFERROR(MIN(_xlpm.dates), ""),
  IF(_xlpm.min_date=0, "", _xlpm.min_date)
))</f>
        <v/>
      </c>
      <c r="V109" s="63" t="str" cm="1">
        <f t="array" ref="V109">IF(OR(M109="", M109="Deleted"), "", IFERROR(
  _xlfn.TEXTJOIN(", ", TRUE,
    _xlfn.MAP(
      _xlfn.UNIQUE(
        _xlfn._xlws.FILTER(
          [1]SubmittalLog!$B$1:$B$4000,
          ([1]SubmittalLog!$E$1:$E$4000=M109) *
          ([1]SubmittalLog!$B$1:$B$4000&lt;&gt;""),
          ""
        )
      ),
      _xlfn.LAMBDA(_xlpm.val, TEXT(_xlpm.val, "000000"))
    )
  ),
""))</f>
        <v/>
      </c>
      <c r="W109" s="40" t="str" cm="1">
        <f t="array" ref="W109">IF(OR(M109="", M109="Deleted"), "", _xlfn.LET(
  _xlpm.doc_col, [1]SubmittalLog!$E$1:$E$4000,
  _xlpm.date_col, [1]SubmittalLog!$H$1:$H$4000,
  _xlpm.status_col, [1]SubmittalLog!$N$1:$N$4000,
  _xlpm.latest_date, _xlfn.MAXIFS(_xlpm.date_col, _xlpm.doc_col, M109),
  IF(_xlpm.latest_date=0, "NFS",
    _xlfn.LET(
      _xlpm.res, _xlfn.XLOOKUP(M109 &amp; "|" &amp; _xlpm.latest_date, _xlpm.doc_col &amp; "|" &amp; _xlpm.date_col, _xlpm.status_col, ""),
      IF(OR(_xlpm.res="", _xlpm.res=0), "", _xlpm.res)
    )
  )
))</f>
        <v/>
      </c>
      <c r="X109" s="39" t="str">
        <f>IF(OR(M109="", M109="Deleted"), "", _xlfn.LET(
  _xlpm.doc_col, [1]SubmittalLog!$E$1:$E$4000,
  _xlpm.date_col, [1]SubmittalLog!$H$1:$H$4000,
  _xlpm.status_col, [1]SubmittalLog!$O$1:$O$4000,
  _xlpm.first_app_date, _xlfn.MINIFS(_xlpm.date_col, _xlpm.doc_col, M109, _xlpm.status_col, "APP"),
  _xlpm.first_awc_date, _xlfn.MINIFS(_xlpm.date_col, _xlpm.doc_col, M109, _xlpm.status_col, "AWC"),
  _xlpm.earliest_date, IF(
    AND(_xlpm.first_app_date=0, _xlpm.first_awc_date=0), 0,
    IF(_xlpm.first_app_date=0, _xlpm.first_awc_date,
    IF(_xlpm.first_awc_date=0, _xlpm.first_app_date,
    MIN(_xlpm.first_app_date, _xlpm.first_awc_date)))
  ),
  IF(_xlpm.earliest_date=0, "", _xlpm.earliest_date)
))</f>
        <v/>
      </c>
      <c r="Y109" s="40" t="str" cm="1">
        <f t="array" ref="Y109">IF(OR(M109="", M109="Deleted"), "", _xlfn.LET(
  _xlpm.doc_col, [1]SubmittalLog!$E$1:$E$4000,
  _xlpm.date_col, [1]SubmittalLog!$H$1:$H$4000,
  _xlpm.status_col, [1]SubmittalLog!$O$1:$O$4000,
  _xlpm.has_sub, COUNTIF(_xlpm.doc_col, M109),
  _xlpm.latest_reviewed_date, _xlfn.MAXIFS(_xlpm.date_col, _xlpm.doc_col, M109, _xlpm.status_col, "&lt;&gt;"),
  IF(_xlpm.has_sub=0, "",
    IF(_xlpm.latest_reviewed_date=0, "",
      _xlfn.LET(
        _xlpm.res, _xlfn.XLOOKUP(1, (_xlpm.doc_col=M109) * (_xlpm.date_col=_xlpm.latest_reviewed_date) * (_xlpm.status_col&lt;&gt;""), _xlpm.status_col, ""),
        IF(OR(_xlpm.res="", _xlpm.res=0), "", _xlpm.res)
      )
    )
  )
))</f>
        <v/>
      </c>
    </row>
    <row r="110" spans="1:25" x14ac:dyDescent="0.35">
      <c r="A110" s="33">
        <f>IF($M110="","",MAX($A$1:A109)+1)</f>
        <v>99</v>
      </c>
      <c r="B110" s="23" t="s">
        <v>54</v>
      </c>
      <c r="C110" s="23" t="s">
        <v>257</v>
      </c>
      <c r="M110" s="34" t="str">
        <f t="shared" si="1"/>
        <v>Deleted</v>
      </c>
      <c r="N110" s="26" t="s">
        <v>3597</v>
      </c>
      <c r="P110" s="34" t="s">
        <v>3467</v>
      </c>
      <c r="U110" s="64" t="str" cm="1">
        <f t="array" ref="U110">IF(OR(M110="", M110="Deleted"), "", _xlfn.LET(
  _xlpm.dates,
  _xlfn._xlws.FILTER(
    [1]SubmittalLog!$H$1:$H$4000,
    [1]SubmittalLog!$E$1:$E$4000=M110,
    ""
  ),
  _xlpm.min_date, IFERROR(MIN(_xlpm.dates), ""),
  IF(_xlpm.min_date=0, "", _xlpm.min_date)
))</f>
        <v/>
      </c>
      <c r="V110" s="63" t="str" cm="1">
        <f t="array" ref="V110">IF(OR(M110="", M110="Deleted"), "", IFERROR(
  _xlfn.TEXTJOIN(", ", TRUE,
    _xlfn.MAP(
      _xlfn.UNIQUE(
        _xlfn._xlws.FILTER(
          [1]SubmittalLog!$B$1:$B$4000,
          ([1]SubmittalLog!$E$1:$E$4000=M110) *
          ([1]SubmittalLog!$B$1:$B$4000&lt;&gt;""),
          ""
        )
      ),
      _xlfn.LAMBDA(_xlpm.val, TEXT(_xlpm.val, "000000"))
    )
  ),
""))</f>
        <v/>
      </c>
      <c r="W110" s="40" t="str" cm="1">
        <f t="array" ref="W110">IF(OR(M110="", M110="Deleted"), "", _xlfn.LET(
  _xlpm.doc_col, [1]SubmittalLog!$E$1:$E$4000,
  _xlpm.date_col, [1]SubmittalLog!$H$1:$H$4000,
  _xlpm.status_col, [1]SubmittalLog!$N$1:$N$4000,
  _xlpm.latest_date, _xlfn.MAXIFS(_xlpm.date_col, _xlpm.doc_col, M110),
  IF(_xlpm.latest_date=0, "NFS",
    _xlfn.LET(
      _xlpm.res, _xlfn.XLOOKUP(M110 &amp; "|" &amp; _xlpm.latest_date, _xlpm.doc_col &amp; "|" &amp; _xlpm.date_col, _xlpm.status_col, ""),
      IF(OR(_xlpm.res="", _xlpm.res=0), "", _xlpm.res)
    )
  )
))</f>
        <v/>
      </c>
      <c r="X110" s="39" t="str">
        <f>IF(OR(M110="", M110="Deleted"), "", _xlfn.LET(
  _xlpm.doc_col, [1]SubmittalLog!$E$1:$E$4000,
  _xlpm.date_col, [1]SubmittalLog!$H$1:$H$4000,
  _xlpm.status_col, [1]SubmittalLog!$O$1:$O$4000,
  _xlpm.first_app_date, _xlfn.MINIFS(_xlpm.date_col, _xlpm.doc_col, M110, _xlpm.status_col, "APP"),
  _xlpm.first_awc_date, _xlfn.MINIFS(_xlpm.date_col, _xlpm.doc_col, M110, _xlpm.status_col, "AWC"),
  _xlpm.earliest_date, IF(
    AND(_xlpm.first_app_date=0, _xlpm.first_awc_date=0), 0,
    IF(_xlpm.first_app_date=0, _xlpm.first_awc_date,
    IF(_xlpm.first_awc_date=0, _xlpm.first_app_date,
    MIN(_xlpm.first_app_date, _xlpm.first_awc_date)))
  ),
  IF(_xlpm.earliest_date=0, "", _xlpm.earliest_date)
))</f>
        <v/>
      </c>
      <c r="Y110" s="40" t="str" cm="1">
        <f t="array" ref="Y110">IF(OR(M110="", M110="Deleted"), "", _xlfn.LET(
  _xlpm.doc_col, [1]SubmittalLog!$E$1:$E$4000,
  _xlpm.date_col, [1]SubmittalLog!$H$1:$H$4000,
  _xlpm.status_col, [1]SubmittalLog!$O$1:$O$4000,
  _xlpm.has_sub, COUNTIF(_xlpm.doc_col, M110),
  _xlpm.latest_reviewed_date, _xlfn.MAXIFS(_xlpm.date_col, _xlpm.doc_col, M110, _xlpm.status_col, "&lt;&gt;"),
  IF(_xlpm.has_sub=0, "",
    IF(_xlpm.latest_reviewed_date=0, "",
      _xlfn.LET(
        _xlpm.res, _xlfn.XLOOKUP(1, (_xlpm.doc_col=M110) * (_xlpm.date_col=_xlpm.latest_reviewed_date) * (_xlpm.status_col&lt;&gt;""), _xlpm.status_col, ""),
        IF(OR(_xlpm.res="", _xlpm.res=0), "", _xlpm.res)
      )
    )
  )
))</f>
        <v/>
      </c>
    </row>
    <row r="111" spans="1:25" x14ac:dyDescent="0.35">
      <c r="A111" s="33">
        <f>IF($M111="","",MAX($A$1:A110)+1)</f>
        <v>100</v>
      </c>
      <c r="B111" s="23" t="s">
        <v>54</v>
      </c>
      <c r="C111" s="23" t="s">
        <v>257</v>
      </c>
      <c r="M111" s="34" t="str">
        <f t="shared" si="1"/>
        <v>Deleted</v>
      </c>
      <c r="N111" s="26" t="s">
        <v>3598</v>
      </c>
      <c r="P111" s="34" t="s">
        <v>3467</v>
      </c>
      <c r="U111" s="64" t="str" cm="1">
        <f t="array" ref="U111">IF(OR(M111="", M111="Deleted"), "", _xlfn.LET(
  _xlpm.dates,
  _xlfn._xlws.FILTER(
    [1]SubmittalLog!$H$1:$H$4000,
    [1]SubmittalLog!$E$1:$E$4000=M111,
    ""
  ),
  _xlpm.min_date, IFERROR(MIN(_xlpm.dates), ""),
  IF(_xlpm.min_date=0, "", _xlpm.min_date)
))</f>
        <v/>
      </c>
      <c r="V111" s="63" t="str" cm="1">
        <f t="array" ref="V111">IF(OR(M111="", M111="Deleted"), "", IFERROR(
  _xlfn.TEXTJOIN(", ", TRUE,
    _xlfn.MAP(
      _xlfn.UNIQUE(
        _xlfn._xlws.FILTER(
          [1]SubmittalLog!$B$1:$B$4000,
          ([1]SubmittalLog!$E$1:$E$4000=M111) *
          ([1]SubmittalLog!$B$1:$B$4000&lt;&gt;""),
          ""
        )
      ),
      _xlfn.LAMBDA(_xlpm.val, TEXT(_xlpm.val, "000000"))
    )
  ),
""))</f>
        <v/>
      </c>
      <c r="W111" s="40" t="str" cm="1">
        <f t="array" ref="W111">IF(OR(M111="", M111="Deleted"), "", _xlfn.LET(
  _xlpm.doc_col, [1]SubmittalLog!$E$1:$E$4000,
  _xlpm.date_col, [1]SubmittalLog!$H$1:$H$4000,
  _xlpm.status_col, [1]SubmittalLog!$N$1:$N$4000,
  _xlpm.latest_date, _xlfn.MAXIFS(_xlpm.date_col, _xlpm.doc_col, M111),
  IF(_xlpm.latest_date=0, "NFS",
    _xlfn.LET(
      _xlpm.res, _xlfn.XLOOKUP(M111 &amp; "|" &amp; _xlpm.latest_date, _xlpm.doc_col &amp; "|" &amp; _xlpm.date_col, _xlpm.status_col, ""),
      IF(OR(_xlpm.res="", _xlpm.res=0), "", _xlpm.res)
    )
  )
))</f>
        <v/>
      </c>
      <c r="X111" s="39" t="str">
        <f>IF(OR(M111="", M111="Deleted"), "", _xlfn.LET(
  _xlpm.doc_col, [1]SubmittalLog!$E$1:$E$4000,
  _xlpm.date_col, [1]SubmittalLog!$H$1:$H$4000,
  _xlpm.status_col, [1]SubmittalLog!$O$1:$O$4000,
  _xlpm.first_app_date, _xlfn.MINIFS(_xlpm.date_col, _xlpm.doc_col, M111, _xlpm.status_col, "APP"),
  _xlpm.first_awc_date, _xlfn.MINIFS(_xlpm.date_col, _xlpm.doc_col, M111, _xlpm.status_col, "AWC"),
  _xlpm.earliest_date, IF(
    AND(_xlpm.first_app_date=0, _xlpm.first_awc_date=0), 0,
    IF(_xlpm.first_app_date=0, _xlpm.first_awc_date,
    IF(_xlpm.first_awc_date=0, _xlpm.first_app_date,
    MIN(_xlpm.first_app_date, _xlpm.first_awc_date)))
  ),
  IF(_xlpm.earliest_date=0, "", _xlpm.earliest_date)
))</f>
        <v/>
      </c>
      <c r="Y111" s="40" t="str" cm="1">
        <f t="array" ref="Y111">IF(OR(M111="", M111="Deleted"), "", _xlfn.LET(
  _xlpm.doc_col, [1]SubmittalLog!$E$1:$E$4000,
  _xlpm.date_col, [1]SubmittalLog!$H$1:$H$4000,
  _xlpm.status_col, [1]SubmittalLog!$O$1:$O$4000,
  _xlpm.has_sub, COUNTIF(_xlpm.doc_col, M111),
  _xlpm.latest_reviewed_date, _xlfn.MAXIFS(_xlpm.date_col, _xlpm.doc_col, M111, _xlpm.status_col, "&lt;&gt;"),
  IF(_xlpm.has_sub=0, "",
    IF(_xlpm.latest_reviewed_date=0, "",
      _xlfn.LET(
        _xlpm.res, _xlfn.XLOOKUP(1, (_xlpm.doc_col=M111) * (_xlpm.date_col=_xlpm.latest_reviewed_date) * (_xlpm.status_col&lt;&gt;""), _xlpm.status_col, ""),
        IF(OR(_xlpm.res="", _xlpm.res=0), "", _xlpm.res)
      )
    )
  )
))</f>
        <v/>
      </c>
    </row>
    <row r="112" spans="1:25" x14ac:dyDescent="0.35">
      <c r="A112" s="33">
        <f>IF($M112="","",MAX($A$1:A111)+1)</f>
        <v>101</v>
      </c>
      <c r="B112" s="23" t="s">
        <v>54</v>
      </c>
      <c r="C112" s="23" t="s">
        <v>257</v>
      </c>
      <c r="M112" s="34" t="str">
        <f t="shared" si="1"/>
        <v>Deleted</v>
      </c>
      <c r="N112" s="26" t="s">
        <v>3599</v>
      </c>
      <c r="P112" s="34" t="s">
        <v>3467</v>
      </c>
      <c r="U112" s="64" t="str" cm="1">
        <f t="array" ref="U112">IF(OR(M112="", M112="Deleted"), "", _xlfn.LET(
  _xlpm.dates,
  _xlfn._xlws.FILTER(
    [1]SubmittalLog!$H$1:$H$4000,
    [1]SubmittalLog!$E$1:$E$4000=M112,
    ""
  ),
  _xlpm.min_date, IFERROR(MIN(_xlpm.dates), ""),
  IF(_xlpm.min_date=0, "", _xlpm.min_date)
))</f>
        <v/>
      </c>
      <c r="V112" s="63" t="str" cm="1">
        <f t="array" ref="V112">IF(OR(M112="", M112="Deleted"), "", IFERROR(
  _xlfn.TEXTJOIN(", ", TRUE,
    _xlfn.MAP(
      _xlfn.UNIQUE(
        _xlfn._xlws.FILTER(
          [1]SubmittalLog!$B$1:$B$4000,
          ([1]SubmittalLog!$E$1:$E$4000=M112) *
          ([1]SubmittalLog!$B$1:$B$4000&lt;&gt;""),
          ""
        )
      ),
      _xlfn.LAMBDA(_xlpm.val, TEXT(_xlpm.val, "000000"))
    )
  ),
""))</f>
        <v/>
      </c>
      <c r="W112" s="40" t="str" cm="1">
        <f t="array" ref="W112">IF(OR(M112="", M112="Deleted"), "", _xlfn.LET(
  _xlpm.doc_col, [1]SubmittalLog!$E$1:$E$4000,
  _xlpm.date_col, [1]SubmittalLog!$H$1:$H$4000,
  _xlpm.status_col, [1]SubmittalLog!$N$1:$N$4000,
  _xlpm.latest_date, _xlfn.MAXIFS(_xlpm.date_col, _xlpm.doc_col, M112),
  IF(_xlpm.latest_date=0, "NFS",
    _xlfn.LET(
      _xlpm.res, _xlfn.XLOOKUP(M112 &amp; "|" &amp; _xlpm.latest_date, _xlpm.doc_col &amp; "|" &amp; _xlpm.date_col, _xlpm.status_col, ""),
      IF(OR(_xlpm.res="", _xlpm.res=0), "", _xlpm.res)
    )
  )
))</f>
        <v/>
      </c>
      <c r="X112" s="39" t="str">
        <f>IF(OR(M112="", M112="Deleted"), "", _xlfn.LET(
  _xlpm.doc_col, [1]SubmittalLog!$E$1:$E$4000,
  _xlpm.date_col, [1]SubmittalLog!$H$1:$H$4000,
  _xlpm.status_col, [1]SubmittalLog!$O$1:$O$4000,
  _xlpm.first_app_date, _xlfn.MINIFS(_xlpm.date_col, _xlpm.doc_col, M112, _xlpm.status_col, "APP"),
  _xlpm.first_awc_date, _xlfn.MINIFS(_xlpm.date_col, _xlpm.doc_col, M112, _xlpm.status_col, "AWC"),
  _xlpm.earliest_date, IF(
    AND(_xlpm.first_app_date=0, _xlpm.first_awc_date=0), 0,
    IF(_xlpm.first_app_date=0, _xlpm.first_awc_date,
    IF(_xlpm.first_awc_date=0, _xlpm.first_app_date,
    MIN(_xlpm.first_app_date, _xlpm.first_awc_date)))
  ),
  IF(_xlpm.earliest_date=0, "", _xlpm.earliest_date)
))</f>
        <v/>
      </c>
      <c r="Y112" s="40" t="str" cm="1">
        <f t="array" ref="Y112">IF(OR(M112="", M112="Deleted"), "", _xlfn.LET(
  _xlpm.doc_col, [1]SubmittalLog!$E$1:$E$4000,
  _xlpm.date_col, [1]SubmittalLog!$H$1:$H$4000,
  _xlpm.status_col, [1]SubmittalLog!$O$1:$O$4000,
  _xlpm.has_sub, COUNTIF(_xlpm.doc_col, M112),
  _xlpm.latest_reviewed_date, _xlfn.MAXIFS(_xlpm.date_col, _xlpm.doc_col, M112, _xlpm.status_col, "&lt;&gt;"),
  IF(_xlpm.has_sub=0, "",
    IF(_xlpm.latest_reviewed_date=0, "",
      _xlfn.LET(
        _xlpm.res, _xlfn.XLOOKUP(1, (_xlpm.doc_col=M112) * (_xlpm.date_col=_xlpm.latest_reviewed_date) * (_xlpm.status_col&lt;&gt;""), _xlpm.status_col, ""),
        IF(OR(_xlpm.res="", _xlpm.res=0), "", _xlpm.res)
      )
    )
  )
))</f>
        <v/>
      </c>
    </row>
    <row r="113" spans="1:25" x14ac:dyDescent="0.35">
      <c r="A113" s="33">
        <f>IF($M113="","",MAX($A$1:A112)+1)</f>
        <v>102</v>
      </c>
      <c r="B113" s="23" t="s">
        <v>54</v>
      </c>
      <c r="C113" s="23" t="s">
        <v>257</v>
      </c>
      <c r="G113" s="33">
        <v>131236</v>
      </c>
      <c r="H113" s="33" t="s">
        <v>59</v>
      </c>
      <c r="I113" s="33" t="s">
        <v>204</v>
      </c>
      <c r="J113" s="33" t="s">
        <v>3496</v>
      </c>
      <c r="M113" s="34" t="str">
        <f t="shared" si="1"/>
        <v>Deleted</v>
      </c>
      <c r="N113" s="26" t="s">
        <v>3600</v>
      </c>
      <c r="P113" s="34" t="s">
        <v>3467</v>
      </c>
      <c r="U113" s="64" t="str" cm="1">
        <f t="array" ref="U113">IF(OR(M113="", M113="Deleted"), "", _xlfn.LET(
  _xlpm.dates,
  _xlfn._xlws.FILTER(
    [1]SubmittalLog!$H$1:$H$4000,
    [1]SubmittalLog!$E$1:$E$4000=M113,
    ""
  ),
  _xlpm.min_date, IFERROR(MIN(_xlpm.dates), ""),
  IF(_xlpm.min_date=0, "", _xlpm.min_date)
))</f>
        <v/>
      </c>
      <c r="V113" s="63" t="str" cm="1">
        <f t="array" ref="V113">IF(OR(M113="", M113="Deleted"), "", IFERROR(
  _xlfn.TEXTJOIN(", ", TRUE,
    _xlfn.MAP(
      _xlfn.UNIQUE(
        _xlfn._xlws.FILTER(
          [1]SubmittalLog!$B$1:$B$4000,
          ([1]SubmittalLog!$E$1:$E$4000=M113) *
          ([1]SubmittalLog!$B$1:$B$4000&lt;&gt;""),
          ""
        )
      ),
      _xlfn.LAMBDA(_xlpm.val, TEXT(_xlpm.val, "000000"))
    )
  ),
""))</f>
        <v/>
      </c>
      <c r="W113" s="40" t="str" cm="1">
        <f t="array" ref="W113">IF(OR(M113="", M113="Deleted"), "", _xlfn.LET(
  _xlpm.doc_col, [1]SubmittalLog!$E$1:$E$4000,
  _xlpm.date_col, [1]SubmittalLog!$H$1:$H$4000,
  _xlpm.status_col, [1]SubmittalLog!$N$1:$N$4000,
  _xlpm.latest_date, _xlfn.MAXIFS(_xlpm.date_col, _xlpm.doc_col, M113),
  IF(_xlpm.latest_date=0, "NFS",
    _xlfn.LET(
      _xlpm.res, _xlfn.XLOOKUP(M113 &amp; "|" &amp; _xlpm.latest_date, _xlpm.doc_col &amp; "|" &amp; _xlpm.date_col, _xlpm.status_col, ""),
      IF(OR(_xlpm.res="", _xlpm.res=0), "", _xlpm.res)
    )
  )
))</f>
        <v/>
      </c>
      <c r="X113" s="39" t="str">
        <f>IF(OR(M113="", M113="Deleted"), "", _xlfn.LET(
  _xlpm.doc_col, [1]SubmittalLog!$E$1:$E$4000,
  _xlpm.date_col, [1]SubmittalLog!$H$1:$H$4000,
  _xlpm.status_col, [1]SubmittalLog!$O$1:$O$4000,
  _xlpm.first_app_date, _xlfn.MINIFS(_xlpm.date_col, _xlpm.doc_col, M113, _xlpm.status_col, "APP"),
  _xlpm.first_awc_date, _xlfn.MINIFS(_xlpm.date_col, _xlpm.doc_col, M113, _xlpm.status_col, "AWC"),
  _xlpm.earliest_date, IF(
    AND(_xlpm.first_app_date=0, _xlpm.first_awc_date=0), 0,
    IF(_xlpm.first_app_date=0, _xlpm.first_awc_date,
    IF(_xlpm.first_awc_date=0, _xlpm.first_app_date,
    MIN(_xlpm.first_app_date, _xlpm.first_awc_date)))
  ),
  IF(_xlpm.earliest_date=0, "", _xlpm.earliest_date)
))</f>
        <v/>
      </c>
      <c r="Y113" s="40" t="str" cm="1">
        <f t="array" ref="Y113">IF(OR(M113="", M113="Deleted"), "", _xlfn.LET(
  _xlpm.doc_col, [1]SubmittalLog!$E$1:$E$4000,
  _xlpm.date_col, [1]SubmittalLog!$H$1:$H$4000,
  _xlpm.status_col, [1]SubmittalLog!$O$1:$O$4000,
  _xlpm.has_sub, COUNTIF(_xlpm.doc_col, M113),
  _xlpm.latest_reviewed_date, _xlfn.MAXIFS(_xlpm.date_col, _xlpm.doc_col, M113, _xlpm.status_col, "&lt;&gt;"),
  IF(_xlpm.has_sub=0, "",
    IF(_xlpm.latest_reviewed_date=0, "",
      _xlfn.LET(
        _xlpm.res, _xlfn.XLOOKUP(1, (_xlpm.doc_col=M113) * (_xlpm.date_col=_xlpm.latest_reviewed_date) * (_xlpm.status_col&lt;&gt;""), _xlpm.status_col, ""),
        IF(OR(_xlpm.res="", _xlpm.res=0), "", _xlpm.res)
      )
    )
  )
))</f>
        <v/>
      </c>
    </row>
    <row r="114" spans="1:25" x14ac:dyDescent="0.35">
      <c r="A114" s="33" t="str">
        <f>IF($M114="","",MAX($A$1:A113)+1)</f>
        <v/>
      </c>
      <c r="M114" s="34" t="str">
        <f t="shared" si="1"/>
        <v/>
      </c>
      <c r="N114" s="26" t="s">
        <v>3601</v>
      </c>
      <c r="U114" s="64" t="str" cm="1">
        <f t="array" ref="U114">IF(OR(M114="", M114="Deleted"), "", _xlfn.LET(
  _xlpm.dates,
  _xlfn._xlws.FILTER(
    [1]SubmittalLog!$H$1:$H$4000,
    [1]SubmittalLog!$E$1:$E$4000=M114,
    ""
  ),
  _xlpm.min_date, IFERROR(MIN(_xlpm.dates), ""),
  IF(_xlpm.min_date=0, "", _xlpm.min_date)
))</f>
        <v/>
      </c>
      <c r="V114" s="63" t="str" cm="1">
        <f t="array" ref="V114">IF(OR(M114="", M114="Deleted"), "", IFERROR(
  _xlfn.TEXTJOIN(", ", TRUE,
    _xlfn.MAP(
      _xlfn.UNIQUE(
        _xlfn._xlws.FILTER(
          [1]SubmittalLog!$B$1:$B$4000,
          ([1]SubmittalLog!$E$1:$E$4000=M114) *
          ([1]SubmittalLog!$B$1:$B$4000&lt;&gt;""),
          ""
        )
      ),
      _xlfn.LAMBDA(_xlpm.val, TEXT(_xlpm.val, "000000"))
    )
  ),
""))</f>
        <v/>
      </c>
      <c r="W114" s="40" t="str" cm="1">
        <f t="array" ref="W114">IF(OR(M114="", M114="Deleted"), "", _xlfn.LET(
  _xlpm.doc_col, [1]SubmittalLog!$E$1:$E$4000,
  _xlpm.date_col, [1]SubmittalLog!$H$1:$H$4000,
  _xlpm.status_col, [1]SubmittalLog!$N$1:$N$4000,
  _xlpm.latest_date, _xlfn.MAXIFS(_xlpm.date_col, _xlpm.doc_col, M114),
  IF(_xlpm.latest_date=0, "NFS",
    _xlfn.LET(
      _xlpm.res, _xlfn.XLOOKUP(M114 &amp; "|" &amp; _xlpm.latest_date, _xlpm.doc_col &amp; "|" &amp; _xlpm.date_col, _xlpm.status_col, ""),
      IF(OR(_xlpm.res="", _xlpm.res=0), "", _xlpm.res)
    )
  )
))</f>
        <v/>
      </c>
      <c r="X114" s="39" t="str">
        <f>IF(OR(M114="", M114="Deleted"), "", _xlfn.LET(
  _xlpm.doc_col, [1]SubmittalLog!$E$1:$E$4000,
  _xlpm.date_col, [1]SubmittalLog!$H$1:$H$4000,
  _xlpm.status_col, [1]SubmittalLog!$O$1:$O$4000,
  _xlpm.first_app_date, _xlfn.MINIFS(_xlpm.date_col, _xlpm.doc_col, M114, _xlpm.status_col, "APP"),
  _xlpm.first_awc_date, _xlfn.MINIFS(_xlpm.date_col, _xlpm.doc_col, M114, _xlpm.status_col, "AWC"),
  _xlpm.earliest_date, IF(
    AND(_xlpm.first_app_date=0, _xlpm.first_awc_date=0), 0,
    IF(_xlpm.first_app_date=0, _xlpm.first_awc_date,
    IF(_xlpm.first_awc_date=0, _xlpm.first_app_date,
    MIN(_xlpm.first_app_date, _xlpm.first_awc_date)))
  ),
  IF(_xlpm.earliest_date=0, "", _xlpm.earliest_date)
))</f>
        <v/>
      </c>
      <c r="Y114" s="40" t="str" cm="1">
        <f t="array" ref="Y114">IF(OR(M114="", M114="Deleted"), "", _xlfn.LET(
  _xlpm.doc_col, [1]SubmittalLog!$E$1:$E$4000,
  _xlpm.date_col, [1]SubmittalLog!$H$1:$H$4000,
  _xlpm.status_col, [1]SubmittalLog!$O$1:$O$4000,
  _xlpm.has_sub, COUNTIF(_xlpm.doc_col, M114),
  _xlpm.latest_reviewed_date, _xlfn.MAXIFS(_xlpm.date_col, _xlpm.doc_col, M114, _xlpm.status_col, "&lt;&gt;"),
  IF(_xlpm.has_sub=0, "",
    IF(_xlpm.latest_reviewed_date=0, "",
      _xlfn.LET(
        _xlpm.res, _xlfn.XLOOKUP(1, (_xlpm.doc_col=M114) * (_xlpm.date_col=_xlpm.latest_reviewed_date) * (_xlpm.status_col&lt;&gt;""), _xlpm.status_col, ""),
        IF(OR(_xlpm.res="", _xlpm.res=0), "", _xlpm.res)
      )
    )
  )
))</f>
        <v/>
      </c>
    </row>
    <row r="115" spans="1:25" x14ac:dyDescent="0.35">
      <c r="A115" s="33">
        <f>IF($M115="","",MAX($A$1:A114)+1)</f>
        <v>103</v>
      </c>
      <c r="B115" s="23" t="s">
        <v>250</v>
      </c>
      <c r="C115" s="23" t="s">
        <v>257</v>
      </c>
      <c r="G115" s="33">
        <v>131236</v>
      </c>
      <c r="H115" s="33" t="s">
        <v>59</v>
      </c>
      <c r="I115" s="33" t="s">
        <v>297</v>
      </c>
      <c r="J115" s="33" t="s">
        <v>3496</v>
      </c>
      <c r="K115" s="51">
        <v>7001</v>
      </c>
      <c r="M115" s="34" t="str">
        <f t="shared" si="1"/>
        <v>131236-WIL21-DR-P-7001</v>
      </c>
      <c r="N115" s="26" t="s">
        <v>3602</v>
      </c>
      <c r="P115" s="34" t="s">
        <v>3498</v>
      </c>
      <c r="S115" s="35">
        <v>45260</v>
      </c>
      <c r="T115" s="35">
        <v>45245</v>
      </c>
      <c r="U115" s="64" cm="1">
        <f t="array" ref="U115">IF(OR(M115="", M115="Deleted"), "", _xlfn.LET(
  _xlpm.dates,
  _xlfn._xlws.FILTER(
    [1]SubmittalLog!$H$1:$H$4000,
    [1]SubmittalLog!$E$1:$E$4000=M115,
    ""
  ),
  _xlpm.min_date, IFERROR(MIN(_xlpm.dates), ""),
  IF(_xlpm.min_date=0, "", _xlpm.min_date)
))</f>
        <v>45225</v>
      </c>
      <c r="V115" s="63" t="str" cm="1">
        <f t="array" ref="V115">IF(OR(M115="", M115="Deleted"), "", IFERROR(
  _xlfn.TEXTJOIN(", ", TRUE,
    _xlfn.MAP(
      _xlfn.UNIQUE(
        _xlfn._xlws.FILTER(
          [1]SubmittalLog!$B$1:$B$4000,
          ([1]SubmittalLog!$E$1:$E$4000=M115) *
          ([1]SubmittalLog!$B$1:$B$4000&lt;&gt;""),
          ""
        )
      ),
      _xlfn.LAMBDA(_xlpm.val, TEXT(_xlpm.val, "000000"))
    )
  ),
""))</f>
        <v>000360, 000143</v>
      </c>
      <c r="W115" s="40" t="str" cm="1">
        <f t="array" ref="W115">IF(OR(M115="", M115="Deleted"), "", _xlfn.LET(
  _xlpm.doc_col, [1]SubmittalLog!$E$1:$E$4000,
  _xlpm.date_col, [1]SubmittalLog!$H$1:$H$4000,
  _xlpm.status_col, [1]SubmittalLog!$N$1:$N$4000,
  _xlpm.latest_date, _xlfn.MAXIFS(_xlpm.date_col, _xlpm.doc_col, M115),
  IF(_xlpm.latest_date=0, "NFS",
    _xlfn.LET(
      _xlpm.res, _xlfn.XLOOKUP(M115 &amp; "|" &amp; _xlpm.latest_date, _xlpm.doc_col &amp; "|" &amp; _xlpm.date_col, _xlpm.status_col, ""),
      IF(OR(_xlpm.res="", _xlpm.res=0), "", _xlpm.res)
    )
  )
))</f>
        <v>RTR</v>
      </c>
      <c r="X115" s="39">
        <f>IF(OR(M115="", M115="Deleted"), "", _xlfn.LET(
  _xlpm.doc_col, [1]SubmittalLog!$E$1:$E$4000,
  _xlpm.date_col, [1]SubmittalLog!$H$1:$H$4000,
  _xlpm.status_col, [1]SubmittalLog!$O$1:$O$4000,
  _xlpm.first_app_date, _xlfn.MINIFS(_xlpm.date_col, _xlpm.doc_col, M115, _xlpm.status_col, "APP"),
  _xlpm.first_awc_date, _xlfn.MINIFS(_xlpm.date_col, _xlpm.doc_col, M115, _xlpm.status_col, "AWC"),
  _xlpm.earliest_date, IF(
    AND(_xlpm.first_app_date=0, _xlpm.first_awc_date=0), 0,
    IF(_xlpm.first_app_date=0, _xlpm.first_awc_date,
    IF(_xlpm.first_awc_date=0, _xlpm.first_app_date,
    MIN(_xlpm.first_app_date, _xlpm.first_awc_date)))
  ),
  IF(_xlpm.earliest_date=0, "", _xlpm.earliest_date)
))</f>
        <v>45225</v>
      </c>
      <c r="Y115" s="40" t="str" cm="1">
        <f t="array" ref="Y115">IF(OR(M115="", M115="Deleted"), "", _xlfn.LET(
  _xlpm.doc_col, [1]SubmittalLog!$E$1:$E$4000,
  _xlpm.date_col, [1]SubmittalLog!$H$1:$H$4000,
  _xlpm.status_col, [1]SubmittalLog!$O$1:$O$4000,
  _xlpm.has_sub, COUNTIF(_xlpm.doc_col, M115),
  _xlpm.latest_reviewed_date, _xlfn.MAXIFS(_xlpm.date_col, _xlpm.doc_col, M115, _xlpm.status_col, "&lt;&gt;"),
  IF(_xlpm.has_sub=0, "",
    IF(_xlpm.latest_reviewed_date=0, "",
      _xlfn.LET(
        _xlpm.res, _xlfn.XLOOKUP(1, (_xlpm.doc_col=M115) * (_xlpm.date_col=_xlpm.latest_reviewed_date) * (_xlpm.status_col&lt;&gt;""), _xlpm.status_col, ""),
        IF(OR(_xlpm.res="", _xlpm.res=0), "", _xlpm.res)
      )
    )
  )
))</f>
        <v>AWC</v>
      </c>
    </row>
    <row r="116" spans="1:25" x14ac:dyDescent="0.35">
      <c r="A116" s="33">
        <f>IF($M116="","",MAX($A$1:A115)+1)</f>
        <v>104</v>
      </c>
      <c r="B116" s="23" t="s">
        <v>250</v>
      </c>
      <c r="C116" s="23" t="s">
        <v>257</v>
      </c>
      <c r="G116" s="33">
        <v>131236</v>
      </c>
      <c r="H116" s="33" t="s">
        <v>59</v>
      </c>
      <c r="I116" s="33" t="s">
        <v>297</v>
      </c>
      <c r="J116" s="33" t="s">
        <v>3496</v>
      </c>
      <c r="K116" s="51">
        <v>7002</v>
      </c>
      <c r="M116" s="34" t="str">
        <f t="shared" si="1"/>
        <v>131236-WIL21-DR-P-7002</v>
      </c>
      <c r="N116" s="26" t="s">
        <v>3602</v>
      </c>
      <c r="P116" s="34" t="s">
        <v>3498</v>
      </c>
      <c r="S116" s="35">
        <v>45260</v>
      </c>
      <c r="T116" s="35">
        <v>45351</v>
      </c>
      <c r="U116" s="64" cm="1">
        <f t="array" ref="U116">IF(OR(M116="", M116="Deleted"), "", _xlfn.LET(
  _xlpm.dates,
  _xlfn._xlws.FILTER(
    [1]SubmittalLog!$H$1:$H$4000,
    [1]SubmittalLog!$E$1:$E$4000=M116,
    ""
  ),
  _xlpm.min_date, IFERROR(MIN(_xlpm.dates), ""),
  IF(_xlpm.min_date=0, "", _xlpm.min_date)
))</f>
        <v>45365</v>
      </c>
      <c r="V116" s="63" t="str" cm="1">
        <f t="array" ref="V116">IF(OR(M116="", M116="Deleted"), "", IFERROR(
  _xlfn.TEXTJOIN(", ", TRUE,
    _xlfn.MAP(
      _xlfn.UNIQUE(
        _xlfn._xlws.FILTER(
          [1]SubmittalLog!$B$1:$B$4000,
          ([1]SubmittalLog!$E$1:$E$4000=M116) *
          ([1]SubmittalLog!$B$1:$B$4000&lt;&gt;""),
          ""
        )
      ),
      _xlfn.LAMBDA(_xlpm.val, TEXT(_xlpm.val, "000000"))
    )
  ),
""))</f>
        <v>000360, 000143</v>
      </c>
      <c r="W116" s="40" t="str" cm="1">
        <f t="array" ref="W116">IF(OR(M116="", M116="Deleted"), "", _xlfn.LET(
  _xlpm.doc_col, [1]SubmittalLog!$E$1:$E$4000,
  _xlpm.date_col, [1]SubmittalLog!$H$1:$H$4000,
  _xlpm.status_col, [1]SubmittalLog!$N$1:$N$4000,
  _xlpm.latest_date, _xlfn.MAXIFS(_xlpm.date_col, _xlpm.doc_col, M116),
  IF(_xlpm.latest_date=0, "NFS",
    _xlfn.LET(
      _xlpm.res, _xlfn.XLOOKUP(M116 &amp; "|" &amp; _xlpm.latest_date, _xlpm.doc_col &amp; "|" &amp; _xlpm.date_col, _xlpm.status_col, ""),
      IF(OR(_xlpm.res="", _xlpm.res=0), "", _xlpm.res)
    )
  )
))</f>
        <v>RTR</v>
      </c>
      <c r="X116" s="39">
        <f>IF(OR(M116="", M116="Deleted"), "", _xlfn.LET(
  _xlpm.doc_col, [1]SubmittalLog!$E$1:$E$4000,
  _xlpm.date_col, [1]SubmittalLog!$H$1:$H$4000,
  _xlpm.status_col, [1]SubmittalLog!$O$1:$O$4000,
  _xlpm.first_app_date, _xlfn.MINIFS(_xlpm.date_col, _xlpm.doc_col, M116, _xlpm.status_col, "APP"),
  _xlpm.first_awc_date, _xlfn.MINIFS(_xlpm.date_col, _xlpm.doc_col, M116, _xlpm.status_col, "AWC"),
  _xlpm.earliest_date, IF(
    AND(_xlpm.first_app_date=0, _xlpm.first_awc_date=0), 0,
    IF(_xlpm.first_app_date=0, _xlpm.first_awc_date,
    IF(_xlpm.first_awc_date=0, _xlpm.first_app_date,
    MIN(_xlpm.first_app_date, _xlpm.first_awc_date)))
  ),
  IF(_xlpm.earliest_date=0, "", _xlpm.earliest_date)
))</f>
        <v>45365</v>
      </c>
      <c r="Y116" s="40" t="str" cm="1">
        <f t="array" ref="Y116">IF(OR(M116="", M116="Deleted"), "", _xlfn.LET(
  _xlpm.doc_col, [1]SubmittalLog!$E$1:$E$4000,
  _xlpm.date_col, [1]SubmittalLog!$H$1:$H$4000,
  _xlpm.status_col, [1]SubmittalLog!$O$1:$O$4000,
  _xlpm.has_sub, COUNTIF(_xlpm.doc_col, M116),
  _xlpm.latest_reviewed_date, _xlfn.MAXIFS(_xlpm.date_col, _xlpm.doc_col, M116, _xlpm.status_col, "&lt;&gt;"),
  IF(_xlpm.has_sub=0, "",
    IF(_xlpm.latest_reviewed_date=0, "",
      _xlfn.LET(
        _xlpm.res, _xlfn.XLOOKUP(1, (_xlpm.doc_col=M116) * (_xlpm.date_col=_xlpm.latest_reviewed_date) * (_xlpm.status_col&lt;&gt;""), _xlpm.status_col, ""),
        IF(OR(_xlpm.res="", _xlpm.res=0), "", _xlpm.res)
      )
    )
  )
))</f>
        <v>AWC</v>
      </c>
    </row>
    <row r="117" spans="1:25" x14ac:dyDescent="0.35">
      <c r="A117" s="33">
        <f>IF($M117="","",MAX($A$1:A116)+1)</f>
        <v>105</v>
      </c>
      <c r="B117" s="23" t="s">
        <v>250</v>
      </c>
      <c r="C117" s="23" t="s">
        <v>257</v>
      </c>
      <c r="G117" s="33">
        <v>131236</v>
      </c>
      <c r="H117" s="33" t="s">
        <v>59</v>
      </c>
      <c r="I117" s="33" t="s">
        <v>297</v>
      </c>
      <c r="J117" s="33" t="s">
        <v>3496</v>
      </c>
      <c r="K117" s="51">
        <v>6000</v>
      </c>
      <c r="M117" s="34" t="str">
        <f t="shared" si="1"/>
        <v>131236-WIL21-DR-P-6000</v>
      </c>
      <c r="N117" s="26" t="s">
        <v>3603</v>
      </c>
      <c r="P117" s="34" t="s">
        <v>3498</v>
      </c>
      <c r="S117" s="35">
        <v>45260</v>
      </c>
      <c r="T117" s="35">
        <v>45351</v>
      </c>
      <c r="U117" s="64" cm="1">
        <f t="array" ref="U117">IF(OR(M117="", M117="Deleted"), "", _xlfn.LET(
  _xlpm.dates,
  _xlfn._xlws.FILTER(
    [1]SubmittalLog!$H$1:$H$4000,
    [1]SubmittalLog!$E$1:$E$4000=M117,
    ""
  ),
  _xlpm.min_date, IFERROR(MIN(_xlpm.dates), ""),
  IF(_xlpm.min_date=0, "", _xlpm.min_date)
))</f>
        <v>45177</v>
      </c>
      <c r="V117" s="63" t="str" cm="1">
        <f t="array" ref="V117">IF(OR(M117="", M117="Deleted"), "", IFERROR(
  _xlfn.TEXTJOIN(", ", TRUE,
    _xlfn.MAP(
      _xlfn.UNIQUE(
        _xlfn._xlws.FILTER(
          [1]SubmittalLog!$B$1:$B$4000,
          ([1]SubmittalLog!$E$1:$E$4000=M117) *
          ([1]SubmittalLog!$B$1:$B$4000&lt;&gt;""),
          ""
        )
      ),
      _xlfn.LAMBDA(_xlpm.val, TEXT(_xlpm.val, "000000"))
    )
  ),
""))</f>
        <v>000093, 000398, 000230</v>
      </c>
      <c r="W117" s="40" t="str" cm="1">
        <f t="array" ref="W117">IF(OR(M117="", M117="Deleted"), "", _xlfn.LET(
  _xlpm.doc_col, [1]SubmittalLog!$E$1:$E$4000,
  _xlpm.date_col, [1]SubmittalLog!$H$1:$H$4000,
  _xlpm.status_col, [1]SubmittalLog!$N$1:$N$4000,
  _xlpm.latest_date, _xlfn.MAXIFS(_xlpm.date_col, _xlpm.doc_col, M117),
  IF(_xlpm.latest_date=0, "NFS",
    _xlfn.LET(
      _xlpm.res, _xlfn.XLOOKUP(M117 &amp; "|" &amp; _xlpm.latest_date, _xlpm.doc_col &amp; "|" &amp; _xlpm.date_col, _xlpm.status_col, ""),
      IF(OR(_xlpm.res="", _xlpm.res=0), "", _xlpm.res)
    )
  )
))</f>
        <v>RTR</v>
      </c>
      <c r="X117" s="39">
        <f>IF(OR(M117="", M117="Deleted"), "", _xlfn.LET(
  _xlpm.doc_col, [1]SubmittalLog!$E$1:$E$4000,
  _xlpm.date_col, [1]SubmittalLog!$H$1:$H$4000,
  _xlpm.status_col, [1]SubmittalLog!$O$1:$O$4000,
  _xlpm.first_app_date, _xlfn.MINIFS(_xlpm.date_col, _xlpm.doc_col, M117, _xlpm.status_col, "APP"),
  _xlpm.first_awc_date, _xlfn.MINIFS(_xlpm.date_col, _xlpm.doc_col, M117, _xlpm.status_col, "AWC"),
  _xlpm.earliest_date, IF(
    AND(_xlpm.first_app_date=0, _xlpm.first_awc_date=0), 0,
    IF(_xlpm.first_app_date=0, _xlpm.first_awc_date,
    IF(_xlpm.first_awc_date=0, _xlpm.first_app_date,
    MIN(_xlpm.first_app_date, _xlpm.first_awc_date)))
  ),
  IF(_xlpm.earliest_date=0, "", _xlpm.earliest_date)
))</f>
        <v>45177</v>
      </c>
      <c r="Y117" s="40" t="str" cm="1">
        <f t="array" ref="Y117">IF(OR(M117="", M117="Deleted"), "", _xlfn.LET(
  _xlpm.doc_col, [1]SubmittalLog!$E$1:$E$4000,
  _xlpm.date_col, [1]SubmittalLog!$H$1:$H$4000,
  _xlpm.status_col, [1]SubmittalLog!$O$1:$O$4000,
  _xlpm.has_sub, COUNTIF(_xlpm.doc_col, M117),
  _xlpm.latest_reviewed_date, _xlfn.MAXIFS(_xlpm.date_col, _xlpm.doc_col, M117, _xlpm.status_col, "&lt;&gt;"),
  IF(_xlpm.has_sub=0, "",
    IF(_xlpm.latest_reviewed_date=0, "",
      _xlfn.LET(
        _xlpm.res, _xlfn.XLOOKUP(1, (_xlpm.doc_col=M117) * (_xlpm.date_col=_xlpm.latest_reviewed_date) * (_xlpm.status_col&lt;&gt;""), _xlpm.status_col, ""),
        IF(OR(_xlpm.res="", _xlpm.res=0), "", _xlpm.res)
      )
    )
  )
))</f>
        <v>AWC</v>
      </c>
    </row>
    <row r="118" spans="1:25" x14ac:dyDescent="0.35">
      <c r="A118" s="33">
        <f>IF($M118="","",MAX($A$1:A117)+1)</f>
        <v>106</v>
      </c>
      <c r="B118" s="23" t="s">
        <v>250</v>
      </c>
      <c r="C118" s="23" t="s">
        <v>257</v>
      </c>
      <c r="G118" s="33">
        <v>131236</v>
      </c>
      <c r="H118" s="33" t="s">
        <v>59</v>
      </c>
      <c r="I118" s="33" t="s">
        <v>297</v>
      </c>
      <c r="J118" s="33" t="s">
        <v>3496</v>
      </c>
      <c r="K118" s="51" t="s">
        <v>3604</v>
      </c>
      <c r="M118" s="34" t="str">
        <f t="shared" si="1"/>
        <v>131236-WIL21-DR-P-6001</v>
      </c>
      <c r="N118" s="26" t="s">
        <v>3605</v>
      </c>
      <c r="P118" s="34" t="s">
        <v>3498</v>
      </c>
      <c r="S118" s="35">
        <v>45260</v>
      </c>
      <c r="T118" s="35">
        <v>45351</v>
      </c>
      <c r="U118" s="64" cm="1">
        <f t="array" ref="U118">IF(OR(M118="", M118="Deleted"), "", _xlfn.LET(
  _xlpm.dates,
  _xlfn._xlws.FILTER(
    [1]SubmittalLog!$H$1:$H$4000,
    [1]SubmittalLog!$E$1:$E$4000=M118,
    ""
  ),
  _xlpm.min_date, IFERROR(MIN(_xlpm.dates), ""),
  IF(_xlpm.min_date=0, "", _xlpm.min_date)
))</f>
        <v>45177</v>
      </c>
      <c r="V118" s="63" t="str" cm="1">
        <f t="array" ref="V118">IF(OR(M118="", M118="Deleted"), "", IFERROR(
  _xlfn.TEXTJOIN(", ", TRUE,
    _xlfn.MAP(
      _xlfn.UNIQUE(
        _xlfn._xlws.FILTER(
          [1]SubmittalLog!$B$1:$B$4000,
          ([1]SubmittalLog!$E$1:$E$4000=M118) *
          ([1]SubmittalLog!$B$1:$B$4000&lt;&gt;""),
          ""
        )
      ),
      _xlfn.LAMBDA(_xlpm.val, TEXT(_xlpm.val, "000000"))
    )
  ),
""))</f>
        <v>000093, 000398, 000230</v>
      </c>
      <c r="W118" s="40" t="str" cm="1">
        <f t="array" ref="W118">IF(OR(M118="", M118="Deleted"), "", _xlfn.LET(
  _xlpm.doc_col, [1]SubmittalLog!$E$1:$E$4000,
  _xlpm.date_col, [1]SubmittalLog!$H$1:$H$4000,
  _xlpm.status_col, [1]SubmittalLog!$N$1:$N$4000,
  _xlpm.latest_date, _xlfn.MAXIFS(_xlpm.date_col, _xlpm.doc_col, M118),
  IF(_xlpm.latest_date=0, "NFS",
    _xlfn.LET(
      _xlpm.res, _xlfn.XLOOKUP(M118 &amp; "|" &amp; _xlpm.latest_date, _xlpm.doc_col &amp; "|" &amp; _xlpm.date_col, _xlpm.status_col, ""),
      IF(OR(_xlpm.res="", _xlpm.res=0), "", _xlpm.res)
    )
  )
))</f>
        <v>RTR</v>
      </c>
      <c r="X118" s="39">
        <f>IF(OR(M118="", M118="Deleted"), "", _xlfn.LET(
  _xlpm.doc_col, [1]SubmittalLog!$E$1:$E$4000,
  _xlpm.date_col, [1]SubmittalLog!$H$1:$H$4000,
  _xlpm.status_col, [1]SubmittalLog!$O$1:$O$4000,
  _xlpm.first_app_date, _xlfn.MINIFS(_xlpm.date_col, _xlpm.doc_col, M118, _xlpm.status_col, "APP"),
  _xlpm.first_awc_date, _xlfn.MINIFS(_xlpm.date_col, _xlpm.doc_col, M118, _xlpm.status_col, "AWC"),
  _xlpm.earliest_date, IF(
    AND(_xlpm.first_app_date=0, _xlpm.first_awc_date=0), 0,
    IF(_xlpm.first_app_date=0, _xlpm.first_awc_date,
    IF(_xlpm.first_awc_date=0, _xlpm.first_app_date,
    MIN(_xlpm.first_app_date, _xlpm.first_awc_date)))
  ),
  IF(_xlpm.earliest_date=0, "", _xlpm.earliest_date)
))</f>
        <v>45177</v>
      </c>
      <c r="Y118" s="40" t="str" cm="1">
        <f t="array" ref="Y118">IF(OR(M118="", M118="Deleted"), "", _xlfn.LET(
  _xlpm.doc_col, [1]SubmittalLog!$E$1:$E$4000,
  _xlpm.date_col, [1]SubmittalLog!$H$1:$H$4000,
  _xlpm.status_col, [1]SubmittalLog!$O$1:$O$4000,
  _xlpm.has_sub, COUNTIF(_xlpm.doc_col, M118),
  _xlpm.latest_reviewed_date, _xlfn.MAXIFS(_xlpm.date_col, _xlpm.doc_col, M118, _xlpm.status_col, "&lt;&gt;"),
  IF(_xlpm.has_sub=0, "",
    IF(_xlpm.latest_reviewed_date=0, "",
      _xlfn.LET(
        _xlpm.res, _xlfn.XLOOKUP(1, (_xlpm.doc_col=M118) * (_xlpm.date_col=_xlpm.latest_reviewed_date) * (_xlpm.status_col&lt;&gt;""), _xlpm.status_col, ""),
        IF(OR(_xlpm.res="", _xlpm.res=0), "", _xlpm.res)
      )
    )
  )
))</f>
        <v>AWC</v>
      </c>
    </row>
    <row r="119" spans="1:25" x14ac:dyDescent="0.35">
      <c r="A119" s="33">
        <f>IF($M119="","",MAX($A$1:A118)+1)</f>
        <v>107</v>
      </c>
      <c r="B119" s="23" t="s">
        <v>250</v>
      </c>
      <c r="C119" s="23" t="s">
        <v>257</v>
      </c>
      <c r="G119" s="33">
        <v>131236</v>
      </c>
      <c r="H119" s="33" t="s">
        <v>59</v>
      </c>
      <c r="I119" s="33" t="s">
        <v>297</v>
      </c>
      <c r="J119" s="33" t="s">
        <v>3496</v>
      </c>
      <c r="K119" s="51" t="s">
        <v>3606</v>
      </c>
      <c r="M119" s="34" t="str">
        <f t="shared" si="1"/>
        <v>131236-WIL21-DR-P-6002</v>
      </c>
      <c r="N119" s="26" t="s">
        <v>3607</v>
      </c>
      <c r="P119" s="34" t="s">
        <v>3498</v>
      </c>
      <c r="S119" s="35">
        <v>45260</v>
      </c>
      <c r="T119" s="35">
        <v>45351</v>
      </c>
      <c r="U119" s="64" cm="1">
        <f t="array" ref="U119">IF(OR(M119="", M119="Deleted"), "", _xlfn.LET(
  _xlpm.dates,
  _xlfn._xlws.FILTER(
    [1]SubmittalLog!$H$1:$H$4000,
    [1]SubmittalLog!$E$1:$E$4000=M119,
    ""
  ),
  _xlpm.min_date, IFERROR(MIN(_xlpm.dates), ""),
  IF(_xlpm.min_date=0, "", _xlpm.min_date)
))</f>
        <v>45266</v>
      </c>
      <c r="V119" s="63" t="str" cm="1">
        <f t="array" ref="V119">IF(OR(M119="", M119="Deleted"), "", IFERROR(
  _xlfn.TEXTJOIN(", ", TRUE,
    _xlfn.MAP(
      _xlfn.UNIQUE(
        _xlfn._xlws.FILTER(
          [1]SubmittalLog!$B$1:$B$4000,
          ([1]SubmittalLog!$E$1:$E$4000=M119) *
          ([1]SubmittalLog!$B$1:$B$4000&lt;&gt;""),
          ""
        )
      ),
      _xlfn.LAMBDA(_xlpm.val, TEXT(_xlpm.val, "000000"))
    )
  ),
""))</f>
        <v>000398, 000230</v>
      </c>
      <c r="W119" s="40" t="str" cm="1">
        <f t="array" ref="W119">IF(OR(M119="", M119="Deleted"), "", _xlfn.LET(
  _xlpm.doc_col, [1]SubmittalLog!$E$1:$E$4000,
  _xlpm.date_col, [1]SubmittalLog!$H$1:$H$4000,
  _xlpm.status_col, [1]SubmittalLog!$N$1:$N$4000,
  _xlpm.latest_date, _xlfn.MAXIFS(_xlpm.date_col, _xlpm.doc_col, M119),
  IF(_xlpm.latest_date=0, "NFS",
    _xlfn.LET(
      _xlpm.res, _xlfn.XLOOKUP(M119 &amp; "|" &amp; _xlpm.latest_date, _xlpm.doc_col &amp; "|" &amp; _xlpm.date_col, _xlpm.status_col, ""),
      IF(OR(_xlpm.res="", _xlpm.res=0), "", _xlpm.res)
    )
  )
))</f>
        <v>RTR</v>
      </c>
      <c r="X119" s="39">
        <f>IF(OR(M119="", M119="Deleted"), "", _xlfn.LET(
  _xlpm.doc_col, [1]SubmittalLog!$E$1:$E$4000,
  _xlpm.date_col, [1]SubmittalLog!$H$1:$H$4000,
  _xlpm.status_col, [1]SubmittalLog!$O$1:$O$4000,
  _xlpm.first_app_date, _xlfn.MINIFS(_xlpm.date_col, _xlpm.doc_col, M119, _xlpm.status_col, "APP"),
  _xlpm.first_awc_date, _xlfn.MINIFS(_xlpm.date_col, _xlpm.doc_col, M119, _xlpm.status_col, "AWC"),
  _xlpm.earliest_date, IF(
    AND(_xlpm.first_app_date=0, _xlpm.first_awc_date=0), 0,
    IF(_xlpm.first_app_date=0, _xlpm.first_awc_date,
    IF(_xlpm.first_awc_date=0, _xlpm.first_app_date,
    MIN(_xlpm.first_app_date, _xlpm.first_awc_date)))
  ),
  IF(_xlpm.earliest_date=0, "", _xlpm.earliest_date)
))</f>
        <v>45266</v>
      </c>
      <c r="Y119" s="40" t="str" cm="1">
        <f t="array" ref="Y119">IF(OR(M119="", M119="Deleted"), "", _xlfn.LET(
  _xlpm.doc_col, [1]SubmittalLog!$E$1:$E$4000,
  _xlpm.date_col, [1]SubmittalLog!$H$1:$H$4000,
  _xlpm.status_col, [1]SubmittalLog!$O$1:$O$4000,
  _xlpm.has_sub, COUNTIF(_xlpm.doc_col, M119),
  _xlpm.latest_reviewed_date, _xlfn.MAXIFS(_xlpm.date_col, _xlpm.doc_col, M119, _xlpm.status_col, "&lt;&gt;"),
  IF(_xlpm.has_sub=0, "",
    IF(_xlpm.latest_reviewed_date=0, "",
      _xlfn.LET(
        _xlpm.res, _xlfn.XLOOKUP(1, (_xlpm.doc_col=M119) * (_xlpm.date_col=_xlpm.latest_reviewed_date) * (_xlpm.status_col&lt;&gt;""), _xlpm.status_col, ""),
        IF(OR(_xlpm.res="", _xlpm.res=0), "", _xlpm.res)
      )
    )
  )
))</f>
        <v>AWC</v>
      </c>
    </row>
    <row r="120" spans="1:25" x14ac:dyDescent="0.35">
      <c r="A120" s="33">
        <f>IF($M120="","",MAX($A$1:A119)+1)</f>
        <v>108</v>
      </c>
      <c r="B120" s="23" t="s">
        <v>250</v>
      </c>
      <c r="C120" s="23" t="s">
        <v>257</v>
      </c>
      <c r="G120" s="33">
        <v>131236</v>
      </c>
      <c r="H120" s="33" t="s">
        <v>59</v>
      </c>
      <c r="I120" s="33" t="s">
        <v>297</v>
      </c>
      <c r="J120" s="33" t="s">
        <v>3496</v>
      </c>
      <c r="K120" s="51" t="s">
        <v>3608</v>
      </c>
      <c r="M120" s="34" t="str">
        <f t="shared" si="1"/>
        <v>131236-WIL21-DR-P-6003</v>
      </c>
      <c r="N120" s="26" t="s">
        <v>3609</v>
      </c>
      <c r="P120" s="34" t="s">
        <v>3498</v>
      </c>
      <c r="S120" s="35">
        <v>45260</v>
      </c>
      <c r="T120" s="35">
        <v>45351</v>
      </c>
      <c r="U120" s="64" cm="1">
        <f t="array" ref="U120">IF(OR(M120="", M120="Deleted"), "", _xlfn.LET(
  _xlpm.dates,
  _xlfn._xlws.FILTER(
    [1]SubmittalLog!$H$1:$H$4000,
    [1]SubmittalLog!$E$1:$E$4000=M120,
    ""
  ),
  _xlpm.min_date, IFERROR(MIN(_xlpm.dates), ""),
  IF(_xlpm.min_date=0, "", _xlpm.min_date)
))</f>
        <v>45266</v>
      </c>
      <c r="V120" s="63" t="str" cm="1">
        <f t="array" ref="V120">IF(OR(M120="", M120="Deleted"), "", IFERROR(
  _xlfn.TEXTJOIN(", ", TRUE,
    _xlfn.MAP(
      _xlfn.UNIQUE(
        _xlfn._xlws.FILTER(
          [1]SubmittalLog!$B$1:$B$4000,
          ([1]SubmittalLog!$E$1:$E$4000=M120) *
          ([1]SubmittalLog!$B$1:$B$4000&lt;&gt;""),
          ""
        )
      ),
      _xlfn.LAMBDA(_xlpm.val, TEXT(_xlpm.val, "000000"))
    )
  ),
""))</f>
        <v>000398, 000230</v>
      </c>
      <c r="W120" s="40" t="str" cm="1">
        <f t="array" ref="W120">IF(OR(M120="", M120="Deleted"), "", _xlfn.LET(
  _xlpm.doc_col, [1]SubmittalLog!$E$1:$E$4000,
  _xlpm.date_col, [1]SubmittalLog!$H$1:$H$4000,
  _xlpm.status_col, [1]SubmittalLog!$N$1:$N$4000,
  _xlpm.latest_date, _xlfn.MAXIFS(_xlpm.date_col, _xlpm.doc_col, M120),
  IF(_xlpm.latest_date=0, "NFS",
    _xlfn.LET(
      _xlpm.res, _xlfn.XLOOKUP(M120 &amp; "|" &amp; _xlpm.latest_date, _xlpm.doc_col &amp; "|" &amp; _xlpm.date_col, _xlpm.status_col, ""),
      IF(OR(_xlpm.res="", _xlpm.res=0), "", _xlpm.res)
    )
  )
))</f>
        <v>RTR</v>
      </c>
      <c r="X120" s="39">
        <f>IF(OR(M120="", M120="Deleted"), "", _xlfn.LET(
  _xlpm.doc_col, [1]SubmittalLog!$E$1:$E$4000,
  _xlpm.date_col, [1]SubmittalLog!$H$1:$H$4000,
  _xlpm.status_col, [1]SubmittalLog!$O$1:$O$4000,
  _xlpm.first_app_date, _xlfn.MINIFS(_xlpm.date_col, _xlpm.doc_col, M120, _xlpm.status_col, "APP"),
  _xlpm.first_awc_date, _xlfn.MINIFS(_xlpm.date_col, _xlpm.doc_col, M120, _xlpm.status_col, "AWC"),
  _xlpm.earliest_date, IF(
    AND(_xlpm.first_app_date=0, _xlpm.first_awc_date=0), 0,
    IF(_xlpm.first_app_date=0, _xlpm.first_awc_date,
    IF(_xlpm.first_awc_date=0, _xlpm.first_app_date,
    MIN(_xlpm.first_app_date, _xlpm.first_awc_date)))
  ),
  IF(_xlpm.earliest_date=0, "", _xlpm.earliest_date)
))</f>
        <v>45266</v>
      </c>
      <c r="Y120" s="40" t="str" cm="1">
        <f t="array" ref="Y120">IF(OR(M120="", M120="Deleted"), "", _xlfn.LET(
  _xlpm.doc_col, [1]SubmittalLog!$E$1:$E$4000,
  _xlpm.date_col, [1]SubmittalLog!$H$1:$H$4000,
  _xlpm.status_col, [1]SubmittalLog!$O$1:$O$4000,
  _xlpm.has_sub, COUNTIF(_xlpm.doc_col, M120),
  _xlpm.latest_reviewed_date, _xlfn.MAXIFS(_xlpm.date_col, _xlpm.doc_col, M120, _xlpm.status_col, "&lt;&gt;"),
  IF(_xlpm.has_sub=0, "",
    IF(_xlpm.latest_reviewed_date=0, "",
      _xlfn.LET(
        _xlpm.res, _xlfn.XLOOKUP(1, (_xlpm.doc_col=M120) * (_xlpm.date_col=_xlpm.latest_reviewed_date) * (_xlpm.status_col&lt;&gt;""), _xlpm.status_col, ""),
        IF(OR(_xlpm.res="", _xlpm.res=0), "", _xlpm.res)
      )
    )
  )
))</f>
        <v>AWC</v>
      </c>
    </row>
    <row r="121" spans="1:25" x14ac:dyDescent="0.35">
      <c r="A121" s="33">
        <f>IF($M121="","",MAX($A$1:A120)+1)</f>
        <v>109</v>
      </c>
      <c r="B121" s="23" t="s">
        <v>250</v>
      </c>
      <c r="C121" s="23" t="s">
        <v>257</v>
      </c>
      <c r="G121" s="33">
        <v>131236</v>
      </c>
      <c r="H121" s="33" t="s">
        <v>59</v>
      </c>
      <c r="I121" s="33" t="s">
        <v>297</v>
      </c>
      <c r="J121" s="33" t="s">
        <v>3496</v>
      </c>
      <c r="K121" s="51" t="s">
        <v>3610</v>
      </c>
      <c r="M121" s="34" t="str">
        <f t="shared" si="1"/>
        <v>131236-WIL21-DR-P-6004</v>
      </c>
      <c r="N121" s="26" t="s">
        <v>3611</v>
      </c>
      <c r="P121" s="34" t="s">
        <v>3498</v>
      </c>
      <c r="S121" s="35">
        <v>45260</v>
      </c>
      <c r="T121" s="35">
        <v>45351</v>
      </c>
      <c r="U121" s="64" cm="1">
        <f t="array" ref="U121">IF(OR(M121="", M121="Deleted"), "", _xlfn.LET(
  _xlpm.dates,
  _xlfn._xlws.FILTER(
    [1]SubmittalLog!$H$1:$H$4000,
    [1]SubmittalLog!$E$1:$E$4000=M121,
    ""
  ),
  _xlpm.min_date, IFERROR(MIN(_xlpm.dates), ""),
  IF(_xlpm.min_date=0, "", _xlpm.min_date)
))</f>
        <v>45266</v>
      </c>
      <c r="V121" s="63" t="str" cm="1">
        <f t="array" ref="V121">IF(OR(M121="", M121="Deleted"), "", IFERROR(
  _xlfn.TEXTJOIN(", ", TRUE,
    _xlfn.MAP(
      _xlfn.UNIQUE(
        _xlfn._xlws.FILTER(
          [1]SubmittalLog!$B$1:$B$4000,
          ([1]SubmittalLog!$E$1:$E$4000=M121) *
          ([1]SubmittalLog!$B$1:$B$4000&lt;&gt;""),
          ""
        )
      ),
      _xlfn.LAMBDA(_xlpm.val, TEXT(_xlpm.val, "000000"))
    )
  ),
""))</f>
        <v>000398, 000230</v>
      </c>
      <c r="W121" s="40" t="str" cm="1">
        <f t="array" ref="W121">IF(OR(M121="", M121="Deleted"), "", _xlfn.LET(
  _xlpm.doc_col, [1]SubmittalLog!$E$1:$E$4000,
  _xlpm.date_col, [1]SubmittalLog!$H$1:$H$4000,
  _xlpm.status_col, [1]SubmittalLog!$N$1:$N$4000,
  _xlpm.latest_date, _xlfn.MAXIFS(_xlpm.date_col, _xlpm.doc_col, M121),
  IF(_xlpm.latest_date=0, "NFS",
    _xlfn.LET(
      _xlpm.res, _xlfn.XLOOKUP(M121 &amp; "|" &amp; _xlpm.latest_date, _xlpm.doc_col &amp; "|" &amp; _xlpm.date_col, _xlpm.status_col, ""),
      IF(OR(_xlpm.res="", _xlpm.res=0), "", _xlpm.res)
    )
  )
))</f>
        <v>RTR</v>
      </c>
      <c r="X121" s="39">
        <f>IF(OR(M121="", M121="Deleted"), "", _xlfn.LET(
  _xlpm.doc_col, [1]SubmittalLog!$E$1:$E$4000,
  _xlpm.date_col, [1]SubmittalLog!$H$1:$H$4000,
  _xlpm.status_col, [1]SubmittalLog!$O$1:$O$4000,
  _xlpm.first_app_date, _xlfn.MINIFS(_xlpm.date_col, _xlpm.doc_col, M121, _xlpm.status_col, "APP"),
  _xlpm.first_awc_date, _xlfn.MINIFS(_xlpm.date_col, _xlpm.doc_col, M121, _xlpm.status_col, "AWC"),
  _xlpm.earliest_date, IF(
    AND(_xlpm.first_app_date=0, _xlpm.first_awc_date=0), 0,
    IF(_xlpm.first_app_date=0, _xlpm.first_awc_date,
    IF(_xlpm.first_awc_date=0, _xlpm.first_app_date,
    MIN(_xlpm.first_app_date, _xlpm.first_awc_date)))
  ),
  IF(_xlpm.earliest_date=0, "", _xlpm.earliest_date)
))</f>
        <v>45266</v>
      </c>
      <c r="Y121" s="40" t="str" cm="1">
        <f t="array" ref="Y121">IF(OR(M121="", M121="Deleted"), "", _xlfn.LET(
  _xlpm.doc_col, [1]SubmittalLog!$E$1:$E$4000,
  _xlpm.date_col, [1]SubmittalLog!$H$1:$H$4000,
  _xlpm.status_col, [1]SubmittalLog!$O$1:$O$4000,
  _xlpm.has_sub, COUNTIF(_xlpm.doc_col, M121),
  _xlpm.latest_reviewed_date, _xlfn.MAXIFS(_xlpm.date_col, _xlpm.doc_col, M121, _xlpm.status_col, "&lt;&gt;"),
  IF(_xlpm.has_sub=0, "",
    IF(_xlpm.latest_reviewed_date=0, "",
      _xlfn.LET(
        _xlpm.res, _xlfn.XLOOKUP(1, (_xlpm.doc_col=M121) * (_xlpm.date_col=_xlpm.latest_reviewed_date) * (_xlpm.status_col&lt;&gt;""), _xlpm.status_col, ""),
        IF(OR(_xlpm.res="", _xlpm.res=0), "", _xlpm.res)
      )
    )
  )
))</f>
        <v>AWC</v>
      </c>
    </row>
    <row r="122" spans="1:25" x14ac:dyDescent="0.35">
      <c r="A122" s="33">
        <f>IF($M122="","",MAX($A$1:A121)+1)</f>
        <v>110</v>
      </c>
      <c r="B122" s="23" t="s">
        <v>250</v>
      </c>
      <c r="C122" s="23" t="s">
        <v>257</v>
      </c>
      <c r="G122" s="33">
        <v>131236</v>
      </c>
      <c r="H122" s="33" t="s">
        <v>59</v>
      </c>
      <c r="I122" s="33" t="s">
        <v>297</v>
      </c>
      <c r="J122" s="33" t="s">
        <v>3496</v>
      </c>
      <c r="K122" s="51" t="s">
        <v>3612</v>
      </c>
      <c r="M122" s="34" t="str">
        <f t="shared" si="1"/>
        <v>131236-WIL21-DR-P-6005</v>
      </c>
      <c r="N122" s="26" t="s">
        <v>3613</v>
      </c>
      <c r="P122" s="34" t="s">
        <v>3498</v>
      </c>
      <c r="S122" s="35">
        <v>45260</v>
      </c>
      <c r="T122" s="35">
        <v>45351</v>
      </c>
      <c r="U122" s="64" cm="1">
        <f t="array" ref="U122">IF(OR(M122="", M122="Deleted"), "", _xlfn.LET(
  _xlpm.dates,
  _xlfn._xlws.FILTER(
    [1]SubmittalLog!$H$1:$H$4000,
    [1]SubmittalLog!$E$1:$E$4000=M122,
    ""
  ),
  _xlpm.min_date, IFERROR(MIN(_xlpm.dates), ""),
  IF(_xlpm.min_date=0, "", _xlpm.min_date)
))</f>
        <v>45266</v>
      </c>
      <c r="V122" s="63" t="str" cm="1">
        <f t="array" ref="V122">IF(OR(M122="", M122="Deleted"), "", IFERROR(
  _xlfn.TEXTJOIN(", ", TRUE,
    _xlfn.MAP(
      _xlfn.UNIQUE(
        _xlfn._xlws.FILTER(
          [1]SubmittalLog!$B$1:$B$4000,
          ([1]SubmittalLog!$E$1:$E$4000=M122) *
          ([1]SubmittalLog!$B$1:$B$4000&lt;&gt;""),
          ""
        )
      ),
      _xlfn.LAMBDA(_xlpm.val, TEXT(_xlpm.val, "000000"))
    )
  ),
""))</f>
        <v>000398, 000230</v>
      </c>
      <c r="W122" s="40" t="str" cm="1">
        <f t="array" ref="W122">IF(OR(M122="", M122="Deleted"), "", _xlfn.LET(
  _xlpm.doc_col, [1]SubmittalLog!$E$1:$E$4000,
  _xlpm.date_col, [1]SubmittalLog!$H$1:$H$4000,
  _xlpm.status_col, [1]SubmittalLog!$N$1:$N$4000,
  _xlpm.latest_date, _xlfn.MAXIFS(_xlpm.date_col, _xlpm.doc_col, M122),
  IF(_xlpm.latest_date=0, "NFS",
    _xlfn.LET(
      _xlpm.res, _xlfn.XLOOKUP(M122 &amp; "|" &amp; _xlpm.latest_date, _xlpm.doc_col &amp; "|" &amp; _xlpm.date_col, _xlpm.status_col, ""),
      IF(OR(_xlpm.res="", _xlpm.res=0), "", _xlpm.res)
    )
  )
))</f>
        <v>RTR</v>
      </c>
      <c r="X122" s="39">
        <f>IF(OR(M122="", M122="Deleted"), "", _xlfn.LET(
  _xlpm.doc_col, [1]SubmittalLog!$E$1:$E$4000,
  _xlpm.date_col, [1]SubmittalLog!$H$1:$H$4000,
  _xlpm.status_col, [1]SubmittalLog!$O$1:$O$4000,
  _xlpm.first_app_date, _xlfn.MINIFS(_xlpm.date_col, _xlpm.doc_col, M122, _xlpm.status_col, "APP"),
  _xlpm.first_awc_date, _xlfn.MINIFS(_xlpm.date_col, _xlpm.doc_col, M122, _xlpm.status_col, "AWC"),
  _xlpm.earliest_date, IF(
    AND(_xlpm.first_app_date=0, _xlpm.first_awc_date=0), 0,
    IF(_xlpm.first_app_date=0, _xlpm.first_awc_date,
    IF(_xlpm.first_awc_date=0, _xlpm.first_app_date,
    MIN(_xlpm.first_app_date, _xlpm.first_awc_date)))
  ),
  IF(_xlpm.earliest_date=0, "", _xlpm.earliest_date)
))</f>
        <v>45266</v>
      </c>
      <c r="Y122" s="40" t="str" cm="1">
        <f t="array" ref="Y122">IF(OR(M122="", M122="Deleted"), "", _xlfn.LET(
  _xlpm.doc_col, [1]SubmittalLog!$E$1:$E$4000,
  _xlpm.date_col, [1]SubmittalLog!$H$1:$H$4000,
  _xlpm.status_col, [1]SubmittalLog!$O$1:$O$4000,
  _xlpm.has_sub, COUNTIF(_xlpm.doc_col, M122),
  _xlpm.latest_reviewed_date, _xlfn.MAXIFS(_xlpm.date_col, _xlpm.doc_col, M122, _xlpm.status_col, "&lt;&gt;"),
  IF(_xlpm.has_sub=0, "",
    IF(_xlpm.latest_reviewed_date=0, "",
      _xlfn.LET(
        _xlpm.res, _xlfn.XLOOKUP(1, (_xlpm.doc_col=M122) * (_xlpm.date_col=_xlpm.latest_reviewed_date) * (_xlpm.status_col&lt;&gt;""), _xlpm.status_col, ""),
        IF(OR(_xlpm.res="", _xlpm.res=0), "", _xlpm.res)
      )
    )
  )
))</f>
        <v>AWC</v>
      </c>
    </row>
    <row r="123" spans="1:25" x14ac:dyDescent="0.35">
      <c r="A123" s="33">
        <f>IF($M123="","",MAX($A$1:A122)+1)</f>
        <v>111</v>
      </c>
      <c r="B123" s="23" t="s">
        <v>250</v>
      </c>
      <c r="C123" s="23" t="s">
        <v>257</v>
      </c>
      <c r="G123" s="33">
        <v>131236</v>
      </c>
      <c r="H123" s="33" t="s">
        <v>59</v>
      </c>
      <c r="I123" s="33" t="s">
        <v>297</v>
      </c>
      <c r="J123" s="33" t="s">
        <v>3496</v>
      </c>
      <c r="K123" s="51" t="s">
        <v>3614</v>
      </c>
      <c r="M123" s="34" t="str">
        <f t="shared" si="1"/>
        <v>131236-WIL21-DR-P-6006</v>
      </c>
      <c r="N123" s="26" t="s">
        <v>3615</v>
      </c>
      <c r="P123" s="34" t="s">
        <v>3498</v>
      </c>
      <c r="S123" s="35">
        <v>45260</v>
      </c>
      <c r="T123" s="35">
        <v>45351</v>
      </c>
      <c r="U123" s="64" cm="1">
        <f t="array" ref="U123">IF(OR(M123="", M123="Deleted"), "", _xlfn.LET(
  _xlpm.dates,
  _xlfn._xlws.FILTER(
    [1]SubmittalLog!$H$1:$H$4000,
    [1]SubmittalLog!$E$1:$E$4000=M123,
    ""
  ),
  _xlpm.min_date, IFERROR(MIN(_xlpm.dates), ""),
  IF(_xlpm.min_date=0, "", _xlpm.min_date)
))</f>
        <v>45266</v>
      </c>
      <c r="V123" s="63" t="str" cm="1">
        <f t="array" ref="V123">IF(OR(M123="", M123="Deleted"), "", IFERROR(
  _xlfn.TEXTJOIN(", ", TRUE,
    _xlfn.MAP(
      _xlfn.UNIQUE(
        _xlfn._xlws.FILTER(
          [1]SubmittalLog!$B$1:$B$4000,
          ([1]SubmittalLog!$E$1:$E$4000=M123) *
          ([1]SubmittalLog!$B$1:$B$4000&lt;&gt;""),
          ""
        )
      ),
      _xlfn.LAMBDA(_xlpm.val, TEXT(_xlpm.val, "000000"))
    )
  ),
""))</f>
        <v>000398, 000230</v>
      </c>
      <c r="W123" s="40" t="str" cm="1">
        <f t="array" ref="W123">IF(OR(M123="", M123="Deleted"), "", _xlfn.LET(
  _xlpm.doc_col, [1]SubmittalLog!$E$1:$E$4000,
  _xlpm.date_col, [1]SubmittalLog!$H$1:$H$4000,
  _xlpm.status_col, [1]SubmittalLog!$N$1:$N$4000,
  _xlpm.latest_date, _xlfn.MAXIFS(_xlpm.date_col, _xlpm.doc_col, M123),
  IF(_xlpm.latest_date=0, "NFS",
    _xlfn.LET(
      _xlpm.res, _xlfn.XLOOKUP(M123 &amp; "|" &amp; _xlpm.latest_date, _xlpm.doc_col &amp; "|" &amp; _xlpm.date_col, _xlpm.status_col, ""),
      IF(OR(_xlpm.res="", _xlpm.res=0), "", _xlpm.res)
    )
  )
))</f>
        <v>RTR</v>
      </c>
      <c r="X123" s="39">
        <f>IF(OR(M123="", M123="Deleted"), "", _xlfn.LET(
  _xlpm.doc_col, [1]SubmittalLog!$E$1:$E$4000,
  _xlpm.date_col, [1]SubmittalLog!$H$1:$H$4000,
  _xlpm.status_col, [1]SubmittalLog!$O$1:$O$4000,
  _xlpm.first_app_date, _xlfn.MINIFS(_xlpm.date_col, _xlpm.doc_col, M123, _xlpm.status_col, "APP"),
  _xlpm.first_awc_date, _xlfn.MINIFS(_xlpm.date_col, _xlpm.doc_col, M123, _xlpm.status_col, "AWC"),
  _xlpm.earliest_date, IF(
    AND(_xlpm.first_app_date=0, _xlpm.first_awc_date=0), 0,
    IF(_xlpm.first_app_date=0, _xlpm.first_awc_date,
    IF(_xlpm.first_awc_date=0, _xlpm.first_app_date,
    MIN(_xlpm.first_app_date, _xlpm.first_awc_date)))
  ),
  IF(_xlpm.earliest_date=0, "", _xlpm.earliest_date)
))</f>
        <v>45266</v>
      </c>
      <c r="Y123" s="40" t="str" cm="1">
        <f t="array" ref="Y123">IF(OR(M123="", M123="Deleted"), "", _xlfn.LET(
  _xlpm.doc_col, [1]SubmittalLog!$E$1:$E$4000,
  _xlpm.date_col, [1]SubmittalLog!$H$1:$H$4000,
  _xlpm.status_col, [1]SubmittalLog!$O$1:$O$4000,
  _xlpm.has_sub, COUNTIF(_xlpm.doc_col, M123),
  _xlpm.latest_reviewed_date, _xlfn.MAXIFS(_xlpm.date_col, _xlpm.doc_col, M123, _xlpm.status_col, "&lt;&gt;"),
  IF(_xlpm.has_sub=0, "",
    IF(_xlpm.latest_reviewed_date=0, "",
      _xlfn.LET(
        _xlpm.res, _xlfn.XLOOKUP(1, (_xlpm.doc_col=M123) * (_xlpm.date_col=_xlpm.latest_reviewed_date) * (_xlpm.status_col&lt;&gt;""), _xlpm.status_col, ""),
        IF(OR(_xlpm.res="", _xlpm.res=0), "", _xlpm.res)
      )
    )
  )
))</f>
        <v>AWC</v>
      </c>
    </row>
    <row r="124" spans="1:25" x14ac:dyDescent="0.35">
      <c r="A124" s="33">
        <f>IF($M124="","",MAX($A$1:A123)+1)</f>
        <v>112</v>
      </c>
      <c r="B124" s="23" t="s">
        <v>250</v>
      </c>
      <c r="C124" s="23" t="s">
        <v>257</v>
      </c>
      <c r="G124" s="33">
        <v>131236</v>
      </c>
      <c r="H124" s="33" t="s">
        <v>59</v>
      </c>
      <c r="I124" s="33" t="s">
        <v>297</v>
      </c>
      <c r="J124" s="33" t="s">
        <v>3496</v>
      </c>
      <c r="K124" s="51" t="s">
        <v>3616</v>
      </c>
      <c r="M124" s="34" t="str">
        <f t="shared" si="1"/>
        <v>131236-WIL21-DR-P-6007</v>
      </c>
      <c r="N124" s="26" t="s">
        <v>3617</v>
      </c>
      <c r="P124" s="34" t="s">
        <v>3498</v>
      </c>
      <c r="S124" s="35">
        <v>45260</v>
      </c>
      <c r="T124" s="35">
        <v>45351</v>
      </c>
      <c r="U124" s="64" cm="1">
        <f t="array" ref="U124">IF(OR(M124="", M124="Deleted"), "", _xlfn.LET(
  _xlpm.dates,
  _xlfn._xlws.FILTER(
    [1]SubmittalLog!$H$1:$H$4000,
    [1]SubmittalLog!$E$1:$E$4000=M124,
    ""
  ),
  _xlpm.min_date, IFERROR(MIN(_xlpm.dates), ""),
  IF(_xlpm.min_date=0, "", _xlpm.min_date)
))</f>
        <v>45266</v>
      </c>
      <c r="V124" s="63" t="str" cm="1">
        <f t="array" ref="V124">IF(OR(M124="", M124="Deleted"), "", IFERROR(
  _xlfn.TEXTJOIN(", ", TRUE,
    _xlfn.MAP(
      _xlfn.UNIQUE(
        _xlfn._xlws.FILTER(
          [1]SubmittalLog!$B$1:$B$4000,
          ([1]SubmittalLog!$E$1:$E$4000=M124) *
          ([1]SubmittalLog!$B$1:$B$4000&lt;&gt;""),
          ""
        )
      ),
      _xlfn.LAMBDA(_xlpm.val, TEXT(_xlpm.val, "000000"))
    )
  ),
""))</f>
        <v>000398, 000230</v>
      </c>
      <c r="W124" s="40" t="str" cm="1">
        <f t="array" ref="W124">IF(OR(M124="", M124="Deleted"), "", _xlfn.LET(
  _xlpm.doc_col, [1]SubmittalLog!$E$1:$E$4000,
  _xlpm.date_col, [1]SubmittalLog!$H$1:$H$4000,
  _xlpm.status_col, [1]SubmittalLog!$N$1:$N$4000,
  _xlpm.latest_date, _xlfn.MAXIFS(_xlpm.date_col, _xlpm.doc_col, M124),
  IF(_xlpm.latest_date=0, "NFS",
    _xlfn.LET(
      _xlpm.res, _xlfn.XLOOKUP(M124 &amp; "|" &amp; _xlpm.latest_date, _xlpm.doc_col &amp; "|" &amp; _xlpm.date_col, _xlpm.status_col, ""),
      IF(OR(_xlpm.res="", _xlpm.res=0), "", _xlpm.res)
    )
  )
))</f>
        <v>RTR</v>
      </c>
      <c r="X124" s="39">
        <f>IF(OR(M124="", M124="Deleted"), "", _xlfn.LET(
  _xlpm.doc_col, [1]SubmittalLog!$E$1:$E$4000,
  _xlpm.date_col, [1]SubmittalLog!$H$1:$H$4000,
  _xlpm.status_col, [1]SubmittalLog!$O$1:$O$4000,
  _xlpm.first_app_date, _xlfn.MINIFS(_xlpm.date_col, _xlpm.doc_col, M124, _xlpm.status_col, "APP"),
  _xlpm.first_awc_date, _xlfn.MINIFS(_xlpm.date_col, _xlpm.doc_col, M124, _xlpm.status_col, "AWC"),
  _xlpm.earliest_date, IF(
    AND(_xlpm.first_app_date=0, _xlpm.first_awc_date=0), 0,
    IF(_xlpm.first_app_date=0, _xlpm.first_awc_date,
    IF(_xlpm.first_awc_date=0, _xlpm.first_app_date,
    MIN(_xlpm.first_app_date, _xlpm.first_awc_date)))
  ),
  IF(_xlpm.earliest_date=0, "", _xlpm.earliest_date)
))</f>
        <v>45266</v>
      </c>
      <c r="Y124" s="40" t="str" cm="1">
        <f t="array" ref="Y124">IF(OR(M124="", M124="Deleted"), "", _xlfn.LET(
  _xlpm.doc_col, [1]SubmittalLog!$E$1:$E$4000,
  _xlpm.date_col, [1]SubmittalLog!$H$1:$H$4000,
  _xlpm.status_col, [1]SubmittalLog!$O$1:$O$4000,
  _xlpm.has_sub, COUNTIF(_xlpm.doc_col, M124),
  _xlpm.latest_reviewed_date, _xlfn.MAXIFS(_xlpm.date_col, _xlpm.doc_col, M124, _xlpm.status_col, "&lt;&gt;"),
  IF(_xlpm.has_sub=0, "",
    IF(_xlpm.latest_reviewed_date=0, "",
      _xlfn.LET(
        _xlpm.res, _xlfn.XLOOKUP(1, (_xlpm.doc_col=M124) * (_xlpm.date_col=_xlpm.latest_reviewed_date) * (_xlpm.status_col&lt;&gt;""), _xlpm.status_col, ""),
        IF(OR(_xlpm.res="", _xlpm.res=0), "", _xlpm.res)
      )
    )
  )
))</f>
        <v>AWC</v>
      </c>
    </row>
    <row r="125" spans="1:25" x14ac:dyDescent="0.35">
      <c r="A125" s="33">
        <f>IF($M125="","",MAX($A$1:A124)+1)</f>
        <v>113</v>
      </c>
      <c r="B125" s="23" t="s">
        <v>250</v>
      </c>
      <c r="C125" s="23" t="s">
        <v>257</v>
      </c>
      <c r="G125" s="33">
        <v>131236</v>
      </c>
      <c r="H125" s="33" t="s">
        <v>59</v>
      </c>
      <c r="I125" s="33" t="s">
        <v>297</v>
      </c>
      <c r="J125" s="33" t="s">
        <v>3496</v>
      </c>
      <c r="K125" s="51" t="s">
        <v>3618</v>
      </c>
      <c r="M125" s="34" t="str">
        <f t="shared" si="1"/>
        <v>131236-WIL21-DR-P-6008</v>
      </c>
      <c r="N125" s="26" t="s">
        <v>3619</v>
      </c>
      <c r="P125" s="34" t="s">
        <v>3498</v>
      </c>
      <c r="S125" s="35">
        <v>45260</v>
      </c>
      <c r="T125" s="35">
        <v>45351</v>
      </c>
      <c r="U125" s="64" cm="1">
        <f t="array" ref="U125">IF(OR(M125="", M125="Deleted"), "", _xlfn.LET(
  _xlpm.dates,
  _xlfn._xlws.FILTER(
    [1]SubmittalLog!$H$1:$H$4000,
    [1]SubmittalLog!$E$1:$E$4000=M125,
    ""
  ),
  _xlpm.min_date, IFERROR(MIN(_xlpm.dates), ""),
  IF(_xlpm.min_date=0, "", _xlpm.min_date)
))</f>
        <v>45266</v>
      </c>
      <c r="V125" s="63" t="str" cm="1">
        <f t="array" ref="V125">IF(OR(M125="", M125="Deleted"), "", IFERROR(
  _xlfn.TEXTJOIN(", ", TRUE,
    _xlfn.MAP(
      _xlfn.UNIQUE(
        _xlfn._xlws.FILTER(
          [1]SubmittalLog!$B$1:$B$4000,
          ([1]SubmittalLog!$E$1:$E$4000=M125) *
          ([1]SubmittalLog!$B$1:$B$4000&lt;&gt;""),
          ""
        )
      ),
      _xlfn.LAMBDA(_xlpm.val, TEXT(_xlpm.val, "000000"))
    )
  ),
""))</f>
        <v>000398, 000230</v>
      </c>
      <c r="W125" s="40" t="str" cm="1">
        <f t="array" ref="W125">IF(OR(M125="", M125="Deleted"), "", _xlfn.LET(
  _xlpm.doc_col, [1]SubmittalLog!$E$1:$E$4000,
  _xlpm.date_col, [1]SubmittalLog!$H$1:$H$4000,
  _xlpm.status_col, [1]SubmittalLog!$N$1:$N$4000,
  _xlpm.latest_date, _xlfn.MAXIFS(_xlpm.date_col, _xlpm.doc_col, M125),
  IF(_xlpm.latest_date=0, "NFS",
    _xlfn.LET(
      _xlpm.res, _xlfn.XLOOKUP(M125 &amp; "|" &amp; _xlpm.latest_date, _xlpm.doc_col &amp; "|" &amp; _xlpm.date_col, _xlpm.status_col, ""),
      IF(OR(_xlpm.res="", _xlpm.res=0), "", _xlpm.res)
    )
  )
))</f>
        <v>RTR</v>
      </c>
      <c r="X125" s="39">
        <f>IF(OR(M125="", M125="Deleted"), "", _xlfn.LET(
  _xlpm.doc_col, [1]SubmittalLog!$E$1:$E$4000,
  _xlpm.date_col, [1]SubmittalLog!$H$1:$H$4000,
  _xlpm.status_col, [1]SubmittalLog!$O$1:$O$4000,
  _xlpm.first_app_date, _xlfn.MINIFS(_xlpm.date_col, _xlpm.doc_col, M125, _xlpm.status_col, "APP"),
  _xlpm.first_awc_date, _xlfn.MINIFS(_xlpm.date_col, _xlpm.doc_col, M125, _xlpm.status_col, "AWC"),
  _xlpm.earliest_date, IF(
    AND(_xlpm.first_app_date=0, _xlpm.first_awc_date=0), 0,
    IF(_xlpm.first_app_date=0, _xlpm.first_awc_date,
    IF(_xlpm.first_awc_date=0, _xlpm.first_app_date,
    MIN(_xlpm.first_app_date, _xlpm.first_awc_date)))
  ),
  IF(_xlpm.earliest_date=0, "", _xlpm.earliest_date)
))</f>
        <v>45266</v>
      </c>
      <c r="Y125" s="40" t="str" cm="1">
        <f t="array" ref="Y125">IF(OR(M125="", M125="Deleted"), "", _xlfn.LET(
  _xlpm.doc_col, [1]SubmittalLog!$E$1:$E$4000,
  _xlpm.date_col, [1]SubmittalLog!$H$1:$H$4000,
  _xlpm.status_col, [1]SubmittalLog!$O$1:$O$4000,
  _xlpm.has_sub, COUNTIF(_xlpm.doc_col, M125),
  _xlpm.latest_reviewed_date, _xlfn.MAXIFS(_xlpm.date_col, _xlpm.doc_col, M125, _xlpm.status_col, "&lt;&gt;"),
  IF(_xlpm.has_sub=0, "",
    IF(_xlpm.latest_reviewed_date=0, "",
      _xlfn.LET(
        _xlpm.res, _xlfn.XLOOKUP(1, (_xlpm.doc_col=M125) * (_xlpm.date_col=_xlpm.latest_reviewed_date) * (_xlpm.status_col&lt;&gt;""), _xlpm.status_col, ""),
        IF(OR(_xlpm.res="", _xlpm.res=0), "", _xlpm.res)
      )
    )
  )
))</f>
        <v>AWC</v>
      </c>
    </row>
    <row r="126" spans="1:25" x14ac:dyDescent="0.35">
      <c r="A126" s="33">
        <f>IF($M126="","",MAX($A$1:A125)+1)</f>
        <v>114</v>
      </c>
      <c r="B126" s="23" t="s">
        <v>250</v>
      </c>
      <c r="C126" s="23" t="s">
        <v>257</v>
      </c>
      <c r="G126" s="33">
        <v>131236</v>
      </c>
      <c r="H126" s="33" t="s">
        <v>59</v>
      </c>
      <c r="I126" s="33" t="s">
        <v>297</v>
      </c>
      <c r="J126" s="33" t="s">
        <v>3496</v>
      </c>
      <c r="K126" s="51" t="s">
        <v>3620</v>
      </c>
      <c r="M126" s="34" t="str">
        <f t="shared" si="1"/>
        <v>131236-WIL21-DR-P-6009</v>
      </c>
      <c r="N126" s="26" t="s">
        <v>3621</v>
      </c>
      <c r="P126" s="34" t="s">
        <v>3498</v>
      </c>
      <c r="S126" s="35">
        <v>45260</v>
      </c>
      <c r="T126" s="35">
        <v>45351</v>
      </c>
      <c r="U126" s="64" cm="1">
        <f t="array" ref="U126">IF(OR(M126="", M126="Deleted"), "", _xlfn.LET(
  _xlpm.dates,
  _xlfn._xlws.FILTER(
    [1]SubmittalLog!$H$1:$H$4000,
    [1]SubmittalLog!$E$1:$E$4000=M126,
    ""
  ),
  _xlpm.min_date, IFERROR(MIN(_xlpm.dates), ""),
  IF(_xlpm.min_date=0, "", _xlpm.min_date)
))</f>
        <v>45266</v>
      </c>
      <c r="V126" s="63" t="str" cm="1">
        <f t="array" ref="V126">IF(OR(M126="", M126="Deleted"), "", IFERROR(
  _xlfn.TEXTJOIN(", ", TRUE,
    _xlfn.MAP(
      _xlfn.UNIQUE(
        _xlfn._xlws.FILTER(
          [1]SubmittalLog!$B$1:$B$4000,
          ([1]SubmittalLog!$E$1:$E$4000=M126) *
          ([1]SubmittalLog!$B$1:$B$4000&lt;&gt;""),
          ""
        )
      ),
      _xlfn.LAMBDA(_xlpm.val, TEXT(_xlpm.val, "000000"))
    )
  ),
""))</f>
        <v>000398, 000230</v>
      </c>
      <c r="W126" s="40" t="str" cm="1">
        <f t="array" ref="W126">IF(OR(M126="", M126="Deleted"), "", _xlfn.LET(
  _xlpm.doc_col, [1]SubmittalLog!$E$1:$E$4000,
  _xlpm.date_col, [1]SubmittalLog!$H$1:$H$4000,
  _xlpm.status_col, [1]SubmittalLog!$N$1:$N$4000,
  _xlpm.latest_date, _xlfn.MAXIFS(_xlpm.date_col, _xlpm.doc_col, M126),
  IF(_xlpm.latest_date=0, "NFS",
    _xlfn.LET(
      _xlpm.res, _xlfn.XLOOKUP(M126 &amp; "|" &amp; _xlpm.latest_date, _xlpm.doc_col &amp; "|" &amp; _xlpm.date_col, _xlpm.status_col, ""),
      IF(OR(_xlpm.res="", _xlpm.res=0), "", _xlpm.res)
    )
  )
))</f>
        <v>RTR</v>
      </c>
      <c r="X126" s="39">
        <f>IF(OR(M126="", M126="Deleted"), "", _xlfn.LET(
  _xlpm.doc_col, [1]SubmittalLog!$E$1:$E$4000,
  _xlpm.date_col, [1]SubmittalLog!$H$1:$H$4000,
  _xlpm.status_col, [1]SubmittalLog!$O$1:$O$4000,
  _xlpm.first_app_date, _xlfn.MINIFS(_xlpm.date_col, _xlpm.doc_col, M126, _xlpm.status_col, "APP"),
  _xlpm.first_awc_date, _xlfn.MINIFS(_xlpm.date_col, _xlpm.doc_col, M126, _xlpm.status_col, "AWC"),
  _xlpm.earliest_date, IF(
    AND(_xlpm.first_app_date=0, _xlpm.first_awc_date=0), 0,
    IF(_xlpm.first_app_date=0, _xlpm.first_awc_date,
    IF(_xlpm.first_awc_date=0, _xlpm.first_app_date,
    MIN(_xlpm.first_app_date, _xlpm.first_awc_date)))
  ),
  IF(_xlpm.earliest_date=0, "", _xlpm.earliest_date)
))</f>
        <v>45266</v>
      </c>
      <c r="Y126" s="40" t="str" cm="1">
        <f t="array" ref="Y126">IF(OR(M126="", M126="Deleted"), "", _xlfn.LET(
  _xlpm.doc_col, [1]SubmittalLog!$E$1:$E$4000,
  _xlpm.date_col, [1]SubmittalLog!$H$1:$H$4000,
  _xlpm.status_col, [1]SubmittalLog!$O$1:$O$4000,
  _xlpm.has_sub, COUNTIF(_xlpm.doc_col, M126),
  _xlpm.latest_reviewed_date, _xlfn.MAXIFS(_xlpm.date_col, _xlpm.doc_col, M126, _xlpm.status_col, "&lt;&gt;"),
  IF(_xlpm.has_sub=0, "",
    IF(_xlpm.latest_reviewed_date=0, "",
      _xlfn.LET(
        _xlpm.res, _xlfn.XLOOKUP(1, (_xlpm.doc_col=M126) * (_xlpm.date_col=_xlpm.latest_reviewed_date) * (_xlpm.status_col&lt;&gt;""), _xlpm.status_col, ""),
        IF(OR(_xlpm.res="", _xlpm.res=0), "", _xlpm.res)
      )
    )
  )
))</f>
        <v>AWC</v>
      </c>
    </row>
    <row r="127" spans="1:25" x14ac:dyDescent="0.35">
      <c r="A127" s="33">
        <f>IF($M127="","",MAX($A$1:A126)+1)</f>
        <v>115</v>
      </c>
      <c r="B127" s="23" t="s">
        <v>250</v>
      </c>
      <c r="C127" s="23" t="s">
        <v>257</v>
      </c>
      <c r="G127" s="33">
        <v>131236</v>
      </c>
      <c r="H127" s="33" t="s">
        <v>59</v>
      </c>
      <c r="I127" s="33" t="s">
        <v>297</v>
      </c>
      <c r="J127" s="33" t="s">
        <v>3496</v>
      </c>
      <c r="K127" s="51" t="s">
        <v>3622</v>
      </c>
      <c r="M127" s="34" t="str">
        <f t="shared" si="1"/>
        <v>131236-WIL21-DR-P-6010</v>
      </c>
      <c r="N127" s="26" t="s">
        <v>3623</v>
      </c>
      <c r="P127" s="34" t="s">
        <v>3498</v>
      </c>
      <c r="S127" s="35">
        <v>45260</v>
      </c>
      <c r="T127" s="35">
        <v>45351</v>
      </c>
      <c r="U127" s="64" cm="1">
        <f t="array" ref="U127">IF(OR(M127="", M127="Deleted"), "", _xlfn.LET(
  _xlpm.dates,
  _xlfn._xlws.FILTER(
    [1]SubmittalLog!$H$1:$H$4000,
    [1]SubmittalLog!$E$1:$E$4000=M127,
    ""
  ),
  _xlpm.min_date, IFERROR(MIN(_xlpm.dates), ""),
  IF(_xlpm.min_date=0, "", _xlpm.min_date)
))</f>
        <v>45266</v>
      </c>
      <c r="V127" s="63" t="str" cm="1">
        <f t="array" ref="V127">IF(OR(M127="", M127="Deleted"), "", IFERROR(
  _xlfn.TEXTJOIN(", ", TRUE,
    _xlfn.MAP(
      _xlfn.UNIQUE(
        _xlfn._xlws.FILTER(
          [1]SubmittalLog!$B$1:$B$4000,
          ([1]SubmittalLog!$E$1:$E$4000=M127) *
          ([1]SubmittalLog!$B$1:$B$4000&lt;&gt;""),
          ""
        )
      ),
      _xlfn.LAMBDA(_xlpm.val, TEXT(_xlpm.val, "000000"))
    )
  ),
""))</f>
        <v>000398, 000230</v>
      </c>
      <c r="W127" s="40" t="str" cm="1">
        <f t="array" ref="W127">IF(OR(M127="", M127="Deleted"), "", _xlfn.LET(
  _xlpm.doc_col, [1]SubmittalLog!$E$1:$E$4000,
  _xlpm.date_col, [1]SubmittalLog!$H$1:$H$4000,
  _xlpm.status_col, [1]SubmittalLog!$N$1:$N$4000,
  _xlpm.latest_date, _xlfn.MAXIFS(_xlpm.date_col, _xlpm.doc_col, M127),
  IF(_xlpm.latest_date=0, "NFS",
    _xlfn.LET(
      _xlpm.res, _xlfn.XLOOKUP(M127 &amp; "|" &amp; _xlpm.latest_date, _xlpm.doc_col &amp; "|" &amp; _xlpm.date_col, _xlpm.status_col, ""),
      IF(OR(_xlpm.res="", _xlpm.res=0), "", _xlpm.res)
    )
  )
))</f>
        <v>RTR</v>
      </c>
      <c r="X127" s="39">
        <f>IF(OR(M127="", M127="Deleted"), "", _xlfn.LET(
  _xlpm.doc_col, [1]SubmittalLog!$E$1:$E$4000,
  _xlpm.date_col, [1]SubmittalLog!$H$1:$H$4000,
  _xlpm.status_col, [1]SubmittalLog!$O$1:$O$4000,
  _xlpm.first_app_date, _xlfn.MINIFS(_xlpm.date_col, _xlpm.doc_col, M127, _xlpm.status_col, "APP"),
  _xlpm.first_awc_date, _xlfn.MINIFS(_xlpm.date_col, _xlpm.doc_col, M127, _xlpm.status_col, "AWC"),
  _xlpm.earliest_date, IF(
    AND(_xlpm.first_app_date=0, _xlpm.first_awc_date=0), 0,
    IF(_xlpm.first_app_date=0, _xlpm.first_awc_date,
    IF(_xlpm.first_awc_date=0, _xlpm.first_app_date,
    MIN(_xlpm.first_app_date, _xlpm.first_awc_date)))
  ),
  IF(_xlpm.earliest_date=0, "", _xlpm.earliest_date)
))</f>
        <v>45266</v>
      </c>
      <c r="Y127" s="40" t="str" cm="1">
        <f t="array" ref="Y127">IF(OR(M127="", M127="Deleted"), "", _xlfn.LET(
  _xlpm.doc_col, [1]SubmittalLog!$E$1:$E$4000,
  _xlpm.date_col, [1]SubmittalLog!$H$1:$H$4000,
  _xlpm.status_col, [1]SubmittalLog!$O$1:$O$4000,
  _xlpm.has_sub, COUNTIF(_xlpm.doc_col, M127),
  _xlpm.latest_reviewed_date, _xlfn.MAXIFS(_xlpm.date_col, _xlpm.doc_col, M127, _xlpm.status_col, "&lt;&gt;"),
  IF(_xlpm.has_sub=0, "",
    IF(_xlpm.latest_reviewed_date=0, "",
      _xlfn.LET(
        _xlpm.res, _xlfn.XLOOKUP(1, (_xlpm.doc_col=M127) * (_xlpm.date_col=_xlpm.latest_reviewed_date) * (_xlpm.status_col&lt;&gt;""), _xlpm.status_col, ""),
        IF(OR(_xlpm.res="", _xlpm.res=0), "", _xlpm.res)
      )
    )
  )
))</f>
        <v>AWC</v>
      </c>
    </row>
    <row r="128" spans="1:25" x14ac:dyDescent="0.35">
      <c r="A128" s="33">
        <f>IF($M128="","",MAX($A$1:A127)+1)</f>
        <v>116</v>
      </c>
      <c r="B128" s="23" t="s">
        <v>250</v>
      </c>
      <c r="C128" s="23" t="s">
        <v>257</v>
      </c>
      <c r="G128" s="33">
        <v>131236</v>
      </c>
      <c r="H128" s="33" t="s">
        <v>59</v>
      </c>
      <c r="I128" s="33" t="s">
        <v>297</v>
      </c>
      <c r="J128" s="33" t="s">
        <v>3496</v>
      </c>
      <c r="K128" s="51" t="s">
        <v>3624</v>
      </c>
      <c r="M128" s="34" t="str">
        <f t="shared" si="1"/>
        <v>131236-WIL21-DR-P-6011</v>
      </c>
      <c r="N128" s="26" t="s">
        <v>3625</v>
      </c>
      <c r="P128" s="34" t="s">
        <v>3498</v>
      </c>
      <c r="S128" s="35">
        <v>45260</v>
      </c>
      <c r="T128" s="35">
        <v>45351</v>
      </c>
      <c r="U128" s="64" cm="1">
        <f t="array" ref="U128">IF(OR(M128="", M128="Deleted"), "", _xlfn.LET(
  _xlpm.dates,
  _xlfn._xlws.FILTER(
    [1]SubmittalLog!$H$1:$H$4000,
    [1]SubmittalLog!$E$1:$E$4000=M128,
    ""
  ),
  _xlpm.min_date, IFERROR(MIN(_xlpm.dates), ""),
  IF(_xlpm.min_date=0, "", _xlpm.min_date)
))</f>
        <v>45266</v>
      </c>
      <c r="V128" s="63" t="str" cm="1">
        <f t="array" ref="V128">IF(OR(M128="", M128="Deleted"), "", IFERROR(
  _xlfn.TEXTJOIN(", ", TRUE,
    _xlfn.MAP(
      _xlfn.UNIQUE(
        _xlfn._xlws.FILTER(
          [1]SubmittalLog!$B$1:$B$4000,
          ([1]SubmittalLog!$E$1:$E$4000=M128) *
          ([1]SubmittalLog!$B$1:$B$4000&lt;&gt;""),
          ""
        )
      ),
      _xlfn.LAMBDA(_xlpm.val, TEXT(_xlpm.val, "000000"))
    )
  ),
""))</f>
        <v>000398, 000230</v>
      </c>
      <c r="W128" s="40" t="str" cm="1">
        <f t="array" ref="W128">IF(OR(M128="", M128="Deleted"), "", _xlfn.LET(
  _xlpm.doc_col, [1]SubmittalLog!$E$1:$E$4000,
  _xlpm.date_col, [1]SubmittalLog!$H$1:$H$4000,
  _xlpm.status_col, [1]SubmittalLog!$N$1:$N$4000,
  _xlpm.latest_date, _xlfn.MAXIFS(_xlpm.date_col, _xlpm.doc_col, M128),
  IF(_xlpm.latest_date=0, "NFS",
    _xlfn.LET(
      _xlpm.res, _xlfn.XLOOKUP(M128 &amp; "|" &amp; _xlpm.latest_date, _xlpm.doc_col &amp; "|" &amp; _xlpm.date_col, _xlpm.status_col, ""),
      IF(OR(_xlpm.res="", _xlpm.res=0), "", _xlpm.res)
    )
  )
))</f>
        <v>RTR</v>
      </c>
      <c r="X128" s="39">
        <f>IF(OR(M128="", M128="Deleted"), "", _xlfn.LET(
  _xlpm.doc_col, [1]SubmittalLog!$E$1:$E$4000,
  _xlpm.date_col, [1]SubmittalLog!$H$1:$H$4000,
  _xlpm.status_col, [1]SubmittalLog!$O$1:$O$4000,
  _xlpm.first_app_date, _xlfn.MINIFS(_xlpm.date_col, _xlpm.doc_col, M128, _xlpm.status_col, "APP"),
  _xlpm.first_awc_date, _xlfn.MINIFS(_xlpm.date_col, _xlpm.doc_col, M128, _xlpm.status_col, "AWC"),
  _xlpm.earliest_date, IF(
    AND(_xlpm.first_app_date=0, _xlpm.first_awc_date=0), 0,
    IF(_xlpm.first_app_date=0, _xlpm.first_awc_date,
    IF(_xlpm.first_awc_date=0, _xlpm.first_app_date,
    MIN(_xlpm.first_app_date, _xlpm.first_awc_date)))
  ),
  IF(_xlpm.earliest_date=0, "", _xlpm.earliest_date)
))</f>
        <v>45266</v>
      </c>
      <c r="Y128" s="40" t="str" cm="1">
        <f t="array" ref="Y128">IF(OR(M128="", M128="Deleted"), "", _xlfn.LET(
  _xlpm.doc_col, [1]SubmittalLog!$E$1:$E$4000,
  _xlpm.date_col, [1]SubmittalLog!$H$1:$H$4000,
  _xlpm.status_col, [1]SubmittalLog!$O$1:$O$4000,
  _xlpm.has_sub, COUNTIF(_xlpm.doc_col, M128),
  _xlpm.latest_reviewed_date, _xlfn.MAXIFS(_xlpm.date_col, _xlpm.doc_col, M128, _xlpm.status_col, "&lt;&gt;"),
  IF(_xlpm.has_sub=0, "",
    IF(_xlpm.latest_reviewed_date=0, "",
      _xlfn.LET(
        _xlpm.res, _xlfn.XLOOKUP(1, (_xlpm.doc_col=M128) * (_xlpm.date_col=_xlpm.latest_reviewed_date) * (_xlpm.status_col&lt;&gt;""), _xlpm.status_col, ""),
        IF(OR(_xlpm.res="", _xlpm.res=0), "", _xlpm.res)
      )
    )
  )
))</f>
        <v>AWC</v>
      </c>
    </row>
    <row r="129" spans="1:25" x14ac:dyDescent="0.35">
      <c r="A129" s="33">
        <f>IF($M129="","",MAX($A$1:A128)+1)</f>
        <v>117</v>
      </c>
      <c r="B129" s="23" t="s">
        <v>250</v>
      </c>
      <c r="C129" s="23" t="s">
        <v>257</v>
      </c>
      <c r="G129" s="33">
        <v>131236</v>
      </c>
      <c r="H129" s="33" t="s">
        <v>59</v>
      </c>
      <c r="I129" s="33" t="s">
        <v>297</v>
      </c>
      <c r="J129" s="33" t="s">
        <v>3496</v>
      </c>
      <c r="K129" s="51" t="s">
        <v>3626</v>
      </c>
      <c r="M129" s="34" t="str">
        <f t="shared" si="1"/>
        <v>131236-WIL21-DR-P-6012</v>
      </c>
      <c r="N129" s="26" t="s">
        <v>3627</v>
      </c>
      <c r="P129" s="34" t="s">
        <v>3498</v>
      </c>
      <c r="S129" s="35">
        <v>45260</v>
      </c>
      <c r="T129" s="35">
        <v>45351</v>
      </c>
      <c r="U129" s="64" cm="1">
        <f t="array" ref="U129">IF(OR(M129="", M129="Deleted"), "", _xlfn.LET(
  _xlpm.dates,
  _xlfn._xlws.FILTER(
    [1]SubmittalLog!$H$1:$H$4000,
    [1]SubmittalLog!$E$1:$E$4000=M129,
    ""
  ),
  _xlpm.min_date, IFERROR(MIN(_xlpm.dates), ""),
  IF(_xlpm.min_date=0, "", _xlpm.min_date)
))</f>
        <v>45266</v>
      </c>
      <c r="V129" s="63" t="str" cm="1">
        <f t="array" ref="V129">IF(OR(M129="", M129="Deleted"), "", IFERROR(
  _xlfn.TEXTJOIN(", ", TRUE,
    _xlfn.MAP(
      _xlfn.UNIQUE(
        _xlfn._xlws.FILTER(
          [1]SubmittalLog!$B$1:$B$4000,
          ([1]SubmittalLog!$E$1:$E$4000=M129) *
          ([1]SubmittalLog!$B$1:$B$4000&lt;&gt;""),
          ""
        )
      ),
      _xlfn.LAMBDA(_xlpm.val, TEXT(_xlpm.val, "000000"))
    )
  ),
""))</f>
        <v>000398, 000230</v>
      </c>
      <c r="W129" s="40" t="str" cm="1">
        <f t="array" ref="W129">IF(OR(M129="", M129="Deleted"), "", _xlfn.LET(
  _xlpm.doc_col, [1]SubmittalLog!$E$1:$E$4000,
  _xlpm.date_col, [1]SubmittalLog!$H$1:$H$4000,
  _xlpm.status_col, [1]SubmittalLog!$N$1:$N$4000,
  _xlpm.latest_date, _xlfn.MAXIFS(_xlpm.date_col, _xlpm.doc_col, M129),
  IF(_xlpm.latest_date=0, "NFS",
    _xlfn.LET(
      _xlpm.res, _xlfn.XLOOKUP(M129 &amp; "|" &amp; _xlpm.latest_date, _xlpm.doc_col &amp; "|" &amp; _xlpm.date_col, _xlpm.status_col, ""),
      IF(OR(_xlpm.res="", _xlpm.res=0), "", _xlpm.res)
    )
  )
))</f>
        <v>RTR</v>
      </c>
      <c r="X129" s="39">
        <f>IF(OR(M129="", M129="Deleted"), "", _xlfn.LET(
  _xlpm.doc_col, [1]SubmittalLog!$E$1:$E$4000,
  _xlpm.date_col, [1]SubmittalLog!$H$1:$H$4000,
  _xlpm.status_col, [1]SubmittalLog!$O$1:$O$4000,
  _xlpm.first_app_date, _xlfn.MINIFS(_xlpm.date_col, _xlpm.doc_col, M129, _xlpm.status_col, "APP"),
  _xlpm.first_awc_date, _xlfn.MINIFS(_xlpm.date_col, _xlpm.doc_col, M129, _xlpm.status_col, "AWC"),
  _xlpm.earliest_date, IF(
    AND(_xlpm.first_app_date=0, _xlpm.first_awc_date=0), 0,
    IF(_xlpm.first_app_date=0, _xlpm.first_awc_date,
    IF(_xlpm.first_awc_date=0, _xlpm.first_app_date,
    MIN(_xlpm.first_app_date, _xlpm.first_awc_date)))
  ),
  IF(_xlpm.earliest_date=0, "", _xlpm.earliest_date)
))</f>
        <v>45266</v>
      </c>
      <c r="Y129" s="40" t="str" cm="1">
        <f t="array" ref="Y129">IF(OR(M129="", M129="Deleted"), "", _xlfn.LET(
  _xlpm.doc_col, [1]SubmittalLog!$E$1:$E$4000,
  _xlpm.date_col, [1]SubmittalLog!$H$1:$H$4000,
  _xlpm.status_col, [1]SubmittalLog!$O$1:$O$4000,
  _xlpm.has_sub, COUNTIF(_xlpm.doc_col, M129),
  _xlpm.latest_reviewed_date, _xlfn.MAXIFS(_xlpm.date_col, _xlpm.doc_col, M129, _xlpm.status_col, "&lt;&gt;"),
  IF(_xlpm.has_sub=0, "",
    IF(_xlpm.latest_reviewed_date=0, "",
      _xlfn.LET(
        _xlpm.res, _xlfn.XLOOKUP(1, (_xlpm.doc_col=M129) * (_xlpm.date_col=_xlpm.latest_reviewed_date) * (_xlpm.status_col&lt;&gt;""), _xlpm.status_col, ""),
        IF(OR(_xlpm.res="", _xlpm.res=0), "", _xlpm.res)
      )
    )
  )
))</f>
        <v>AWC</v>
      </c>
    </row>
    <row r="130" spans="1:25" ht="29" x14ac:dyDescent="0.35">
      <c r="A130" s="33">
        <f>IF($M130="","",MAX($A$1:A129)+1)</f>
        <v>118</v>
      </c>
      <c r="B130" s="23" t="s">
        <v>250</v>
      </c>
      <c r="C130" s="23" t="s">
        <v>257</v>
      </c>
      <c r="G130" s="33">
        <v>131236</v>
      </c>
      <c r="H130" s="33" t="s">
        <v>59</v>
      </c>
      <c r="I130" s="33" t="s">
        <v>297</v>
      </c>
      <c r="J130" s="33" t="s">
        <v>3496</v>
      </c>
      <c r="K130" s="51" t="s">
        <v>3628</v>
      </c>
      <c r="M130" s="34" t="str">
        <f t="shared" si="1"/>
        <v>131236-WIL21-DR-P-6013</v>
      </c>
      <c r="N130" s="26" t="s">
        <v>3629</v>
      </c>
      <c r="P130" s="34" t="s">
        <v>3498</v>
      </c>
      <c r="S130" s="35">
        <v>45260</v>
      </c>
      <c r="T130" s="35">
        <v>45351</v>
      </c>
      <c r="U130" s="64" cm="1">
        <f t="array" ref="U130">IF(OR(M130="", M130="Deleted"), "", _xlfn.LET(
  _xlpm.dates,
  _xlfn._xlws.FILTER(
    [1]SubmittalLog!$H$1:$H$4000,
    [1]SubmittalLog!$E$1:$E$4000=M130,
    ""
  ),
  _xlpm.min_date, IFERROR(MIN(_xlpm.dates), ""),
  IF(_xlpm.min_date=0, "", _xlpm.min_date)
))</f>
        <v>45266</v>
      </c>
      <c r="V130" s="63" t="str" cm="1">
        <f t="array" ref="V130">IF(OR(M130="", M130="Deleted"), "", IFERROR(
  _xlfn.TEXTJOIN(", ", TRUE,
    _xlfn.MAP(
      _xlfn.UNIQUE(
        _xlfn._xlws.FILTER(
          [1]SubmittalLog!$B$1:$B$4000,
          ([1]SubmittalLog!$E$1:$E$4000=M130) *
          ([1]SubmittalLog!$B$1:$B$4000&lt;&gt;""),
          ""
        )
      ),
      _xlfn.LAMBDA(_xlpm.val, TEXT(_xlpm.val, "000000"))
    )
  ),
""))</f>
        <v>000398, 000230</v>
      </c>
      <c r="W130" s="40" t="str" cm="1">
        <f t="array" ref="W130">IF(OR(M130="", M130="Deleted"), "", _xlfn.LET(
  _xlpm.doc_col, [1]SubmittalLog!$E$1:$E$4000,
  _xlpm.date_col, [1]SubmittalLog!$H$1:$H$4000,
  _xlpm.status_col, [1]SubmittalLog!$N$1:$N$4000,
  _xlpm.latest_date, _xlfn.MAXIFS(_xlpm.date_col, _xlpm.doc_col, M130),
  IF(_xlpm.latest_date=0, "NFS",
    _xlfn.LET(
      _xlpm.res, _xlfn.XLOOKUP(M130 &amp; "|" &amp; _xlpm.latest_date, _xlpm.doc_col &amp; "|" &amp; _xlpm.date_col, _xlpm.status_col, ""),
      IF(OR(_xlpm.res="", _xlpm.res=0), "", _xlpm.res)
    )
  )
))</f>
        <v>RTR</v>
      </c>
      <c r="X130" s="39">
        <f>IF(OR(M130="", M130="Deleted"), "", _xlfn.LET(
  _xlpm.doc_col, [1]SubmittalLog!$E$1:$E$4000,
  _xlpm.date_col, [1]SubmittalLog!$H$1:$H$4000,
  _xlpm.status_col, [1]SubmittalLog!$O$1:$O$4000,
  _xlpm.first_app_date, _xlfn.MINIFS(_xlpm.date_col, _xlpm.doc_col, M130, _xlpm.status_col, "APP"),
  _xlpm.first_awc_date, _xlfn.MINIFS(_xlpm.date_col, _xlpm.doc_col, M130, _xlpm.status_col, "AWC"),
  _xlpm.earliest_date, IF(
    AND(_xlpm.first_app_date=0, _xlpm.first_awc_date=0), 0,
    IF(_xlpm.first_app_date=0, _xlpm.first_awc_date,
    IF(_xlpm.first_awc_date=0, _xlpm.first_app_date,
    MIN(_xlpm.first_app_date, _xlpm.first_awc_date)))
  ),
  IF(_xlpm.earliest_date=0, "", _xlpm.earliest_date)
))</f>
        <v>45266</v>
      </c>
      <c r="Y130" s="40" t="str" cm="1">
        <f t="array" ref="Y130">IF(OR(M130="", M130="Deleted"), "", _xlfn.LET(
  _xlpm.doc_col, [1]SubmittalLog!$E$1:$E$4000,
  _xlpm.date_col, [1]SubmittalLog!$H$1:$H$4000,
  _xlpm.status_col, [1]SubmittalLog!$O$1:$O$4000,
  _xlpm.has_sub, COUNTIF(_xlpm.doc_col, M130),
  _xlpm.latest_reviewed_date, _xlfn.MAXIFS(_xlpm.date_col, _xlpm.doc_col, M130, _xlpm.status_col, "&lt;&gt;"),
  IF(_xlpm.has_sub=0, "",
    IF(_xlpm.latest_reviewed_date=0, "",
      _xlfn.LET(
        _xlpm.res, _xlfn.XLOOKUP(1, (_xlpm.doc_col=M130) * (_xlpm.date_col=_xlpm.latest_reviewed_date) * (_xlpm.status_col&lt;&gt;""), _xlpm.status_col, ""),
        IF(OR(_xlpm.res="", _xlpm.res=0), "", _xlpm.res)
      )
    )
  )
))</f>
        <v>AWC</v>
      </c>
    </row>
    <row r="131" spans="1:25" x14ac:dyDescent="0.35">
      <c r="A131" s="33">
        <f>IF($M131="","",MAX($A$1:A130)+1)</f>
        <v>119</v>
      </c>
      <c r="B131" s="23" t="s">
        <v>250</v>
      </c>
      <c r="C131" s="23" t="s">
        <v>257</v>
      </c>
      <c r="G131" s="33">
        <v>131236</v>
      </c>
      <c r="H131" s="33" t="s">
        <v>59</v>
      </c>
      <c r="I131" s="33" t="s">
        <v>297</v>
      </c>
      <c r="J131" s="33" t="s">
        <v>3496</v>
      </c>
      <c r="K131" s="51" t="s">
        <v>3630</v>
      </c>
      <c r="M131" s="34" t="str">
        <f t="shared" ref="M131:M194" si="2">IF(B131="Deleted","Deleted",_xlfn.TEXTJOIN("-",TRUE,G131,H131,I131,J131,IF(K131="","",TEXT(K131,"0000"))))</f>
        <v>131236-WIL21-DR-P-6014</v>
      </c>
      <c r="N131" s="26" t="s">
        <v>3631</v>
      </c>
      <c r="P131" s="34" t="s">
        <v>3498</v>
      </c>
      <c r="S131" s="35">
        <v>45260</v>
      </c>
      <c r="T131" s="35">
        <v>45351</v>
      </c>
      <c r="U131" s="64" cm="1">
        <f t="array" ref="U131">IF(OR(M131="", M131="Deleted"), "", _xlfn.LET(
  _xlpm.dates,
  _xlfn._xlws.FILTER(
    [1]SubmittalLog!$H$1:$H$4000,
    [1]SubmittalLog!$E$1:$E$4000=M131,
    ""
  ),
  _xlpm.min_date, IFERROR(MIN(_xlpm.dates), ""),
  IF(_xlpm.min_date=0, "", _xlpm.min_date)
))</f>
        <v>45266</v>
      </c>
      <c r="V131" s="63" t="str" cm="1">
        <f t="array" ref="V131">IF(OR(M131="", M131="Deleted"), "", IFERROR(
  _xlfn.TEXTJOIN(", ", TRUE,
    _xlfn.MAP(
      _xlfn.UNIQUE(
        _xlfn._xlws.FILTER(
          [1]SubmittalLog!$B$1:$B$4000,
          ([1]SubmittalLog!$E$1:$E$4000=M131) *
          ([1]SubmittalLog!$B$1:$B$4000&lt;&gt;""),
          ""
        )
      ),
      _xlfn.LAMBDA(_xlpm.val, TEXT(_xlpm.val, "000000"))
    )
  ),
""))</f>
        <v>000398, 000230</v>
      </c>
      <c r="W131" s="40" t="str" cm="1">
        <f t="array" ref="W131">IF(OR(M131="", M131="Deleted"), "", _xlfn.LET(
  _xlpm.doc_col, [1]SubmittalLog!$E$1:$E$4000,
  _xlpm.date_col, [1]SubmittalLog!$H$1:$H$4000,
  _xlpm.status_col, [1]SubmittalLog!$N$1:$N$4000,
  _xlpm.latest_date, _xlfn.MAXIFS(_xlpm.date_col, _xlpm.doc_col, M131),
  IF(_xlpm.latest_date=0, "NFS",
    _xlfn.LET(
      _xlpm.res, _xlfn.XLOOKUP(M131 &amp; "|" &amp; _xlpm.latest_date, _xlpm.doc_col &amp; "|" &amp; _xlpm.date_col, _xlpm.status_col, ""),
      IF(OR(_xlpm.res="", _xlpm.res=0), "", _xlpm.res)
    )
  )
))</f>
        <v>RTR</v>
      </c>
      <c r="X131" s="39">
        <f>IF(OR(M131="", M131="Deleted"), "", _xlfn.LET(
  _xlpm.doc_col, [1]SubmittalLog!$E$1:$E$4000,
  _xlpm.date_col, [1]SubmittalLog!$H$1:$H$4000,
  _xlpm.status_col, [1]SubmittalLog!$O$1:$O$4000,
  _xlpm.first_app_date, _xlfn.MINIFS(_xlpm.date_col, _xlpm.doc_col, M131, _xlpm.status_col, "APP"),
  _xlpm.first_awc_date, _xlfn.MINIFS(_xlpm.date_col, _xlpm.doc_col, M131, _xlpm.status_col, "AWC"),
  _xlpm.earliest_date, IF(
    AND(_xlpm.first_app_date=0, _xlpm.first_awc_date=0), 0,
    IF(_xlpm.first_app_date=0, _xlpm.first_awc_date,
    IF(_xlpm.first_awc_date=0, _xlpm.first_app_date,
    MIN(_xlpm.first_app_date, _xlpm.first_awc_date)))
  ),
  IF(_xlpm.earliest_date=0, "", _xlpm.earliest_date)
))</f>
        <v>45266</v>
      </c>
      <c r="Y131" s="40" t="str" cm="1">
        <f t="array" ref="Y131">IF(OR(M131="", M131="Deleted"), "", _xlfn.LET(
  _xlpm.doc_col, [1]SubmittalLog!$E$1:$E$4000,
  _xlpm.date_col, [1]SubmittalLog!$H$1:$H$4000,
  _xlpm.status_col, [1]SubmittalLog!$O$1:$O$4000,
  _xlpm.has_sub, COUNTIF(_xlpm.doc_col, M131),
  _xlpm.latest_reviewed_date, _xlfn.MAXIFS(_xlpm.date_col, _xlpm.doc_col, M131, _xlpm.status_col, "&lt;&gt;"),
  IF(_xlpm.has_sub=0, "",
    IF(_xlpm.latest_reviewed_date=0, "",
      _xlfn.LET(
        _xlpm.res, _xlfn.XLOOKUP(1, (_xlpm.doc_col=M131) * (_xlpm.date_col=_xlpm.latest_reviewed_date) * (_xlpm.status_col&lt;&gt;""), _xlpm.status_col, ""),
        IF(OR(_xlpm.res="", _xlpm.res=0), "", _xlpm.res)
      )
    )
  )
))</f>
        <v>AWC</v>
      </c>
    </row>
    <row r="132" spans="1:25" x14ac:dyDescent="0.35">
      <c r="A132" s="33">
        <f>IF($M132="","",MAX($A$1:A131)+1)</f>
        <v>120</v>
      </c>
      <c r="B132" s="23" t="s">
        <v>250</v>
      </c>
      <c r="C132" s="23" t="s">
        <v>257</v>
      </c>
      <c r="G132" s="33">
        <v>131236</v>
      </c>
      <c r="H132" s="33" t="s">
        <v>59</v>
      </c>
      <c r="I132" s="33" t="s">
        <v>297</v>
      </c>
      <c r="J132" s="33" t="s">
        <v>3496</v>
      </c>
      <c r="K132" s="51" t="s">
        <v>3632</v>
      </c>
      <c r="M132" s="34" t="str">
        <f t="shared" si="2"/>
        <v>131236-WIL21-DR-P-6015</v>
      </c>
      <c r="N132" s="26" t="s">
        <v>3633</v>
      </c>
      <c r="P132" s="34" t="s">
        <v>3498</v>
      </c>
      <c r="S132" s="35">
        <v>45260</v>
      </c>
      <c r="T132" s="35">
        <v>45351</v>
      </c>
      <c r="U132" s="64" cm="1">
        <f t="array" ref="U132">IF(OR(M132="", M132="Deleted"), "", _xlfn.LET(
  _xlpm.dates,
  _xlfn._xlws.FILTER(
    [1]SubmittalLog!$H$1:$H$4000,
    [1]SubmittalLog!$E$1:$E$4000=M132,
    ""
  ),
  _xlpm.min_date, IFERROR(MIN(_xlpm.dates), ""),
  IF(_xlpm.min_date=0, "", _xlpm.min_date)
))</f>
        <v>45266</v>
      </c>
      <c r="V132" s="63" t="str" cm="1">
        <f t="array" ref="V132">IF(OR(M132="", M132="Deleted"), "", IFERROR(
  _xlfn.TEXTJOIN(", ", TRUE,
    _xlfn.MAP(
      _xlfn.UNIQUE(
        _xlfn._xlws.FILTER(
          [1]SubmittalLog!$B$1:$B$4000,
          ([1]SubmittalLog!$E$1:$E$4000=M132) *
          ([1]SubmittalLog!$B$1:$B$4000&lt;&gt;""),
          ""
        )
      ),
      _xlfn.LAMBDA(_xlpm.val, TEXT(_xlpm.val, "000000"))
    )
  ),
""))</f>
        <v>000399, 000230</v>
      </c>
      <c r="W132" s="40" t="str" cm="1">
        <f t="array" ref="W132">IF(OR(M132="", M132="Deleted"), "", _xlfn.LET(
  _xlpm.doc_col, [1]SubmittalLog!$E$1:$E$4000,
  _xlpm.date_col, [1]SubmittalLog!$H$1:$H$4000,
  _xlpm.status_col, [1]SubmittalLog!$N$1:$N$4000,
  _xlpm.latest_date, _xlfn.MAXIFS(_xlpm.date_col, _xlpm.doc_col, M132),
  IF(_xlpm.latest_date=0, "NFS",
    _xlfn.LET(
      _xlpm.res, _xlfn.XLOOKUP(M132 &amp; "|" &amp; _xlpm.latest_date, _xlpm.doc_col &amp; "|" &amp; _xlpm.date_col, _xlpm.status_col, ""),
      IF(OR(_xlpm.res="", _xlpm.res=0), "", _xlpm.res)
    )
  )
))</f>
        <v>RTR</v>
      </c>
      <c r="X132" s="39">
        <f>IF(OR(M132="", M132="Deleted"), "", _xlfn.LET(
  _xlpm.doc_col, [1]SubmittalLog!$E$1:$E$4000,
  _xlpm.date_col, [1]SubmittalLog!$H$1:$H$4000,
  _xlpm.status_col, [1]SubmittalLog!$O$1:$O$4000,
  _xlpm.first_app_date, _xlfn.MINIFS(_xlpm.date_col, _xlpm.doc_col, M132, _xlpm.status_col, "APP"),
  _xlpm.first_awc_date, _xlfn.MINIFS(_xlpm.date_col, _xlpm.doc_col, M132, _xlpm.status_col, "AWC"),
  _xlpm.earliest_date, IF(
    AND(_xlpm.first_app_date=0, _xlpm.first_awc_date=0), 0,
    IF(_xlpm.first_app_date=0, _xlpm.first_awc_date,
    IF(_xlpm.first_awc_date=0, _xlpm.first_app_date,
    MIN(_xlpm.first_app_date, _xlpm.first_awc_date)))
  ),
  IF(_xlpm.earliest_date=0, "", _xlpm.earliest_date)
))</f>
        <v>45266</v>
      </c>
      <c r="Y132" s="40" t="str" cm="1">
        <f t="array" ref="Y132">IF(OR(M132="", M132="Deleted"), "", _xlfn.LET(
  _xlpm.doc_col, [1]SubmittalLog!$E$1:$E$4000,
  _xlpm.date_col, [1]SubmittalLog!$H$1:$H$4000,
  _xlpm.status_col, [1]SubmittalLog!$O$1:$O$4000,
  _xlpm.has_sub, COUNTIF(_xlpm.doc_col, M132),
  _xlpm.latest_reviewed_date, _xlfn.MAXIFS(_xlpm.date_col, _xlpm.doc_col, M132, _xlpm.status_col, "&lt;&gt;"),
  IF(_xlpm.has_sub=0, "",
    IF(_xlpm.latest_reviewed_date=0, "",
      _xlfn.LET(
        _xlpm.res, _xlfn.XLOOKUP(1, (_xlpm.doc_col=M132) * (_xlpm.date_col=_xlpm.latest_reviewed_date) * (_xlpm.status_col&lt;&gt;""), _xlpm.status_col, ""),
        IF(OR(_xlpm.res="", _xlpm.res=0), "", _xlpm.res)
      )
    )
  )
))</f>
        <v>AWC</v>
      </c>
    </row>
    <row r="133" spans="1:25" ht="29" x14ac:dyDescent="0.35">
      <c r="A133" s="33">
        <f>IF($M133="","",MAX($A$1:A132)+1)</f>
        <v>121</v>
      </c>
      <c r="B133" s="23" t="s">
        <v>250</v>
      </c>
      <c r="C133" s="23" t="s">
        <v>257</v>
      </c>
      <c r="G133" s="33">
        <v>131236</v>
      </c>
      <c r="H133" s="33" t="s">
        <v>59</v>
      </c>
      <c r="I133" s="33" t="s">
        <v>297</v>
      </c>
      <c r="J133" s="33" t="s">
        <v>3496</v>
      </c>
      <c r="K133" s="51" t="s">
        <v>3634</v>
      </c>
      <c r="M133" s="34" t="str">
        <f t="shared" si="2"/>
        <v>131236-WIL21-DR-P-6016</v>
      </c>
      <c r="N133" s="26" t="s">
        <v>3635</v>
      </c>
      <c r="P133" s="34" t="s">
        <v>3498</v>
      </c>
      <c r="S133" s="35">
        <v>45260</v>
      </c>
      <c r="T133" s="35">
        <v>45351</v>
      </c>
      <c r="U133" s="64" cm="1">
        <f t="array" ref="U133">IF(OR(M133="", M133="Deleted"), "", _xlfn.LET(
  _xlpm.dates,
  _xlfn._xlws.FILTER(
    [1]SubmittalLog!$H$1:$H$4000,
    [1]SubmittalLog!$E$1:$E$4000=M133,
    ""
  ),
  _xlpm.min_date, IFERROR(MIN(_xlpm.dates), ""),
  IF(_xlpm.min_date=0, "", _xlpm.min_date)
))</f>
        <v>45266</v>
      </c>
      <c r="V133" s="63" t="str" cm="1">
        <f t="array" ref="V133">IF(OR(M133="", M133="Deleted"), "", IFERROR(
  _xlfn.TEXTJOIN(", ", TRUE,
    _xlfn.MAP(
      _xlfn.UNIQUE(
        _xlfn._xlws.FILTER(
          [1]SubmittalLog!$B$1:$B$4000,
          ([1]SubmittalLog!$E$1:$E$4000=M133) *
          ([1]SubmittalLog!$B$1:$B$4000&lt;&gt;""),
          ""
        )
      ),
      _xlfn.LAMBDA(_xlpm.val, TEXT(_xlpm.val, "000000"))
    )
  ),
""))</f>
        <v>000399, 000230</v>
      </c>
      <c r="W133" s="40" t="str" cm="1">
        <f t="array" ref="W133">IF(OR(M133="", M133="Deleted"), "", _xlfn.LET(
  _xlpm.doc_col, [1]SubmittalLog!$E$1:$E$4000,
  _xlpm.date_col, [1]SubmittalLog!$H$1:$H$4000,
  _xlpm.status_col, [1]SubmittalLog!$N$1:$N$4000,
  _xlpm.latest_date, _xlfn.MAXIFS(_xlpm.date_col, _xlpm.doc_col, M133),
  IF(_xlpm.latest_date=0, "NFS",
    _xlfn.LET(
      _xlpm.res, _xlfn.XLOOKUP(M133 &amp; "|" &amp; _xlpm.latest_date, _xlpm.doc_col &amp; "|" &amp; _xlpm.date_col, _xlpm.status_col, ""),
      IF(OR(_xlpm.res="", _xlpm.res=0), "", _xlpm.res)
    )
  )
))</f>
        <v>RTR</v>
      </c>
      <c r="X133" s="39">
        <f>IF(OR(M133="", M133="Deleted"), "", _xlfn.LET(
  _xlpm.doc_col, [1]SubmittalLog!$E$1:$E$4000,
  _xlpm.date_col, [1]SubmittalLog!$H$1:$H$4000,
  _xlpm.status_col, [1]SubmittalLog!$O$1:$O$4000,
  _xlpm.first_app_date, _xlfn.MINIFS(_xlpm.date_col, _xlpm.doc_col, M133, _xlpm.status_col, "APP"),
  _xlpm.first_awc_date, _xlfn.MINIFS(_xlpm.date_col, _xlpm.doc_col, M133, _xlpm.status_col, "AWC"),
  _xlpm.earliest_date, IF(
    AND(_xlpm.first_app_date=0, _xlpm.first_awc_date=0), 0,
    IF(_xlpm.first_app_date=0, _xlpm.first_awc_date,
    IF(_xlpm.first_awc_date=0, _xlpm.first_app_date,
    MIN(_xlpm.first_app_date, _xlpm.first_awc_date)))
  ),
  IF(_xlpm.earliest_date=0, "", _xlpm.earliest_date)
))</f>
        <v>45266</v>
      </c>
      <c r="Y133" s="40" t="str" cm="1">
        <f t="array" ref="Y133">IF(OR(M133="", M133="Deleted"), "", _xlfn.LET(
  _xlpm.doc_col, [1]SubmittalLog!$E$1:$E$4000,
  _xlpm.date_col, [1]SubmittalLog!$H$1:$H$4000,
  _xlpm.status_col, [1]SubmittalLog!$O$1:$O$4000,
  _xlpm.has_sub, COUNTIF(_xlpm.doc_col, M133),
  _xlpm.latest_reviewed_date, _xlfn.MAXIFS(_xlpm.date_col, _xlpm.doc_col, M133, _xlpm.status_col, "&lt;&gt;"),
  IF(_xlpm.has_sub=0, "",
    IF(_xlpm.latest_reviewed_date=0, "",
      _xlfn.LET(
        _xlpm.res, _xlfn.XLOOKUP(1, (_xlpm.doc_col=M133) * (_xlpm.date_col=_xlpm.latest_reviewed_date) * (_xlpm.status_col&lt;&gt;""), _xlpm.status_col, ""),
        IF(OR(_xlpm.res="", _xlpm.res=0), "", _xlpm.res)
      )
    )
  )
))</f>
        <v>AWC</v>
      </c>
    </row>
    <row r="134" spans="1:25" x14ac:dyDescent="0.35">
      <c r="A134" s="33">
        <f>IF($M134="","",MAX($A$1:A133)+1)</f>
        <v>122</v>
      </c>
      <c r="B134" s="23" t="s">
        <v>250</v>
      </c>
      <c r="C134" s="23" t="s">
        <v>257</v>
      </c>
      <c r="G134" s="33">
        <v>131236</v>
      </c>
      <c r="H134" s="33" t="s">
        <v>59</v>
      </c>
      <c r="I134" s="33" t="s">
        <v>297</v>
      </c>
      <c r="J134" s="33" t="s">
        <v>3496</v>
      </c>
      <c r="K134" s="51" t="s">
        <v>3636</v>
      </c>
      <c r="M134" s="34" t="str">
        <f t="shared" si="2"/>
        <v>131236-WIL21-DR-P-6017</v>
      </c>
      <c r="N134" s="26" t="s">
        <v>3637</v>
      </c>
      <c r="P134" s="34" t="s">
        <v>3498</v>
      </c>
      <c r="S134" s="35">
        <v>45260</v>
      </c>
      <c r="T134" s="35">
        <v>45351</v>
      </c>
      <c r="U134" s="64" cm="1">
        <f t="array" ref="U134">IF(OR(M134="", M134="Deleted"), "", _xlfn.LET(
  _xlpm.dates,
  _xlfn._xlws.FILTER(
    [1]SubmittalLog!$H$1:$H$4000,
    [1]SubmittalLog!$E$1:$E$4000=M134,
    ""
  ),
  _xlpm.min_date, IFERROR(MIN(_xlpm.dates), ""),
  IF(_xlpm.min_date=0, "", _xlpm.min_date)
))</f>
        <v>45266</v>
      </c>
      <c r="V134" s="63" t="str" cm="1">
        <f t="array" ref="V134">IF(OR(M134="", M134="Deleted"), "", IFERROR(
  _xlfn.TEXTJOIN(", ", TRUE,
    _xlfn.MAP(
      _xlfn.UNIQUE(
        _xlfn._xlws.FILTER(
          [1]SubmittalLog!$B$1:$B$4000,
          ([1]SubmittalLog!$E$1:$E$4000=M134) *
          ([1]SubmittalLog!$B$1:$B$4000&lt;&gt;""),
          ""
        )
      ),
      _xlfn.LAMBDA(_xlpm.val, TEXT(_xlpm.val, "000000"))
    )
  ),
""))</f>
        <v>000399, 000230</v>
      </c>
      <c r="W134" s="40" t="str" cm="1">
        <f t="array" ref="W134">IF(OR(M134="", M134="Deleted"), "", _xlfn.LET(
  _xlpm.doc_col, [1]SubmittalLog!$E$1:$E$4000,
  _xlpm.date_col, [1]SubmittalLog!$H$1:$H$4000,
  _xlpm.status_col, [1]SubmittalLog!$N$1:$N$4000,
  _xlpm.latest_date, _xlfn.MAXIFS(_xlpm.date_col, _xlpm.doc_col, M134),
  IF(_xlpm.latest_date=0, "NFS",
    _xlfn.LET(
      _xlpm.res, _xlfn.XLOOKUP(M134 &amp; "|" &amp; _xlpm.latest_date, _xlpm.doc_col &amp; "|" &amp; _xlpm.date_col, _xlpm.status_col, ""),
      IF(OR(_xlpm.res="", _xlpm.res=0), "", _xlpm.res)
    )
  )
))</f>
        <v>RTR</v>
      </c>
      <c r="X134" s="39">
        <f>IF(OR(M134="", M134="Deleted"), "", _xlfn.LET(
  _xlpm.doc_col, [1]SubmittalLog!$E$1:$E$4000,
  _xlpm.date_col, [1]SubmittalLog!$H$1:$H$4000,
  _xlpm.status_col, [1]SubmittalLog!$O$1:$O$4000,
  _xlpm.first_app_date, _xlfn.MINIFS(_xlpm.date_col, _xlpm.doc_col, M134, _xlpm.status_col, "APP"),
  _xlpm.first_awc_date, _xlfn.MINIFS(_xlpm.date_col, _xlpm.doc_col, M134, _xlpm.status_col, "AWC"),
  _xlpm.earliest_date, IF(
    AND(_xlpm.first_app_date=0, _xlpm.first_awc_date=0), 0,
    IF(_xlpm.first_app_date=0, _xlpm.first_awc_date,
    IF(_xlpm.first_awc_date=0, _xlpm.first_app_date,
    MIN(_xlpm.first_app_date, _xlpm.first_awc_date)))
  ),
  IF(_xlpm.earliest_date=0, "", _xlpm.earliest_date)
))</f>
        <v>45266</v>
      </c>
      <c r="Y134" s="40" t="str" cm="1">
        <f t="array" ref="Y134">IF(OR(M134="", M134="Deleted"), "", _xlfn.LET(
  _xlpm.doc_col, [1]SubmittalLog!$E$1:$E$4000,
  _xlpm.date_col, [1]SubmittalLog!$H$1:$H$4000,
  _xlpm.status_col, [1]SubmittalLog!$O$1:$O$4000,
  _xlpm.has_sub, COUNTIF(_xlpm.doc_col, M134),
  _xlpm.latest_reviewed_date, _xlfn.MAXIFS(_xlpm.date_col, _xlpm.doc_col, M134, _xlpm.status_col, "&lt;&gt;"),
  IF(_xlpm.has_sub=0, "",
    IF(_xlpm.latest_reviewed_date=0, "",
      _xlfn.LET(
        _xlpm.res, _xlfn.XLOOKUP(1, (_xlpm.doc_col=M134) * (_xlpm.date_col=_xlpm.latest_reviewed_date) * (_xlpm.status_col&lt;&gt;""), _xlpm.status_col, ""),
        IF(OR(_xlpm.res="", _xlpm.res=0), "", _xlpm.res)
      )
    )
  )
))</f>
        <v>AWC</v>
      </c>
    </row>
    <row r="135" spans="1:25" x14ac:dyDescent="0.35">
      <c r="A135" s="33">
        <f>IF($M135="","",MAX($A$1:A134)+1)</f>
        <v>123</v>
      </c>
      <c r="B135" s="23" t="s">
        <v>250</v>
      </c>
      <c r="C135" s="23" t="s">
        <v>257</v>
      </c>
      <c r="G135" s="33">
        <v>131236</v>
      </c>
      <c r="H135" s="33" t="s">
        <v>59</v>
      </c>
      <c r="I135" s="33" t="s">
        <v>297</v>
      </c>
      <c r="J135" s="33" t="s">
        <v>3496</v>
      </c>
      <c r="K135" s="51" t="s">
        <v>3638</v>
      </c>
      <c r="M135" s="34" t="str">
        <f t="shared" si="2"/>
        <v>131236-WIL21-DR-P-6018</v>
      </c>
      <c r="N135" s="26" t="s">
        <v>3639</v>
      </c>
      <c r="P135" s="34" t="s">
        <v>3498</v>
      </c>
      <c r="S135" s="35">
        <v>45260</v>
      </c>
      <c r="T135" s="35">
        <v>45351</v>
      </c>
      <c r="U135" s="64" cm="1">
        <f t="array" ref="U135">IF(OR(M135="", M135="Deleted"), "", _xlfn.LET(
  _xlpm.dates,
  _xlfn._xlws.FILTER(
    [1]SubmittalLog!$H$1:$H$4000,
    [1]SubmittalLog!$E$1:$E$4000=M135,
    ""
  ),
  _xlpm.min_date, IFERROR(MIN(_xlpm.dates), ""),
  IF(_xlpm.min_date=0, "", _xlpm.min_date)
))</f>
        <v>45266</v>
      </c>
      <c r="V135" s="63" t="str" cm="1">
        <f t="array" ref="V135">IF(OR(M135="", M135="Deleted"), "", IFERROR(
  _xlfn.TEXTJOIN(", ", TRUE,
    _xlfn.MAP(
      _xlfn.UNIQUE(
        _xlfn._xlws.FILTER(
          [1]SubmittalLog!$B$1:$B$4000,
          ([1]SubmittalLog!$E$1:$E$4000=M135) *
          ([1]SubmittalLog!$B$1:$B$4000&lt;&gt;""),
          ""
        )
      ),
      _xlfn.LAMBDA(_xlpm.val, TEXT(_xlpm.val, "000000"))
    )
  ),
""))</f>
        <v>000399, 000230</v>
      </c>
      <c r="W135" s="40" t="str" cm="1">
        <f t="array" ref="W135">IF(OR(M135="", M135="Deleted"), "", _xlfn.LET(
  _xlpm.doc_col, [1]SubmittalLog!$E$1:$E$4000,
  _xlpm.date_col, [1]SubmittalLog!$H$1:$H$4000,
  _xlpm.status_col, [1]SubmittalLog!$N$1:$N$4000,
  _xlpm.latest_date, _xlfn.MAXIFS(_xlpm.date_col, _xlpm.doc_col, M135),
  IF(_xlpm.latest_date=0, "NFS",
    _xlfn.LET(
      _xlpm.res, _xlfn.XLOOKUP(M135 &amp; "|" &amp; _xlpm.latest_date, _xlpm.doc_col &amp; "|" &amp; _xlpm.date_col, _xlpm.status_col, ""),
      IF(OR(_xlpm.res="", _xlpm.res=0), "", _xlpm.res)
    )
  )
))</f>
        <v>RTR</v>
      </c>
      <c r="X135" s="39">
        <f>IF(OR(M135="", M135="Deleted"), "", _xlfn.LET(
  _xlpm.doc_col, [1]SubmittalLog!$E$1:$E$4000,
  _xlpm.date_col, [1]SubmittalLog!$H$1:$H$4000,
  _xlpm.status_col, [1]SubmittalLog!$O$1:$O$4000,
  _xlpm.first_app_date, _xlfn.MINIFS(_xlpm.date_col, _xlpm.doc_col, M135, _xlpm.status_col, "APP"),
  _xlpm.first_awc_date, _xlfn.MINIFS(_xlpm.date_col, _xlpm.doc_col, M135, _xlpm.status_col, "AWC"),
  _xlpm.earliest_date, IF(
    AND(_xlpm.first_app_date=0, _xlpm.first_awc_date=0), 0,
    IF(_xlpm.first_app_date=0, _xlpm.first_awc_date,
    IF(_xlpm.first_awc_date=0, _xlpm.first_app_date,
    MIN(_xlpm.first_app_date, _xlpm.first_awc_date)))
  ),
  IF(_xlpm.earliest_date=0, "", _xlpm.earliest_date)
))</f>
        <v>45266</v>
      </c>
      <c r="Y135" s="40" t="str" cm="1">
        <f t="array" ref="Y135">IF(OR(M135="", M135="Deleted"), "", _xlfn.LET(
  _xlpm.doc_col, [1]SubmittalLog!$E$1:$E$4000,
  _xlpm.date_col, [1]SubmittalLog!$H$1:$H$4000,
  _xlpm.status_col, [1]SubmittalLog!$O$1:$O$4000,
  _xlpm.has_sub, COUNTIF(_xlpm.doc_col, M135),
  _xlpm.latest_reviewed_date, _xlfn.MAXIFS(_xlpm.date_col, _xlpm.doc_col, M135, _xlpm.status_col, "&lt;&gt;"),
  IF(_xlpm.has_sub=0, "",
    IF(_xlpm.latest_reviewed_date=0, "",
      _xlfn.LET(
        _xlpm.res, _xlfn.XLOOKUP(1, (_xlpm.doc_col=M135) * (_xlpm.date_col=_xlpm.latest_reviewed_date) * (_xlpm.status_col&lt;&gt;""), _xlpm.status_col, ""),
        IF(OR(_xlpm.res="", _xlpm.res=0), "", _xlpm.res)
      )
    )
  )
))</f>
        <v>AWC</v>
      </c>
    </row>
    <row r="136" spans="1:25" x14ac:dyDescent="0.35">
      <c r="A136" s="33">
        <f>IF($M136="","",MAX($A$1:A135)+1)</f>
        <v>124</v>
      </c>
      <c r="B136" s="23" t="s">
        <v>250</v>
      </c>
      <c r="C136" s="23" t="s">
        <v>257</v>
      </c>
      <c r="G136" s="33">
        <v>131236</v>
      </c>
      <c r="H136" s="33" t="s">
        <v>59</v>
      </c>
      <c r="I136" s="33" t="s">
        <v>297</v>
      </c>
      <c r="J136" s="33" t="s">
        <v>3496</v>
      </c>
      <c r="K136" s="51" t="s">
        <v>3640</v>
      </c>
      <c r="M136" s="34" t="str">
        <f t="shared" si="2"/>
        <v>131236-WIL21-DR-P-6019</v>
      </c>
      <c r="N136" s="26" t="s">
        <v>3641</v>
      </c>
      <c r="P136" s="34" t="s">
        <v>3498</v>
      </c>
      <c r="S136" s="35">
        <v>45260</v>
      </c>
      <c r="T136" s="35">
        <v>45351</v>
      </c>
      <c r="U136" s="64" cm="1">
        <f t="array" ref="U136">IF(OR(M136="", M136="Deleted"), "", _xlfn.LET(
  _xlpm.dates,
  _xlfn._xlws.FILTER(
    [1]SubmittalLog!$H$1:$H$4000,
    [1]SubmittalLog!$E$1:$E$4000=M136,
    ""
  ),
  _xlpm.min_date, IFERROR(MIN(_xlpm.dates), ""),
  IF(_xlpm.min_date=0, "", _xlpm.min_date)
))</f>
        <v>45301</v>
      </c>
      <c r="V136" s="63" t="str" cm="1">
        <f t="array" ref="V136">IF(OR(M136="", M136="Deleted"), "", IFERROR(
  _xlfn.TEXTJOIN(", ", TRUE,
    _xlfn.MAP(
      _xlfn.UNIQUE(
        _xlfn._xlws.FILTER(
          [1]SubmittalLog!$B$1:$B$4000,
          ([1]SubmittalLog!$E$1:$E$4000=M136) *
          ([1]SubmittalLog!$B$1:$B$4000&lt;&gt;""),
          ""
        )
      ),
      _xlfn.LAMBDA(_xlpm.val, TEXT(_xlpm.val, "000000"))
    )
  ),
""))</f>
        <v>000399, 000230</v>
      </c>
      <c r="W136" s="40" t="str" cm="1">
        <f t="array" ref="W136">IF(OR(M136="", M136="Deleted"), "", _xlfn.LET(
  _xlpm.doc_col, [1]SubmittalLog!$E$1:$E$4000,
  _xlpm.date_col, [1]SubmittalLog!$H$1:$H$4000,
  _xlpm.status_col, [1]SubmittalLog!$N$1:$N$4000,
  _xlpm.latest_date, _xlfn.MAXIFS(_xlpm.date_col, _xlpm.doc_col, M136),
  IF(_xlpm.latest_date=0, "NFS",
    _xlfn.LET(
      _xlpm.res, _xlfn.XLOOKUP(M136 &amp; "|" &amp; _xlpm.latest_date, _xlpm.doc_col &amp; "|" &amp; _xlpm.date_col, _xlpm.status_col, ""),
      IF(OR(_xlpm.res="", _xlpm.res=0), "", _xlpm.res)
    )
  )
))</f>
        <v>RTR</v>
      </c>
      <c r="X136" s="39">
        <f>IF(OR(M136="", M136="Deleted"), "", _xlfn.LET(
  _xlpm.doc_col, [1]SubmittalLog!$E$1:$E$4000,
  _xlpm.date_col, [1]SubmittalLog!$H$1:$H$4000,
  _xlpm.status_col, [1]SubmittalLog!$O$1:$O$4000,
  _xlpm.first_app_date, _xlfn.MINIFS(_xlpm.date_col, _xlpm.doc_col, M136, _xlpm.status_col, "APP"),
  _xlpm.first_awc_date, _xlfn.MINIFS(_xlpm.date_col, _xlpm.doc_col, M136, _xlpm.status_col, "AWC"),
  _xlpm.earliest_date, IF(
    AND(_xlpm.first_app_date=0, _xlpm.first_awc_date=0), 0,
    IF(_xlpm.first_app_date=0, _xlpm.first_awc_date,
    IF(_xlpm.first_awc_date=0, _xlpm.first_app_date,
    MIN(_xlpm.first_app_date, _xlpm.first_awc_date)))
  ),
  IF(_xlpm.earliest_date=0, "", _xlpm.earliest_date)
))</f>
        <v>45301</v>
      </c>
      <c r="Y136" s="40" t="str" cm="1">
        <f t="array" ref="Y136">IF(OR(M136="", M136="Deleted"), "", _xlfn.LET(
  _xlpm.doc_col, [1]SubmittalLog!$E$1:$E$4000,
  _xlpm.date_col, [1]SubmittalLog!$H$1:$H$4000,
  _xlpm.status_col, [1]SubmittalLog!$O$1:$O$4000,
  _xlpm.has_sub, COUNTIF(_xlpm.doc_col, M136),
  _xlpm.latest_reviewed_date, _xlfn.MAXIFS(_xlpm.date_col, _xlpm.doc_col, M136, _xlpm.status_col, "&lt;&gt;"),
  IF(_xlpm.has_sub=0, "",
    IF(_xlpm.latest_reviewed_date=0, "",
      _xlfn.LET(
        _xlpm.res, _xlfn.XLOOKUP(1, (_xlpm.doc_col=M136) * (_xlpm.date_col=_xlpm.latest_reviewed_date) * (_xlpm.status_col&lt;&gt;""), _xlpm.status_col, ""),
        IF(OR(_xlpm.res="", _xlpm.res=0), "", _xlpm.res)
      )
    )
  )
))</f>
        <v>AWC</v>
      </c>
    </row>
    <row r="137" spans="1:25" x14ac:dyDescent="0.35">
      <c r="A137" s="33">
        <f>IF($M137="","",MAX($A$1:A136)+1)</f>
        <v>125</v>
      </c>
      <c r="B137" s="23" t="s">
        <v>250</v>
      </c>
      <c r="C137" s="23" t="s">
        <v>257</v>
      </c>
      <c r="G137" s="33">
        <v>131236</v>
      </c>
      <c r="H137" s="33" t="s">
        <v>59</v>
      </c>
      <c r="I137" s="33" t="s">
        <v>297</v>
      </c>
      <c r="J137" s="33" t="s">
        <v>3496</v>
      </c>
      <c r="K137" s="51" t="s">
        <v>3642</v>
      </c>
      <c r="M137" s="34" t="str">
        <f t="shared" si="2"/>
        <v>131236-WIL21-DR-P-6020</v>
      </c>
      <c r="N137" s="26" t="s">
        <v>3643</v>
      </c>
      <c r="P137" s="34" t="s">
        <v>3498</v>
      </c>
      <c r="S137" s="35">
        <v>45260</v>
      </c>
      <c r="T137" s="35">
        <v>45351</v>
      </c>
      <c r="U137" s="64" cm="1">
        <f t="array" ref="U137">IF(OR(M137="", M137="Deleted"), "", _xlfn.LET(
  _xlpm.dates,
  _xlfn._xlws.FILTER(
    [1]SubmittalLog!$H$1:$H$4000,
    [1]SubmittalLog!$E$1:$E$4000=M137,
    ""
  ),
  _xlpm.min_date, IFERROR(MIN(_xlpm.dates), ""),
  IF(_xlpm.min_date=0, "", _xlpm.min_date)
))</f>
        <v>45301</v>
      </c>
      <c r="V137" s="63" t="str" cm="1">
        <f t="array" ref="V137">IF(OR(M137="", M137="Deleted"), "", IFERROR(
  _xlfn.TEXTJOIN(", ", TRUE,
    _xlfn.MAP(
      _xlfn.UNIQUE(
        _xlfn._xlws.FILTER(
          [1]SubmittalLog!$B$1:$B$4000,
          ([1]SubmittalLog!$E$1:$E$4000=M137) *
          ([1]SubmittalLog!$B$1:$B$4000&lt;&gt;""),
          ""
        )
      ),
      _xlfn.LAMBDA(_xlpm.val, TEXT(_xlpm.val, "000000"))
    )
  ),
""))</f>
        <v>000399, 000230</v>
      </c>
      <c r="W137" s="40" t="str" cm="1">
        <f t="array" ref="W137">IF(OR(M137="", M137="Deleted"), "", _xlfn.LET(
  _xlpm.doc_col, [1]SubmittalLog!$E$1:$E$4000,
  _xlpm.date_col, [1]SubmittalLog!$H$1:$H$4000,
  _xlpm.status_col, [1]SubmittalLog!$N$1:$N$4000,
  _xlpm.latest_date, _xlfn.MAXIFS(_xlpm.date_col, _xlpm.doc_col, M137),
  IF(_xlpm.latest_date=0, "NFS",
    _xlfn.LET(
      _xlpm.res, _xlfn.XLOOKUP(M137 &amp; "|" &amp; _xlpm.latest_date, _xlpm.doc_col &amp; "|" &amp; _xlpm.date_col, _xlpm.status_col, ""),
      IF(OR(_xlpm.res="", _xlpm.res=0), "", _xlpm.res)
    )
  )
))</f>
        <v>RTR</v>
      </c>
      <c r="X137" s="39">
        <f>IF(OR(M137="", M137="Deleted"), "", _xlfn.LET(
  _xlpm.doc_col, [1]SubmittalLog!$E$1:$E$4000,
  _xlpm.date_col, [1]SubmittalLog!$H$1:$H$4000,
  _xlpm.status_col, [1]SubmittalLog!$O$1:$O$4000,
  _xlpm.first_app_date, _xlfn.MINIFS(_xlpm.date_col, _xlpm.doc_col, M137, _xlpm.status_col, "APP"),
  _xlpm.first_awc_date, _xlfn.MINIFS(_xlpm.date_col, _xlpm.doc_col, M137, _xlpm.status_col, "AWC"),
  _xlpm.earliest_date, IF(
    AND(_xlpm.first_app_date=0, _xlpm.first_awc_date=0), 0,
    IF(_xlpm.first_app_date=0, _xlpm.first_awc_date,
    IF(_xlpm.first_awc_date=0, _xlpm.first_app_date,
    MIN(_xlpm.first_app_date, _xlpm.first_awc_date)))
  ),
  IF(_xlpm.earliest_date=0, "", _xlpm.earliest_date)
))</f>
        <v>45301</v>
      </c>
      <c r="Y137" s="40" t="str" cm="1">
        <f t="array" ref="Y137">IF(OR(M137="", M137="Deleted"), "", _xlfn.LET(
  _xlpm.doc_col, [1]SubmittalLog!$E$1:$E$4000,
  _xlpm.date_col, [1]SubmittalLog!$H$1:$H$4000,
  _xlpm.status_col, [1]SubmittalLog!$O$1:$O$4000,
  _xlpm.has_sub, COUNTIF(_xlpm.doc_col, M137),
  _xlpm.latest_reviewed_date, _xlfn.MAXIFS(_xlpm.date_col, _xlpm.doc_col, M137, _xlpm.status_col, "&lt;&gt;"),
  IF(_xlpm.has_sub=0, "",
    IF(_xlpm.latest_reviewed_date=0, "",
      _xlfn.LET(
        _xlpm.res, _xlfn.XLOOKUP(1, (_xlpm.doc_col=M137) * (_xlpm.date_col=_xlpm.latest_reviewed_date) * (_xlpm.status_col&lt;&gt;""), _xlpm.status_col, ""),
        IF(OR(_xlpm.res="", _xlpm.res=0), "", _xlpm.res)
      )
    )
  )
))</f>
        <v>AWC</v>
      </c>
    </row>
    <row r="138" spans="1:25" x14ac:dyDescent="0.35">
      <c r="A138" s="33">
        <f>IF($M138="","",MAX($A$1:A137)+1)</f>
        <v>126</v>
      </c>
      <c r="B138" s="23" t="s">
        <v>250</v>
      </c>
      <c r="C138" s="23" t="s">
        <v>257</v>
      </c>
      <c r="G138" s="33">
        <v>131236</v>
      </c>
      <c r="H138" s="33" t="s">
        <v>59</v>
      </c>
      <c r="I138" s="33" t="s">
        <v>297</v>
      </c>
      <c r="J138" s="33" t="s">
        <v>3496</v>
      </c>
      <c r="K138" s="51" t="s">
        <v>3644</v>
      </c>
      <c r="M138" s="34" t="str">
        <f t="shared" si="2"/>
        <v>131236-WIL21-DR-P-6300</v>
      </c>
      <c r="N138" s="26" t="s">
        <v>3645</v>
      </c>
      <c r="P138" s="34" t="s">
        <v>3498</v>
      </c>
      <c r="S138" s="35">
        <v>45233</v>
      </c>
      <c r="T138" s="35">
        <v>45245</v>
      </c>
      <c r="U138" s="64" cm="1">
        <f t="array" ref="U138">IF(OR(M138="", M138="Deleted"), "", _xlfn.LET(
  _xlpm.dates,
  _xlfn._xlws.FILTER(
    [1]SubmittalLog!$H$1:$H$4000,
    [1]SubmittalLog!$E$1:$E$4000=M138,
    ""
  ),
  _xlpm.min_date, IFERROR(MIN(_xlpm.dates), ""),
  IF(_xlpm.min_date=0, "", _xlpm.min_date)
))</f>
        <v>45245</v>
      </c>
      <c r="V138" s="63" t="str" cm="1">
        <f t="array" ref="V138">IF(OR(M138="", M138="Deleted"), "", IFERROR(
  _xlfn.TEXTJOIN(", ", TRUE,
    _xlfn.MAP(
      _xlfn.UNIQUE(
        _xlfn._xlws.FILTER(
          [1]SubmittalLog!$B$1:$B$4000,
          ([1]SubmittalLog!$E$1:$E$4000=M138) *
          ([1]SubmittalLog!$B$1:$B$4000&lt;&gt;""),
          ""
        )
      ),
      _xlfn.LAMBDA(_xlpm.val, TEXT(_xlpm.val, "000000"))
    )
  ),
""))</f>
        <v>000187, 000230</v>
      </c>
      <c r="W138" s="40" t="str" cm="1">
        <f t="array" ref="W138">IF(OR(M138="", M138="Deleted"), "", _xlfn.LET(
  _xlpm.doc_col, [1]SubmittalLog!$E$1:$E$4000,
  _xlpm.date_col, [1]SubmittalLog!$H$1:$H$4000,
  _xlpm.status_col, [1]SubmittalLog!$N$1:$N$4000,
  _xlpm.latest_date, _xlfn.MAXIFS(_xlpm.date_col, _xlpm.doc_col, M138),
  IF(_xlpm.latest_date=0, "NFS",
    _xlfn.LET(
      _xlpm.res, _xlfn.XLOOKUP(M138 &amp; "|" &amp; _xlpm.latest_date, _xlpm.doc_col &amp; "|" &amp; _xlpm.date_col, _xlpm.status_col, ""),
      IF(OR(_xlpm.res="", _xlpm.res=0), "", _xlpm.res)
    )
  )
))</f>
        <v>RTR</v>
      </c>
      <c r="X138" s="39">
        <f>IF(OR(M138="", M138="Deleted"), "", _xlfn.LET(
  _xlpm.doc_col, [1]SubmittalLog!$E$1:$E$4000,
  _xlpm.date_col, [1]SubmittalLog!$H$1:$H$4000,
  _xlpm.status_col, [1]SubmittalLog!$O$1:$O$4000,
  _xlpm.first_app_date, _xlfn.MINIFS(_xlpm.date_col, _xlpm.doc_col, M138, _xlpm.status_col, "APP"),
  _xlpm.first_awc_date, _xlfn.MINIFS(_xlpm.date_col, _xlpm.doc_col, M138, _xlpm.status_col, "AWC"),
  _xlpm.earliest_date, IF(
    AND(_xlpm.first_app_date=0, _xlpm.first_awc_date=0), 0,
    IF(_xlpm.first_app_date=0, _xlpm.first_awc_date,
    IF(_xlpm.first_awc_date=0, _xlpm.first_app_date,
    MIN(_xlpm.first_app_date, _xlpm.first_awc_date)))
  ),
  IF(_xlpm.earliest_date=0, "", _xlpm.earliest_date)
))</f>
        <v>45245</v>
      </c>
      <c r="Y138" s="40" t="str" cm="1">
        <f t="array" ref="Y138">IF(OR(M138="", M138="Deleted"), "", _xlfn.LET(
  _xlpm.doc_col, [1]SubmittalLog!$E$1:$E$4000,
  _xlpm.date_col, [1]SubmittalLog!$H$1:$H$4000,
  _xlpm.status_col, [1]SubmittalLog!$O$1:$O$4000,
  _xlpm.has_sub, COUNTIF(_xlpm.doc_col, M138),
  _xlpm.latest_reviewed_date, _xlfn.MAXIFS(_xlpm.date_col, _xlpm.doc_col, M138, _xlpm.status_col, "&lt;&gt;"),
  IF(_xlpm.has_sub=0, "",
    IF(_xlpm.latest_reviewed_date=0, "",
      _xlfn.LET(
        _xlpm.res, _xlfn.XLOOKUP(1, (_xlpm.doc_col=M138) * (_xlpm.date_col=_xlpm.latest_reviewed_date) * (_xlpm.status_col&lt;&gt;""), _xlpm.status_col, ""),
        IF(OR(_xlpm.res="", _xlpm.res=0), "", _xlpm.res)
      )
    )
  )
))</f>
        <v>AWC</v>
      </c>
    </row>
    <row r="139" spans="1:25" x14ac:dyDescent="0.35">
      <c r="A139" s="33">
        <f>IF($M139="","",MAX($A$1:A138)+1)</f>
        <v>127</v>
      </c>
      <c r="B139" s="23" t="s">
        <v>250</v>
      </c>
      <c r="C139" s="23" t="s">
        <v>257</v>
      </c>
      <c r="G139" s="33">
        <v>131236</v>
      </c>
      <c r="H139" s="33" t="s">
        <v>59</v>
      </c>
      <c r="I139" s="33" t="s">
        <v>297</v>
      </c>
      <c r="J139" s="33" t="s">
        <v>3496</v>
      </c>
      <c r="K139" s="51" t="s">
        <v>3646</v>
      </c>
      <c r="M139" s="34" t="str">
        <f t="shared" si="2"/>
        <v>131236-WIL21-DR-P-6301</v>
      </c>
      <c r="N139" s="26" t="s">
        <v>3645</v>
      </c>
      <c r="P139" s="34" t="s">
        <v>3498</v>
      </c>
      <c r="S139" s="35">
        <v>45233</v>
      </c>
      <c r="T139" s="35">
        <v>45245</v>
      </c>
      <c r="U139" s="64" cm="1">
        <f t="array" ref="U139">IF(OR(M139="", M139="Deleted"), "", _xlfn.LET(
  _xlpm.dates,
  _xlfn._xlws.FILTER(
    [1]SubmittalLog!$H$1:$H$4000,
    [1]SubmittalLog!$E$1:$E$4000=M139,
    ""
  ),
  _xlpm.min_date, IFERROR(MIN(_xlpm.dates), ""),
  IF(_xlpm.min_date=0, "", _xlpm.min_date)
))</f>
        <v>45245</v>
      </c>
      <c r="V139" s="63" t="str" cm="1">
        <f t="array" ref="V139">IF(OR(M139="", M139="Deleted"), "", IFERROR(
  _xlfn.TEXTJOIN(", ", TRUE,
    _xlfn.MAP(
      _xlfn.UNIQUE(
        _xlfn._xlws.FILTER(
          [1]SubmittalLog!$B$1:$B$4000,
          ([1]SubmittalLog!$E$1:$E$4000=M139) *
          ([1]SubmittalLog!$B$1:$B$4000&lt;&gt;""),
          ""
        )
      ),
      _xlfn.LAMBDA(_xlpm.val, TEXT(_xlpm.val, "000000"))
    )
  ),
""))</f>
        <v>000187</v>
      </c>
      <c r="W139" s="40" t="str" cm="1">
        <f t="array" ref="W139">IF(OR(M139="", M139="Deleted"), "", _xlfn.LET(
  _xlpm.doc_col, [1]SubmittalLog!$E$1:$E$4000,
  _xlpm.date_col, [1]SubmittalLog!$H$1:$H$4000,
  _xlpm.status_col, [1]SubmittalLog!$N$1:$N$4000,
  _xlpm.latest_date, _xlfn.MAXIFS(_xlpm.date_col, _xlpm.doc_col, M139),
  IF(_xlpm.latest_date=0, "NFS",
    _xlfn.LET(
      _xlpm.res, _xlfn.XLOOKUP(M139 &amp; "|" &amp; _xlpm.latest_date, _xlpm.doc_col &amp; "|" &amp; _xlpm.date_col, _xlpm.status_col, ""),
      IF(OR(_xlpm.res="", _xlpm.res=0), "", _xlpm.res)
    )
  )
))</f>
        <v>RTR</v>
      </c>
      <c r="X139" s="39">
        <f>IF(OR(M139="", M139="Deleted"), "", _xlfn.LET(
  _xlpm.doc_col, [1]SubmittalLog!$E$1:$E$4000,
  _xlpm.date_col, [1]SubmittalLog!$H$1:$H$4000,
  _xlpm.status_col, [1]SubmittalLog!$O$1:$O$4000,
  _xlpm.first_app_date, _xlfn.MINIFS(_xlpm.date_col, _xlpm.doc_col, M139, _xlpm.status_col, "APP"),
  _xlpm.first_awc_date, _xlfn.MINIFS(_xlpm.date_col, _xlpm.doc_col, M139, _xlpm.status_col, "AWC"),
  _xlpm.earliest_date, IF(
    AND(_xlpm.first_app_date=0, _xlpm.first_awc_date=0), 0,
    IF(_xlpm.first_app_date=0, _xlpm.first_awc_date,
    IF(_xlpm.first_awc_date=0, _xlpm.first_app_date,
    MIN(_xlpm.first_app_date, _xlpm.first_awc_date)))
  ),
  IF(_xlpm.earliest_date=0, "", _xlpm.earliest_date)
))</f>
        <v>45245</v>
      </c>
      <c r="Y139" s="40" t="str" cm="1">
        <f t="array" ref="Y139">IF(OR(M139="", M139="Deleted"), "", _xlfn.LET(
  _xlpm.doc_col, [1]SubmittalLog!$E$1:$E$4000,
  _xlpm.date_col, [1]SubmittalLog!$H$1:$H$4000,
  _xlpm.status_col, [1]SubmittalLog!$O$1:$O$4000,
  _xlpm.has_sub, COUNTIF(_xlpm.doc_col, M139),
  _xlpm.latest_reviewed_date, _xlfn.MAXIFS(_xlpm.date_col, _xlpm.doc_col, M139, _xlpm.status_col, "&lt;&gt;"),
  IF(_xlpm.has_sub=0, "",
    IF(_xlpm.latest_reviewed_date=0, "",
      _xlfn.LET(
        _xlpm.res, _xlfn.XLOOKUP(1, (_xlpm.doc_col=M139) * (_xlpm.date_col=_xlpm.latest_reviewed_date) * (_xlpm.status_col&lt;&gt;""), _xlpm.status_col, ""),
        IF(OR(_xlpm.res="", _xlpm.res=0), "", _xlpm.res)
      )
    )
  )
))</f>
        <v>AWC</v>
      </c>
    </row>
    <row r="140" spans="1:25" x14ac:dyDescent="0.35">
      <c r="A140" s="33">
        <f>IF($M140="","",MAX($A$1:A139)+1)</f>
        <v>128</v>
      </c>
      <c r="B140" s="23" t="s">
        <v>250</v>
      </c>
      <c r="C140" s="23" t="s">
        <v>257</v>
      </c>
      <c r="G140" s="33">
        <v>131236</v>
      </c>
      <c r="H140" s="33" t="s">
        <v>59</v>
      </c>
      <c r="I140" s="33" t="s">
        <v>297</v>
      </c>
      <c r="J140" s="33" t="s">
        <v>3496</v>
      </c>
      <c r="K140" s="51">
        <v>6500</v>
      </c>
      <c r="M140" s="34" t="str">
        <f t="shared" si="2"/>
        <v>131236-WIL21-DR-P-6500</v>
      </c>
      <c r="N140" s="26" t="s">
        <v>3647</v>
      </c>
      <c r="P140" s="34" t="s">
        <v>3498</v>
      </c>
      <c r="S140" s="35">
        <v>45233</v>
      </c>
      <c r="T140" s="35">
        <v>45245</v>
      </c>
      <c r="U140" s="64" cm="1">
        <f t="array" ref="U140">IF(OR(M140="", M140="Deleted"), "", _xlfn.LET(
  _xlpm.dates,
  _xlfn._xlws.FILTER(
    [1]SubmittalLog!$H$1:$H$4000,
    [1]SubmittalLog!$E$1:$E$4000=M140,
    ""
  ),
  _xlpm.min_date, IFERROR(MIN(_xlpm.dates), ""),
  IF(_xlpm.min_date=0, "", _xlpm.min_date)
))</f>
        <v>45245</v>
      </c>
      <c r="V140" s="63" t="str" cm="1">
        <f t="array" ref="V140">IF(OR(M140="", M140="Deleted"), "", IFERROR(
  _xlfn.TEXTJOIN(", ", TRUE,
    _xlfn.MAP(
      _xlfn.UNIQUE(
        _xlfn._xlws.FILTER(
          [1]SubmittalLog!$B$1:$B$4000,
          ([1]SubmittalLog!$E$1:$E$4000=M140) *
          ([1]SubmittalLog!$B$1:$B$4000&lt;&gt;""),
          ""
        )
      ),
      _xlfn.LAMBDA(_xlpm.val, TEXT(_xlpm.val, "000000"))
    )
  ),
""))</f>
        <v>000187</v>
      </c>
      <c r="W140" s="40" t="str" cm="1">
        <f t="array" ref="W140">IF(OR(M140="", M140="Deleted"), "", _xlfn.LET(
  _xlpm.doc_col, [1]SubmittalLog!$E$1:$E$4000,
  _xlpm.date_col, [1]SubmittalLog!$H$1:$H$4000,
  _xlpm.status_col, [1]SubmittalLog!$N$1:$N$4000,
  _xlpm.latest_date, _xlfn.MAXIFS(_xlpm.date_col, _xlpm.doc_col, M140),
  IF(_xlpm.latest_date=0, "NFS",
    _xlfn.LET(
      _xlpm.res, _xlfn.XLOOKUP(M140 &amp; "|" &amp; _xlpm.latest_date, _xlpm.doc_col &amp; "|" &amp; _xlpm.date_col, _xlpm.status_col, ""),
      IF(OR(_xlpm.res="", _xlpm.res=0), "", _xlpm.res)
    )
  )
))</f>
        <v>RTR</v>
      </c>
      <c r="X140" s="39">
        <f>IF(OR(M140="", M140="Deleted"), "", _xlfn.LET(
  _xlpm.doc_col, [1]SubmittalLog!$E$1:$E$4000,
  _xlpm.date_col, [1]SubmittalLog!$H$1:$H$4000,
  _xlpm.status_col, [1]SubmittalLog!$O$1:$O$4000,
  _xlpm.first_app_date, _xlfn.MINIFS(_xlpm.date_col, _xlpm.doc_col, M140, _xlpm.status_col, "APP"),
  _xlpm.first_awc_date, _xlfn.MINIFS(_xlpm.date_col, _xlpm.doc_col, M140, _xlpm.status_col, "AWC"),
  _xlpm.earliest_date, IF(
    AND(_xlpm.first_app_date=0, _xlpm.first_awc_date=0), 0,
    IF(_xlpm.first_app_date=0, _xlpm.first_awc_date,
    IF(_xlpm.first_awc_date=0, _xlpm.first_app_date,
    MIN(_xlpm.first_app_date, _xlpm.first_awc_date)))
  ),
  IF(_xlpm.earliest_date=0, "", _xlpm.earliest_date)
))</f>
        <v>45245</v>
      </c>
      <c r="Y140" s="40" t="str" cm="1">
        <f t="array" ref="Y140">IF(OR(M140="", M140="Deleted"), "", _xlfn.LET(
  _xlpm.doc_col, [1]SubmittalLog!$E$1:$E$4000,
  _xlpm.date_col, [1]SubmittalLog!$H$1:$H$4000,
  _xlpm.status_col, [1]SubmittalLog!$O$1:$O$4000,
  _xlpm.has_sub, COUNTIF(_xlpm.doc_col, M140),
  _xlpm.latest_reviewed_date, _xlfn.MAXIFS(_xlpm.date_col, _xlpm.doc_col, M140, _xlpm.status_col, "&lt;&gt;"),
  IF(_xlpm.has_sub=0, "",
    IF(_xlpm.latest_reviewed_date=0, "",
      _xlfn.LET(
        _xlpm.res, _xlfn.XLOOKUP(1, (_xlpm.doc_col=M140) * (_xlpm.date_col=_xlpm.latest_reviewed_date) * (_xlpm.status_col&lt;&gt;""), _xlpm.status_col, ""),
        IF(OR(_xlpm.res="", _xlpm.res=0), "", _xlpm.res)
      )
    )
  )
))</f>
        <v>AWC</v>
      </c>
    </row>
    <row r="141" spans="1:25" x14ac:dyDescent="0.35">
      <c r="A141" s="33">
        <f>IF($M141="","",MAX($A$1:A140)+1)</f>
        <v>129</v>
      </c>
      <c r="B141" s="23" t="s">
        <v>250</v>
      </c>
      <c r="C141" s="23" t="s">
        <v>257</v>
      </c>
      <c r="G141" s="33">
        <v>131236</v>
      </c>
      <c r="H141" s="33" t="s">
        <v>59</v>
      </c>
      <c r="I141" s="33" t="s">
        <v>297</v>
      </c>
      <c r="J141" s="33" t="s">
        <v>3496</v>
      </c>
      <c r="K141" s="51">
        <v>6200</v>
      </c>
      <c r="M141" s="34" t="str">
        <f t="shared" si="2"/>
        <v>131236-WIL21-DR-P-6200</v>
      </c>
      <c r="N141" s="26" t="s">
        <v>3648</v>
      </c>
      <c r="P141" s="34" t="s">
        <v>3498</v>
      </c>
      <c r="S141" s="35">
        <v>45260</v>
      </c>
      <c r="T141" s="35">
        <v>45351</v>
      </c>
      <c r="U141" s="64" cm="1">
        <f t="array" ref="U141">IF(OR(M141="", M141="Deleted"), "", _xlfn.LET(
  _xlpm.dates,
  _xlfn._xlws.FILTER(
    [1]SubmittalLog!$H$1:$H$4000,
    [1]SubmittalLog!$E$1:$E$4000=M141,
    ""
  ),
  _xlpm.min_date, IFERROR(MIN(_xlpm.dates), ""),
  IF(_xlpm.min_date=0, "", _xlpm.min_date)
))</f>
        <v>45288</v>
      </c>
      <c r="V141" s="63" t="str" cm="1">
        <f t="array" ref="V141">IF(OR(M141="", M141="Deleted"), "", IFERROR(
  _xlfn.TEXTJOIN(", ", TRUE,
    _xlfn.MAP(
      _xlfn.UNIQUE(
        _xlfn._xlws.FILTER(
          [1]SubmittalLog!$B$1:$B$4000,
          ([1]SubmittalLog!$E$1:$E$4000=M141) *
          ([1]SubmittalLog!$B$1:$B$4000&lt;&gt;""),
          ""
        )
      ),
      _xlfn.LAMBDA(_xlpm.val, TEXT(_xlpm.val, "000000"))
    )
  ),
""))</f>
        <v>000400, 000230</v>
      </c>
      <c r="W141" s="40" t="str" cm="1">
        <f t="array" ref="W141">IF(OR(M141="", M141="Deleted"), "", _xlfn.LET(
  _xlpm.doc_col, [1]SubmittalLog!$E$1:$E$4000,
  _xlpm.date_col, [1]SubmittalLog!$H$1:$H$4000,
  _xlpm.status_col, [1]SubmittalLog!$N$1:$N$4000,
  _xlpm.latest_date, _xlfn.MAXIFS(_xlpm.date_col, _xlpm.doc_col, M141),
  IF(_xlpm.latest_date=0, "NFS",
    _xlfn.LET(
      _xlpm.res, _xlfn.XLOOKUP(M141 &amp; "|" &amp; _xlpm.latest_date, _xlpm.doc_col &amp; "|" &amp; _xlpm.date_col, _xlpm.status_col, ""),
      IF(OR(_xlpm.res="", _xlpm.res=0), "", _xlpm.res)
    )
  )
))</f>
        <v>RTR</v>
      </c>
      <c r="X141" s="39">
        <f>IF(OR(M141="", M141="Deleted"), "", _xlfn.LET(
  _xlpm.doc_col, [1]SubmittalLog!$E$1:$E$4000,
  _xlpm.date_col, [1]SubmittalLog!$H$1:$H$4000,
  _xlpm.status_col, [1]SubmittalLog!$O$1:$O$4000,
  _xlpm.first_app_date, _xlfn.MINIFS(_xlpm.date_col, _xlpm.doc_col, M141, _xlpm.status_col, "APP"),
  _xlpm.first_awc_date, _xlfn.MINIFS(_xlpm.date_col, _xlpm.doc_col, M141, _xlpm.status_col, "AWC"),
  _xlpm.earliest_date, IF(
    AND(_xlpm.first_app_date=0, _xlpm.first_awc_date=0), 0,
    IF(_xlpm.first_app_date=0, _xlpm.first_awc_date,
    IF(_xlpm.first_awc_date=0, _xlpm.first_app_date,
    MIN(_xlpm.first_app_date, _xlpm.first_awc_date)))
  ),
  IF(_xlpm.earliest_date=0, "", _xlpm.earliest_date)
))</f>
        <v>45288</v>
      </c>
      <c r="Y141" s="40" t="str" cm="1">
        <f t="array" ref="Y141">IF(OR(M141="", M141="Deleted"), "", _xlfn.LET(
  _xlpm.doc_col, [1]SubmittalLog!$E$1:$E$4000,
  _xlpm.date_col, [1]SubmittalLog!$H$1:$H$4000,
  _xlpm.status_col, [1]SubmittalLog!$O$1:$O$4000,
  _xlpm.has_sub, COUNTIF(_xlpm.doc_col, M141),
  _xlpm.latest_reviewed_date, _xlfn.MAXIFS(_xlpm.date_col, _xlpm.doc_col, M141, _xlpm.status_col, "&lt;&gt;"),
  IF(_xlpm.has_sub=0, "",
    IF(_xlpm.latest_reviewed_date=0, "",
      _xlfn.LET(
        _xlpm.res, _xlfn.XLOOKUP(1, (_xlpm.doc_col=M141) * (_xlpm.date_col=_xlpm.latest_reviewed_date) * (_xlpm.status_col&lt;&gt;""), _xlpm.status_col, ""),
        IF(OR(_xlpm.res="", _xlpm.res=0), "", _xlpm.res)
      )
    )
  )
))</f>
        <v>AWC</v>
      </c>
    </row>
    <row r="142" spans="1:25" x14ac:dyDescent="0.35">
      <c r="A142" s="33">
        <f>IF($M142="","",MAX($A$1:A141)+1)</f>
        <v>130</v>
      </c>
      <c r="B142" s="23" t="s">
        <v>250</v>
      </c>
      <c r="C142" s="23" t="s">
        <v>257</v>
      </c>
      <c r="G142" s="33">
        <v>131236</v>
      </c>
      <c r="H142" s="33" t="s">
        <v>59</v>
      </c>
      <c r="I142" s="33" t="s">
        <v>297</v>
      </c>
      <c r="J142" s="33" t="s">
        <v>3496</v>
      </c>
      <c r="K142" s="51">
        <v>6600</v>
      </c>
      <c r="M142" s="34" t="str">
        <f t="shared" si="2"/>
        <v>131236-WIL21-DR-P-6600</v>
      </c>
      <c r="N142" s="26" t="s">
        <v>3649</v>
      </c>
      <c r="P142" s="34" t="s">
        <v>3498</v>
      </c>
      <c r="S142" s="35">
        <v>45260</v>
      </c>
      <c r="T142" s="35">
        <v>45351</v>
      </c>
      <c r="U142" s="64" cm="1">
        <f t="array" ref="U142">IF(OR(M142="", M142="Deleted"), "", _xlfn.LET(
  _xlpm.dates,
  _xlfn._xlws.FILTER(
    [1]SubmittalLog!$H$1:$H$4000,
    [1]SubmittalLog!$E$1:$E$4000=M142,
    ""
  ),
  _xlpm.min_date, IFERROR(MIN(_xlpm.dates), ""),
  IF(_xlpm.min_date=0, "", _xlpm.min_date)
))</f>
        <v>45288</v>
      </c>
      <c r="V142" s="63" t="str" cm="1">
        <f t="array" ref="V142">IF(OR(M142="", M142="Deleted"), "", IFERROR(
  _xlfn.TEXTJOIN(", ", TRUE,
    _xlfn.MAP(
      _xlfn.UNIQUE(
        _xlfn._xlws.FILTER(
          [1]SubmittalLog!$B$1:$B$4000,
          ([1]SubmittalLog!$E$1:$E$4000=M142) *
          ([1]SubmittalLog!$B$1:$B$4000&lt;&gt;""),
          ""
        )
      ),
      _xlfn.LAMBDA(_xlpm.val, TEXT(_xlpm.val, "000000"))
    )
  ),
""))</f>
        <v>000400, 000230</v>
      </c>
      <c r="W142" s="40" t="str" cm="1">
        <f t="array" ref="W142">IF(OR(M142="", M142="Deleted"), "", _xlfn.LET(
  _xlpm.doc_col, [1]SubmittalLog!$E$1:$E$4000,
  _xlpm.date_col, [1]SubmittalLog!$H$1:$H$4000,
  _xlpm.status_col, [1]SubmittalLog!$N$1:$N$4000,
  _xlpm.latest_date, _xlfn.MAXIFS(_xlpm.date_col, _xlpm.doc_col, M142),
  IF(_xlpm.latest_date=0, "NFS",
    _xlfn.LET(
      _xlpm.res, _xlfn.XLOOKUP(M142 &amp; "|" &amp; _xlpm.latest_date, _xlpm.doc_col &amp; "|" &amp; _xlpm.date_col, _xlpm.status_col, ""),
      IF(OR(_xlpm.res="", _xlpm.res=0), "", _xlpm.res)
    )
  )
))</f>
        <v>RTR</v>
      </c>
      <c r="X142" s="39">
        <f>IF(OR(M142="", M142="Deleted"), "", _xlfn.LET(
  _xlpm.doc_col, [1]SubmittalLog!$E$1:$E$4000,
  _xlpm.date_col, [1]SubmittalLog!$H$1:$H$4000,
  _xlpm.status_col, [1]SubmittalLog!$O$1:$O$4000,
  _xlpm.first_app_date, _xlfn.MINIFS(_xlpm.date_col, _xlpm.doc_col, M142, _xlpm.status_col, "APP"),
  _xlpm.first_awc_date, _xlfn.MINIFS(_xlpm.date_col, _xlpm.doc_col, M142, _xlpm.status_col, "AWC"),
  _xlpm.earliest_date, IF(
    AND(_xlpm.first_app_date=0, _xlpm.first_awc_date=0), 0,
    IF(_xlpm.first_app_date=0, _xlpm.first_awc_date,
    IF(_xlpm.first_awc_date=0, _xlpm.first_app_date,
    MIN(_xlpm.first_app_date, _xlpm.first_awc_date)))
  ),
  IF(_xlpm.earliest_date=0, "", _xlpm.earliest_date)
))</f>
        <v>45288</v>
      </c>
      <c r="Y142" s="40" t="str" cm="1">
        <f t="array" ref="Y142">IF(OR(M142="", M142="Deleted"), "", _xlfn.LET(
  _xlpm.doc_col, [1]SubmittalLog!$E$1:$E$4000,
  _xlpm.date_col, [1]SubmittalLog!$H$1:$H$4000,
  _xlpm.status_col, [1]SubmittalLog!$O$1:$O$4000,
  _xlpm.has_sub, COUNTIF(_xlpm.doc_col, M142),
  _xlpm.latest_reviewed_date, _xlfn.MAXIFS(_xlpm.date_col, _xlpm.doc_col, M142, _xlpm.status_col, "&lt;&gt;"),
  IF(_xlpm.has_sub=0, "",
    IF(_xlpm.latest_reviewed_date=0, "",
      _xlfn.LET(
        _xlpm.res, _xlfn.XLOOKUP(1, (_xlpm.doc_col=M142) * (_xlpm.date_col=_xlpm.latest_reviewed_date) * (_xlpm.status_col&lt;&gt;""), _xlpm.status_col, ""),
        IF(OR(_xlpm.res="", _xlpm.res=0), "", _xlpm.res)
      )
    )
  )
))</f>
        <v>AWC</v>
      </c>
    </row>
    <row r="143" spans="1:25" x14ac:dyDescent="0.35">
      <c r="A143" s="33">
        <f>IF($M143="","",MAX($A$1:A142)+1)</f>
        <v>131</v>
      </c>
      <c r="B143" s="23" t="s">
        <v>99</v>
      </c>
      <c r="C143" s="23" t="s">
        <v>257</v>
      </c>
      <c r="G143" s="33">
        <v>131236</v>
      </c>
      <c r="H143" s="33" t="s">
        <v>59</v>
      </c>
      <c r="I143" s="33" t="s">
        <v>297</v>
      </c>
      <c r="J143" s="33" t="s">
        <v>3496</v>
      </c>
      <c r="K143" s="51">
        <v>6601</v>
      </c>
      <c r="M143" s="34" t="str">
        <f t="shared" si="2"/>
        <v>131236-WIL21-DR-P-6601</v>
      </c>
      <c r="N143" s="26" t="s">
        <v>3650</v>
      </c>
      <c r="P143" s="34" t="s">
        <v>3467</v>
      </c>
      <c r="S143" s="35">
        <v>45260</v>
      </c>
      <c r="T143" s="35">
        <v>45351</v>
      </c>
      <c r="U143" s="64" cm="1">
        <f t="array" ref="U143">IF(OR(M143="", M143="Deleted"), "", _xlfn.LET(
  _xlpm.dates,
  _xlfn._xlws.FILTER(
    [1]SubmittalLog!$H$1:$H$4000,
    [1]SubmittalLog!$E$1:$E$4000=M143,
    ""
  ),
  _xlpm.min_date, IFERROR(MIN(_xlpm.dates), ""),
  IF(_xlpm.min_date=0, "", _xlpm.min_date)
))</f>
        <v>45288</v>
      </c>
      <c r="V143" s="63" t="str" cm="1">
        <f t="array" ref="V143">IF(OR(M143="", M143="Deleted"), "", IFERROR(
  _xlfn.TEXTJOIN(", ", TRUE,
    _xlfn.MAP(
      _xlfn.UNIQUE(
        _xlfn._xlws.FILTER(
          [1]SubmittalLog!$B$1:$B$4000,
          ([1]SubmittalLog!$E$1:$E$4000=M143) *
          ([1]SubmittalLog!$B$1:$B$4000&lt;&gt;""),
          ""
        )
      ),
      _xlfn.LAMBDA(_xlpm.val, TEXT(_xlpm.val, "000000"))
    )
  ),
""))</f>
        <v>000534, 000230</v>
      </c>
      <c r="W143" s="40" t="str" cm="1">
        <f t="array" ref="W143">IF(OR(M143="", M143="Deleted"), "", _xlfn.LET(
  _xlpm.doc_col, [1]SubmittalLog!$E$1:$E$4000,
  _xlpm.date_col, [1]SubmittalLog!$H$1:$H$4000,
  _xlpm.status_col, [1]SubmittalLog!$N$1:$N$4000,
  _xlpm.latest_date, _xlfn.MAXIFS(_xlpm.date_col, _xlpm.doc_col, M143),
  IF(_xlpm.latest_date=0, "NFS",
    _xlfn.LET(
      _xlpm.res, _xlfn.XLOOKUP(M143 &amp; "|" &amp; _xlpm.latest_date, _xlpm.doc_col &amp; "|" &amp; _xlpm.date_col, _xlpm.status_col, ""),
      IF(OR(_xlpm.res="", _xlpm.res=0), "", _xlpm.res)
    )
  )
))</f>
        <v>RTR</v>
      </c>
      <c r="X143" s="39">
        <f>IF(OR(M143="", M143="Deleted"), "", _xlfn.LET(
  _xlpm.doc_col, [1]SubmittalLog!$E$1:$E$4000,
  _xlpm.date_col, [1]SubmittalLog!$H$1:$H$4000,
  _xlpm.status_col, [1]SubmittalLog!$O$1:$O$4000,
  _xlpm.first_app_date, _xlfn.MINIFS(_xlpm.date_col, _xlpm.doc_col, M143, _xlpm.status_col, "APP"),
  _xlpm.first_awc_date, _xlfn.MINIFS(_xlpm.date_col, _xlpm.doc_col, M143, _xlpm.status_col, "AWC"),
  _xlpm.earliest_date, IF(
    AND(_xlpm.first_app_date=0, _xlpm.first_awc_date=0), 0,
    IF(_xlpm.first_app_date=0, _xlpm.first_awc_date,
    IF(_xlpm.first_awc_date=0, _xlpm.first_app_date,
    MIN(_xlpm.first_app_date, _xlpm.first_awc_date)))
  ),
  IF(_xlpm.earliest_date=0, "", _xlpm.earliest_date)
))</f>
        <v>45288</v>
      </c>
      <c r="Y143" s="40" t="str" cm="1">
        <f t="array" ref="Y143">IF(OR(M143="", M143="Deleted"), "", _xlfn.LET(
  _xlpm.doc_col, [1]SubmittalLog!$E$1:$E$4000,
  _xlpm.date_col, [1]SubmittalLog!$H$1:$H$4000,
  _xlpm.status_col, [1]SubmittalLog!$O$1:$O$4000,
  _xlpm.has_sub, COUNTIF(_xlpm.doc_col, M143),
  _xlpm.latest_reviewed_date, _xlfn.MAXIFS(_xlpm.date_col, _xlpm.doc_col, M143, _xlpm.status_col, "&lt;&gt;"),
  IF(_xlpm.has_sub=0, "",
    IF(_xlpm.latest_reviewed_date=0, "",
      _xlfn.LET(
        _xlpm.res, _xlfn.XLOOKUP(1, (_xlpm.doc_col=M143) * (_xlpm.date_col=_xlpm.latest_reviewed_date) * (_xlpm.status_col&lt;&gt;""), _xlpm.status_col, ""),
        IF(OR(_xlpm.res="", _xlpm.res=0), "", _xlpm.res)
      )
    )
  )
))</f>
        <v>REJ</v>
      </c>
    </row>
    <row r="144" spans="1:25" x14ac:dyDescent="0.35">
      <c r="A144" s="33">
        <f>IF($M144="","",MAX($A$1:A143)+1)</f>
        <v>132</v>
      </c>
      <c r="B144" s="23" t="s">
        <v>54</v>
      </c>
      <c r="C144" s="23" t="s">
        <v>257</v>
      </c>
      <c r="G144" s="33">
        <v>131236</v>
      </c>
      <c r="H144" s="33" t="s">
        <v>59</v>
      </c>
      <c r="I144" s="33" t="s">
        <v>297</v>
      </c>
      <c r="J144" s="33" t="s">
        <v>3496</v>
      </c>
      <c r="K144" s="51">
        <v>6601</v>
      </c>
      <c r="M144" s="34" t="str">
        <f t="shared" si="2"/>
        <v>Deleted</v>
      </c>
      <c r="N144" s="26" t="s">
        <v>3651</v>
      </c>
      <c r="P144" s="34" t="s">
        <v>3467</v>
      </c>
      <c r="U144" s="64" t="str" cm="1">
        <f t="array" ref="U144">IF(OR(M144="", M144="Deleted"), "", _xlfn.LET(
  _xlpm.dates,
  _xlfn._xlws.FILTER(
    [1]SubmittalLog!$H$1:$H$4000,
    [1]SubmittalLog!$E$1:$E$4000=M144,
    ""
  ),
  _xlpm.min_date, IFERROR(MIN(_xlpm.dates), ""),
  IF(_xlpm.min_date=0, "", _xlpm.min_date)
))</f>
        <v/>
      </c>
      <c r="V144" s="63" t="str" cm="1">
        <f t="array" ref="V144">IF(OR(M144="", M144="Deleted"), "", IFERROR(
  _xlfn.TEXTJOIN(", ", TRUE,
    _xlfn.MAP(
      _xlfn.UNIQUE(
        _xlfn._xlws.FILTER(
          [1]SubmittalLog!$B$1:$B$4000,
          ([1]SubmittalLog!$E$1:$E$4000=M144) *
          ([1]SubmittalLog!$B$1:$B$4000&lt;&gt;""),
          ""
        )
      ),
      _xlfn.LAMBDA(_xlpm.val, TEXT(_xlpm.val, "000000"))
    )
  ),
""))</f>
        <v/>
      </c>
      <c r="W144" s="40" t="str" cm="1">
        <f t="array" ref="W144">IF(OR(M144="", M144="Deleted"), "", _xlfn.LET(
  _xlpm.doc_col, [1]SubmittalLog!$E$1:$E$4000,
  _xlpm.date_col, [1]SubmittalLog!$H$1:$H$4000,
  _xlpm.status_col, [1]SubmittalLog!$N$1:$N$4000,
  _xlpm.latest_date, _xlfn.MAXIFS(_xlpm.date_col, _xlpm.doc_col, M144),
  IF(_xlpm.latest_date=0, "NFS",
    _xlfn.LET(
      _xlpm.res, _xlfn.XLOOKUP(M144 &amp; "|" &amp; _xlpm.latest_date, _xlpm.doc_col &amp; "|" &amp; _xlpm.date_col, _xlpm.status_col, ""),
      IF(OR(_xlpm.res="", _xlpm.res=0), "", _xlpm.res)
    )
  )
))</f>
        <v/>
      </c>
      <c r="X144" s="39" t="str">
        <f>IF(OR(M144="", M144="Deleted"), "", _xlfn.LET(
  _xlpm.doc_col, [1]SubmittalLog!$E$1:$E$4000,
  _xlpm.date_col, [1]SubmittalLog!$H$1:$H$4000,
  _xlpm.status_col, [1]SubmittalLog!$O$1:$O$4000,
  _xlpm.first_app_date, _xlfn.MINIFS(_xlpm.date_col, _xlpm.doc_col, M144, _xlpm.status_col, "APP"),
  _xlpm.first_awc_date, _xlfn.MINIFS(_xlpm.date_col, _xlpm.doc_col, M144, _xlpm.status_col, "AWC"),
  _xlpm.earliest_date, IF(
    AND(_xlpm.first_app_date=0, _xlpm.first_awc_date=0), 0,
    IF(_xlpm.first_app_date=0, _xlpm.first_awc_date,
    IF(_xlpm.first_awc_date=0, _xlpm.first_app_date,
    MIN(_xlpm.first_app_date, _xlpm.first_awc_date)))
  ),
  IF(_xlpm.earliest_date=0, "", _xlpm.earliest_date)
))</f>
        <v/>
      </c>
      <c r="Y144" s="40" t="str" cm="1">
        <f t="array" ref="Y144">IF(OR(M144="", M144="Deleted"), "", _xlfn.LET(
  _xlpm.doc_col, [1]SubmittalLog!$E$1:$E$4000,
  _xlpm.date_col, [1]SubmittalLog!$H$1:$H$4000,
  _xlpm.status_col, [1]SubmittalLog!$O$1:$O$4000,
  _xlpm.has_sub, COUNTIF(_xlpm.doc_col, M144),
  _xlpm.latest_reviewed_date, _xlfn.MAXIFS(_xlpm.date_col, _xlpm.doc_col, M144, _xlpm.status_col, "&lt;&gt;"),
  IF(_xlpm.has_sub=0, "",
    IF(_xlpm.latest_reviewed_date=0, "",
      _xlfn.LET(
        _xlpm.res, _xlfn.XLOOKUP(1, (_xlpm.doc_col=M144) * (_xlpm.date_col=_xlpm.latest_reviewed_date) * (_xlpm.status_col&lt;&gt;""), _xlpm.status_col, ""),
        IF(OR(_xlpm.res="", _xlpm.res=0), "", _xlpm.res)
      )
    )
  )
))</f>
        <v/>
      </c>
    </row>
    <row r="145" spans="1:25" x14ac:dyDescent="0.35">
      <c r="A145" s="33" t="str">
        <f>IF($M145="","",MAX($A$1:A144)+1)</f>
        <v/>
      </c>
      <c r="M145" s="34" t="str">
        <f t="shared" si="2"/>
        <v/>
      </c>
      <c r="N145" s="26"/>
      <c r="U145" s="64" t="str" cm="1">
        <f t="array" ref="U145">IF(OR(M145="", M145="Deleted"), "", _xlfn.LET(
  _xlpm.dates,
  _xlfn._xlws.FILTER(
    [1]SubmittalLog!$H$1:$H$4000,
    [1]SubmittalLog!$E$1:$E$4000=M145,
    ""
  ),
  _xlpm.min_date, IFERROR(MIN(_xlpm.dates), ""),
  IF(_xlpm.min_date=0, "", _xlpm.min_date)
))</f>
        <v/>
      </c>
      <c r="V145" s="63" t="str" cm="1">
        <f t="array" ref="V145">IF(OR(M145="", M145="Deleted"), "", IFERROR(
  _xlfn.TEXTJOIN(", ", TRUE,
    _xlfn.MAP(
      _xlfn.UNIQUE(
        _xlfn._xlws.FILTER(
          [1]SubmittalLog!$B$1:$B$4000,
          ([1]SubmittalLog!$E$1:$E$4000=M145) *
          ([1]SubmittalLog!$B$1:$B$4000&lt;&gt;""),
          ""
        )
      ),
      _xlfn.LAMBDA(_xlpm.val, TEXT(_xlpm.val, "000000"))
    )
  ),
""))</f>
        <v/>
      </c>
      <c r="W145" s="40" t="str" cm="1">
        <f t="array" ref="W145">IF(OR(M145="", M145="Deleted"), "", _xlfn.LET(
  _xlpm.doc_col, [1]SubmittalLog!$E$1:$E$4000,
  _xlpm.date_col, [1]SubmittalLog!$H$1:$H$4000,
  _xlpm.status_col, [1]SubmittalLog!$N$1:$N$4000,
  _xlpm.latest_date, _xlfn.MAXIFS(_xlpm.date_col, _xlpm.doc_col, M145),
  IF(_xlpm.latest_date=0, "NFS",
    _xlfn.LET(
      _xlpm.res, _xlfn.XLOOKUP(M145 &amp; "|" &amp; _xlpm.latest_date, _xlpm.doc_col &amp; "|" &amp; _xlpm.date_col, _xlpm.status_col, ""),
      IF(OR(_xlpm.res="", _xlpm.res=0), "", _xlpm.res)
    )
  )
))</f>
        <v/>
      </c>
      <c r="X145" s="39" t="str">
        <f>IF(OR(M145="", M145="Deleted"), "", _xlfn.LET(
  _xlpm.doc_col, [1]SubmittalLog!$E$1:$E$4000,
  _xlpm.date_col, [1]SubmittalLog!$H$1:$H$4000,
  _xlpm.status_col, [1]SubmittalLog!$O$1:$O$4000,
  _xlpm.first_app_date, _xlfn.MINIFS(_xlpm.date_col, _xlpm.doc_col, M145, _xlpm.status_col, "APP"),
  _xlpm.first_awc_date, _xlfn.MINIFS(_xlpm.date_col, _xlpm.doc_col, M145, _xlpm.status_col, "AWC"),
  _xlpm.earliest_date, IF(
    AND(_xlpm.first_app_date=0, _xlpm.first_awc_date=0), 0,
    IF(_xlpm.first_app_date=0, _xlpm.first_awc_date,
    IF(_xlpm.first_awc_date=0, _xlpm.first_app_date,
    MIN(_xlpm.first_app_date, _xlpm.first_awc_date)))
  ),
  IF(_xlpm.earliest_date=0, "", _xlpm.earliest_date)
))</f>
        <v/>
      </c>
      <c r="Y145" s="40" t="str" cm="1">
        <f t="array" ref="Y145">IF(OR(M145="", M145="Deleted"), "", _xlfn.LET(
  _xlpm.doc_col, [1]SubmittalLog!$E$1:$E$4000,
  _xlpm.date_col, [1]SubmittalLog!$H$1:$H$4000,
  _xlpm.status_col, [1]SubmittalLog!$O$1:$O$4000,
  _xlpm.has_sub, COUNTIF(_xlpm.doc_col, M145),
  _xlpm.latest_reviewed_date, _xlfn.MAXIFS(_xlpm.date_col, _xlpm.doc_col, M145, _xlpm.status_col, "&lt;&gt;"),
  IF(_xlpm.has_sub=0, "",
    IF(_xlpm.latest_reviewed_date=0, "",
      _xlfn.LET(
        _xlpm.res, _xlfn.XLOOKUP(1, (_xlpm.doc_col=M145) * (_xlpm.date_col=_xlpm.latest_reviewed_date) * (_xlpm.status_col&lt;&gt;""), _xlpm.status_col, ""),
        IF(OR(_xlpm.res="", _xlpm.res=0), "", _xlpm.res)
      )
    )
  )
))</f>
        <v/>
      </c>
    </row>
    <row r="146" spans="1:25" x14ac:dyDescent="0.35">
      <c r="A146" s="33" t="str">
        <f>IF($M146="","",MAX($A$1:A145)+1)</f>
        <v/>
      </c>
      <c r="M146" s="34" t="str">
        <f t="shared" si="2"/>
        <v/>
      </c>
      <c r="N146" s="26" t="s">
        <v>3652</v>
      </c>
      <c r="U146" s="64" t="str" cm="1">
        <f t="array" ref="U146">IF(OR(M146="", M146="Deleted"), "", _xlfn.LET(
  _xlpm.dates,
  _xlfn._xlws.FILTER(
    [1]SubmittalLog!$H$1:$H$4000,
    [1]SubmittalLog!$E$1:$E$4000=M146,
    ""
  ),
  _xlpm.min_date, IFERROR(MIN(_xlpm.dates), ""),
  IF(_xlpm.min_date=0, "", _xlpm.min_date)
))</f>
        <v/>
      </c>
      <c r="V146" s="63" t="str" cm="1">
        <f t="array" ref="V146">IF(OR(M146="", M146="Deleted"), "", IFERROR(
  _xlfn.TEXTJOIN(", ", TRUE,
    _xlfn.MAP(
      _xlfn.UNIQUE(
        _xlfn._xlws.FILTER(
          [1]SubmittalLog!$B$1:$B$4000,
          ([1]SubmittalLog!$E$1:$E$4000=M146) *
          ([1]SubmittalLog!$B$1:$B$4000&lt;&gt;""),
          ""
        )
      ),
      _xlfn.LAMBDA(_xlpm.val, TEXT(_xlpm.val, "000000"))
    )
  ),
""))</f>
        <v/>
      </c>
      <c r="W146" s="40" t="str" cm="1">
        <f t="array" ref="W146">IF(OR(M146="", M146="Deleted"), "", _xlfn.LET(
  _xlpm.doc_col, [1]SubmittalLog!$E$1:$E$4000,
  _xlpm.date_col, [1]SubmittalLog!$H$1:$H$4000,
  _xlpm.status_col, [1]SubmittalLog!$N$1:$N$4000,
  _xlpm.latest_date, _xlfn.MAXIFS(_xlpm.date_col, _xlpm.doc_col, M146),
  IF(_xlpm.latest_date=0, "NFS",
    _xlfn.LET(
      _xlpm.res, _xlfn.XLOOKUP(M146 &amp; "|" &amp; _xlpm.latest_date, _xlpm.doc_col &amp; "|" &amp; _xlpm.date_col, _xlpm.status_col, ""),
      IF(OR(_xlpm.res="", _xlpm.res=0), "", _xlpm.res)
    )
  )
))</f>
        <v/>
      </c>
      <c r="X146" s="39" t="str">
        <f>IF(OR(M146="", M146="Deleted"), "", _xlfn.LET(
  _xlpm.doc_col, [1]SubmittalLog!$E$1:$E$4000,
  _xlpm.date_col, [1]SubmittalLog!$H$1:$H$4000,
  _xlpm.status_col, [1]SubmittalLog!$O$1:$O$4000,
  _xlpm.first_app_date, _xlfn.MINIFS(_xlpm.date_col, _xlpm.doc_col, M146, _xlpm.status_col, "APP"),
  _xlpm.first_awc_date, _xlfn.MINIFS(_xlpm.date_col, _xlpm.doc_col, M146, _xlpm.status_col, "AWC"),
  _xlpm.earliest_date, IF(
    AND(_xlpm.first_app_date=0, _xlpm.first_awc_date=0), 0,
    IF(_xlpm.first_app_date=0, _xlpm.first_awc_date,
    IF(_xlpm.first_awc_date=0, _xlpm.first_app_date,
    MIN(_xlpm.first_app_date, _xlpm.first_awc_date)))
  ),
  IF(_xlpm.earliest_date=0, "", _xlpm.earliest_date)
))</f>
        <v/>
      </c>
      <c r="Y146" s="40" t="str" cm="1">
        <f t="array" ref="Y146">IF(OR(M146="", M146="Deleted"), "", _xlfn.LET(
  _xlpm.doc_col, [1]SubmittalLog!$E$1:$E$4000,
  _xlpm.date_col, [1]SubmittalLog!$H$1:$H$4000,
  _xlpm.status_col, [1]SubmittalLog!$O$1:$O$4000,
  _xlpm.has_sub, COUNTIF(_xlpm.doc_col, M146),
  _xlpm.latest_reviewed_date, _xlfn.MAXIFS(_xlpm.date_col, _xlpm.doc_col, M146, _xlpm.status_col, "&lt;&gt;"),
  IF(_xlpm.has_sub=0, "",
    IF(_xlpm.latest_reviewed_date=0, "",
      _xlfn.LET(
        _xlpm.res, _xlfn.XLOOKUP(1, (_xlpm.doc_col=M146) * (_xlpm.date_col=_xlpm.latest_reviewed_date) * (_xlpm.status_col&lt;&gt;""), _xlpm.status_col, ""),
        IF(OR(_xlpm.res="", _xlpm.res=0), "", _xlpm.res)
      )
    )
  )
))</f>
        <v/>
      </c>
    </row>
    <row r="147" spans="1:25" x14ac:dyDescent="0.35">
      <c r="A147" s="33">
        <f>IF($M147="","",MAX($A$1:A146)+1)</f>
        <v>133</v>
      </c>
      <c r="B147" s="23" t="s">
        <v>250</v>
      </c>
      <c r="C147" s="23" t="s">
        <v>150</v>
      </c>
      <c r="G147" s="33">
        <v>131236</v>
      </c>
      <c r="H147" s="33" t="s">
        <v>59</v>
      </c>
      <c r="I147" s="33" t="s">
        <v>297</v>
      </c>
      <c r="J147" s="33" t="s">
        <v>149</v>
      </c>
      <c r="K147" s="51">
        <v>8001</v>
      </c>
      <c r="M147" s="34" t="str">
        <f t="shared" si="2"/>
        <v>131236-WIL21-DR-E-8001</v>
      </c>
      <c r="N147" s="26" t="s">
        <v>3653</v>
      </c>
      <c r="P147" s="34" t="s">
        <v>3467</v>
      </c>
      <c r="S147" s="35">
        <v>45588</v>
      </c>
      <c r="T147" s="35">
        <v>45588</v>
      </c>
      <c r="U147" s="64" cm="1">
        <f t="array" ref="U147">IF(OR(M147="", M147="Deleted"), "", _xlfn.LET(
  _xlpm.dates,
  _xlfn._xlws.FILTER(
    [1]SubmittalLog!$H$1:$H$4000,
    [1]SubmittalLog!$E$1:$E$4000=M147,
    ""
  ),
  _xlpm.min_date, IFERROR(MIN(_xlpm.dates), ""),
  IF(_xlpm.min_date=0, "", _xlpm.min_date)
))</f>
        <v>45588</v>
      </c>
      <c r="V147" s="63" t="str" cm="1">
        <f t="array" ref="V147">IF(OR(M147="", M147="Deleted"), "", IFERROR(
  _xlfn.TEXTJOIN(", ", TRUE,
    _xlfn.MAP(
      _xlfn.UNIQUE(
        _xlfn._xlws.FILTER(
          [1]SubmittalLog!$B$1:$B$4000,
          ([1]SubmittalLog!$E$1:$E$4000=M147) *
          ([1]SubmittalLog!$B$1:$B$4000&lt;&gt;""),
          ""
        )
      ),
      _xlfn.LAMBDA(_xlpm.val, TEXT(_xlpm.val, "000000"))
    )
  ),
""))</f>
        <v>000772</v>
      </c>
      <c r="W147" s="40" t="str" cm="1">
        <f t="array" ref="W147">IF(OR(M147="", M147="Deleted"), "", _xlfn.LET(
  _xlpm.doc_col, [1]SubmittalLog!$E$1:$E$4000,
  _xlpm.date_col, [1]SubmittalLog!$H$1:$H$4000,
  _xlpm.status_col, [1]SubmittalLog!$N$1:$N$4000,
  _xlpm.latest_date, _xlfn.MAXIFS(_xlpm.date_col, _xlpm.doc_col, M147),
  IF(_xlpm.latest_date=0, "NFS",
    _xlfn.LET(
      _xlpm.res, _xlfn.XLOOKUP(M147 &amp; "|" &amp; _xlpm.latest_date, _xlpm.doc_col &amp; "|" &amp; _xlpm.date_col, _xlpm.status_col, ""),
      IF(OR(_xlpm.res="", _xlpm.res=0), "", _xlpm.res)
    )
  )
))</f>
        <v>RTR</v>
      </c>
      <c r="X147" s="39">
        <f>IF(OR(M147="", M147="Deleted"), "", _xlfn.LET(
  _xlpm.doc_col, [1]SubmittalLog!$E$1:$E$4000,
  _xlpm.date_col, [1]SubmittalLog!$H$1:$H$4000,
  _xlpm.status_col, [1]SubmittalLog!$O$1:$O$4000,
  _xlpm.first_app_date, _xlfn.MINIFS(_xlpm.date_col, _xlpm.doc_col, M147, _xlpm.status_col, "APP"),
  _xlpm.first_awc_date, _xlfn.MINIFS(_xlpm.date_col, _xlpm.doc_col, M147, _xlpm.status_col, "AWC"),
  _xlpm.earliest_date, IF(
    AND(_xlpm.first_app_date=0, _xlpm.first_awc_date=0), 0,
    IF(_xlpm.first_app_date=0, _xlpm.first_awc_date,
    IF(_xlpm.first_awc_date=0, _xlpm.first_app_date,
    MIN(_xlpm.first_app_date, _xlpm.first_awc_date)))
  ),
  IF(_xlpm.earliest_date=0, "", _xlpm.earliest_date)
))</f>
        <v>45588</v>
      </c>
      <c r="Y147" s="40" t="str" cm="1">
        <f t="array" ref="Y147">IF(OR(M147="", M147="Deleted"), "", _xlfn.LET(
  _xlpm.doc_col, [1]SubmittalLog!$E$1:$E$4000,
  _xlpm.date_col, [1]SubmittalLog!$H$1:$H$4000,
  _xlpm.status_col, [1]SubmittalLog!$O$1:$O$4000,
  _xlpm.has_sub, COUNTIF(_xlpm.doc_col, M147),
  _xlpm.latest_reviewed_date, _xlfn.MAXIFS(_xlpm.date_col, _xlpm.doc_col, M147, _xlpm.status_col, "&lt;&gt;"),
  IF(_xlpm.has_sub=0, "",
    IF(_xlpm.latest_reviewed_date=0, "",
      _xlfn.LET(
        _xlpm.res, _xlfn.XLOOKUP(1, (_xlpm.doc_col=M147) * (_xlpm.date_col=_xlpm.latest_reviewed_date) * (_xlpm.status_col&lt;&gt;""), _xlpm.status_col, ""),
        IF(OR(_xlpm.res="", _xlpm.res=0), "", _xlpm.res)
      )
    )
  )
))</f>
        <v>AWC</v>
      </c>
    </row>
    <row r="148" spans="1:25" x14ac:dyDescent="0.35">
      <c r="A148" s="33">
        <f>IF($M148="","",MAX($A$1:A147)+1)</f>
        <v>134</v>
      </c>
      <c r="B148" s="23" t="s">
        <v>77</v>
      </c>
      <c r="C148" s="23" t="s">
        <v>234</v>
      </c>
      <c r="G148" s="33">
        <v>131236</v>
      </c>
      <c r="H148" s="33" t="s">
        <v>59</v>
      </c>
      <c r="I148" s="33" t="s">
        <v>297</v>
      </c>
      <c r="J148" s="33" t="s">
        <v>233</v>
      </c>
      <c r="K148" s="51" t="s">
        <v>3654</v>
      </c>
      <c r="M148" s="34" t="str">
        <f t="shared" si="2"/>
        <v>131236-WIL21-DR-M-5911</v>
      </c>
      <c r="N148" s="26" t="s">
        <v>3655</v>
      </c>
      <c r="P148" s="34" t="s">
        <v>3498</v>
      </c>
      <c r="S148" s="35">
        <v>45379</v>
      </c>
      <c r="T148" s="35">
        <v>45379</v>
      </c>
      <c r="U148" s="64" t="str" cm="1">
        <f t="array" ref="U148">IF(OR(M148="", M148="Deleted"), "", _xlfn.LET(
  _xlpm.dates,
  _xlfn._xlws.FILTER(
    [1]SubmittalLog!$H$1:$H$4000,
    [1]SubmittalLog!$E$1:$E$4000=M148,
    ""
  ),
  _xlpm.min_date, IFERROR(MIN(_xlpm.dates), ""),
  IF(_xlpm.min_date=0, "", _xlpm.min_date)
))</f>
        <v/>
      </c>
      <c r="V148" s="63" t="str" cm="1">
        <f t="array" ref="V148">IF(OR(M148="", M148="Deleted"), "", IFERROR(
  _xlfn.TEXTJOIN(", ", TRUE,
    _xlfn.MAP(
      _xlfn.UNIQUE(
        _xlfn._xlws.FILTER(
          [1]SubmittalLog!$B$1:$B$4000,
          ([1]SubmittalLog!$E$1:$E$4000=M148) *
          ([1]SubmittalLog!$B$1:$B$4000&lt;&gt;""),
          ""
        )
      ),
      _xlfn.LAMBDA(_xlpm.val, TEXT(_xlpm.val, "000000"))
    )
  ),
""))</f>
        <v/>
      </c>
      <c r="W148" s="40" t="str" cm="1">
        <f t="array" ref="W148">IF(OR(M148="", M148="Deleted"), "", _xlfn.LET(
  _xlpm.doc_col, [1]SubmittalLog!$E$1:$E$4000,
  _xlpm.date_col, [1]SubmittalLog!$H$1:$H$4000,
  _xlpm.status_col, [1]SubmittalLog!$N$1:$N$4000,
  _xlpm.latest_date, _xlfn.MAXIFS(_xlpm.date_col, _xlpm.doc_col, M148),
  IF(_xlpm.latest_date=0, "NFS",
    _xlfn.LET(
      _xlpm.res, _xlfn.XLOOKUP(M148 &amp; "|" &amp; _xlpm.latest_date, _xlpm.doc_col &amp; "|" &amp; _xlpm.date_col, _xlpm.status_col, ""),
      IF(OR(_xlpm.res="", _xlpm.res=0), "", _xlpm.res)
    )
  )
))</f>
        <v>NFS</v>
      </c>
      <c r="X148" s="39" t="str">
        <f>IF(OR(M148="", M148="Deleted"), "", _xlfn.LET(
  _xlpm.doc_col, [1]SubmittalLog!$E$1:$E$4000,
  _xlpm.date_col, [1]SubmittalLog!$H$1:$H$4000,
  _xlpm.status_col, [1]SubmittalLog!$O$1:$O$4000,
  _xlpm.first_app_date, _xlfn.MINIFS(_xlpm.date_col, _xlpm.doc_col, M148, _xlpm.status_col, "APP"),
  _xlpm.first_awc_date, _xlfn.MINIFS(_xlpm.date_col, _xlpm.doc_col, M148, _xlpm.status_col, "AWC"),
  _xlpm.earliest_date, IF(
    AND(_xlpm.first_app_date=0, _xlpm.first_awc_date=0), 0,
    IF(_xlpm.first_app_date=0, _xlpm.first_awc_date,
    IF(_xlpm.first_awc_date=0, _xlpm.first_app_date,
    MIN(_xlpm.first_app_date, _xlpm.first_awc_date)))
  ),
  IF(_xlpm.earliest_date=0, "", _xlpm.earliest_date)
))</f>
        <v/>
      </c>
      <c r="Y148" s="40" t="str" cm="1">
        <f t="array" ref="Y148">IF(OR(M148="", M148="Deleted"), "", _xlfn.LET(
  _xlpm.doc_col, [1]SubmittalLog!$E$1:$E$4000,
  _xlpm.date_col, [1]SubmittalLog!$H$1:$H$4000,
  _xlpm.status_col, [1]SubmittalLog!$O$1:$O$4000,
  _xlpm.has_sub, COUNTIF(_xlpm.doc_col, M148),
  _xlpm.latest_reviewed_date, _xlfn.MAXIFS(_xlpm.date_col, _xlpm.doc_col, M148, _xlpm.status_col, "&lt;&gt;"),
  IF(_xlpm.has_sub=0, "",
    IF(_xlpm.latest_reviewed_date=0, "",
      _xlfn.LET(
        _xlpm.res, _xlfn.XLOOKUP(1, (_xlpm.doc_col=M148) * (_xlpm.date_col=_xlpm.latest_reviewed_date) * (_xlpm.status_col&lt;&gt;""), _xlpm.status_col, ""),
        IF(OR(_xlpm.res="", _xlpm.res=0), "", _xlpm.res)
      )
    )
  )
))</f>
        <v/>
      </c>
    </row>
    <row r="149" spans="1:25" x14ac:dyDescent="0.35">
      <c r="A149" s="33">
        <f>IF($M149="","",MAX($A$1:A148)+1)</f>
        <v>135</v>
      </c>
      <c r="B149" s="23" t="s">
        <v>77</v>
      </c>
      <c r="C149" s="23" t="s">
        <v>234</v>
      </c>
      <c r="G149" s="33">
        <v>131236</v>
      </c>
      <c r="H149" s="33" t="s">
        <v>59</v>
      </c>
      <c r="I149" s="33" t="s">
        <v>297</v>
      </c>
      <c r="J149" s="33" t="s">
        <v>233</v>
      </c>
      <c r="K149" s="51" t="s">
        <v>3656</v>
      </c>
      <c r="M149" s="34" t="str">
        <f t="shared" si="2"/>
        <v>131236-WIL21-DR-M-5912</v>
      </c>
      <c r="N149" s="26" t="s">
        <v>3657</v>
      </c>
      <c r="P149" s="34" t="s">
        <v>3498</v>
      </c>
      <c r="S149" s="35">
        <v>45379</v>
      </c>
      <c r="T149" s="35">
        <v>45379</v>
      </c>
      <c r="U149" s="64" t="str" cm="1">
        <f t="array" ref="U149">IF(OR(M149="", M149="Deleted"), "", _xlfn.LET(
  _xlpm.dates,
  _xlfn._xlws.FILTER(
    [1]SubmittalLog!$H$1:$H$4000,
    [1]SubmittalLog!$E$1:$E$4000=M149,
    ""
  ),
  _xlpm.min_date, IFERROR(MIN(_xlpm.dates), ""),
  IF(_xlpm.min_date=0, "", _xlpm.min_date)
))</f>
        <v/>
      </c>
      <c r="V149" s="63" t="str" cm="1">
        <f t="array" ref="V149">IF(OR(M149="", M149="Deleted"), "", IFERROR(
  _xlfn.TEXTJOIN(", ", TRUE,
    _xlfn.MAP(
      _xlfn.UNIQUE(
        _xlfn._xlws.FILTER(
          [1]SubmittalLog!$B$1:$B$4000,
          ([1]SubmittalLog!$E$1:$E$4000=M149) *
          ([1]SubmittalLog!$B$1:$B$4000&lt;&gt;""),
          ""
        )
      ),
      _xlfn.LAMBDA(_xlpm.val, TEXT(_xlpm.val, "000000"))
    )
  ),
""))</f>
        <v/>
      </c>
      <c r="W149" s="40" t="str" cm="1">
        <f t="array" ref="W149">IF(OR(M149="", M149="Deleted"), "", _xlfn.LET(
  _xlpm.doc_col, [1]SubmittalLog!$E$1:$E$4000,
  _xlpm.date_col, [1]SubmittalLog!$H$1:$H$4000,
  _xlpm.status_col, [1]SubmittalLog!$N$1:$N$4000,
  _xlpm.latest_date, _xlfn.MAXIFS(_xlpm.date_col, _xlpm.doc_col, M149),
  IF(_xlpm.latest_date=0, "NFS",
    _xlfn.LET(
      _xlpm.res, _xlfn.XLOOKUP(M149 &amp; "|" &amp; _xlpm.latest_date, _xlpm.doc_col &amp; "|" &amp; _xlpm.date_col, _xlpm.status_col, ""),
      IF(OR(_xlpm.res="", _xlpm.res=0), "", _xlpm.res)
    )
  )
))</f>
        <v>NFS</v>
      </c>
      <c r="X149" s="39" t="str">
        <f>IF(OR(M149="", M149="Deleted"), "", _xlfn.LET(
  _xlpm.doc_col, [1]SubmittalLog!$E$1:$E$4000,
  _xlpm.date_col, [1]SubmittalLog!$H$1:$H$4000,
  _xlpm.status_col, [1]SubmittalLog!$O$1:$O$4000,
  _xlpm.first_app_date, _xlfn.MINIFS(_xlpm.date_col, _xlpm.doc_col, M149, _xlpm.status_col, "APP"),
  _xlpm.first_awc_date, _xlfn.MINIFS(_xlpm.date_col, _xlpm.doc_col, M149, _xlpm.status_col, "AWC"),
  _xlpm.earliest_date, IF(
    AND(_xlpm.first_app_date=0, _xlpm.first_awc_date=0), 0,
    IF(_xlpm.first_app_date=0, _xlpm.first_awc_date,
    IF(_xlpm.first_awc_date=0, _xlpm.first_app_date,
    MIN(_xlpm.first_app_date, _xlpm.first_awc_date)))
  ),
  IF(_xlpm.earliest_date=0, "", _xlpm.earliest_date)
))</f>
        <v/>
      </c>
      <c r="Y149" s="40" t="str" cm="1">
        <f t="array" ref="Y149">IF(OR(M149="", M149="Deleted"), "", _xlfn.LET(
  _xlpm.doc_col, [1]SubmittalLog!$E$1:$E$4000,
  _xlpm.date_col, [1]SubmittalLog!$H$1:$H$4000,
  _xlpm.status_col, [1]SubmittalLog!$O$1:$O$4000,
  _xlpm.has_sub, COUNTIF(_xlpm.doc_col, M149),
  _xlpm.latest_reviewed_date, _xlfn.MAXIFS(_xlpm.date_col, _xlpm.doc_col, M149, _xlpm.status_col, "&lt;&gt;"),
  IF(_xlpm.has_sub=0, "",
    IF(_xlpm.latest_reviewed_date=0, "",
      _xlfn.LET(
        _xlpm.res, _xlfn.XLOOKUP(1, (_xlpm.doc_col=M149) * (_xlpm.date_col=_xlpm.latest_reviewed_date) * (_xlpm.status_col&lt;&gt;""), _xlpm.status_col, ""),
        IF(OR(_xlpm.res="", _xlpm.res=0), "", _xlpm.res)
      )
    )
  )
))</f>
        <v/>
      </c>
    </row>
    <row r="150" spans="1:25" x14ac:dyDescent="0.35">
      <c r="A150" s="33">
        <f>IF($M150="","",MAX($A$1:A149)+1)</f>
        <v>136</v>
      </c>
      <c r="B150" s="23" t="s">
        <v>77</v>
      </c>
      <c r="C150" s="23" t="s">
        <v>234</v>
      </c>
      <c r="G150" s="33">
        <v>131236</v>
      </c>
      <c r="H150" s="33" t="s">
        <v>59</v>
      </c>
      <c r="I150" s="33" t="s">
        <v>297</v>
      </c>
      <c r="J150" s="33" t="s">
        <v>233</v>
      </c>
      <c r="K150" s="51">
        <v>5913</v>
      </c>
      <c r="M150" s="34" t="str">
        <f t="shared" si="2"/>
        <v>131236-WIL21-DR-M-5913</v>
      </c>
      <c r="N150" s="26" t="s">
        <v>3658</v>
      </c>
      <c r="P150" s="34" t="s">
        <v>3498</v>
      </c>
      <c r="S150" s="35">
        <v>45379</v>
      </c>
      <c r="T150" s="35">
        <v>45379</v>
      </c>
      <c r="U150" s="64" t="str" cm="1">
        <f t="array" ref="U150">IF(OR(M150="", M150="Deleted"), "", _xlfn.LET(
  _xlpm.dates,
  _xlfn._xlws.FILTER(
    [1]SubmittalLog!$H$1:$H$4000,
    [1]SubmittalLog!$E$1:$E$4000=M150,
    ""
  ),
  _xlpm.min_date, IFERROR(MIN(_xlpm.dates), ""),
  IF(_xlpm.min_date=0, "", _xlpm.min_date)
))</f>
        <v/>
      </c>
      <c r="V150" s="63" t="str" cm="1">
        <f t="array" ref="V150">IF(OR(M150="", M150="Deleted"), "", IFERROR(
  _xlfn.TEXTJOIN(", ", TRUE,
    _xlfn.MAP(
      _xlfn.UNIQUE(
        _xlfn._xlws.FILTER(
          [1]SubmittalLog!$B$1:$B$4000,
          ([1]SubmittalLog!$E$1:$E$4000=M150) *
          ([1]SubmittalLog!$B$1:$B$4000&lt;&gt;""),
          ""
        )
      ),
      _xlfn.LAMBDA(_xlpm.val, TEXT(_xlpm.val, "000000"))
    )
  ),
""))</f>
        <v/>
      </c>
      <c r="W150" s="40" t="str" cm="1">
        <f t="array" ref="W150">IF(OR(M150="", M150="Deleted"), "", _xlfn.LET(
  _xlpm.doc_col, [1]SubmittalLog!$E$1:$E$4000,
  _xlpm.date_col, [1]SubmittalLog!$H$1:$H$4000,
  _xlpm.status_col, [1]SubmittalLog!$N$1:$N$4000,
  _xlpm.latest_date, _xlfn.MAXIFS(_xlpm.date_col, _xlpm.doc_col, M150),
  IF(_xlpm.latest_date=0, "NFS",
    _xlfn.LET(
      _xlpm.res, _xlfn.XLOOKUP(M150 &amp; "|" &amp; _xlpm.latest_date, _xlpm.doc_col &amp; "|" &amp; _xlpm.date_col, _xlpm.status_col, ""),
      IF(OR(_xlpm.res="", _xlpm.res=0), "", _xlpm.res)
    )
  )
))</f>
        <v>NFS</v>
      </c>
      <c r="X150" s="39" t="str">
        <f>IF(OR(M150="", M150="Deleted"), "", _xlfn.LET(
  _xlpm.doc_col, [1]SubmittalLog!$E$1:$E$4000,
  _xlpm.date_col, [1]SubmittalLog!$H$1:$H$4000,
  _xlpm.status_col, [1]SubmittalLog!$O$1:$O$4000,
  _xlpm.first_app_date, _xlfn.MINIFS(_xlpm.date_col, _xlpm.doc_col, M150, _xlpm.status_col, "APP"),
  _xlpm.first_awc_date, _xlfn.MINIFS(_xlpm.date_col, _xlpm.doc_col, M150, _xlpm.status_col, "AWC"),
  _xlpm.earliest_date, IF(
    AND(_xlpm.first_app_date=0, _xlpm.first_awc_date=0), 0,
    IF(_xlpm.first_app_date=0, _xlpm.first_awc_date,
    IF(_xlpm.first_awc_date=0, _xlpm.first_app_date,
    MIN(_xlpm.first_app_date, _xlpm.first_awc_date)))
  ),
  IF(_xlpm.earliest_date=0, "", _xlpm.earliest_date)
))</f>
        <v/>
      </c>
      <c r="Y150" s="40" t="str" cm="1">
        <f t="array" ref="Y150">IF(OR(M150="", M150="Deleted"), "", _xlfn.LET(
  _xlpm.doc_col, [1]SubmittalLog!$E$1:$E$4000,
  _xlpm.date_col, [1]SubmittalLog!$H$1:$H$4000,
  _xlpm.status_col, [1]SubmittalLog!$O$1:$O$4000,
  _xlpm.has_sub, COUNTIF(_xlpm.doc_col, M150),
  _xlpm.latest_reviewed_date, _xlfn.MAXIFS(_xlpm.date_col, _xlpm.doc_col, M150, _xlpm.status_col, "&lt;&gt;"),
  IF(_xlpm.has_sub=0, "",
    IF(_xlpm.latest_reviewed_date=0, "",
      _xlfn.LET(
        _xlpm.res, _xlfn.XLOOKUP(1, (_xlpm.doc_col=M150) * (_xlpm.date_col=_xlpm.latest_reviewed_date) * (_xlpm.status_col&lt;&gt;""), _xlpm.status_col, ""),
        IF(OR(_xlpm.res="", _xlpm.res=0), "", _xlpm.res)
      )
    )
  )
))</f>
        <v/>
      </c>
    </row>
    <row r="151" spans="1:25" x14ac:dyDescent="0.35">
      <c r="A151" s="33">
        <f>IF($M151="","",MAX($A$1:A150)+1)</f>
        <v>137</v>
      </c>
      <c r="B151" s="23" t="s">
        <v>77</v>
      </c>
      <c r="C151" s="23" t="s">
        <v>234</v>
      </c>
      <c r="G151" s="33">
        <v>131236</v>
      </c>
      <c r="H151" s="33" t="s">
        <v>59</v>
      </c>
      <c r="I151" s="33" t="s">
        <v>297</v>
      </c>
      <c r="J151" s="33" t="s">
        <v>233</v>
      </c>
      <c r="K151" s="51" t="s">
        <v>3659</v>
      </c>
      <c r="M151" s="34" t="str">
        <f t="shared" si="2"/>
        <v>131236-WIL21-DR-M-59xx</v>
      </c>
      <c r="N151" s="26" t="s">
        <v>3660</v>
      </c>
      <c r="P151" s="34" t="s">
        <v>3498</v>
      </c>
      <c r="S151" s="35">
        <v>45488</v>
      </c>
      <c r="T151" s="35">
        <v>45488</v>
      </c>
      <c r="U151" s="64" t="str" cm="1">
        <f t="array" ref="U151">IF(OR(M151="", M151="Deleted"), "", _xlfn.LET(
  _xlpm.dates,
  _xlfn._xlws.FILTER(
    [1]SubmittalLog!$H$1:$H$4000,
    [1]SubmittalLog!$E$1:$E$4000=M151,
    ""
  ),
  _xlpm.min_date, IFERROR(MIN(_xlpm.dates), ""),
  IF(_xlpm.min_date=0, "", _xlpm.min_date)
))</f>
        <v/>
      </c>
      <c r="V151" s="63" t="str" cm="1">
        <f t="array" ref="V151">IF(OR(M151="", M151="Deleted"), "", IFERROR(
  _xlfn.TEXTJOIN(", ", TRUE,
    _xlfn.MAP(
      _xlfn.UNIQUE(
        _xlfn._xlws.FILTER(
          [1]SubmittalLog!$B$1:$B$4000,
          ([1]SubmittalLog!$E$1:$E$4000=M151) *
          ([1]SubmittalLog!$B$1:$B$4000&lt;&gt;""),
          ""
        )
      ),
      _xlfn.LAMBDA(_xlpm.val, TEXT(_xlpm.val, "000000"))
    )
  ),
""))</f>
        <v/>
      </c>
      <c r="W151" s="40" t="str" cm="1">
        <f t="array" ref="W151">IF(OR(M151="", M151="Deleted"), "", _xlfn.LET(
  _xlpm.doc_col, [1]SubmittalLog!$E$1:$E$4000,
  _xlpm.date_col, [1]SubmittalLog!$H$1:$H$4000,
  _xlpm.status_col, [1]SubmittalLog!$N$1:$N$4000,
  _xlpm.latest_date, _xlfn.MAXIFS(_xlpm.date_col, _xlpm.doc_col, M151),
  IF(_xlpm.latest_date=0, "NFS",
    _xlfn.LET(
      _xlpm.res, _xlfn.XLOOKUP(M151 &amp; "|" &amp; _xlpm.latest_date, _xlpm.doc_col &amp; "|" &amp; _xlpm.date_col, _xlpm.status_col, ""),
      IF(OR(_xlpm.res="", _xlpm.res=0), "", _xlpm.res)
    )
  )
))</f>
        <v>NFS</v>
      </c>
      <c r="X151" s="39" t="str">
        <f>IF(OR(M151="", M151="Deleted"), "", _xlfn.LET(
  _xlpm.doc_col, [1]SubmittalLog!$E$1:$E$4000,
  _xlpm.date_col, [1]SubmittalLog!$H$1:$H$4000,
  _xlpm.status_col, [1]SubmittalLog!$O$1:$O$4000,
  _xlpm.first_app_date, _xlfn.MINIFS(_xlpm.date_col, _xlpm.doc_col, M151, _xlpm.status_col, "APP"),
  _xlpm.first_awc_date, _xlfn.MINIFS(_xlpm.date_col, _xlpm.doc_col, M151, _xlpm.status_col, "AWC"),
  _xlpm.earliest_date, IF(
    AND(_xlpm.first_app_date=0, _xlpm.first_awc_date=0), 0,
    IF(_xlpm.first_app_date=0, _xlpm.first_awc_date,
    IF(_xlpm.first_awc_date=0, _xlpm.first_app_date,
    MIN(_xlpm.first_app_date, _xlpm.first_awc_date)))
  ),
  IF(_xlpm.earliest_date=0, "", _xlpm.earliest_date)
))</f>
        <v/>
      </c>
      <c r="Y151" s="40" t="str" cm="1">
        <f t="array" ref="Y151">IF(OR(M151="", M151="Deleted"), "", _xlfn.LET(
  _xlpm.doc_col, [1]SubmittalLog!$E$1:$E$4000,
  _xlpm.date_col, [1]SubmittalLog!$H$1:$H$4000,
  _xlpm.status_col, [1]SubmittalLog!$O$1:$O$4000,
  _xlpm.has_sub, COUNTIF(_xlpm.doc_col, M151),
  _xlpm.latest_reviewed_date, _xlfn.MAXIFS(_xlpm.date_col, _xlpm.doc_col, M151, _xlpm.status_col, "&lt;&gt;"),
  IF(_xlpm.has_sub=0, "",
    IF(_xlpm.latest_reviewed_date=0, "",
      _xlfn.LET(
        _xlpm.res, _xlfn.XLOOKUP(1, (_xlpm.doc_col=M151) * (_xlpm.date_col=_xlpm.latest_reviewed_date) * (_xlpm.status_col&lt;&gt;""), _xlpm.status_col, ""),
        IF(OR(_xlpm.res="", _xlpm.res=0), "", _xlpm.res)
      )
    )
  )
))</f>
        <v/>
      </c>
    </row>
    <row r="152" spans="1:25" x14ac:dyDescent="0.35">
      <c r="A152" s="33">
        <f>IF($M152="","",MAX($A$1:A151)+1)</f>
        <v>138</v>
      </c>
      <c r="B152" s="23" t="s">
        <v>77</v>
      </c>
      <c r="C152" s="23" t="s">
        <v>234</v>
      </c>
      <c r="G152" s="33">
        <v>131236</v>
      </c>
      <c r="H152" s="33" t="s">
        <v>59</v>
      </c>
      <c r="I152" s="33" t="s">
        <v>297</v>
      </c>
      <c r="J152" s="33" t="s">
        <v>233</v>
      </c>
      <c r="K152" s="51" t="s">
        <v>3661</v>
      </c>
      <c r="M152" s="34" t="str">
        <f t="shared" si="2"/>
        <v>131236-WIL21-DR-M-5901</v>
      </c>
      <c r="N152" s="26" t="s">
        <v>3662</v>
      </c>
      <c r="P152" s="34" t="s">
        <v>3498</v>
      </c>
      <c r="S152" s="35">
        <v>45488</v>
      </c>
      <c r="T152" s="35">
        <v>45488</v>
      </c>
      <c r="U152" s="64" t="str" cm="1">
        <f t="array" ref="U152">IF(OR(M152="", M152="Deleted"), "", _xlfn.LET(
  _xlpm.dates,
  _xlfn._xlws.FILTER(
    [1]SubmittalLog!$H$1:$H$4000,
    [1]SubmittalLog!$E$1:$E$4000=M152,
    ""
  ),
  _xlpm.min_date, IFERROR(MIN(_xlpm.dates), ""),
  IF(_xlpm.min_date=0, "", _xlpm.min_date)
))</f>
        <v/>
      </c>
      <c r="V152" s="63" t="str" cm="1">
        <f t="array" ref="V152">IF(OR(M152="", M152="Deleted"), "", IFERROR(
  _xlfn.TEXTJOIN(", ", TRUE,
    _xlfn.MAP(
      _xlfn.UNIQUE(
        _xlfn._xlws.FILTER(
          [1]SubmittalLog!$B$1:$B$4000,
          ([1]SubmittalLog!$E$1:$E$4000=M152) *
          ([1]SubmittalLog!$B$1:$B$4000&lt;&gt;""),
          ""
        )
      ),
      _xlfn.LAMBDA(_xlpm.val, TEXT(_xlpm.val, "000000"))
    )
  ),
""))</f>
        <v/>
      </c>
      <c r="W152" s="40" t="str" cm="1">
        <f t="array" ref="W152">IF(OR(M152="", M152="Deleted"), "", _xlfn.LET(
  _xlpm.doc_col, [1]SubmittalLog!$E$1:$E$4000,
  _xlpm.date_col, [1]SubmittalLog!$H$1:$H$4000,
  _xlpm.status_col, [1]SubmittalLog!$N$1:$N$4000,
  _xlpm.latest_date, _xlfn.MAXIFS(_xlpm.date_col, _xlpm.doc_col, M152),
  IF(_xlpm.latest_date=0, "NFS",
    _xlfn.LET(
      _xlpm.res, _xlfn.XLOOKUP(M152 &amp; "|" &amp; _xlpm.latest_date, _xlpm.doc_col &amp; "|" &amp; _xlpm.date_col, _xlpm.status_col, ""),
      IF(OR(_xlpm.res="", _xlpm.res=0), "", _xlpm.res)
    )
  )
))</f>
        <v>NFS</v>
      </c>
      <c r="X152" s="39" t="str">
        <f>IF(OR(M152="", M152="Deleted"), "", _xlfn.LET(
  _xlpm.doc_col, [1]SubmittalLog!$E$1:$E$4000,
  _xlpm.date_col, [1]SubmittalLog!$H$1:$H$4000,
  _xlpm.status_col, [1]SubmittalLog!$O$1:$O$4000,
  _xlpm.first_app_date, _xlfn.MINIFS(_xlpm.date_col, _xlpm.doc_col, M152, _xlpm.status_col, "APP"),
  _xlpm.first_awc_date, _xlfn.MINIFS(_xlpm.date_col, _xlpm.doc_col, M152, _xlpm.status_col, "AWC"),
  _xlpm.earliest_date, IF(
    AND(_xlpm.first_app_date=0, _xlpm.first_awc_date=0), 0,
    IF(_xlpm.first_app_date=0, _xlpm.first_awc_date,
    IF(_xlpm.first_awc_date=0, _xlpm.first_app_date,
    MIN(_xlpm.first_app_date, _xlpm.first_awc_date)))
  ),
  IF(_xlpm.earliest_date=0, "", _xlpm.earliest_date)
))</f>
        <v/>
      </c>
      <c r="Y152" s="40" t="str" cm="1">
        <f t="array" ref="Y152">IF(OR(M152="", M152="Deleted"), "", _xlfn.LET(
  _xlpm.doc_col, [1]SubmittalLog!$E$1:$E$4000,
  _xlpm.date_col, [1]SubmittalLog!$H$1:$H$4000,
  _xlpm.status_col, [1]SubmittalLog!$O$1:$O$4000,
  _xlpm.has_sub, COUNTIF(_xlpm.doc_col, M152),
  _xlpm.latest_reviewed_date, _xlfn.MAXIFS(_xlpm.date_col, _xlpm.doc_col, M152, _xlpm.status_col, "&lt;&gt;"),
  IF(_xlpm.has_sub=0, "",
    IF(_xlpm.latest_reviewed_date=0, "",
      _xlfn.LET(
        _xlpm.res, _xlfn.XLOOKUP(1, (_xlpm.doc_col=M152) * (_xlpm.date_col=_xlpm.latest_reviewed_date) * (_xlpm.status_col&lt;&gt;""), _xlpm.status_col, ""),
        IF(OR(_xlpm.res="", _xlpm.res=0), "", _xlpm.res)
      )
    )
  )
))</f>
        <v/>
      </c>
    </row>
    <row r="153" spans="1:25" x14ac:dyDescent="0.35">
      <c r="A153" s="33">
        <f>IF($M153="","",MAX($A$1:A152)+1)</f>
        <v>139</v>
      </c>
      <c r="B153" s="23" t="s">
        <v>77</v>
      </c>
      <c r="C153" s="23" t="s">
        <v>234</v>
      </c>
      <c r="G153" s="33">
        <v>131236</v>
      </c>
      <c r="H153" s="33" t="s">
        <v>59</v>
      </c>
      <c r="I153" s="33" t="s">
        <v>297</v>
      </c>
      <c r="J153" s="33" t="s">
        <v>233</v>
      </c>
      <c r="K153" s="51" t="s">
        <v>3663</v>
      </c>
      <c r="M153" s="34" t="str">
        <f t="shared" si="2"/>
        <v>131236-WIL21-DR-M-5902</v>
      </c>
      <c r="N153" s="26" t="s">
        <v>3664</v>
      </c>
      <c r="P153" s="34" t="s">
        <v>3498</v>
      </c>
      <c r="S153" s="35">
        <v>45488</v>
      </c>
      <c r="T153" s="35">
        <v>45488</v>
      </c>
      <c r="U153" s="64" t="str" cm="1">
        <f t="array" ref="U153">IF(OR(M153="", M153="Deleted"), "", _xlfn.LET(
  _xlpm.dates,
  _xlfn._xlws.FILTER(
    [1]SubmittalLog!$H$1:$H$4000,
    [1]SubmittalLog!$E$1:$E$4000=M153,
    ""
  ),
  _xlpm.min_date, IFERROR(MIN(_xlpm.dates), ""),
  IF(_xlpm.min_date=0, "", _xlpm.min_date)
))</f>
        <v/>
      </c>
      <c r="V153" s="63" t="str" cm="1">
        <f t="array" ref="V153">IF(OR(M153="", M153="Deleted"), "", IFERROR(
  _xlfn.TEXTJOIN(", ", TRUE,
    _xlfn.MAP(
      _xlfn.UNIQUE(
        _xlfn._xlws.FILTER(
          [1]SubmittalLog!$B$1:$B$4000,
          ([1]SubmittalLog!$E$1:$E$4000=M153) *
          ([1]SubmittalLog!$B$1:$B$4000&lt;&gt;""),
          ""
        )
      ),
      _xlfn.LAMBDA(_xlpm.val, TEXT(_xlpm.val, "000000"))
    )
  ),
""))</f>
        <v/>
      </c>
      <c r="W153" s="40" t="str" cm="1">
        <f t="array" ref="W153">IF(OR(M153="", M153="Deleted"), "", _xlfn.LET(
  _xlpm.doc_col, [1]SubmittalLog!$E$1:$E$4000,
  _xlpm.date_col, [1]SubmittalLog!$H$1:$H$4000,
  _xlpm.status_col, [1]SubmittalLog!$N$1:$N$4000,
  _xlpm.latest_date, _xlfn.MAXIFS(_xlpm.date_col, _xlpm.doc_col, M153),
  IF(_xlpm.latest_date=0, "NFS",
    _xlfn.LET(
      _xlpm.res, _xlfn.XLOOKUP(M153 &amp; "|" &amp; _xlpm.latest_date, _xlpm.doc_col &amp; "|" &amp; _xlpm.date_col, _xlpm.status_col, ""),
      IF(OR(_xlpm.res="", _xlpm.res=0), "", _xlpm.res)
    )
  )
))</f>
        <v>NFS</v>
      </c>
      <c r="X153" s="39" t="str">
        <f>IF(OR(M153="", M153="Deleted"), "", _xlfn.LET(
  _xlpm.doc_col, [1]SubmittalLog!$E$1:$E$4000,
  _xlpm.date_col, [1]SubmittalLog!$H$1:$H$4000,
  _xlpm.status_col, [1]SubmittalLog!$O$1:$O$4000,
  _xlpm.first_app_date, _xlfn.MINIFS(_xlpm.date_col, _xlpm.doc_col, M153, _xlpm.status_col, "APP"),
  _xlpm.first_awc_date, _xlfn.MINIFS(_xlpm.date_col, _xlpm.doc_col, M153, _xlpm.status_col, "AWC"),
  _xlpm.earliest_date, IF(
    AND(_xlpm.first_app_date=0, _xlpm.first_awc_date=0), 0,
    IF(_xlpm.first_app_date=0, _xlpm.first_awc_date,
    IF(_xlpm.first_awc_date=0, _xlpm.first_app_date,
    MIN(_xlpm.first_app_date, _xlpm.first_awc_date)))
  ),
  IF(_xlpm.earliest_date=0, "", _xlpm.earliest_date)
))</f>
        <v/>
      </c>
      <c r="Y153" s="40" t="str" cm="1">
        <f t="array" ref="Y153">IF(OR(M153="", M153="Deleted"), "", _xlfn.LET(
  _xlpm.doc_col, [1]SubmittalLog!$E$1:$E$4000,
  _xlpm.date_col, [1]SubmittalLog!$H$1:$H$4000,
  _xlpm.status_col, [1]SubmittalLog!$O$1:$O$4000,
  _xlpm.has_sub, COUNTIF(_xlpm.doc_col, M153),
  _xlpm.latest_reviewed_date, _xlfn.MAXIFS(_xlpm.date_col, _xlpm.doc_col, M153, _xlpm.status_col, "&lt;&gt;"),
  IF(_xlpm.has_sub=0, "",
    IF(_xlpm.latest_reviewed_date=0, "",
      _xlfn.LET(
        _xlpm.res, _xlfn.XLOOKUP(1, (_xlpm.doc_col=M153) * (_xlpm.date_col=_xlpm.latest_reviewed_date) * (_xlpm.status_col&lt;&gt;""), _xlpm.status_col, ""),
        IF(OR(_xlpm.res="", _xlpm.res=0), "", _xlpm.res)
      )
    )
  )
))</f>
        <v/>
      </c>
    </row>
    <row r="154" spans="1:25" x14ac:dyDescent="0.35">
      <c r="A154" s="33">
        <f>IF($M154="","",MAX($A$1:A153)+1)</f>
        <v>140</v>
      </c>
      <c r="B154" s="23" t="s">
        <v>250</v>
      </c>
      <c r="C154" s="23" t="s">
        <v>234</v>
      </c>
      <c r="G154" s="33">
        <v>131236</v>
      </c>
      <c r="H154" s="33" t="s">
        <v>59</v>
      </c>
      <c r="I154" s="33" t="s">
        <v>297</v>
      </c>
      <c r="J154" s="33" t="s">
        <v>233</v>
      </c>
      <c r="K154" s="51">
        <v>1200</v>
      </c>
      <c r="M154" s="34" t="str">
        <f t="shared" si="2"/>
        <v>131236-WIL21-DR-M-1200</v>
      </c>
      <c r="N154" s="26" t="s">
        <v>3665</v>
      </c>
      <c r="P154" s="34" t="s">
        <v>3498</v>
      </c>
      <c r="S154" s="35">
        <v>45580</v>
      </c>
      <c r="T154" s="35">
        <v>45650</v>
      </c>
      <c r="U154" s="64" cm="1">
        <f t="array" ref="U154">IF(OR(M154="", M154="Deleted"), "", _xlfn.LET(
  _xlpm.dates,
  _xlfn._xlws.FILTER(
    [1]SubmittalLog!$H$1:$H$4000,
    [1]SubmittalLog!$E$1:$E$4000=M154,
    ""
  ),
  _xlpm.min_date, IFERROR(MIN(_xlpm.dates), ""),
  IF(_xlpm.min_date=0, "", _xlpm.min_date)
))</f>
        <v>45722</v>
      </c>
      <c r="V154" s="63" t="str" cm="1">
        <f t="array" ref="V154">IF(OR(M154="", M154="Deleted"), "", IFERROR(
  _xlfn.TEXTJOIN(", ", TRUE,
    _xlfn.MAP(
      _xlfn.UNIQUE(
        _xlfn._xlws.FILTER(
          [1]SubmittalLog!$B$1:$B$4000,
          ([1]SubmittalLog!$E$1:$E$4000=M154) *
          ([1]SubmittalLog!$B$1:$B$4000&lt;&gt;""),
          ""
        )
      ),
      _xlfn.LAMBDA(_xlpm.val, TEXT(_xlpm.val, "000000"))
    )
  ),
""))</f>
        <v>000553</v>
      </c>
      <c r="W154" s="40" t="str" cm="1">
        <f t="array" ref="W154">IF(OR(M154="", M154="Deleted"), "", _xlfn.LET(
  _xlpm.doc_col, [1]SubmittalLog!$E$1:$E$4000,
  _xlpm.date_col, [1]SubmittalLog!$H$1:$H$4000,
  _xlpm.status_col, [1]SubmittalLog!$N$1:$N$4000,
  _xlpm.latest_date, _xlfn.MAXIFS(_xlpm.date_col, _xlpm.doc_col, M154),
  IF(_xlpm.latest_date=0, "NFS",
    _xlfn.LET(
      _xlpm.res, _xlfn.XLOOKUP(M154 &amp; "|" &amp; _xlpm.latest_date, _xlpm.doc_col &amp; "|" &amp; _xlpm.date_col, _xlpm.status_col, ""),
      IF(OR(_xlpm.res="", _xlpm.res=0), "", _xlpm.res)
    )
  )
))</f>
        <v>RTR</v>
      </c>
      <c r="X154" s="39">
        <f>IF(OR(M154="", M154="Deleted"), "", _xlfn.LET(
  _xlpm.doc_col, [1]SubmittalLog!$E$1:$E$4000,
  _xlpm.date_col, [1]SubmittalLog!$H$1:$H$4000,
  _xlpm.status_col, [1]SubmittalLog!$O$1:$O$4000,
  _xlpm.first_app_date, _xlfn.MINIFS(_xlpm.date_col, _xlpm.doc_col, M154, _xlpm.status_col, "APP"),
  _xlpm.first_awc_date, _xlfn.MINIFS(_xlpm.date_col, _xlpm.doc_col, M154, _xlpm.status_col, "AWC"),
  _xlpm.earliest_date, IF(
    AND(_xlpm.first_app_date=0, _xlpm.first_awc_date=0), 0,
    IF(_xlpm.first_app_date=0, _xlpm.first_awc_date,
    IF(_xlpm.first_awc_date=0, _xlpm.first_app_date,
    MIN(_xlpm.first_app_date, _xlpm.first_awc_date)))
  ),
  IF(_xlpm.earliest_date=0, "", _xlpm.earliest_date)
))</f>
        <v>45722</v>
      </c>
      <c r="Y154" s="40" t="str" cm="1">
        <f t="array" ref="Y154">IF(OR(M154="", M154="Deleted"), "", _xlfn.LET(
  _xlpm.doc_col, [1]SubmittalLog!$E$1:$E$4000,
  _xlpm.date_col, [1]SubmittalLog!$H$1:$H$4000,
  _xlpm.status_col, [1]SubmittalLog!$O$1:$O$4000,
  _xlpm.has_sub, COUNTIF(_xlpm.doc_col, M154),
  _xlpm.latest_reviewed_date, _xlfn.MAXIFS(_xlpm.date_col, _xlpm.doc_col, M154, _xlpm.status_col, "&lt;&gt;"),
  IF(_xlpm.has_sub=0, "",
    IF(_xlpm.latest_reviewed_date=0, "",
      _xlfn.LET(
        _xlpm.res, _xlfn.XLOOKUP(1, (_xlpm.doc_col=M154) * (_xlpm.date_col=_xlpm.latest_reviewed_date) * (_xlpm.status_col&lt;&gt;""), _xlpm.status_col, ""),
        IF(OR(_xlpm.res="", _xlpm.res=0), "", _xlpm.res)
      )
    )
  )
))</f>
        <v>AWC</v>
      </c>
    </row>
    <row r="155" spans="1:25" x14ac:dyDescent="0.35">
      <c r="A155" s="33">
        <f>IF($M155="","",MAX($A$1:A154)+1)</f>
        <v>141</v>
      </c>
      <c r="B155" s="23" t="s">
        <v>250</v>
      </c>
      <c r="C155" s="23" t="s">
        <v>234</v>
      </c>
      <c r="G155" s="33">
        <v>131236</v>
      </c>
      <c r="H155" s="33" t="s">
        <v>59</v>
      </c>
      <c r="I155" s="33" t="s">
        <v>297</v>
      </c>
      <c r="J155" s="33" t="s">
        <v>233</v>
      </c>
      <c r="K155" s="51" t="s">
        <v>3666</v>
      </c>
      <c r="M155" s="34" t="str">
        <f t="shared" si="2"/>
        <v>131236-WIL21-DR-M-1201</v>
      </c>
      <c r="N155" s="26" t="s">
        <v>3667</v>
      </c>
      <c r="P155" s="34" t="s">
        <v>3498</v>
      </c>
      <c r="S155" s="35">
        <v>45598</v>
      </c>
      <c r="T155" s="35">
        <v>45598</v>
      </c>
      <c r="U155" s="64" cm="1">
        <f t="array" ref="U155">IF(OR(M155="", M155="Deleted"), "", _xlfn.LET(
  _xlpm.dates,
  _xlfn._xlws.FILTER(
    [1]SubmittalLog!$H$1:$H$4000,
    [1]SubmittalLog!$E$1:$E$4000=M155,
    ""
  ),
  _xlpm.min_date, IFERROR(MIN(_xlpm.dates), ""),
  IF(_xlpm.min_date=0, "", _xlpm.min_date)
))</f>
        <v>45722</v>
      </c>
      <c r="V155" s="63" t="str" cm="1">
        <f t="array" ref="V155">IF(OR(M155="", M155="Deleted"), "", IFERROR(
  _xlfn.TEXTJOIN(", ", TRUE,
    _xlfn.MAP(
      _xlfn.UNIQUE(
        _xlfn._xlws.FILTER(
          [1]SubmittalLog!$B$1:$B$4000,
          ([1]SubmittalLog!$E$1:$E$4000=M155) *
          ([1]SubmittalLog!$B$1:$B$4000&lt;&gt;""),
          ""
        )
      ),
      _xlfn.LAMBDA(_xlpm.val, TEXT(_xlpm.val, "000000"))
    )
  ),
""))</f>
        <v>000553</v>
      </c>
      <c r="W155" s="40" t="str" cm="1">
        <f t="array" ref="W155">IF(OR(M155="", M155="Deleted"), "", _xlfn.LET(
  _xlpm.doc_col, [1]SubmittalLog!$E$1:$E$4000,
  _xlpm.date_col, [1]SubmittalLog!$H$1:$H$4000,
  _xlpm.status_col, [1]SubmittalLog!$N$1:$N$4000,
  _xlpm.latest_date, _xlfn.MAXIFS(_xlpm.date_col, _xlpm.doc_col, M155),
  IF(_xlpm.latest_date=0, "NFS",
    _xlfn.LET(
      _xlpm.res, _xlfn.XLOOKUP(M155 &amp; "|" &amp; _xlpm.latest_date, _xlpm.doc_col &amp; "|" &amp; _xlpm.date_col, _xlpm.status_col, ""),
      IF(OR(_xlpm.res="", _xlpm.res=0), "", _xlpm.res)
    )
  )
))</f>
        <v>RTR</v>
      </c>
      <c r="X155" s="39">
        <f>IF(OR(M155="", M155="Deleted"), "", _xlfn.LET(
  _xlpm.doc_col, [1]SubmittalLog!$E$1:$E$4000,
  _xlpm.date_col, [1]SubmittalLog!$H$1:$H$4000,
  _xlpm.status_col, [1]SubmittalLog!$O$1:$O$4000,
  _xlpm.first_app_date, _xlfn.MINIFS(_xlpm.date_col, _xlpm.doc_col, M155, _xlpm.status_col, "APP"),
  _xlpm.first_awc_date, _xlfn.MINIFS(_xlpm.date_col, _xlpm.doc_col, M155, _xlpm.status_col, "AWC"),
  _xlpm.earliest_date, IF(
    AND(_xlpm.first_app_date=0, _xlpm.first_awc_date=0), 0,
    IF(_xlpm.first_app_date=0, _xlpm.first_awc_date,
    IF(_xlpm.first_awc_date=0, _xlpm.first_app_date,
    MIN(_xlpm.first_app_date, _xlpm.first_awc_date)))
  ),
  IF(_xlpm.earliest_date=0, "", _xlpm.earliest_date)
))</f>
        <v>45722</v>
      </c>
      <c r="Y155" s="40" t="str" cm="1">
        <f t="array" ref="Y155">IF(OR(M155="", M155="Deleted"), "", _xlfn.LET(
  _xlpm.doc_col, [1]SubmittalLog!$E$1:$E$4000,
  _xlpm.date_col, [1]SubmittalLog!$H$1:$H$4000,
  _xlpm.status_col, [1]SubmittalLog!$O$1:$O$4000,
  _xlpm.has_sub, COUNTIF(_xlpm.doc_col, M155),
  _xlpm.latest_reviewed_date, _xlfn.MAXIFS(_xlpm.date_col, _xlpm.doc_col, M155, _xlpm.status_col, "&lt;&gt;"),
  IF(_xlpm.has_sub=0, "",
    IF(_xlpm.latest_reviewed_date=0, "",
      _xlfn.LET(
        _xlpm.res, _xlfn.XLOOKUP(1, (_xlpm.doc_col=M155) * (_xlpm.date_col=_xlpm.latest_reviewed_date) * (_xlpm.status_col&lt;&gt;""), _xlpm.status_col, ""),
        IF(OR(_xlpm.res="", _xlpm.res=0), "", _xlpm.res)
      )
    )
  )
))</f>
        <v>AWC</v>
      </c>
    </row>
    <row r="156" spans="1:25" x14ac:dyDescent="0.35">
      <c r="A156" s="33">
        <f>IF($M156="","",MAX($A$1:A155)+1)</f>
        <v>142</v>
      </c>
      <c r="B156" s="23" t="s">
        <v>250</v>
      </c>
      <c r="C156" s="23" t="s">
        <v>234</v>
      </c>
      <c r="G156" s="33">
        <v>131236</v>
      </c>
      <c r="H156" s="33" t="s">
        <v>59</v>
      </c>
      <c r="I156" s="33" t="s">
        <v>297</v>
      </c>
      <c r="J156" s="33" t="s">
        <v>233</v>
      </c>
      <c r="K156" s="51" t="s">
        <v>3668</v>
      </c>
      <c r="M156" s="34" t="str">
        <f t="shared" si="2"/>
        <v>131236-WIL21-DR-M-1202</v>
      </c>
      <c r="N156" s="26" t="s">
        <v>3669</v>
      </c>
      <c r="P156" s="34" t="s">
        <v>3498</v>
      </c>
      <c r="S156" s="35">
        <v>45598</v>
      </c>
      <c r="T156" s="35">
        <v>45598</v>
      </c>
      <c r="U156" s="64" cm="1">
        <f t="array" ref="U156">IF(OR(M156="", M156="Deleted"), "", _xlfn.LET(
  _xlpm.dates,
  _xlfn._xlws.FILTER(
    [1]SubmittalLog!$H$1:$H$4000,
    [1]SubmittalLog!$E$1:$E$4000=M156,
    ""
  ),
  _xlpm.min_date, IFERROR(MIN(_xlpm.dates), ""),
  IF(_xlpm.min_date=0, "", _xlpm.min_date)
))</f>
        <v>45722</v>
      </c>
      <c r="V156" s="63" t="str" cm="1">
        <f t="array" ref="V156">IF(OR(M156="", M156="Deleted"), "", IFERROR(
  _xlfn.TEXTJOIN(", ", TRUE,
    _xlfn.MAP(
      _xlfn.UNIQUE(
        _xlfn._xlws.FILTER(
          [1]SubmittalLog!$B$1:$B$4000,
          ([1]SubmittalLog!$E$1:$E$4000=M156) *
          ([1]SubmittalLog!$B$1:$B$4000&lt;&gt;""),
          ""
        )
      ),
      _xlfn.LAMBDA(_xlpm.val, TEXT(_xlpm.val, "000000"))
    )
  ),
""))</f>
        <v>000553</v>
      </c>
      <c r="W156" s="40" t="str" cm="1">
        <f t="array" ref="W156">IF(OR(M156="", M156="Deleted"), "", _xlfn.LET(
  _xlpm.doc_col, [1]SubmittalLog!$E$1:$E$4000,
  _xlpm.date_col, [1]SubmittalLog!$H$1:$H$4000,
  _xlpm.status_col, [1]SubmittalLog!$N$1:$N$4000,
  _xlpm.latest_date, _xlfn.MAXIFS(_xlpm.date_col, _xlpm.doc_col, M156),
  IF(_xlpm.latest_date=0, "NFS",
    _xlfn.LET(
      _xlpm.res, _xlfn.XLOOKUP(M156 &amp; "|" &amp; _xlpm.latest_date, _xlpm.doc_col &amp; "|" &amp; _xlpm.date_col, _xlpm.status_col, ""),
      IF(OR(_xlpm.res="", _xlpm.res=0), "", _xlpm.res)
    )
  )
))</f>
        <v>RTR</v>
      </c>
      <c r="X156" s="39">
        <f>IF(OR(M156="", M156="Deleted"), "", _xlfn.LET(
  _xlpm.doc_col, [1]SubmittalLog!$E$1:$E$4000,
  _xlpm.date_col, [1]SubmittalLog!$H$1:$H$4000,
  _xlpm.status_col, [1]SubmittalLog!$O$1:$O$4000,
  _xlpm.first_app_date, _xlfn.MINIFS(_xlpm.date_col, _xlpm.doc_col, M156, _xlpm.status_col, "APP"),
  _xlpm.first_awc_date, _xlfn.MINIFS(_xlpm.date_col, _xlpm.doc_col, M156, _xlpm.status_col, "AWC"),
  _xlpm.earliest_date, IF(
    AND(_xlpm.first_app_date=0, _xlpm.first_awc_date=0), 0,
    IF(_xlpm.first_app_date=0, _xlpm.first_awc_date,
    IF(_xlpm.first_awc_date=0, _xlpm.first_app_date,
    MIN(_xlpm.first_app_date, _xlpm.first_awc_date)))
  ),
  IF(_xlpm.earliest_date=0, "", _xlpm.earliest_date)
))</f>
        <v>45722</v>
      </c>
      <c r="Y156" s="40" t="str" cm="1">
        <f t="array" ref="Y156">IF(OR(M156="", M156="Deleted"), "", _xlfn.LET(
  _xlpm.doc_col, [1]SubmittalLog!$E$1:$E$4000,
  _xlpm.date_col, [1]SubmittalLog!$H$1:$H$4000,
  _xlpm.status_col, [1]SubmittalLog!$O$1:$O$4000,
  _xlpm.has_sub, COUNTIF(_xlpm.doc_col, M156),
  _xlpm.latest_reviewed_date, _xlfn.MAXIFS(_xlpm.date_col, _xlpm.doc_col, M156, _xlpm.status_col, "&lt;&gt;"),
  IF(_xlpm.has_sub=0, "",
    IF(_xlpm.latest_reviewed_date=0, "",
      _xlfn.LET(
        _xlpm.res, _xlfn.XLOOKUP(1, (_xlpm.doc_col=M156) * (_xlpm.date_col=_xlpm.latest_reviewed_date) * (_xlpm.status_col&lt;&gt;""), _xlpm.status_col, ""),
        IF(OR(_xlpm.res="", _xlpm.res=0), "", _xlpm.res)
      )
    )
  )
))</f>
        <v>AWC</v>
      </c>
    </row>
    <row r="157" spans="1:25" x14ac:dyDescent="0.35">
      <c r="A157" s="33">
        <f>IF($M157="","",MAX($A$1:A156)+1)</f>
        <v>143</v>
      </c>
      <c r="B157" s="23" t="s">
        <v>54</v>
      </c>
      <c r="C157" s="23" t="s">
        <v>234</v>
      </c>
      <c r="G157" s="33">
        <v>131236</v>
      </c>
      <c r="H157" s="33" t="s">
        <v>59</v>
      </c>
      <c r="I157" s="33" t="s">
        <v>200</v>
      </c>
      <c r="J157" s="33" t="s">
        <v>233</v>
      </c>
      <c r="K157" s="51">
        <v>8906</v>
      </c>
      <c r="M157" s="34" t="str">
        <f t="shared" si="2"/>
        <v>Deleted</v>
      </c>
      <c r="N157" s="26" t="s">
        <v>3670</v>
      </c>
      <c r="P157" s="34" t="s">
        <v>3467</v>
      </c>
      <c r="U157" s="64" t="str" cm="1">
        <f t="array" ref="U157">IF(OR(M157="", M157="Deleted"), "", _xlfn.LET(
  _xlpm.dates,
  _xlfn._xlws.FILTER(
    [1]SubmittalLog!$H$1:$H$4000,
    [1]SubmittalLog!$E$1:$E$4000=M157,
    ""
  ),
  _xlpm.min_date, IFERROR(MIN(_xlpm.dates), ""),
  IF(_xlpm.min_date=0, "", _xlpm.min_date)
))</f>
        <v/>
      </c>
      <c r="V157" s="63" t="str" cm="1">
        <f t="array" ref="V157">IF(OR(M157="", M157="Deleted"), "", IFERROR(
  _xlfn.TEXTJOIN(", ", TRUE,
    _xlfn.MAP(
      _xlfn.UNIQUE(
        _xlfn._xlws.FILTER(
          [1]SubmittalLog!$B$1:$B$4000,
          ([1]SubmittalLog!$E$1:$E$4000=M157) *
          ([1]SubmittalLog!$B$1:$B$4000&lt;&gt;""),
          ""
        )
      ),
      _xlfn.LAMBDA(_xlpm.val, TEXT(_xlpm.val, "000000"))
    )
  ),
""))</f>
        <v/>
      </c>
      <c r="W157" s="40" t="str" cm="1">
        <f t="array" ref="W157">IF(OR(M157="", M157="Deleted"), "", _xlfn.LET(
  _xlpm.doc_col, [1]SubmittalLog!$E$1:$E$4000,
  _xlpm.date_col, [1]SubmittalLog!$H$1:$H$4000,
  _xlpm.status_col, [1]SubmittalLog!$N$1:$N$4000,
  _xlpm.latest_date, _xlfn.MAXIFS(_xlpm.date_col, _xlpm.doc_col, M157),
  IF(_xlpm.latest_date=0, "NFS",
    _xlfn.LET(
      _xlpm.res, _xlfn.XLOOKUP(M157 &amp; "|" &amp; _xlpm.latest_date, _xlpm.doc_col &amp; "|" &amp; _xlpm.date_col, _xlpm.status_col, ""),
      IF(OR(_xlpm.res="", _xlpm.res=0), "", _xlpm.res)
    )
  )
))</f>
        <v/>
      </c>
      <c r="X157" s="39" t="str">
        <f>IF(OR(M157="", M157="Deleted"), "", _xlfn.LET(
  _xlpm.doc_col, [1]SubmittalLog!$E$1:$E$4000,
  _xlpm.date_col, [1]SubmittalLog!$H$1:$H$4000,
  _xlpm.status_col, [1]SubmittalLog!$O$1:$O$4000,
  _xlpm.first_app_date, _xlfn.MINIFS(_xlpm.date_col, _xlpm.doc_col, M157, _xlpm.status_col, "APP"),
  _xlpm.first_awc_date, _xlfn.MINIFS(_xlpm.date_col, _xlpm.doc_col, M157, _xlpm.status_col, "AWC"),
  _xlpm.earliest_date, IF(
    AND(_xlpm.first_app_date=0, _xlpm.first_awc_date=0), 0,
    IF(_xlpm.first_app_date=0, _xlpm.first_awc_date,
    IF(_xlpm.first_awc_date=0, _xlpm.first_app_date,
    MIN(_xlpm.first_app_date, _xlpm.first_awc_date)))
  ),
  IF(_xlpm.earliest_date=0, "", _xlpm.earliest_date)
))</f>
        <v/>
      </c>
      <c r="Y157" s="40" t="str" cm="1">
        <f t="array" ref="Y157">IF(OR(M157="", M157="Deleted"), "", _xlfn.LET(
  _xlpm.doc_col, [1]SubmittalLog!$E$1:$E$4000,
  _xlpm.date_col, [1]SubmittalLog!$H$1:$H$4000,
  _xlpm.status_col, [1]SubmittalLog!$O$1:$O$4000,
  _xlpm.has_sub, COUNTIF(_xlpm.doc_col, M157),
  _xlpm.latest_reviewed_date, _xlfn.MAXIFS(_xlpm.date_col, _xlpm.doc_col, M157, _xlpm.status_col, "&lt;&gt;"),
  IF(_xlpm.has_sub=0, "",
    IF(_xlpm.latest_reviewed_date=0, "",
      _xlfn.LET(
        _xlpm.res, _xlfn.XLOOKUP(1, (_xlpm.doc_col=M157) * (_xlpm.date_col=_xlpm.latest_reviewed_date) * (_xlpm.status_col&lt;&gt;""), _xlpm.status_col, ""),
        IF(OR(_xlpm.res="", _xlpm.res=0), "", _xlpm.res)
      )
    )
  )
))</f>
        <v/>
      </c>
    </row>
    <row r="158" spans="1:25" x14ac:dyDescent="0.35">
      <c r="A158" s="33">
        <f>IF($M158="","",MAX($A$1:A157)+1)</f>
        <v>144</v>
      </c>
      <c r="B158" s="23" t="s">
        <v>250</v>
      </c>
      <c r="C158" s="23" t="s">
        <v>234</v>
      </c>
      <c r="G158" s="33">
        <v>131236</v>
      </c>
      <c r="H158" s="33" t="s">
        <v>59</v>
      </c>
      <c r="I158" s="33" t="s">
        <v>297</v>
      </c>
      <c r="J158" s="33" t="s">
        <v>233</v>
      </c>
      <c r="K158" s="51" t="s">
        <v>3671</v>
      </c>
      <c r="M158" s="34" t="str">
        <f t="shared" si="2"/>
        <v>131236-WIL21-DR-M-5021</v>
      </c>
      <c r="N158" s="26" t="s">
        <v>3672</v>
      </c>
      <c r="P158" s="34" t="s">
        <v>3498</v>
      </c>
      <c r="S158" s="35">
        <v>45488</v>
      </c>
      <c r="T158" s="35">
        <v>45488</v>
      </c>
      <c r="U158" s="64" cm="1">
        <f t="array" ref="U158">IF(OR(M158="", M158="Deleted"), "", _xlfn.LET(
  _xlpm.dates,
  _xlfn._xlws.FILTER(
    [1]SubmittalLog!$H$1:$H$4000,
    [1]SubmittalLog!$E$1:$E$4000=M158,
    ""
  ),
  _xlpm.min_date, IFERROR(MIN(_xlpm.dates), ""),
  IF(_xlpm.min_date=0, "", _xlpm.min_date)
))</f>
        <v>45482</v>
      </c>
      <c r="V158" s="63" t="str" cm="1">
        <f t="array" ref="V158">IF(OR(M158="", M158="Deleted"), "", IFERROR(
  _xlfn.TEXTJOIN(", ", TRUE,
    _xlfn.MAP(
      _xlfn.UNIQUE(
        _xlfn._xlws.FILTER(
          [1]SubmittalLog!$B$1:$B$4000,
          ([1]SubmittalLog!$E$1:$E$4000=M158) *
          ([1]SubmittalLog!$B$1:$B$4000&lt;&gt;""),
          ""
        )
      ),
      _xlfn.LAMBDA(_xlpm.val, TEXT(_xlpm.val, "000000"))
    )
  ),
""))</f>
        <v>000553</v>
      </c>
      <c r="W158" s="40" t="str" cm="1">
        <f t="array" ref="W158">IF(OR(M158="", M158="Deleted"), "", _xlfn.LET(
  _xlpm.doc_col, [1]SubmittalLog!$E$1:$E$4000,
  _xlpm.date_col, [1]SubmittalLog!$H$1:$H$4000,
  _xlpm.status_col, [1]SubmittalLog!$N$1:$N$4000,
  _xlpm.latest_date, _xlfn.MAXIFS(_xlpm.date_col, _xlpm.doc_col, M158),
  IF(_xlpm.latest_date=0, "NFS",
    _xlfn.LET(
      _xlpm.res, _xlfn.XLOOKUP(M158 &amp; "|" &amp; _xlpm.latest_date, _xlpm.doc_col &amp; "|" &amp; _xlpm.date_col, _xlpm.status_col, ""),
      IF(OR(_xlpm.res="", _xlpm.res=0), "", _xlpm.res)
    )
  )
))</f>
        <v>RTR</v>
      </c>
      <c r="X158" s="39">
        <f>IF(OR(M158="", M158="Deleted"), "", _xlfn.LET(
  _xlpm.doc_col, [1]SubmittalLog!$E$1:$E$4000,
  _xlpm.date_col, [1]SubmittalLog!$H$1:$H$4000,
  _xlpm.status_col, [1]SubmittalLog!$O$1:$O$4000,
  _xlpm.first_app_date, _xlfn.MINIFS(_xlpm.date_col, _xlpm.doc_col, M158, _xlpm.status_col, "APP"),
  _xlpm.first_awc_date, _xlfn.MINIFS(_xlpm.date_col, _xlpm.doc_col, M158, _xlpm.status_col, "AWC"),
  _xlpm.earliest_date, IF(
    AND(_xlpm.first_app_date=0, _xlpm.first_awc_date=0), 0,
    IF(_xlpm.first_app_date=0, _xlpm.first_awc_date,
    IF(_xlpm.first_awc_date=0, _xlpm.first_app_date,
    MIN(_xlpm.first_app_date, _xlpm.first_awc_date)))
  ),
  IF(_xlpm.earliest_date=0, "", _xlpm.earliest_date)
))</f>
        <v>45482</v>
      </c>
      <c r="Y158" s="40" t="str" cm="1">
        <f t="array" ref="Y158">IF(OR(M158="", M158="Deleted"), "", _xlfn.LET(
  _xlpm.doc_col, [1]SubmittalLog!$E$1:$E$4000,
  _xlpm.date_col, [1]SubmittalLog!$H$1:$H$4000,
  _xlpm.status_col, [1]SubmittalLog!$O$1:$O$4000,
  _xlpm.has_sub, COUNTIF(_xlpm.doc_col, M158),
  _xlpm.latest_reviewed_date, _xlfn.MAXIFS(_xlpm.date_col, _xlpm.doc_col, M158, _xlpm.status_col, "&lt;&gt;"),
  IF(_xlpm.has_sub=0, "",
    IF(_xlpm.latest_reviewed_date=0, "",
      _xlfn.LET(
        _xlpm.res, _xlfn.XLOOKUP(1, (_xlpm.doc_col=M158) * (_xlpm.date_col=_xlpm.latest_reviewed_date) * (_xlpm.status_col&lt;&gt;""), _xlpm.status_col, ""),
        IF(OR(_xlpm.res="", _xlpm.res=0), "", _xlpm.res)
      )
    )
  )
))</f>
        <v>AWC</v>
      </c>
    </row>
    <row r="159" spans="1:25" x14ac:dyDescent="0.35">
      <c r="A159" s="33">
        <f>IF($M159="","",MAX($A$1:A158)+1)</f>
        <v>145</v>
      </c>
      <c r="B159" s="23" t="s">
        <v>250</v>
      </c>
      <c r="C159" s="23" t="s">
        <v>234</v>
      </c>
      <c r="G159" s="33">
        <v>131236</v>
      </c>
      <c r="H159" s="33" t="s">
        <v>59</v>
      </c>
      <c r="I159" s="33" t="s">
        <v>297</v>
      </c>
      <c r="J159" s="33" t="s">
        <v>233</v>
      </c>
      <c r="K159" s="51" t="s">
        <v>3673</v>
      </c>
      <c r="M159" s="34" t="str">
        <f t="shared" si="2"/>
        <v>131236-WIL21-DR-M-5022</v>
      </c>
      <c r="N159" s="26" t="s">
        <v>3674</v>
      </c>
      <c r="P159" s="34" t="s">
        <v>3498</v>
      </c>
      <c r="S159" s="35">
        <v>45722</v>
      </c>
      <c r="T159" s="35">
        <v>45722</v>
      </c>
      <c r="U159" s="64" cm="1">
        <f t="array" ref="U159">IF(OR(M159="", M159="Deleted"), "", _xlfn.LET(
  _xlpm.dates,
  _xlfn._xlws.FILTER(
    [1]SubmittalLog!$H$1:$H$4000,
    [1]SubmittalLog!$E$1:$E$4000=M159,
    ""
  ),
  _xlpm.min_date, IFERROR(MIN(_xlpm.dates), ""),
  IF(_xlpm.min_date=0, "", _xlpm.min_date)
))</f>
        <v>45722</v>
      </c>
      <c r="V159" s="63" t="str" cm="1">
        <f t="array" ref="V159">IF(OR(M159="", M159="Deleted"), "", IFERROR(
  _xlfn.TEXTJOIN(", ", TRUE,
    _xlfn.MAP(
      _xlfn.UNIQUE(
        _xlfn._xlws.FILTER(
          [1]SubmittalLog!$B$1:$B$4000,
          ([1]SubmittalLog!$E$1:$E$4000=M159) *
          ([1]SubmittalLog!$B$1:$B$4000&lt;&gt;""),
          ""
        )
      ),
      _xlfn.LAMBDA(_xlpm.val, TEXT(_xlpm.val, "000000"))
    )
  ),
""))</f>
        <v>000553</v>
      </c>
      <c r="W159" s="40" t="str" cm="1">
        <f t="array" ref="W159">IF(OR(M159="", M159="Deleted"), "", _xlfn.LET(
  _xlpm.doc_col, [1]SubmittalLog!$E$1:$E$4000,
  _xlpm.date_col, [1]SubmittalLog!$H$1:$H$4000,
  _xlpm.status_col, [1]SubmittalLog!$N$1:$N$4000,
  _xlpm.latest_date, _xlfn.MAXIFS(_xlpm.date_col, _xlpm.doc_col, M159),
  IF(_xlpm.latest_date=0, "NFS",
    _xlfn.LET(
      _xlpm.res, _xlfn.XLOOKUP(M159 &amp; "|" &amp; _xlpm.latest_date, _xlpm.doc_col &amp; "|" &amp; _xlpm.date_col, _xlpm.status_col, ""),
      IF(OR(_xlpm.res="", _xlpm.res=0), "", _xlpm.res)
    )
  )
))</f>
        <v>RTR</v>
      </c>
      <c r="X159" s="39">
        <f>IF(OR(M159="", M159="Deleted"), "", _xlfn.LET(
  _xlpm.doc_col, [1]SubmittalLog!$E$1:$E$4000,
  _xlpm.date_col, [1]SubmittalLog!$H$1:$H$4000,
  _xlpm.status_col, [1]SubmittalLog!$O$1:$O$4000,
  _xlpm.first_app_date, _xlfn.MINIFS(_xlpm.date_col, _xlpm.doc_col, M159, _xlpm.status_col, "APP"),
  _xlpm.first_awc_date, _xlfn.MINIFS(_xlpm.date_col, _xlpm.doc_col, M159, _xlpm.status_col, "AWC"),
  _xlpm.earliest_date, IF(
    AND(_xlpm.first_app_date=0, _xlpm.first_awc_date=0), 0,
    IF(_xlpm.first_app_date=0, _xlpm.first_awc_date,
    IF(_xlpm.first_awc_date=0, _xlpm.first_app_date,
    MIN(_xlpm.first_app_date, _xlpm.first_awc_date)))
  ),
  IF(_xlpm.earliest_date=0, "", _xlpm.earliest_date)
))</f>
        <v>45722</v>
      </c>
      <c r="Y159" s="40" t="str" cm="1">
        <f t="array" ref="Y159">IF(OR(M159="", M159="Deleted"), "", _xlfn.LET(
  _xlpm.doc_col, [1]SubmittalLog!$E$1:$E$4000,
  _xlpm.date_col, [1]SubmittalLog!$H$1:$H$4000,
  _xlpm.status_col, [1]SubmittalLog!$O$1:$O$4000,
  _xlpm.has_sub, COUNTIF(_xlpm.doc_col, M159),
  _xlpm.latest_reviewed_date, _xlfn.MAXIFS(_xlpm.date_col, _xlpm.doc_col, M159, _xlpm.status_col, "&lt;&gt;"),
  IF(_xlpm.has_sub=0, "",
    IF(_xlpm.latest_reviewed_date=0, "",
      _xlfn.LET(
        _xlpm.res, _xlfn.XLOOKUP(1, (_xlpm.doc_col=M159) * (_xlpm.date_col=_xlpm.latest_reviewed_date) * (_xlpm.status_col&lt;&gt;""), _xlpm.status_col, ""),
        IF(OR(_xlpm.res="", _xlpm.res=0), "", _xlpm.res)
      )
    )
  )
))</f>
        <v>AWC</v>
      </c>
    </row>
    <row r="160" spans="1:25" x14ac:dyDescent="0.35">
      <c r="A160" s="33">
        <f>IF($M160="","",MAX($A$1:A159)+1)</f>
        <v>146</v>
      </c>
      <c r="B160" s="23" t="s">
        <v>250</v>
      </c>
      <c r="C160" s="23" t="s">
        <v>234</v>
      </c>
      <c r="G160" s="33">
        <v>131236</v>
      </c>
      <c r="H160" s="33" t="s">
        <v>59</v>
      </c>
      <c r="I160" s="33" t="s">
        <v>297</v>
      </c>
      <c r="J160" s="33" t="s">
        <v>233</v>
      </c>
      <c r="K160" s="51" t="s">
        <v>3675</v>
      </c>
      <c r="M160" s="34" t="str">
        <f t="shared" si="2"/>
        <v>131236-WIL21-DR-M-1203</v>
      </c>
      <c r="N160" s="26" t="s">
        <v>3676</v>
      </c>
      <c r="P160" s="34" t="s">
        <v>3498</v>
      </c>
      <c r="S160" s="35">
        <v>45580</v>
      </c>
      <c r="T160" s="35">
        <v>45650</v>
      </c>
      <c r="U160" s="64" cm="1">
        <f t="array" ref="U160">IF(OR(M160="", M160="Deleted"), "", _xlfn.LET(
  _xlpm.dates,
  _xlfn._xlws.FILTER(
    [1]SubmittalLog!$H$1:$H$4000,
    [1]SubmittalLog!$E$1:$E$4000=M160,
    ""
  ),
  _xlpm.min_date, IFERROR(MIN(_xlpm.dates), ""),
  IF(_xlpm.min_date=0, "", _xlpm.min_date)
))</f>
        <v>45722</v>
      </c>
      <c r="V160" s="63" t="str" cm="1">
        <f t="array" ref="V160">IF(OR(M160="", M160="Deleted"), "", IFERROR(
  _xlfn.TEXTJOIN(", ", TRUE,
    _xlfn.MAP(
      _xlfn.UNIQUE(
        _xlfn._xlws.FILTER(
          [1]SubmittalLog!$B$1:$B$4000,
          ([1]SubmittalLog!$E$1:$E$4000=M160) *
          ([1]SubmittalLog!$B$1:$B$4000&lt;&gt;""),
          ""
        )
      ),
      _xlfn.LAMBDA(_xlpm.val, TEXT(_xlpm.val, "000000"))
    )
  ),
""))</f>
        <v>000553</v>
      </c>
      <c r="W160" s="40" t="str" cm="1">
        <f t="array" ref="W160">IF(OR(M160="", M160="Deleted"), "", _xlfn.LET(
  _xlpm.doc_col, [1]SubmittalLog!$E$1:$E$4000,
  _xlpm.date_col, [1]SubmittalLog!$H$1:$H$4000,
  _xlpm.status_col, [1]SubmittalLog!$N$1:$N$4000,
  _xlpm.latest_date, _xlfn.MAXIFS(_xlpm.date_col, _xlpm.doc_col, M160),
  IF(_xlpm.latest_date=0, "NFS",
    _xlfn.LET(
      _xlpm.res, _xlfn.XLOOKUP(M160 &amp; "|" &amp; _xlpm.latest_date, _xlpm.doc_col &amp; "|" &amp; _xlpm.date_col, _xlpm.status_col, ""),
      IF(OR(_xlpm.res="", _xlpm.res=0), "", _xlpm.res)
    )
  )
))</f>
        <v>RTR</v>
      </c>
      <c r="X160" s="39">
        <f>IF(OR(M160="", M160="Deleted"), "", _xlfn.LET(
  _xlpm.doc_col, [1]SubmittalLog!$E$1:$E$4000,
  _xlpm.date_col, [1]SubmittalLog!$H$1:$H$4000,
  _xlpm.status_col, [1]SubmittalLog!$O$1:$O$4000,
  _xlpm.first_app_date, _xlfn.MINIFS(_xlpm.date_col, _xlpm.doc_col, M160, _xlpm.status_col, "APP"),
  _xlpm.first_awc_date, _xlfn.MINIFS(_xlpm.date_col, _xlpm.doc_col, M160, _xlpm.status_col, "AWC"),
  _xlpm.earliest_date, IF(
    AND(_xlpm.first_app_date=0, _xlpm.first_awc_date=0), 0,
    IF(_xlpm.first_app_date=0, _xlpm.first_awc_date,
    IF(_xlpm.first_awc_date=0, _xlpm.first_app_date,
    MIN(_xlpm.first_app_date, _xlpm.first_awc_date)))
  ),
  IF(_xlpm.earliest_date=0, "", _xlpm.earliest_date)
))</f>
        <v>45722</v>
      </c>
      <c r="Y160" s="40" t="str" cm="1">
        <f t="array" ref="Y160">IF(OR(M160="", M160="Deleted"), "", _xlfn.LET(
  _xlpm.doc_col, [1]SubmittalLog!$E$1:$E$4000,
  _xlpm.date_col, [1]SubmittalLog!$H$1:$H$4000,
  _xlpm.status_col, [1]SubmittalLog!$O$1:$O$4000,
  _xlpm.has_sub, COUNTIF(_xlpm.doc_col, M160),
  _xlpm.latest_reviewed_date, _xlfn.MAXIFS(_xlpm.date_col, _xlpm.doc_col, M160, _xlpm.status_col, "&lt;&gt;"),
  IF(_xlpm.has_sub=0, "",
    IF(_xlpm.latest_reviewed_date=0, "",
      _xlfn.LET(
        _xlpm.res, _xlfn.XLOOKUP(1, (_xlpm.doc_col=M160) * (_xlpm.date_col=_xlpm.latest_reviewed_date) * (_xlpm.status_col&lt;&gt;""), _xlpm.status_col, ""),
        IF(OR(_xlpm.res="", _xlpm.res=0), "", _xlpm.res)
      )
    )
  )
))</f>
        <v>AWC</v>
      </c>
    </row>
    <row r="161" spans="1:25" x14ac:dyDescent="0.35">
      <c r="A161" s="33">
        <f>IF($M161="","",MAX($A$1:A160)+1)</f>
        <v>147</v>
      </c>
      <c r="B161" s="23" t="s">
        <v>250</v>
      </c>
      <c r="C161" s="23" t="s">
        <v>234</v>
      </c>
      <c r="G161" s="33">
        <v>131236</v>
      </c>
      <c r="H161" s="33" t="s">
        <v>59</v>
      </c>
      <c r="I161" s="33" t="s">
        <v>297</v>
      </c>
      <c r="J161" s="33" t="s">
        <v>233</v>
      </c>
      <c r="K161" s="51" t="s">
        <v>3677</v>
      </c>
      <c r="M161" s="34" t="str">
        <f t="shared" si="2"/>
        <v>131236-WIL21-DR-M-1204</v>
      </c>
      <c r="N161" s="26" t="s">
        <v>3678</v>
      </c>
      <c r="P161" s="34" t="s">
        <v>3498</v>
      </c>
      <c r="S161" s="35">
        <v>45722</v>
      </c>
      <c r="T161" s="35">
        <v>45722</v>
      </c>
      <c r="U161" s="64" cm="1">
        <f t="array" ref="U161">IF(OR(M161="", M161="Deleted"), "", _xlfn.LET(
  _xlpm.dates,
  _xlfn._xlws.FILTER(
    [1]SubmittalLog!$H$1:$H$4000,
    [1]SubmittalLog!$E$1:$E$4000=M161,
    ""
  ),
  _xlpm.min_date, IFERROR(MIN(_xlpm.dates), ""),
  IF(_xlpm.min_date=0, "", _xlpm.min_date)
))</f>
        <v>45722</v>
      </c>
      <c r="V161" s="63" t="str" cm="1">
        <f t="array" ref="V161">IF(OR(M161="", M161="Deleted"), "", IFERROR(
  _xlfn.TEXTJOIN(", ", TRUE,
    _xlfn.MAP(
      _xlfn.UNIQUE(
        _xlfn._xlws.FILTER(
          [1]SubmittalLog!$B$1:$B$4000,
          ([1]SubmittalLog!$E$1:$E$4000=M161) *
          ([1]SubmittalLog!$B$1:$B$4000&lt;&gt;""),
          ""
        )
      ),
      _xlfn.LAMBDA(_xlpm.val, TEXT(_xlpm.val, "000000"))
    )
  ),
""))</f>
        <v>000553</v>
      </c>
      <c r="W161" s="40" t="str" cm="1">
        <f t="array" ref="W161">IF(OR(M161="", M161="Deleted"), "", _xlfn.LET(
  _xlpm.doc_col, [1]SubmittalLog!$E$1:$E$4000,
  _xlpm.date_col, [1]SubmittalLog!$H$1:$H$4000,
  _xlpm.status_col, [1]SubmittalLog!$N$1:$N$4000,
  _xlpm.latest_date, _xlfn.MAXIFS(_xlpm.date_col, _xlpm.doc_col, M161),
  IF(_xlpm.latest_date=0, "NFS",
    _xlfn.LET(
      _xlpm.res, _xlfn.XLOOKUP(M161 &amp; "|" &amp; _xlpm.latest_date, _xlpm.doc_col &amp; "|" &amp; _xlpm.date_col, _xlpm.status_col, ""),
      IF(OR(_xlpm.res="", _xlpm.res=0), "", _xlpm.res)
    )
  )
))</f>
        <v>RTR</v>
      </c>
      <c r="X161" s="39">
        <f>IF(OR(M161="", M161="Deleted"), "", _xlfn.LET(
  _xlpm.doc_col, [1]SubmittalLog!$E$1:$E$4000,
  _xlpm.date_col, [1]SubmittalLog!$H$1:$H$4000,
  _xlpm.status_col, [1]SubmittalLog!$O$1:$O$4000,
  _xlpm.first_app_date, _xlfn.MINIFS(_xlpm.date_col, _xlpm.doc_col, M161, _xlpm.status_col, "APP"),
  _xlpm.first_awc_date, _xlfn.MINIFS(_xlpm.date_col, _xlpm.doc_col, M161, _xlpm.status_col, "AWC"),
  _xlpm.earliest_date, IF(
    AND(_xlpm.first_app_date=0, _xlpm.first_awc_date=0), 0,
    IF(_xlpm.first_app_date=0, _xlpm.first_awc_date,
    IF(_xlpm.first_awc_date=0, _xlpm.first_app_date,
    MIN(_xlpm.first_app_date, _xlpm.first_awc_date)))
  ),
  IF(_xlpm.earliest_date=0, "", _xlpm.earliest_date)
))</f>
        <v>45722</v>
      </c>
      <c r="Y161" s="40" t="str" cm="1">
        <f t="array" ref="Y161">IF(OR(M161="", M161="Deleted"), "", _xlfn.LET(
  _xlpm.doc_col, [1]SubmittalLog!$E$1:$E$4000,
  _xlpm.date_col, [1]SubmittalLog!$H$1:$H$4000,
  _xlpm.status_col, [1]SubmittalLog!$O$1:$O$4000,
  _xlpm.has_sub, COUNTIF(_xlpm.doc_col, M161),
  _xlpm.latest_reviewed_date, _xlfn.MAXIFS(_xlpm.date_col, _xlpm.doc_col, M161, _xlpm.status_col, "&lt;&gt;"),
  IF(_xlpm.has_sub=0, "",
    IF(_xlpm.latest_reviewed_date=0, "",
      _xlfn.LET(
        _xlpm.res, _xlfn.XLOOKUP(1, (_xlpm.doc_col=M161) * (_xlpm.date_col=_xlpm.latest_reviewed_date) * (_xlpm.status_col&lt;&gt;""), _xlpm.status_col, ""),
        IF(OR(_xlpm.res="", _xlpm.res=0), "", _xlpm.res)
      )
    )
  )
))</f>
        <v>AWC</v>
      </c>
    </row>
    <row r="162" spans="1:25" x14ac:dyDescent="0.35">
      <c r="A162" s="33">
        <f>IF($M162="","",MAX($A$1:A161)+1)</f>
        <v>148</v>
      </c>
      <c r="B162" s="23" t="s">
        <v>250</v>
      </c>
      <c r="C162" s="23" t="s">
        <v>234</v>
      </c>
      <c r="G162" s="33">
        <v>131236</v>
      </c>
      <c r="H162" s="33" t="s">
        <v>59</v>
      </c>
      <c r="I162" s="33" t="s">
        <v>297</v>
      </c>
      <c r="J162" s="33" t="s">
        <v>233</v>
      </c>
      <c r="K162" s="51" t="s">
        <v>3679</v>
      </c>
      <c r="M162" s="34" t="str">
        <f t="shared" si="2"/>
        <v>131236-WIL21-DR-M-1205</v>
      </c>
      <c r="N162" s="26" t="s">
        <v>3680</v>
      </c>
      <c r="P162" s="34" t="s">
        <v>3498</v>
      </c>
      <c r="S162" s="35">
        <v>45722</v>
      </c>
      <c r="T162" s="35">
        <v>45722</v>
      </c>
      <c r="U162" s="64" cm="1">
        <f t="array" ref="U162">IF(OR(M162="", M162="Deleted"), "", _xlfn.LET(
  _xlpm.dates,
  _xlfn._xlws.FILTER(
    [1]SubmittalLog!$H$1:$H$4000,
    [1]SubmittalLog!$E$1:$E$4000=M162,
    ""
  ),
  _xlpm.min_date, IFERROR(MIN(_xlpm.dates), ""),
  IF(_xlpm.min_date=0, "", _xlpm.min_date)
))</f>
        <v>45722</v>
      </c>
      <c r="V162" s="63" t="str" cm="1">
        <f t="array" ref="V162">IF(OR(M162="", M162="Deleted"), "", IFERROR(
  _xlfn.TEXTJOIN(", ", TRUE,
    _xlfn.MAP(
      _xlfn.UNIQUE(
        _xlfn._xlws.FILTER(
          [1]SubmittalLog!$B$1:$B$4000,
          ([1]SubmittalLog!$E$1:$E$4000=M162) *
          ([1]SubmittalLog!$B$1:$B$4000&lt;&gt;""),
          ""
        )
      ),
      _xlfn.LAMBDA(_xlpm.val, TEXT(_xlpm.val, "000000"))
    )
  ),
""))</f>
        <v>000553</v>
      </c>
      <c r="W162" s="40" t="str" cm="1">
        <f t="array" ref="W162">IF(OR(M162="", M162="Deleted"), "", _xlfn.LET(
  _xlpm.doc_col, [1]SubmittalLog!$E$1:$E$4000,
  _xlpm.date_col, [1]SubmittalLog!$H$1:$H$4000,
  _xlpm.status_col, [1]SubmittalLog!$N$1:$N$4000,
  _xlpm.latest_date, _xlfn.MAXIFS(_xlpm.date_col, _xlpm.doc_col, M162),
  IF(_xlpm.latest_date=0, "NFS",
    _xlfn.LET(
      _xlpm.res, _xlfn.XLOOKUP(M162 &amp; "|" &amp; _xlpm.latest_date, _xlpm.doc_col &amp; "|" &amp; _xlpm.date_col, _xlpm.status_col, ""),
      IF(OR(_xlpm.res="", _xlpm.res=0), "", _xlpm.res)
    )
  )
))</f>
        <v>RTR</v>
      </c>
      <c r="X162" s="39">
        <f>IF(OR(M162="", M162="Deleted"), "", _xlfn.LET(
  _xlpm.doc_col, [1]SubmittalLog!$E$1:$E$4000,
  _xlpm.date_col, [1]SubmittalLog!$H$1:$H$4000,
  _xlpm.status_col, [1]SubmittalLog!$O$1:$O$4000,
  _xlpm.first_app_date, _xlfn.MINIFS(_xlpm.date_col, _xlpm.doc_col, M162, _xlpm.status_col, "APP"),
  _xlpm.first_awc_date, _xlfn.MINIFS(_xlpm.date_col, _xlpm.doc_col, M162, _xlpm.status_col, "AWC"),
  _xlpm.earliest_date, IF(
    AND(_xlpm.first_app_date=0, _xlpm.first_awc_date=0), 0,
    IF(_xlpm.first_app_date=0, _xlpm.first_awc_date,
    IF(_xlpm.first_awc_date=0, _xlpm.first_app_date,
    MIN(_xlpm.first_app_date, _xlpm.first_awc_date)))
  ),
  IF(_xlpm.earliest_date=0, "", _xlpm.earliest_date)
))</f>
        <v>45722</v>
      </c>
      <c r="Y162" s="40" t="str" cm="1">
        <f t="array" ref="Y162">IF(OR(M162="", M162="Deleted"), "", _xlfn.LET(
  _xlpm.doc_col, [1]SubmittalLog!$E$1:$E$4000,
  _xlpm.date_col, [1]SubmittalLog!$H$1:$H$4000,
  _xlpm.status_col, [1]SubmittalLog!$O$1:$O$4000,
  _xlpm.has_sub, COUNTIF(_xlpm.doc_col, M162),
  _xlpm.latest_reviewed_date, _xlfn.MAXIFS(_xlpm.date_col, _xlpm.doc_col, M162, _xlpm.status_col, "&lt;&gt;"),
  IF(_xlpm.has_sub=0, "",
    IF(_xlpm.latest_reviewed_date=0, "",
      _xlfn.LET(
        _xlpm.res, _xlfn.XLOOKUP(1, (_xlpm.doc_col=M162) * (_xlpm.date_col=_xlpm.latest_reviewed_date) * (_xlpm.status_col&lt;&gt;""), _xlpm.status_col, ""),
        IF(OR(_xlpm.res="", _xlpm.res=0), "", _xlpm.res)
      )
    )
  )
))</f>
        <v>AWC</v>
      </c>
    </row>
    <row r="163" spans="1:25" x14ac:dyDescent="0.35">
      <c r="A163" s="33">
        <f>IF($M163="","",MAX($A$1:A162)+1)</f>
        <v>149</v>
      </c>
      <c r="B163" s="23" t="s">
        <v>250</v>
      </c>
      <c r="C163" s="23" t="s">
        <v>234</v>
      </c>
      <c r="G163" s="33">
        <v>131236</v>
      </c>
      <c r="H163" s="33" t="s">
        <v>59</v>
      </c>
      <c r="I163" s="33" t="s">
        <v>297</v>
      </c>
      <c r="J163" s="33" t="s">
        <v>233</v>
      </c>
      <c r="K163" s="51" t="s">
        <v>3681</v>
      </c>
      <c r="M163" s="34" t="str">
        <f t="shared" si="2"/>
        <v>131236-WIL21-DR-M-1206</v>
      </c>
      <c r="N163" s="26" t="s">
        <v>3682</v>
      </c>
      <c r="P163" s="34" t="s">
        <v>3498</v>
      </c>
      <c r="S163" s="35">
        <v>45722</v>
      </c>
      <c r="T163" s="35">
        <v>45722</v>
      </c>
      <c r="U163" s="64" cm="1">
        <f t="array" ref="U163">IF(OR(M163="", M163="Deleted"), "", _xlfn.LET(
  _xlpm.dates,
  _xlfn._xlws.FILTER(
    [1]SubmittalLog!$H$1:$H$4000,
    [1]SubmittalLog!$E$1:$E$4000=M163,
    ""
  ),
  _xlpm.min_date, IFERROR(MIN(_xlpm.dates), ""),
  IF(_xlpm.min_date=0, "", _xlpm.min_date)
))</f>
        <v>45722</v>
      </c>
      <c r="V163" s="63" t="str" cm="1">
        <f t="array" ref="V163">IF(OR(M163="", M163="Deleted"), "", IFERROR(
  _xlfn.TEXTJOIN(", ", TRUE,
    _xlfn.MAP(
      _xlfn.UNIQUE(
        _xlfn._xlws.FILTER(
          [1]SubmittalLog!$B$1:$B$4000,
          ([1]SubmittalLog!$E$1:$E$4000=M163) *
          ([1]SubmittalLog!$B$1:$B$4000&lt;&gt;""),
          ""
        )
      ),
      _xlfn.LAMBDA(_xlpm.val, TEXT(_xlpm.val, "000000"))
    )
  ),
""))</f>
        <v>000553</v>
      </c>
      <c r="W163" s="40" t="str" cm="1">
        <f t="array" ref="W163">IF(OR(M163="", M163="Deleted"), "", _xlfn.LET(
  _xlpm.doc_col, [1]SubmittalLog!$E$1:$E$4000,
  _xlpm.date_col, [1]SubmittalLog!$H$1:$H$4000,
  _xlpm.status_col, [1]SubmittalLog!$N$1:$N$4000,
  _xlpm.latest_date, _xlfn.MAXIFS(_xlpm.date_col, _xlpm.doc_col, M163),
  IF(_xlpm.latest_date=0, "NFS",
    _xlfn.LET(
      _xlpm.res, _xlfn.XLOOKUP(M163 &amp; "|" &amp; _xlpm.latest_date, _xlpm.doc_col &amp; "|" &amp; _xlpm.date_col, _xlpm.status_col, ""),
      IF(OR(_xlpm.res="", _xlpm.res=0), "", _xlpm.res)
    )
  )
))</f>
        <v>RTR</v>
      </c>
      <c r="X163" s="39">
        <f>IF(OR(M163="", M163="Deleted"), "", _xlfn.LET(
  _xlpm.doc_col, [1]SubmittalLog!$E$1:$E$4000,
  _xlpm.date_col, [1]SubmittalLog!$H$1:$H$4000,
  _xlpm.status_col, [1]SubmittalLog!$O$1:$O$4000,
  _xlpm.first_app_date, _xlfn.MINIFS(_xlpm.date_col, _xlpm.doc_col, M163, _xlpm.status_col, "APP"),
  _xlpm.first_awc_date, _xlfn.MINIFS(_xlpm.date_col, _xlpm.doc_col, M163, _xlpm.status_col, "AWC"),
  _xlpm.earliest_date, IF(
    AND(_xlpm.first_app_date=0, _xlpm.first_awc_date=0), 0,
    IF(_xlpm.first_app_date=0, _xlpm.first_awc_date,
    IF(_xlpm.first_awc_date=0, _xlpm.first_app_date,
    MIN(_xlpm.first_app_date, _xlpm.first_awc_date)))
  ),
  IF(_xlpm.earliest_date=0, "", _xlpm.earliest_date)
))</f>
        <v>45722</v>
      </c>
      <c r="Y163" s="40" t="str" cm="1">
        <f t="array" ref="Y163">IF(OR(M163="", M163="Deleted"), "", _xlfn.LET(
  _xlpm.doc_col, [1]SubmittalLog!$E$1:$E$4000,
  _xlpm.date_col, [1]SubmittalLog!$H$1:$H$4000,
  _xlpm.status_col, [1]SubmittalLog!$O$1:$O$4000,
  _xlpm.has_sub, COUNTIF(_xlpm.doc_col, M163),
  _xlpm.latest_reviewed_date, _xlfn.MAXIFS(_xlpm.date_col, _xlpm.doc_col, M163, _xlpm.status_col, "&lt;&gt;"),
  IF(_xlpm.has_sub=0, "",
    IF(_xlpm.latest_reviewed_date=0, "",
      _xlfn.LET(
        _xlpm.res, _xlfn.XLOOKUP(1, (_xlpm.doc_col=M163) * (_xlpm.date_col=_xlpm.latest_reviewed_date) * (_xlpm.status_col&lt;&gt;""), _xlpm.status_col, ""),
        IF(OR(_xlpm.res="", _xlpm.res=0), "", _xlpm.res)
      )
    )
  )
))</f>
        <v>AWC</v>
      </c>
    </row>
    <row r="164" spans="1:25" x14ac:dyDescent="0.35">
      <c r="A164" s="33">
        <f>IF($M164="","",MAX($A$1:A163)+1)</f>
        <v>150</v>
      </c>
      <c r="B164" s="23" t="s">
        <v>250</v>
      </c>
      <c r="C164" s="23" t="s">
        <v>234</v>
      </c>
      <c r="G164" s="33">
        <v>131236</v>
      </c>
      <c r="H164" s="33" t="s">
        <v>59</v>
      </c>
      <c r="I164" s="33" t="s">
        <v>297</v>
      </c>
      <c r="J164" s="33" t="s">
        <v>233</v>
      </c>
      <c r="K164" s="51" t="s">
        <v>3683</v>
      </c>
      <c r="M164" s="34" t="str">
        <f t="shared" si="2"/>
        <v>131236-WIL21-DR-M-1207</v>
      </c>
      <c r="N164" s="26" t="s">
        <v>3684</v>
      </c>
      <c r="P164" s="34" t="s">
        <v>3498</v>
      </c>
      <c r="S164" s="35">
        <v>45722</v>
      </c>
      <c r="T164" s="35">
        <v>45722</v>
      </c>
      <c r="U164" s="64" cm="1">
        <f t="array" ref="U164">IF(OR(M164="", M164="Deleted"), "", _xlfn.LET(
  _xlpm.dates,
  _xlfn._xlws.FILTER(
    [1]SubmittalLog!$H$1:$H$4000,
    [1]SubmittalLog!$E$1:$E$4000=M164,
    ""
  ),
  _xlpm.min_date, IFERROR(MIN(_xlpm.dates), ""),
  IF(_xlpm.min_date=0, "", _xlpm.min_date)
))</f>
        <v>45722</v>
      </c>
      <c r="V164" s="63" t="str" cm="1">
        <f t="array" ref="V164">IF(OR(M164="", M164="Deleted"), "", IFERROR(
  _xlfn.TEXTJOIN(", ", TRUE,
    _xlfn.MAP(
      _xlfn.UNIQUE(
        _xlfn._xlws.FILTER(
          [1]SubmittalLog!$B$1:$B$4000,
          ([1]SubmittalLog!$E$1:$E$4000=M164) *
          ([1]SubmittalLog!$B$1:$B$4000&lt;&gt;""),
          ""
        )
      ),
      _xlfn.LAMBDA(_xlpm.val, TEXT(_xlpm.val, "000000"))
    )
  ),
""))</f>
        <v>000553</v>
      </c>
      <c r="W164" s="40" t="str" cm="1">
        <f t="array" ref="W164">IF(OR(M164="", M164="Deleted"), "", _xlfn.LET(
  _xlpm.doc_col, [1]SubmittalLog!$E$1:$E$4000,
  _xlpm.date_col, [1]SubmittalLog!$H$1:$H$4000,
  _xlpm.status_col, [1]SubmittalLog!$N$1:$N$4000,
  _xlpm.latest_date, _xlfn.MAXIFS(_xlpm.date_col, _xlpm.doc_col, M164),
  IF(_xlpm.latest_date=0, "NFS",
    _xlfn.LET(
      _xlpm.res, _xlfn.XLOOKUP(M164 &amp; "|" &amp; _xlpm.latest_date, _xlpm.doc_col &amp; "|" &amp; _xlpm.date_col, _xlpm.status_col, ""),
      IF(OR(_xlpm.res="", _xlpm.res=0), "", _xlpm.res)
    )
  )
))</f>
        <v>RTR</v>
      </c>
      <c r="X164" s="39">
        <f>IF(OR(M164="", M164="Deleted"), "", _xlfn.LET(
  _xlpm.doc_col, [1]SubmittalLog!$E$1:$E$4000,
  _xlpm.date_col, [1]SubmittalLog!$H$1:$H$4000,
  _xlpm.status_col, [1]SubmittalLog!$O$1:$O$4000,
  _xlpm.first_app_date, _xlfn.MINIFS(_xlpm.date_col, _xlpm.doc_col, M164, _xlpm.status_col, "APP"),
  _xlpm.first_awc_date, _xlfn.MINIFS(_xlpm.date_col, _xlpm.doc_col, M164, _xlpm.status_col, "AWC"),
  _xlpm.earliest_date, IF(
    AND(_xlpm.first_app_date=0, _xlpm.first_awc_date=0), 0,
    IF(_xlpm.first_app_date=0, _xlpm.first_awc_date,
    IF(_xlpm.first_awc_date=0, _xlpm.first_app_date,
    MIN(_xlpm.first_app_date, _xlpm.first_awc_date)))
  ),
  IF(_xlpm.earliest_date=0, "", _xlpm.earliest_date)
))</f>
        <v>45722</v>
      </c>
      <c r="Y164" s="40" t="str" cm="1">
        <f t="array" ref="Y164">IF(OR(M164="", M164="Deleted"), "", _xlfn.LET(
  _xlpm.doc_col, [1]SubmittalLog!$E$1:$E$4000,
  _xlpm.date_col, [1]SubmittalLog!$H$1:$H$4000,
  _xlpm.status_col, [1]SubmittalLog!$O$1:$O$4000,
  _xlpm.has_sub, COUNTIF(_xlpm.doc_col, M164),
  _xlpm.latest_reviewed_date, _xlfn.MAXIFS(_xlpm.date_col, _xlpm.doc_col, M164, _xlpm.status_col, "&lt;&gt;"),
  IF(_xlpm.has_sub=0, "",
    IF(_xlpm.latest_reviewed_date=0, "",
      _xlfn.LET(
        _xlpm.res, _xlfn.XLOOKUP(1, (_xlpm.doc_col=M164) * (_xlpm.date_col=_xlpm.latest_reviewed_date) * (_xlpm.status_col&lt;&gt;""), _xlpm.status_col, ""),
        IF(OR(_xlpm.res="", _xlpm.res=0), "", _xlpm.res)
      )
    )
  )
))</f>
        <v>AWC</v>
      </c>
    </row>
    <row r="165" spans="1:25" x14ac:dyDescent="0.35">
      <c r="A165" s="33">
        <f>IF($M165="","",MAX($A$1:A164)+1)</f>
        <v>151</v>
      </c>
      <c r="B165" s="23" t="s">
        <v>250</v>
      </c>
      <c r="C165" s="23" t="s">
        <v>234</v>
      </c>
      <c r="G165" s="33">
        <v>131236</v>
      </c>
      <c r="H165" s="33" t="s">
        <v>59</v>
      </c>
      <c r="I165" s="33" t="s">
        <v>297</v>
      </c>
      <c r="J165" s="33" t="s">
        <v>233</v>
      </c>
      <c r="K165" s="51" t="s">
        <v>3685</v>
      </c>
      <c r="M165" s="34" t="str">
        <f t="shared" si="2"/>
        <v>131236-WIL21-DR-M-1208</v>
      </c>
      <c r="N165" s="26" t="s">
        <v>3686</v>
      </c>
      <c r="P165" s="34" t="s">
        <v>3498</v>
      </c>
      <c r="S165" s="35">
        <v>45722</v>
      </c>
      <c r="T165" s="35">
        <v>45722</v>
      </c>
      <c r="U165" s="64" cm="1">
        <f t="array" ref="U165">IF(OR(M165="", M165="Deleted"), "", _xlfn.LET(
  _xlpm.dates,
  _xlfn._xlws.FILTER(
    [1]SubmittalLog!$H$1:$H$4000,
    [1]SubmittalLog!$E$1:$E$4000=M165,
    ""
  ),
  _xlpm.min_date, IFERROR(MIN(_xlpm.dates), ""),
  IF(_xlpm.min_date=0, "", _xlpm.min_date)
))</f>
        <v>45722</v>
      </c>
      <c r="V165" s="63" t="str" cm="1">
        <f t="array" ref="V165">IF(OR(M165="", M165="Deleted"), "", IFERROR(
  _xlfn.TEXTJOIN(", ", TRUE,
    _xlfn.MAP(
      _xlfn.UNIQUE(
        _xlfn._xlws.FILTER(
          [1]SubmittalLog!$B$1:$B$4000,
          ([1]SubmittalLog!$E$1:$E$4000=M165) *
          ([1]SubmittalLog!$B$1:$B$4000&lt;&gt;""),
          ""
        )
      ),
      _xlfn.LAMBDA(_xlpm.val, TEXT(_xlpm.val, "000000"))
    )
  ),
""))</f>
        <v>000553</v>
      </c>
      <c r="W165" s="40" t="str" cm="1">
        <f t="array" ref="W165">IF(OR(M165="", M165="Deleted"), "", _xlfn.LET(
  _xlpm.doc_col, [1]SubmittalLog!$E$1:$E$4000,
  _xlpm.date_col, [1]SubmittalLog!$H$1:$H$4000,
  _xlpm.status_col, [1]SubmittalLog!$N$1:$N$4000,
  _xlpm.latest_date, _xlfn.MAXIFS(_xlpm.date_col, _xlpm.doc_col, M165),
  IF(_xlpm.latest_date=0, "NFS",
    _xlfn.LET(
      _xlpm.res, _xlfn.XLOOKUP(M165 &amp; "|" &amp; _xlpm.latest_date, _xlpm.doc_col &amp; "|" &amp; _xlpm.date_col, _xlpm.status_col, ""),
      IF(OR(_xlpm.res="", _xlpm.res=0), "", _xlpm.res)
    )
  )
))</f>
        <v>RTR</v>
      </c>
      <c r="X165" s="39">
        <f>IF(OR(M165="", M165="Deleted"), "", _xlfn.LET(
  _xlpm.doc_col, [1]SubmittalLog!$E$1:$E$4000,
  _xlpm.date_col, [1]SubmittalLog!$H$1:$H$4000,
  _xlpm.status_col, [1]SubmittalLog!$O$1:$O$4000,
  _xlpm.first_app_date, _xlfn.MINIFS(_xlpm.date_col, _xlpm.doc_col, M165, _xlpm.status_col, "APP"),
  _xlpm.first_awc_date, _xlfn.MINIFS(_xlpm.date_col, _xlpm.doc_col, M165, _xlpm.status_col, "AWC"),
  _xlpm.earliest_date, IF(
    AND(_xlpm.first_app_date=0, _xlpm.first_awc_date=0), 0,
    IF(_xlpm.first_app_date=0, _xlpm.first_awc_date,
    IF(_xlpm.first_awc_date=0, _xlpm.first_app_date,
    MIN(_xlpm.first_app_date, _xlpm.first_awc_date)))
  ),
  IF(_xlpm.earliest_date=0, "", _xlpm.earliest_date)
))</f>
        <v>45722</v>
      </c>
      <c r="Y165" s="40" t="str" cm="1">
        <f t="array" ref="Y165">IF(OR(M165="", M165="Deleted"), "", _xlfn.LET(
  _xlpm.doc_col, [1]SubmittalLog!$E$1:$E$4000,
  _xlpm.date_col, [1]SubmittalLog!$H$1:$H$4000,
  _xlpm.status_col, [1]SubmittalLog!$O$1:$O$4000,
  _xlpm.has_sub, COUNTIF(_xlpm.doc_col, M165),
  _xlpm.latest_reviewed_date, _xlfn.MAXIFS(_xlpm.date_col, _xlpm.doc_col, M165, _xlpm.status_col, "&lt;&gt;"),
  IF(_xlpm.has_sub=0, "",
    IF(_xlpm.latest_reviewed_date=0, "",
      _xlfn.LET(
        _xlpm.res, _xlfn.XLOOKUP(1, (_xlpm.doc_col=M165) * (_xlpm.date_col=_xlpm.latest_reviewed_date) * (_xlpm.status_col&lt;&gt;""), _xlpm.status_col, ""),
        IF(OR(_xlpm.res="", _xlpm.res=0), "", _xlpm.res)
      )
    )
  )
))</f>
        <v>AWC</v>
      </c>
    </row>
    <row r="166" spans="1:25" x14ac:dyDescent="0.35">
      <c r="A166" s="33">
        <f>IF($M166="","",MAX($A$1:A165)+1)</f>
        <v>152</v>
      </c>
      <c r="B166" s="23" t="s">
        <v>250</v>
      </c>
      <c r="C166" s="23" t="s">
        <v>234</v>
      </c>
      <c r="G166" s="33">
        <v>131236</v>
      </c>
      <c r="H166" s="33" t="s">
        <v>59</v>
      </c>
      <c r="I166" s="33" t="s">
        <v>297</v>
      </c>
      <c r="J166" s="33" t="s">
        <v>233</v>
      </c>
      <c r="K166" s="51" t="s">
        <v>3687</v>
      </c>
      <c r="M166" s="34" t="str">
        <f t="shared" si="2"/>
        <v>131236-WIL21-DR-M-1209</v>
      </c>
      <c r="N166" s="26" t="s">
        <v>3688</v>
      </c>
      <c r="P166" s="34" t="s">
        <v>3498</v>
      </c>
      <c r="S166" s="35">
        <v>45722</v>
      </c>
      <c r="T166" s="35">
        <v>45722</v>
      </c>
      <c r="U166" s="64" cm="1">
        <f t="array" ref="U166">IF(OR(M166="", M166="Deleted"), "", _xlfn.LET(
  _xlpm.dates,
  _xlfn._xlws.FILTER(
    [1]SubmittalLog!$H$1:$H$4000,
    [1]SubmittalLog!$E$1:$E$4000=M166,
    ""
  ),
  _xlpm.min_date, IFERROR(MIN(_xlpm.dates), ""),
  IF(_xlpm.min_date=0, "", _xlpm.min_date)
))</f>
        <v>45722</v>
      </c>
      <c r="V166" s="63" t="str" cm="1">
        <f t="array" ref="V166">IF(OR(M166="", M166="Deleted"), "", IFERROR(
  _xlfn.TEXTJOIN(", ", TRUE,
    _xlfn.MAP(
      _xlfn.UNIQUE(
        _xlfn._xlws.FILTER(
          [1]SubmittalLog!$B$1:$B$4000,
          ([1]SubmittalLog!$E$1:$E$4000=M166) *
          ([1]SubmittalLog!$B$1:$B$4000&lt;&gt;""),
          ""
        )
      ),
      _xlfn.LAMBDA(_xlpm.val, TEXT(_xlpm.val, "000000"))
    )
  ),
""))</f>
        <v>000553</v>
      </c>
      <c r="W166" s="40" t="str" cm="1">
        <f t="array" ref="W166">IF(OR(M166="", M166="Deleted"), "", _xlfn.LET(
  _xlpm.doc_col, [1]SubmittalLog!$E$1:$E$4000,
  _xlpm.date_col, [1]SubmittalLog!$H$1:$H$4000,
  _xlpm.status_col, [1]SubmittalLog!$N$1:$N$4000,
  _xlpm.latest_date, _xlfn.MAXIFS(_xlpm.date_col, _xlpm.doc_col, M166),
  IF(_xlpm.latest_date=0, "NFS",
    _xlfn.LET(
      _xlpm.res, _xlfn.XLOOKUP(M166 &amp; "|" &amp; _xlpm.latest_date, _xlpm.doc_col &amp; "|" &amp; _xlpm.date_col, _xlpm.status_col, ""),
      IF(OR(_xlpm.res="", _xlpm.res=0), "", _xlpm.res)
    )
  )
))</f>
        <v>RTR</v>
      </c>
      <c r="X166" s="39">
        <f>IF(OR(M166="", M166="Deleted"), "", _xlfn.LET(
  _xlpm.doc_col, [1]SubmittalLog!$E$1:$E$4000,
  _xlpm.date_col, [1]SubmittalLog!$H$1:$H$4000,
  _xlpm.status_col, [1]SubmittalLog!$O$1:$O$4000,
  _xlpm.first_app_date, _xlfn.MINIFS(_xlpm.date_col, _xlpm.doc_col, M166, _xlpm.status_col, "APP"),
  _xlpm.first_awc_date, _xlfn.MINIFS(_xlpm.date_col, _xlpm.doc_col, M166, _xlpm.status_col, "AWC"),
  _xlpm.earliest_date, IF(
    AND(_xlpm.first_app_date=0, _xlpm.first_awc_date=0), 0,
    IF(_xlpm.first_app_date=0, _xlpm.first_awc_date,
    IF(_xlpm.first_awc_date=0, _xlpm.first_app_date,
    MIN(_xlpm.first_app_date, _xlpm.first_awc_date)))
  ),
  IF(_xlpm.earliest_date=0, "", _xlpm.earliest_date)
))</f>
        <v>45722</v>
      </c>
      <c r="Y166" s="40" t="str" cm="1">
        <f t="array" ref="Y166">IF(OR(M166="", M166="Deleted"), "", _xlfn.LET(
  _xlpm.doc_col, [1]SubmittalLog!$E$1:$E$4000,
  _xlpm.date_col, [1]SubmittalLog!$H$1:$H$4000,
  _xlpm.status_col, [1]SubmittalLog!$O$1:$O$4000,
  _xlpm.has_sub, COUNTIF(_xlpm.doc_col, M166),
  _xlpm.latest_reviewed_date, _xlfn.MAXIFS(_xlpm.date_col, _xlpm.doc_col, M166, _xlpm.status_col, "&lt;&gt;"),
  IF(_xlpm.has_sub=0, "",
    IF(_xlpm.latest_reviewed_date=0, "",
      _xlfn.LET(
        _xlpm.res, _xlfn.XLOOKUP(1, (_xlpm.doc_col=M166) * (_xlpm.date_col=_xlpm.latest_reviewed_date) * (_xlpm.status_col&lt;&gt;""), _xlpm.status_col, ""),
        IF(OR(_xlpm.res="", _xlpm.res=0), "", _xlpm.res)
      )
    )
  )
))</f>
        <v>AWC</v>
      </c>
    </row>
    <row r="167" spans="1:25" x14ac:dyDescent="0.35">
      <c r="A167" s="33">
        <f>IF($M167="","",MAX($A$1:A166)+1)</f>
        <v>153</v>
      </c>
      <c r="B167" s="23" t="s">
        <v>250</v>
      </c>
      <c r="C167" s="23" t="s">
        <v>234</v>
      </c>
      <c r="G167" s="33">
        <v>131236</v>
      </c>
      <c r="H167" s="33" t="s">
        <v>59</v>
      </c>
      <c r="I167" s="33" t="s">
        <v>297</v>
      </c>
      <c r="J167" s="33" t="s">
        <v>233</v>
      </c>
      <c r="K167" s="51" t="s">
        <v>3689</v>
      </c>
      <c r="M167" s="34" t="str">
        <f t="shared" si="2"/>
        <v>131236-WIL21-DR-M-1210</v>
      </c>
      <c r="N167" s="26" t="s">
        <v>3690</v>
      </c>
      <c r="P167" s="34" t="s">
        <v>3498</v>
      </c>
      <c r="S167" s="35">
        <v>45722</v>
      </c>
      <c r="T167" s="35">
        <v>45722</v>
      </c>
      <c r="U167" s="64" cm="1">
        <f t="array" ref="U167">IF(OR(M167="", M167="Deleted"), "", _xlfn.LET(
  _xlpm.dates,
  _xlfn._xlws.FILTER(
    [1]SubmittalLog!$H$1:$H$4000,
    [1]SubmittalLog!$E$1:$E$4000=M167,
    ""
  ),
  _xlpm.min_date, IFERROR(MIN(_xlpm.dates), ""),
  IF(_xlpm.min_date=0, "", _xlpm.min_date)
))</f>
        <v>45722</v>
      </c>
      <c r="V167" s="63" t="str" cm="1">
        <f t="array" ref="V167">IF(OR(M167="", M167="Deleted"), "", IFERROR(
  _xlfn.TEXTJOIN(", ", TRUE,
    _xlfn.MAP(
      _xlfn.UNIQUE(
        _xlfn._xlws.FILTER(
          [1]SubmittalLog!$B$1:$B$4000,
          ([1]SubmittalLog!$E$1:$E$4000=M167) *
          ([1]SubmittalLog!$B$1:$B$4000&lt;&gt;""),
          ""
        )
      ),
      _xlfn.LAMBDA(_xlpm.val, TEXT(_xlpm.val, "000000"))
    )
  ),
""))</f>
        <v>000553</v>
      </c>
      <c r="W167" s="40" t="str" cm="1">
        <f t="array" ref="W167">IF(OR(M167="", M167="Deleted"), "", _xlfn.LET(
  _xlpm.doc_col, [1]SubmittalLog!$E$1:$E$4000,
  _xlpm.date_col, [1]SubmittalLog!$H$1:$H$4000,
  _xlpm.status_col, [1]SubmittalLog!$N$1:$N$4000,
  _xlpm.latest_date, _xlfn.MAXIFS(_xlpm.date_col, _xlpm.doc_col, M167),
  IF(_xlpm.latest_date=0, "NFS",
    _xlfn.LET(
      _xlpm.res, _xlfn.XLOOKUP(M167 &amp; "|" &amp; _xlpm.latest_date, _xlpm.doc_col &amp; "|" &amp; _xlpm.date_col, _xlpm.status_col, ""),
      IF(OR(_xlpm.res="", _xlpm.res=0), "", _xlpm.res)
    )
  )
))</f>
        <v>RTR</v>
      </c>
      <c r="X167" s="39">
        <f>IF(OR(M167="", M167="Deleted"), "", _xlfn.LET(
  _xlpm.doc_col, [1]SubmittalLog!$E$1:$E$4000,
  _xlpm.date_col, [1]SubmittalLog!$H$1:$H$4000,
  _xlpm.status_col, [1]SubmittalLog!$O$1:$O$4000,
  _xlpm.first_app_date, _xlfn.MINIFS(_xlpm.date_col, _xlpm.doc_col, M167, _xlpm.status_col, "APP"),
  _xlpm.first_awc_date, _xlfn.MINIFS(_xlpm.date_col, _xlpm.doc_col, M167, _xlpm.status_col, "AWC"),
  _xlpm.earliest_date, IF(
    AND(_xlpm.first_app_date=0, _xlpm.first_awc_date=0), 0,
    IF(_xlpm.first_app_date=0, _xlpm.first_awc_date,
    IF(_xlpm.first_awc_date=0, _xlpm.first_app_date,
    MIN(_xlpm.first_app_date, _xlpm.first_awc_date)))
  ),
  IF(_xlpm.earliest_date=0, "", _xlpm.earliest_date)
))</f>
        <v>45722</v>
      </c>
      <c r="Y167" s="40" t="str" cm="1">
        <f t="array" ref="Y167">IF(OR(M167="", M167="Deleted"), "", _xlfn.LET(
  _xlpm.doc_col, [1]SubmittalLog!$E$1:$E$4000,
  _xlpm.date_col, [1]SubmittalLog!$H$1:$H$4000,
  _xlpm.status_col, [1]SubmittalLog!$O$1:$O$4000,
  _xlpm.has_sub, COUNTIF(_xlpm.doc_col, M167),
  _xlpm.latest_reviewed_date, _xlfn.MAXIFS(_xlpm.date_col, _xlpm.doc_col, M167, _xlpm.status_col, "&lt;&gt;"),
  IF(_xlpm.has_sub=0, "",
    IF(_xlpm.latest_reviewed_date=0, "",
      _xlfn.LET(
        _xlpm.res, _xlfn.XLOOKUP(1, (_xlpm.doc_col=M167) * (_xlpm.date_col=_xlpm.latest_reviewed_date) * (_xlpm.status_col&lt;&gt;""), _xlpm.status_col, ""),
        IF(OR(_xlpm.res="", _xlpm.res=0), "", _xlpm.res)
      )
    )
  )
))</f>
        <v>AWC</v>
      </c>
    </row>
    <row r="168" spans="1:25" x14ac:dyDescent="0.35">
      <c r="A168" s="33">
        <f>IF($M168="","",MAX($A$1:A167)+1)</f>
        <v>154</v>
      </c>
      <c r="B168" s="23" t="s">
        <v>250</v>
      </c>
      <c r="C168" s="23" t="s">
        <v>234</v>
      </c>
      <c r="G168" s="33">
        <v>131236</v>
      </c>
      <c r="H168" s="33" t="s">
        <v>59</v>
      </c>
      <c r="I168" s="33" t="s">
        <v>297</v>
      </c>
      <c r="J168" s="33" t="s">
        <v>233</v>
      </c>
      <c r="K168" s="51" t="s">
        <v>3691</v>
      </c>
      <c r="M168" s="34" t="str">
        <f t="shared" si="2"/>
        <v>131236-WIL21-DR-M-3203</v>
      </c>
      <c r="N168" s="26" t="s">
        <v>3692</v>
      </c>
      <c r="P168" s="34" t="s">
        <v>3498</v>
      </c>
      <c r="S168" s="35">
        <v>45722</v>
      </c>
      <c r="T168" s="35">
        <v>45722</v>
      </c>
      <c r="U168" s="64" cm="1">
        <f t="array" ref="U168">IF(OR(M168="", M168="Deleted"), "", _xlfn.LET(
  _xlpm.dates,
  _xlfn._xlws.FILTER(
    [1]SubmittalLog!$H$1:$H$4000,
    [1]SubmittalLog!$E$1:$E$4000=M168,
    ""
  ),
  _xlpm.min_date, IFERROR(MIN(_xlpm.dates), ""),
  IF(_xlpm.min_date=0, "", _xlpm.min_date)
))</f>
        <v>45722</v>
      </c>
      <c r="V168" s="63" t="str" cm="1">
        <f t="array" ref="V168">IF(OR(M168="", M168="Deleted"), "", IFERROR(
  _xlfn.TEXTJOIN(", ", TRUE,
    _xlfn.MAP(
      _xlfn.UNIQUE(
        _xlfn._xlws.FILTER(
          [1]SubmittalLog!$B$1:$B$4000,
          ([1]SubmittalLog!$E$1:$E$4000=M168) *
          ([1]SubmittalLog!$B$1:$B$4000&lt;&gt;""),
          ""
        )
      ),
      _xlfn.LAMBDA(_xlpm.val, TEXT(_xlpm.val, "000000"))
    )
  ),
""))</f>
        <v>000553</v>
      </c>
      <c r="W168" s="40" t="str" cm="1">
        <f t="array" ref="W168">IF(OR(M168="", M168="Deleted"), "", _xlfn.LET(
  _xlpm.doc_col, [1]SubmittalLog!$E$1:$E$4000,
  _xlpm.date_col, [1]SubmittalLog!$H$1:$H$4000,
  _xlpm.status_col, [1]SubmittalLog!$N$1:$N$4000,
  _xlpm.latest_date, _xlfn.MAXIFS(_xlpm.date_col, _xlpm.doc_col, M168),
  IF(_xlpm.latest_date=0, "NFS",
    _xlfn.LET(
      _xlpm.res, _xlfn.XLOOKUP(M168 &amp; "|" &amp; _xlpm.latest_date, _xlpm.doc_col &amp; "|" &amp; _xlpm.date_col, _xlpm.status_col, ""),
      IF(OR(_xlpm.res="", _xlpm.res=0), "", _xlpm.res)
    )
  )
))</f>
        <v>RTR</v>
      </c>
      <c r="X168" s="39">
        <f>IF(OR(M168="", M168="Deleted"), "", _xlfn.LET(
  _xlpm.doc_col, [1]SubmittalLog!$E$1:$E$4000,
  _xlpm.date_col, [1]SubmittalLog!$H$1:$H$4000,
  _xlpm.status_col, [1]SubmittalLog!$O$1:$O$4000,
  _xlpm.first_app_date, _xlfn.MINIFS(_xlpm.date_col, _xlpm.doc_col, M168, _xlpm.status_col, "APP"),
  _xlpm.first_awc_date, _xlfn.MINIFS(_xlpm.date_col, _xlpm.doc_col, M168, _xlpm.status_col, "AWC"),
  _xlpm.earliest_date, IF(
    AND(_xlpm.first_app_date=0, _xlpm.first_awc_date=0), 0,
    IF(_xlpm.first_app_date=0, _xlpm.first_awc_date,
    IF(_xlpm.first_awc_date=0, _xlpm.first_app_date,
    MIN(_xlpm.first_app_date, _xlpm.first_awc_date)))
  ),
  IF(_xlpm.earliest_date=0, "", _xlpm.earliest_date)
))</f>
        <v>45722</v>
      </c>
      <c r="Y168" s="40" t="str" cm="1">
        <f t="array" ref="Y168">IF(OR(M168="", M168="Deleted"), "", _xlfn.LET(
  _xlpm.doc_col, [1]SubmittalLog!$E$1:$E$4000,
  _xlpm.date_col, [1]SubmittalLog!$H$1:$H$4000,
  _xlpm.status_col, [1]SubmittalLog!$O$1:$O$4000,
  _xlpm.has_sub, COUNTIF(_xlpm.doc_col, M168),
  _xlpm.latest_reviewed_date, _xlfn.MAXIFS(_xlpm.date_col, _xlpm.doc_col, M168, _xlpm.status_col, "&lt;&gt;"),
  IF(_xlpm.has_sub=0, "",
    IF(_xlpm.latest_reviewed_date=0, "",
      _xlfn.LET(
        _xlpm.res, _xlfn.XLOOKUP(1, (_xlpm.doc_col=M168) * (_xlpm.date_col=_xlpm.latest_reviewed_date) * (_xlpm.status_col&lt;&gt;""), _xlpm.status_col, ""),
        IF(OR(_xlpm.res="", _xlpm.res=0), "", _xlpm.res)
      )
    )
  )
))</f>
        <v>AWC</v>
      </c>
    </row>
    <row r="169" spans="1:25" x14ac:dyDescent="0.35">
      <c r="A169" s="33">
        <f>IF($M169="","",MAX($A$1:A168)+1)</f>
        <v>155</v>
      </c>
      <c r="B169" s="23" t="s">
        <v>250</v>
      </c>
      <c r="C169" s="23" t="s">
        <v>234</v>
      </c>
      <c r="G169" s="33">
        <v>131236</v>
      </c>
      <c r="H169" s="33" t="s">
        <v>59</v>
      </c>
      <c r="I169" s="33" t="s">
        <v>297</v>
      </c>
      <c r="J169" s="33" t="s">
        <v>233</v>
      </c>
      <c r="K169" s="51" t="s">
        <v>3693</v>
      </c>
      <c r="M169" s="34" t="str">
        <f t="shared" si="2"/>
        <v>131236-WIL21-DR-M-3204</v>
      </c>
      <c r="N169" s="26" t="s">
        <v>3694</v>
      </c>
      <c r="P169" s="34" t="s">
        <v>3498</v>
      </c>
      <c r="S169" s="35">
        <v>45722</v>
      </c>
      <c r="T169" s="35">
        <v>45722</v>
      </c>
      <c r="U169" s="64" cm="1">
        <f t="array" ref="U169">IF(OR(M169="", M169="Deleted"), "", _xlfn.LET(
  _xlpm.dates,
  _xlfn._xlws.FILTER(
    [1]SubmittalLog!$H$1:$H$4000,
    [1]SubmittalLog!$E$1:$E$4000=M169,
    ""
  ),
  _xlpm.min_date, IFERROR(MIN(_xlpm.dates), ""),
  IF(_xlpm.min_date=0, "", _xlpm.min_date)
))</f>
        <v>45722</v>
      </c>
      <c r="V169" s="63" t="str" cm="1">
        <f t="array" ref="V169">IF(OR(M169="", M169="Deleted"), "", IFERROR(
  _xlfn.TEXTJOIN(", ", TRUE,
    _xlfn.MAP(
      _xlfn.UNIQUE(
        _xlfn._xlws.FILTER(
          [1]SubmittalLog!$B$1:$B$4000,
          ([1]SubmittalLog!$E$1:$E$4000=M169) *
          ([1]SubmittalLog!$B$1:$B$4000&lt;&gt;""),
          ""
        )
      ),
      _xlfn.LAMBDA(_xlpm.val, TEXT(_xlpm.val, "000000"))
    )
  ),
""))</f>
        <v>000553</v>
      </c>
      <c r="W169" s="40" t="str" cm="1">
        <f t="array" ref="W169">IF(OR(M169="", M169="Deleted"), "", _xlfn.LET(
  _xlpm.doc_col, [1]SubmittalLog!$E$1:$E$4000,
  _xlpm.date_col, [1]SubmittalLog!$H$1:$H$4000,
  _xlpm.status_col, [1]SubmittalLog!$N$1:$N$4000,
  _xlpm.latest_date, _xlfn.MAXIFS(_xlpm.date_col, _xlpm.doc_col, M169),
  IF(_xlpm.latest_date=0, "NFS",
    _xlfn.LET(
      _xlpm.res, _xlfn.XLOOKUP(M169 &amp; "|" &amp; _xlpm.latest_date, _xlpm.doc_col &amp; "|" &amp; _xlpm.date_col, _xlpm.status_col, ""),
      IF(OR(_xlpm.res="", _xlpm.res=0), "", _xlpm.res)
    )
  )
))</f>
        <v>RTR</v>
      </c>
      <c r="X169" s="39">
        <f>IF(OR(M169="", M169="Deleted"), "", _xlfn.LET(
  _xlpm.doc_col, [1]SubmittalLog!$E$1:$E$4000,
  _xlpm.date_col, [1]SubmittalLog!$H$1:$H$4000,
  _xlpm.status_col, [1]SubmittalLog!$O$1:$O$4000,
  _xlpm.first_app_date, _xlfn.MINIFS(_xlpm.date_col, _xlpm.doc_col, M169, _xlpm.status_col, "APP"),
  _xlpm.first_awc_date, _xlfn.MINIFS(_xlpm.date_col, _xlpm.doc_col, M169, _xlpm.status_col, "AWC"),
  _xlpm.earliest_date, IF(
    AND(_xlpm.first_app_date=0, _xlpm.first_awc_date=0), 0,
    IF(_xlpm.first_app_date=0, _xlpm.first_awc_date,
    IF(_xlpm.first_awc_date=0, _xlpm.first_app_date,
    MIN(_xlpm.first_app_date, _xlpm.first_awc_date)))
  ),
  IF(_xlpm.earliest_date=0, "", _xlpm.earliest_date)
))</f>
        <v>45722</v>
      </c>
      <c r="Y169" s="40" t="str" cm="1">
        <f t="array" ref="Y169">IF(OR(M169="", M169="Deleted"), "", _xlfn.LET(
  _xlpm.doc_col, [1]SubmittalLog!$E$1:$E$4000,
  _xlpm.date_col, [1]SubmittalLog!$H$1:$H$4000,
  _xlpm.status_col, [1]SubmittalLog!$O$1:$O$4000,
  _xlpm.has_sub, COUNTIF(_xlpm.doc_col, M169),
  _xlpm.latest_reviewed_date, _xlfn.MAXIFS(_xlpm.date_col, _xlpm.doc_col, M169, _xlpm.status_col, "&lt;&gt;"),
  IF(_xlpm.has_sub=0, "",
    IF(_xlpm.latest_reviewed_date=0, "",
      _xlfn.LET(
        _xlpm.res, _xlfn.XLOOKUP(1, (_xlpm.doc_col=M169) * (_xlpm.date_col=_xlpm.latest_reviewed_date) * (_xlpm.status_col&lt;&gt;""), _xlpm.status_col, ""),
        IF(OR(_xlpm.res="", _xlpm.res=0), "", _xlpm.res)
      )
    )
  )
))</f>
        <v>AWC</v>
      </c>
    </row>
    <row r="170" spans="1:25" x14ac:dyDescent="0.35">
      <c r="A170" s="33">
        <f>IF($M170="","",MAX($A$1:A169)+1)</f>
        <v>156</v>
      </c>
      <c r="B170" s="23" t="s">
        <v>250</v>
      </c>
      <c r="C170" s="23" t="s">
        <v>234</v>
      </c>
      <c r="G170" s="33">
        <v>131236</v>
      </c>
      <c r="H170" s="33" t="s">
        <v>59</v>
      </c>
      <c r="I170" s="33" t="s">
        <v>297</v>
      </c>
      <c r="J170" s="33" t="s">
        <v>233</v>
      </c>
      <c r="K170" s="51" t="s">
        <v>3695</v>
      </c>
      <c r="M170" s="34" t="str">
        <f t="shared" si="2"/>
        <v>131236-WIL21-DR-M-3205</v>
      </c>
      <c r="N170" s="26" t="s">
        <v>3696</v>
      </c>
      <c r="P170" s="34" t="s">
        <v>3498</v>
      </c>
      <c r="S170" s="35">
        <v>45722</v>
      </c>
      <c r="T170" s="35">
        <v>45722</v>
      </c>
      <c r="U170" s="64" cm="1">
        <f t="array" ref="U170">IF(OR(M170="", M170="Deleted"), "", _xlfn.LET(
  _xlpm.dates,
  _xlfn._xlws.FILTER(
    [1]SubmittalLog!$H$1:$H$4000,
    [1]SubmittalLog!$E$1:$E$4000=M170,
    ""
  ),
  _xlpm.min_date, IFERROR(MIN(_xlpm.dates), ""),
  IF(_xlpm.min_date=0, "", _xlpm.min_date)
))</f>
        <v>45722</v>
      </c>
      <c r="V170" s="63" t="str" cm="1">
        <f t="array" ref="V170">IF(OR(M170="", M170="Deleted"), "", IFERROR(
  _xlfn.TEXTJOIN(", ", TRUE,
    _xlfn.MAP(
      _xlfn.UNIQUE(
        _xlfn._xlws.FILTER(
          [1]SubmittalLog!$B$1:$B$4000,
          ([1]SubmittalLog!$E$1:$E$4000=M170) *
          ([1]SubmittalLog!$B$1:$B$4000&lt;&gt;""),
          ""
        )
      ),
      _xlfn.LAMBDA(_xlpm.val, TEXT(_xlpm.val, "000000"))
    )
  ),
""))</f>
        <v>000553</v>
      </c>
      <c r="W170" s="40" t="str" cm="1">
        <f t="array" ref="W170">IF(OR(M170="", M170="Deleted"), "", _xlfn.LET(
  _xlpm.doc_col, [1]SubmittalLog!$E$1:$E$4000,
  _xlpm.date_col, [1]SubmittalLog!$H$1:$H$4000,
  _xlpm.status_col, [1]SubmittalLog!$N$1:$N$4000,
  _xlpm.latest_date, _xlfn.MAXIFS(_xlpm.date_col, _xlpm.doc_col, M170),
  IF(_xlpm.latest_date=0, "NFS",
    _xlfn.LET(
      _xlpm.res, _xlfn.XLOOKUP(M170 &amp; "|" &amp; _xlpm.latest_date, _xlpm.doc_col &amp; "|" &amp; _xlpm.date_col, _xlpm.status_col, ""),
      IF(OR(_xlpm.res="", _xlpm.res=0), "", _xlpm.res)
    )
  )
))</f>
        <v>RTR</v>
      </c>
      <c r="X170" s="39">
        <f>IF(OR(M170="", M170="Deleted"), "", _xlfn.LET(
  _xlpm.doc_col, [1]SubmittalLog!$E$1:$E$4000,
  _xlpm.date_col, [1]SubmittalLog!$H$1:$H$4000,
  _xlpm.status_col, [1]SubmittalLog!$O$1:$O$4000,
  _xlpm.first_app_date, _xlfn.MINIFS(_xlpm.date_col, _xlpm.doc_col, M170, _xlpm.status_col, "APP"),
  _xlpm.first_awc_date, _xlfn.MINIFS(_xlpm.date_col, _xlpm.doc_col, M170, _xlpm.status_col, "AWC"),
  _xlpm.earliest_date, IF(
    AND(_xlpm.first_app_date=0, _xlpm.first_awc_date=0), 0,
    IF(_xlpm.first_app_date=0, _xlpm.first_awc_date,
    IF(_xlpm.first_awc_date=0, _xlpm.first_app_date,
    MIN(_xlpm.first_app_date, _xlpm.first_awc_date)))
  ),
  IF(_xlpm.earliest_date=0, "", _xlpm.earliest_date)
))</f>
        <v>45722</v>
      </c>
      <c r="Y170" s="40" t="str" cm="1">
        <f t="array" ref="Y170">IF(OR(M170="", M170="Deleted"), "", _xlfn.LET(
  _xlpm.doc_col, [1]SubmittalLog!$E$1:$E$4000,
  _xlpm.date_col, [1]SubmittalLog!$H$1:$H$4000,
  _xlpm.status_col, [1]SubmittalLog!$O$1:$O$4000,
  _xlpm.has_sub, COUNTIF(_xlpm.doc_col, M170),
  _xlpm.latest_reviewed_date, _xlfn.MAXIFS(_xlpm.date_col, _xlpm.doc_col, M170, _xlpm.status_col, "&lt;&gt;"),
  IF(_xlpm.has_sub=0, "",
    IF(_xlpm.latest_reviewed_date=0, "",
      _xlfn.LET(
        _xlpm.res, _xlfn.XLOOKUP(1, (_xlpm.doc_col=M170) * (_xlpm.date_col=_xlpm.latest_reviewed_date) * (_xlpm.status_col&lt;&gt;""), _xlpm.status_col, ""),
        IF(OR(_xlpm.res="", _xlpm.res=0), "", _xlpm.res)
      )
    )
  )
))</f>
        <v>AWC</v>
      </c>
    </row>
    <row r="171" spans="1:25" x14ac:dyDescent="0.35">
      <c r="A171" s="33">
        <f>IF($M171="","",MAX($A$1:A170)+1)</f>
        <v>157</v>
      </c>
      <c r="B171" s="23" t="s">
        <v>250</v>
      </c>
      <c r="C171" s="23" t="s">
        <v>234</v>
      </c>
      <c r="G171" s="33">
        <v>131236</v>
      </c>
      <c r="H171" s="33" t="s">
        <v>59</v>
      </c>
      <c r="I171" s="33" t="s">
        <v>297</v>
      </c>
      <c r="J171" s="33" t="s">
        <v>233</v>
      </c>
      <c r="K171" s="51" t="s">
        <v>3697</v>
      </c>
      <c r="M171" s="34" t="str">
        <f t="shared" si="2"/>
        <v>131236-WIL21-DR-M-3206</v>
      </c>
      <c r="N171" s="26" t="s">
        <v>3698</v>
      </c>
      <c r="P171" s="34" t="s">
        <v>3498</v>
      </c>
      <c r="S171" s="35">
        <v>45722</v>
      </c>
      <c r="T171" s="35">
        <v>45722</v>
      </c>
      <c r="U171" s="64" cm="1">
        <f t="array" ref="U171">IF(OR(M171="", M171="Deleted"), "", _xlfn.LET(
  _xlpm.dates,
  _xlfn._xlws.FILTER(
    [1]SubmittalLog!$H$1:$H$4000,
    [1]SubmittalLog!$E$1:$E$4000=M171,
    ""
  ),
  _xlpm.min_date, IFERROR(MIN(_xlpm.dates), ""),
  IF(_xlpm.min_date=0, "", _xlpm.min_date)
))</f>
        <v>45722</v>
      </c>
      <c r="V171" s="63" t="str" cm="1">
        <f t="array" ref="V171">IF(OR(M171="", M171="Deleted"), "", IFERROR(
  _xlfn.TEXTJOIN(", ", TRUE,
    _xlfn.MAP(
      _xlfn.UNIQUE(
        _xlfn._xlws.FILTER(
          [1]SubmittalLog!$B$1:$B$4000,
          ([1]SubmittalLog!$E$1:$E$4000=M171) *
          ([1]SubmittalLog!$B$1:$B$4000&lt;&gt;""),
          ""
        )
      ),
      _xlfn.LAMBDA(_xlpm.val, TEXT(_xlpm.val, "000000"))
    )
  ),
""))</f>
        <v>000553</v>
      </c>
      <c r="W171" s="40" t="str" cm="1">
        <f t="array" ref="W171">IF(OR(M171="", M171="Deleted"), "", _xlfn.LET(
  _xlpm.doc_col, [1]SubmittalLog!$E$1:$E$4000,
  _xlpm.date_col, [1]SubmittalLog!$H$1:$H$4000,
  _xlpm.status_col, [1]SubmittalLog!$N$1:$N$4000,
  _xlpm.latest_date, _xlfn.MAXIFS(_xlpm.date_col, _xlpm.doc_col, M171),
  IF(_xlpm.latest_date=0, "NFS",
    _xlfn.LET(
      _xlpm.res, _xlfn.XLOOKUP(M171 &amp; "|" &amp; _xlpm.latest_date, _xlpm.doc_col &amp; "|" &amp; _xlpm.date_col, _xlpm.status_col, ""),
      IF(OR(_xlpm.res="", _xlpm.res=0), "", _xlpm.res)
    )
  )
))</f>
        <v>RTR</v>
      </c>
      <c r="X171" s="39">
        <f>IF(OR(M171="", M171="Deleted"), "", _xlfn.LET(
  _xlpm.doc_col, [1]SubmittalLog!$E$1:$E$4000,
  _xlpm.date_col, [1]SubmittalLog!$H$1:$H$4000,
  _xlpm.status_col, [1]SubmittalLog!$O$1:$O$4000,
  _xlpm.first_app_date, _xlfn.MINIFS(_xlpm.date_col, _xlpm.doc_col, M171, _xlpm.status_col, "APP"),
  _xlpm.first_awc_date, _xlfn.MINIFS(_xlpm.date_col, _xlpm.doc_col, M171, _xlpm.status_col, "AWC"),
  _xlpm.earliest_date, IF(
    AND(_xlpm.first_app_date=0, _xlpm.first_awc_date=0), 0,
    IF(_xlpm.first_app_date=0, _xlpm.first_awc_date,
    IF(_xlpm.first_awc_date=0, _xlpm.first_app_date,
    MIN(_xlpm.first_app_date, _xlpm.first_awc_date)))
  ),
  IF(_xlpm.earliest_date=0, "", _xlpm.earliest_date)
))</f>
        <v>45722</v>
      </c>
      <c r="Y171" s="40" t="str" cm="1">
        <f t="array" ref="Y171">IF(OR(M171="", M171="Deleted"), "", _xlfn.LET(
  _xlpm.doc_col, [1]SubmittalLog!$E$1:$E$4000,
  _xlpm.date_col, [1]SubmittalLog!$H$1:$H$4000,
  _xlpm.status_col, [1]SubmittalLog!$O$1:$O$4000,
  _xlpm.has_sub, COUNTIF(_xlpm.doc_col, M171),
  _xlpm.latest_reviewed_date, _xlfn.MAXIFS(_xlpm.date_col, _xlpm.doc_col, M171, _xlpm.status_col, "&lt;&gt;"),
  IF(_xlpm.has_sub=0, "",
    IF(_xlpm.latest_reviewed_date=0, "",
      _xlfn.LET(
        _xlpm.res, _xlfn.XLOOKUP(1, (_xlpm.doc_col=M171) * (_xlpm.date_col=_xlpm.latest_reviewed_date) * (_xlpm.status_col&lt;&gt;""), _xlpm.status_col, ""),
        IF(OR(_xlpm.res="", _xlpm.res=0), "", _xlpm.res)
      )
    )
  )
))</f>
        <v>AWC</v>
      </c>
    </row>
    <row r="172" spans="1:25" x14ac:dyDescent="0.35">
      <c r="A172" s="33">
        <f>IF($M172="","",MAX($A$1:A171)+1)</f>
        <v>158</v>
      </c>
      <c r="B172" s="23" t="s">
        <v>250</v>
      </c>
      <c r="C172" s="23" t="s">
        <v>234</v>
      </c>
      <c r="G172" s="33">
        <v>131236</v>
      </c>
      <c r="H172" s="33" t="s">
        <v>59</v>
      </c>
      <c r="I172" s="33" t="s">
        <v>297</v>
      </c>
      <c r="J172" s="33" t="s">
        <v>233</v>
      </c>
      <c r="K172" s="51" t="s">
        <v>3699</v>
      </c>
      <c r="M172" s="34" t="str">
        <f t="shared" si="2"/>
        <v>131236-WIL21-DR-M-3207</v>
      </c>
      <c r="N172" s="26" t="s">
        <v>3700</v>
      </c>
      <c r="P172" s="34" t="s">
        <v>3498</v>
      </c>
      <c r="S172" s="35">
        <v>45722</v>
      </c>
      <c r="T172" s="35">
        <v>45722</v>
      </c>
      <c r="U172" s="64" cm="1">
        <f t="array" ref="U172">IF(OR(M172="", M172="Deleted"), "", _xlfn.LET(
  _xlpm.dates,
  _xlfn._xlws.FILTER(
    [1]SubmittalLog!$H$1:$H$4000,
    [1]SubmittalLog!$E$1:$E$4000=M172,
    ""
  ),
  _xlpm.min_date, IFERROR(MIN(_xlpm.dates), ""),
  IF(_xlpm.min_date=0, "", _xlpm.min_date)
))</f>
        <v>45722</v>
      </c>
      <c r="V172" s="63" t="str" cm="1">
        <f t="array" ref="V172">IF(OR(M172="", M172="Deleted"), "", IFERROR(
  _xlfn.TEXTJOIN(", ", TRUE,
    _xlfn.MAP(
      _xlfn.UNIQUE(
        _xlfn._xlws.FILTER(
          [1]SubmittalLog!$B$1:$B$4000,
          ([1]SubmittalLog!$E$1:$E$4000=M172) *
          ([1]SubmittalLog!$B$1:$B$4000&lt;&gt;""),
          ""
        )
      ),
      _xlfn.LAMBDA(_xlpm.val, TEXT(_xlpm.val, "000000"))
    )
  ),
""))</f>
        <v>000553</v>
      </c>
      <c r="W172" s="40" t="str" cm="1">
        <f t="array" ref="W172">IF(OR(M172="", M172="Deleted"), "", _xlfn.LET(
  _xlpm.doc_col, [1]SubmittalLog!$E$1:$E$4000,
  _xlpm.date_col, [1]SubmittalLog!$H$1:$H$4000,
  _xlpm.status_col, [1]SubmittalLog!$N$1:$N$4000,
  _xlpm.latest_date, _xlfn.MAXIFS(_xlpm.date_col, _xlpm.doc_col, M172),
  IF(_xlpm.latest_date=0, "NFS",
    _xlfn.LET(
      _xlpm.res, _xlfn.XLOOKUP(M172 &amp; "|" &amp; _xlpm.latest_date, _xlpm.doc_col &amp; "|" &amp; _xlpm.date_col, _xlpm.status_col, ""),
      IF(OR(_xlpm.res="", _xlpm.res=0), "", _xlpm.res)
    )
  )
))</f>
        <v>RTR</v>
      </c>
      <c r="X172" s="39">
        <f>IF(OR(M172="", M172="Deleted"), "", _xlfn.LET(
  _xlpm.doc_col, [1]SubmittalLog!$E$1:$E$4000,
  _xlpm.date_col, [1]SubmittalLog!$H$1:$H$4000,
  _xlpm.status_col, [1]SubmittalLog!$O$1:$O$4000,
  _xlpm.first_app_date, _xlfn.MINIFS(_xlpm.date_col, _xlpm.doc_col, M172, _xlpm.status_col, "APP"),
  _xlpm.first_awc_date, _xlfn.MINIFS(_xlpm.date_col, _xlpm.doc_col, M172, _xlpm.status_col, "AWC"),
  _xlpm.earliest_date, IF(
    AND(_xlpm.first_app_date=0, _xlpm.first_awc_date=0), 0,
    IF(_xlpm.first_app_date=0, _xlpm.first_awc_date,
    IF(_xlpm.first_awc_date=0, _xlpm.first_app_date,
    MIN(_xlpm.first_app_date, _xlpm.first_awc_date)))
  ),
  IF(_xlpm.earliest_date=0, "", _xlpm.earliest_date)
))</f>
        <v>45722</v>
      </c>
      <c r="Y172" s="40" t="str" cm="1">
        <f t="array" ref="Y172">IF(OR(M172="", M172="Deleted"), "", _xlfn.LET(
  _xlpm.doc_col, [1]SubmittalLog!$E$1:$E$4000,
  _xlpm.date_col, [1]SubmittalLog!$H$1:$H$4000,
  _xlpm.status_col, [1]SubmittalLog!$O$1:$O$4000,
  _xlpm.has_sub, COUNTIF(_xlpm.doc_col, M172),
  _xlpm.latest_reviewed_date, _xlfn.MAXIFS(_xlpm.date_col, _xlpm.doc_col, M172, _xlpm.status_col, "&lt;&gt;"),
  IF(_xlpm.has_sub=0, "",
    IF(_xlpm.latest_reviewed_date=0, "",
      _xlfn.LET(
        _xlpm.res, _xlfn.XLOOKUP(1, (_xlpm.doc_col=M172) * (_xlpm.date_col=_xlpm.latest_reviewed_date) * (_xlpm.status_col&lt;&gt;""), _xlpm.status_col, ""),
        IF(OR(_xlpm.res="", _xlpm.res=0), "", _xlpm.res)
      )
    )
  )
))</f>
        <v>AWC</v>
      </c>
    </row>
    <row r="173" spans="1:25" x14ac:dyDescent="0.35">
      <c r="A173" s="33">
        <f>IF($M173="","",MAX($A$1:A172)+1)</f>
        <v>159</v>
      </c>
      <c r="B173" s="23" t="s">
        <v>250</v>
      </c>
      <c r="C173" s="23" t="s">
        <v>234</v>
      </c>
      <c r="G173" s="33">
        <v>131236</v>
      </c>
      <c r="H173" s="33" t="s">
        <v>59</v>
      </c>
      <c r="I173" s="33" t="s">
        <v>297</v>
      </c>
      <c r="J173" s="33" t="s">
        <v>233</v>
      </c>
      <c r="K173" s="51" t="s">
        <v>3701</v>
      </c>
      <c r="M173" s="34" t="str">
        <f t="shared" si="2"/>
        <v>131236-WIL21-DR-M-3208</v>
      </c>
      <c r="N173" s="26" t="s">
        <v>3702</v>
      </c>
      <c r="P173" s="34" t="s">
        <v>3498</v>
      </c>
      <c r="S173" s="35">
        <v>45722</v>
      </c>
      <c r="T173" s="35">
        <v>45722</v>
      </c>
      <c r="U173" s="64" cm="1">
        <f t="array" ref="U173">IF(OR(M173="", M173="Deleted"), "", _xlfn.LET(
  _xlpm.dates,
  _xlfn._xlws.FILTER(
    [1]SubmittalLog!$H$1:$H$4000,
    [1]SubmittalLog!$E$1:$E$4000=M173,
    ""
  ),
  _xlpm.min_date, IFERROR(MIN(_xlpm.dates), ""),
  IF(_xlpm.min_date=0, "", _xlpm.min_date)
))</f>
        <v>45722</v>
      </c>
      <c r="V173" s="63" t="str" cm="1">
        <f t="array" ref="V173">IF(OR(M173="", M173="Deleted"), "", IFERROR(
  _xlfn.TEXTJOIN(", ", TRUE,
    _xlfn.MAP(
      _xlfn.UNIQUE(
        _xlfn._xlws.FILTER(
          [1]SubmittalLog!$B$1:$B$4000,
          ([1]SubmittalLog!$E$1:$E$4000=M173) *
          ([1]SubmittalLog!$B$1:$B$4000&lt;&gt;""),
          ""
        )
      ),
      _xlfn.LAMBDA(_xlpm.val, TEXT(_xlpm.val, "000000"))
    )
  ),
""))</f>
        <v>000553</v>
      </c>
      <c r="W173" s="40" t="str" cm="1">
        <f t="array" ref="W173">IF(OR(M173="", M173="Deleted"), "", _xlfn.LET(
  _xlpm.doc_col, [1]SubmittalLog!$E$1:$E$4000,
  _xlpm.date_col, [1]SubmittalLog!$H$1:$H$4000,
  _xlpm.status_col, [1]SubmittalLog!$N$1:$N$4000,
  _xlpm.latest_date, _xlfn.MAXIFS(_xlpm.date_col, _xlpm.doc_col, M173),
  IF(_xlpm.latest_date=0, "NFS",
    _xlfn.LET(
      _xlpm.res, _xlfn.XLOOKUP(M173 &amp; "|" &amp; _xlpm.latest_date, _xlpm.doc_col &amp; "|" &amp; _xlpm.date_col, _xlpm.status_col, ""),
      IF(OR(_xlpm.res="", _xlpm.res=0), "", _xlpm.res)
    )
  )
))</f>
        <v>RTR</v>
      </c>
      <c r="X173" s="39">
        <f>IF(OR(M173="", M173="Deleted"), "", _xlfn.LET(
  _xlpm.doc_col, [1]SubmittalLog!$E$1:$E$4000,
  _xlpm.date_col, [1]SubmittalLog!$H$1:$H$4000,
  _xlpm.status_col, [1]SubmittalLog!$O$1:$O$4000,
  _xlpm.first_app_date, _xlfn.MINIFS(_xlpm.date_col, _xlpm.doc_col, M173, _xlpm.status_col, "APP"),
  _xlpm.first_awc_date, _xlfn.MINIFS(_xlpm.date_col, _xlpm.doc_col, M173, _xlpm.status_col, "AWC"),
  _xlpm.earliest_date, IF(
    AND(_xlpm.first_app_date=0, _xlpm.first_awc_date=0), 0,
    IF(_xlpm.first_app_date=0, _xlpm.first_awc_date,
    IF(_xlpm.first_awc_date=0, _xlpm.first_app_date,
    MIN(_xlpm.first_app_date, _xlpm.first_awc_date)))
  ),
  IF(_xlpm.earliest_date=0, "", _xlpm.earliest_date)
))</f>
        <v>45722</v>
      </c>
      <c r="Y173" s="40" t="str" cm="1">
        <f t="array" ref="Y173">IF(OR(M173="", M173="Deleted"), "", _xlfn.LET(
  _xlpm.doc_col, [1]SubmittalLog!$E$1:$E$4000,
  _xlpm.date_col, [1]SubmittalLog!$H$1:$H$4000,
  _xlpm.status_col, [1]SubmittalLog!$O$1:$O$4000,
  _xlpm.has_sub, COUNTIF(_xlpm.doc_col, M173),
  _xlpm.latest_reviewed_date, _xlfn.MAXIFS(_xlpm.date_col, _xlpm.doc_col, M173, _xlpm.status_col, "&lt;&gt;"),
  IF(_xlpm.has_sub=0, "",
    IF(_xlpm.latest_reviewed_date=0, "",
      _xlfn.LET(
        _xlpm.res, _xlfn.XLOOKUP(1, (_xlpm.doc_col=M173) * (_xlpm.date_col=_xlpm.latest_reviewed_date) * (_xlpm.status_col&lt;&gt;""), _xlpm.status_col, ""),
        IF(OR(_xlpm.res="", _xlpm.res=0), "", _xlpm.res)
      )
    )
  )
))</f>
        <v>AWC</v>
      </c>
    </row>
    <row r="174" spans="1:25" x14ac:dyDescent="0.35">
      <c r="A174" s="33">
        <f>IF($M174="","",MAX($A$1:A173)+1)</f>
        <v>160</v>
      </c>
      <c r="B174" s="23" t="s">
        <v>250</v>
      </c>
      <c r="C174" s="23" t="s">
        <v>234</v>
      </c>
      <c r="G174" s="33">
        <v>131236</v>
      </c>
      <c r="H174" s="33" t="s">
        <v>59</v>
      </c>
      <c r="I174" s="33" t="s">
        <v>297</v>
      </c>
      <c r="J174" s="33" t="s">
        <v>233</v>
      </c>
      <c r="K174" s="51" t="s">
        <v>3703</v>
      </c>
      <c r="M174" s="34" t="str">
        <f t="shared" si="2"/>
        <v>131236-WIL21-DR-M-3209</v>
      </c>
      <c r="N174" s="26" t="s">
        <v>3704</v>
      </c>
      <c r="P174" s="34" t="s">
        <v>3498</v>
      </c>
      <c r="S174" s="35">
        <v>45722</v>
      </c>
      <c r="T174" s="35">
        <v>45722</v>
      </c>
      <c r="U174" s="64" cm="1">
        <f t="array" ref="U174">IF(OR(M174="", M174="Deleted"), "", _xlfn.LET(
  _xlpm.dates,
  _xlfn._xlws.FILTER(
    [1]SubmittalLog!$H$1:$H$4000,
    [1]SubmittalLog!$E$1:$E$4000=M174,
    ""
  ),
  _xlpm.min_date, IFERROR(MIN(_xlpm.dates), ""),
  IF(_xlpm.min_date=0, "", _xlpm.min_date)
))</f>
        <v>45722</v>
      </c>
      <c r="V174" s="63" t="str" cm="1">
        <f t="array" ref="V174">IF(OR(M174="", M174="Deleted"), "", IFERROR(
  _xlfn.TEXTJOIN(", ", TRUE,
    _xlfn.MAP(
      _xlfn.UNIQUE(
        _xlfn._xlws.FILTER(
          [1]SubmittalLog!$B$1:$B$4000,
          ([1]SubmittalLog!$E$1:$E$4000=M174) *
          ([1]SubmittalLog!$B$1:$B$4000&lt;&gt;""),
          ""
        )
      ),
      _xlfn.LAMBDA(_xlpm.val, TEXT(_xlpm.val, "000000"))
    )
  ),
""))</f>
        <v>000553</v>
      </c>
      <c r="W174" s="40" t="str" cm="1">
        <f t="array" ref="W174">IF(OR(M174="", M174="Deleted"), "", _xlfn.LET(
  _xlpm.doc_col, [1]SubmittalLog!$E$1:$E$4000,
  _xlpm.date_col, [1]SubmittalLog!$H$1:$H$4000,
  _xlpm.status_col, [1]SubmittalLog!$N$1:$N$4000,
  _xlpm.latest_date, _xlfn.MAXIFS(_xlpm.date_col, _xlpm.doc_col, M174),
  IF(_xlpm.latest_date=0, "NFS",
    _xlfn.LET(
      _xlpm.res, _xlfn.XLOOKUP(M174 &amp; "|" &amp; _xlpm.latest_date, _xlpm.doc_col &amp; "|" &amp; _xlpm.date_col, _xlpm.status_col, ""),
      IF(OR(_xlpm.res="", _xlpm.res=0), "", _xlpm.res)
    )
  )
))</f>
        <v>RTR</v>
      </c>
      <c r="X174" s="39">
        <f>IF(OR(M174="", M174="Deleted"), "", _xlfn.LET(
  _xlpm.doc_col, [1]SubmittalLog!$E$1:$E$4000,
  _xlpm.date_col, [1]SubmittalLog!$H$1:$H$4000,
  _xlpm.status_col, [1]SubmittalLog!$O$1:$O$4000,
  _xlpm.first_app_date, _xlfn.MINIFS(_xlpm.date_col, _xlpm.doc_col, M174, _xlpm.status_col, "APP"),
  _xlpm.first_awc_date, _xlfn.MINIFS(_xlpm.date_col, _xlpm.doc_col, M174, _xlpm.status_col, "AWC"),
  _xlpm.earliest_date, IF(
    AND(_xlpm.first_app_date=0, _xlpm.first_awc_date=0), 0,
    IF(_xlpm.first_app_date=0, _xlpm.first_awc_date,
    IF(_xlpm.first_awc_date=0, _xlpm.first_app_date,
    MIN(_xlpm.first_app_date, _xlpm.first_awc_date)))
  ),
  IF(_xlpm.earliest_date=0, "", _xlpm.earliest_date)
))</f>
        <v>45722</v>
      </c>
      <c r="Y174" s="40" t="str" cm="1">
        <f t="array" ref="Y174">IF(OR(M174="", M174="Deleted"), "", _xlfn.LET(
  _xlpm.doc_col, [1]SubmittalLog!$E$1:$E$4000,
  _xlpm.date_col, [1]SubmittalLog!$H$1:$H$4000,
  _xlpm.status_col, [1]SubmittalLog!$O$1:$O$4000,
  _xlpm.has_sub, COUNTIF(_xlpm.doc_col, M174),
  _xlpm.latest_reviewed_date, _xlfn.MAXIFS(_xlpm.date_col, _xlpm.doc_col, M174, _xlpm.status_col, "&lt;&gt;"),
  IF(_xlpm.has_sub=0, "",
    IF(_xlpm.latest_reviewed_date=0, "",
      _xlfn.LET(
        _xlpm.res, _xlfn.XLOOKUP(1, (_xlpm.doc_col=M174) * (_xlpm.date_col=_xlpm.latest_reviewed_date) * (_xlpm.status_col&lt;&gt;""), _xlpm.status_col, ""),
        IF(OR(_xlpm.res="", _xlpm.res=0), "", _xlpm.res)
      )
    )
  )
))</f>
        <v>AWC</v>
      </c>
    </row>
    <row r="175" spans="1:25" x14ac:dyDescent="0.35">
      <c r="A175" s="33">
        <f>IF($M175="","",MAX($A$1:A174)+1)</f>
        <v>161</v>
      </c>
      <c r="B175" s="23" t="s">
        <v>250</v>
      </c>
      <c r="C175" s="23" t="s">
        <v>234</v>
      </c>
      <c r="G175" s="33">
        <v>131236</v>
      </c>
      <c r="H175" s="33" t="s">
        <v>59</v>
      </c>
      <c r="I175" s="33" t="s">
        <v>297</v>
      </c>
      <c r="J175" s="33" t="s">
        <v>233</v>
      </c>
      <c r="K175" s="51" t="s">
        <v>3705</v>
      </c>
      <c r="M175" s="34" t="str">
        <f t="shared" si="2"/>
        <v>131236-WIL21-DR-M-3210</v>
      </c>
      <c r="N175" s="26" t="s">
        <v>3706</v>
      </c>
      <c r="P175" s="34" t="s">
        <v>3498</v>
      </c>
      <c r="S175" s="35">
        <v>45722</v>
      </c>
      <c r="T175" s="35">
        <v>45722</v>
      </c>
      <c r="U175" s="64" cm="1">
        <f t="array" ref="U175">IF(OR(M175="", M175="Deleted"), "", _xlfn.LET(
  _xlpm.dates,
  _xlfn._xlws.FILTER(
    [1]SubmittalLog!$H$1:$H$4000,
    [1]SubmittalLog!$E$1:$E$4000=M175,
    ""
  ),
  _xlpm.min_date, IFERROR(MIN(_xlpm.dates), ""),
  IF(_xlpm.min_date=0, "", _xlpm.min_date)
))</f>
        <v>45722</v>
      </c>
      <c r="V175" s="63" t="str" cm="1">
        <f t="array" ref="V175">IF(OR(M175="", M175="Deleted"), "", IFERROR(
  _xlfn.TEXTJOIN(", ", TRUE,
    _xlfn.MAP(
      _xlfn.UNIQUE(
        _xlfn._xlws.FILTER(
          [1]SubmittalLog!$B$1:$B$4000,
          ([1]SubmittalLog!$E$1:$E$4000=M175) *
          ([1]SubmittalLog!$B$1:$B$4000&lt;&gt;""),
          ""
        )
      ),
      _xlfn.LAMBDA(_xlpm.val, TEXT(_xlpm.val, "000000"))
    )
  ),
""))</f>
        <v>000553</v>
      </c>
      <c r="W175" s="40" t="str" cm="1">
        <f t="array" ref="W175">IF(OR(M175="", M175="Deleted"), "", _xlfn.LET(
  _xlpm.doc_col, [1]SubmittalLog!$E$1:$E$4000,
  _xlpm.date_col, [1]SubmittalLog!$H$1:$H$4000,
  _xlpm.status_col, [1]SubmittalLog!$N$1:$N$4000,
  _xlpm.latest_date, _xlfn.MAXIFS(_xlpm.date_col, _xlpm.doc_col, M175),
  IF(_xlpm.latest_date=0, "NFS",
    _xlfn.LET(
      _xlpm.res, _xlfn.XLOOKUP(M175 &amp; "|" &amp; _xlpm.latest_date, _xlpm.doc_col &amp; "|" &amp; _xlpm.date_col, _xlpm.status_col, ""),
      IF(OR(_xlpm.res="", _xlpm.res=0), "", _xlpm.res)
    )
  )
))</f>
        <v>RTR</v>
      </c>
      <c r="X175" s="39">
        <f>IF(OR(M175="", M175="Deleted"), "", _xlfn.LET(
  _xlpm.doc_col, [1]SubmittalLog!$E$1:$E$4000,
  _xlpm.date_col, [1]SubmittalLog!$H$1:$H$4000,
  _xlpm.status_col, [1]SubmittalLog!$O$1:$O$4000,
  _xlpm.first_app_date, _xlfn.MINIFS(_xlpm.date_col, _xlpm.doc_col, M175, _xlpm.status_col, "APP"),
  _xlpm.first_awc_date, _xlfn.MINIFS(_xlpm.date_col, _xlpm.doc_col, M175, _xlpm.status_col, "AWC"),
  _xlpm.earliest_date, IF(
    AND(_xlpm.first_app_date=0, _xlpm.first_awc_date=0), 0,
    IF(_xlpm.first_app_date=0, _xlpm.first_awc_date,
    IF(_xlpm.first_awc_date=0, _xlpm.first_app_date,
    MIN(_xlpm.first_app_date, _xlpm.first_awc_date)))
  ),
  IF(_xlpm.earliest_date=0, "", _xlpm.earliest_date)
))</f>
        <v>45722</v>
      </c>
      <c r="Y175" s="40" t="str" cm="1">
        <f t="array" ref="Y175">IF(OR(M175="", M175="Deleted"), "", _xlfn.LET(
  _xlpm.doc_col, [1]SubmittalLog!$E$1:$E$4000,
  _xlpm.date_col, [1]SubmittalLog!$H$1:$H$4000,
  _xlpm.status_col, [1]SubmittalLog!$O$1:$O$4000,
  _xlpm.has_sub, COUNTIF(_xlpm.doc_col, M175),
  _xlpm.latest_reviewed_date, _xlfn.MAXIFS(_xlpm.date_col, _xlpm.doc_col, M175, _xlpm.status_col, "&lt;&gt;"),
  IF(_xlpm.has_sub=0, "",
    IF(_xlpm.latest_reviewed_date=0, "",
      _xlfn.LET(
        _xlpm.res, _xlfn.XLOOKUP(1, (_xlpm.doc_col=M175) * (_xlpm.date_col=_xlpm.latest_reviewed_date) * (_xlpm.status_col&lt;&gt;""), _xlpm.status_col, ""),
        IF(OR(_xlpm.res="", _xlpm.res=0), "", _xlpm.res)
      )
    )
  )
))</f>
        <v>AWC</v>
      </c>
    </row>
    <row r="176" spans="1:25" x14ac:dyDescent="0.35">
      <c r="A176" s="33">
        <f>IF($M176="","",MAX($A$1:A175)+1)</f>
        <v>162</v>
      </c>
      <c r="B176" s="23" t="s">
        <v>250</v>
      </c>
      <c r="C176" s="23" t="s">
        <v>234</v>
      </c>
      <c r="G176" s="33">
        <v>131236</v>
      </c>
      <c r="H176" s="33" t="s">
        <v>59</v>
      </c>
      <c r="I176" s="33" t="s">
        <v>297</v>
      </c>
      <c r="J176" s="33" t="s">
        <v>233</v>
      </c>
      <c r="K176" s="51">
        <v>5701</v>
      </c>
      <c r="M176" s="34" t="str">
        <f t="shared" si="2"/>
        <v>131236-WIL21-DR-M-5701</v>
      </c>
      <c r="N176" s="26" t="s">
        <v>3707</v>
      </c>
      <c r="P176" s="34" t="s">
        <v>3498</v>
      </c>
      <c r="S176" s="35">
        <v>45805</v>
      </c>
      <c r="T176" s="35">
        <v>45814</v>
      </c>
      <c r="U176" s="64" cm="1">
        <f t="array" ref="U176">IF(OR(M176="", M176="Deleted"), "", _xlfn.LET(
  _xlpm.dates,
  _xlfn._xlws.FILTER(
    [1]SubmittalLog!$H$1:$H$4000,
    [1]SubmittalLog!$E$1:$E$4000=M176,
    ""
  ),
  _xlpm.min_date, IFERROR(MIN(_xlpm.dates), ""),
  IF(_xlpm.min_date=0, "", _xlpm.min_date)
))</f>
        <v>45820</v>
      </c>
      <c r="V176" s="63" t="str" cm="1">
        <f t="array" ref="V176">IF(OR(M176="", M176="Deleted"), "", IFERROR(
  _xlfn.TEXTJOIN(", ", TRUE,
    _xlfn.MAP(
      _xlfn.UNIQUE(
        _xlfn._xlws.FILTER(
          [1]SubmittalLog!$B$1:$B$4000,
          ([1]SubmittalLog!$E$1:$E$4000=M176) *
          ([1]SubmittalLog!$B$1:$B$4000&lt;&gt;""),
          ""
        )
      ),
      _xlfn.LAMBDA(_xlpm.val, TEXT(_xlpm.val, "000000"))
    )
  ),
""))</f>
        <v>001370</v>
      </c>
      <c r="W176" s="40" t="str" cm="1">
        <f t="array" ref="W176">IF(OR(M176="", M176="Deleted"), "", _xlfn.LET(
  _xlpm.doc_col, [1]SubmittalLog!$E$1:$E$4000,
  _xlpm.date_col, [1]SubmittalLog!$H$1:$H$4000,
  _xlpm.status_col, [1]SubmittalLog!$N$1:$N$4000,
  _xlpm.latest_date, _xlfn.MAXIFS(_xlpm.date_col, _xlpm.doc_col, M176),
  IF(_xlpm.latest_date=0, "NFS",
    _xlfn.LET(
      _xlpm.res, _xlfn.XLOOKUP(M176 &amp; "|" &amp; _xlpm.latest_date, _xlpm.doc_col &amp; "|" &amp; _xlpm.date_col, _xlpm.status_col, ""),
      IF(OR(_xlpm.res="", _xlpm.res=0), "", _xlpm.res)
    )
  )
))</f>
        <v>RTR</v>
      </c>
      <c r="X176" s="39">
        <f>IF(OR(M176="", M176="Deleted"), "", _xlfn.LET(
  _xlpm.doc_col, [1]SubmittalLog!$E$1:$E$4000,
  _xlpm.date_col, [1]SubmittalLog!$H$1:$H$4000,
  _xlpm.status_col, [1]SubmittalLog!$O$1:$O$4000,
  _xlpm.first_app_date, _xlfn.MINIFS(_xlpm.date_col, _xlpm.doc_col, M176, _xlpm.status_col, "APP"),
  _xlpm.first_awc_date, _xlfn.MINIFS(_xlpm.date_col, _xlpm.doc_col, M176, _xlpm.status_col, "AWC"),
  _xlpm.earliest_date, IF(
    AND(_xlpm.first_app_date=0, _xlpm.first_awc_date=0), 0,
    IF(_xlpm.first_app_date=0, _xlpm.first_awc_date,
    IF(_xlpm.first_awc_date=0, _xlpm.first_app_date,
    MIN(_xlpm.first_app_date, _xlpm.first_awc_date)))
  ),
  IF(_xlpm.earliest_date=0, "", _xlpm.earliest_date)
))</f>
        <v>45820</v>
      </c>
      <c r="Y176" s="40" t="str" cm="1">
        <f t="array" ref="Y176">IF(OR(M176="", M176="Deleted"), "", _xlfn.LET(
  _xlpm.doc_col, [1]SubmittalLog!$E$1:$E$4000,
  _xlpm.date_col, [1]SubmittalLog!$H$1:$H$4000,
  _xlpm.status_col, [1]SubmittalLog!$O$1:$O$4000,
  _xlpm.has_sub, COUNTIF(_xlpm.doc_col, M176),
  _xlpm.latest_reviewed_date, _xlfn.MAXIFS(_xlpm.date_col, _xlpm.doc_col, M176, _xlpm.status_col, "&lt;&gt;"),
  IF(_xlpm.has_sub=0, "",
    IF(_xlpm.latest_reviewed_date=0, "",
      _xlfn.LET(
        _xlpm.res, _xlfn.XLOOKUP(1, (_xlpm.doc_col=M176) * (_xlpm.date_col=_xlpm.latest_reviewed_date) * (_xlpm.status_col&lt;&gt;""), _xlpm.status_col, ""),
        IF(OR(_xlpm.res="", _xlpm.res=0), "", _xlpm.res)
      )
    )
  )
))</f>
        <v>AWC</v>
      </c>
    </row>
    <row r="177" spans="1:25" x14ac:dyDescent="0.35">
      <c r="A177" s="33">
        <f>IF($M177="","",MAX($A$1:A176)+1)</f>
        <v>163</v>
      </c>
      <c r="B177" s="23" t="s">
        <v>250</v>
      </c>
      <c r="C177" s="23" t="s">
        <v>234</v>
      </c>
      <c r="G177" s="33">
        <v>131236</v>
      </c>
      <c r="H177" s="33" t="s">
        <v>59</v>
      </c>
      <c r="I177" s="33" t="s">
        <v>297</v>
      </c>
      <c r="J177" s="33" t="s">
        <v>233</v>
      </c>
      <c r="K177" s="51">
        <v>5702</v>
      </c>
      <c r="M177" s="34" t="str">
        <f t="shared" si="2"/>
        <v>131236-WIL21-DR-M-5702</v>
      </c>
      <c r="N177" s="26" t="s">
        <v>3708</v>
      </c>
      <c r="P177" s="34" t="s">
        <v>3498</v>
      </c>
      <c r="S177" s="35">
        <v>45805</v>
      </c>
      <c r="T177" s="35">
        <v>45814</v>
      </c>
      <c r="U177" s="64" cm="1">
        <f t="array" ref="U177">IF(OR(M177="", M177="Deleted"), "", _xlfn.LET(
  _xlpm.dates,
  _xlfn._xlws.FILTER(
    [1]SubmittalLog!$H$1:$H$4000,
    [1]SubmittalLog!$E$1:$E$4000=M177,
    ""
  ),
  _xlpm.min_date, IFERROR(MIN(_xlpm.dates), ""),
  IF(_xlpm.min_date=0, "", _xlpm.min_date)
))</f>
        <v>45820</v>
      </c>
      <c r="V177" s="63" t="str" cm="1">
        <f t="array" ref="V177">IF(OR(M177="", M177="Deleted"), "", IFERROR(
  _xlfn.TEXTJOIN(", ", TRUE,
    _xlfn.MAP(
      _xlfn.UNIQUE(
        _xlfn._xlws.FILTER(
          [1]SubmittalLog!$B$1:$B$4000,
          ([1]SubmittalLog!$E$1:$E$4000=M177) *
          ([1]SubmittalLog!$B$1:$B$4000&lt;&gt;""),
          ""
        )
      ),
      _xlfn.LAMBDA(_xlpm.val, TEXT(_xlpm.val, "000000"))
    )
  ),
""))</f>
        <v>001371</v>
      </c>
      <c r="W177" s="40" t="str" cm="1">
        <f t="array" ref="W177">IF(OR(M177="", M177="Deleted"), "", _xlfn.LET(
  _xlpm.doc_col, [1]SubmittalLog!$E$1:$E$4000,
  _xlpm.date_col, [1]SubmittalLog!$H$1:$H$4000,
  _xlpm.status_col, [1]SubmittalLog!$N$1:$N$4000,
  _xlpm.latest_date, _xlfn.MAXIFS(_xlpm.date_col, _xlpm.doc_col, M177),
  IF(_xlpm.latest_date=0, "NFS",
    _xlfn.LET(
      _xlpm.res, _xlfn.XLOOKUP(M177 &amp; "|" &amp; _xlpm.latest_date, _xlpm.doc_col &amp; "|" &amp; _xlpm.date_col, _xlpm.status_col, ""),
      IF(OR(_xlpm.res="", _xlpm.res=0), "", _xlpm.res)
    )
  )
))</f>
        <v>RTR</v>
      </c>
      <c r="X177" s="39">
        <f>IF(OR(M177="", M177="Deleted"), "", _xlfn.LET(
  _xlpm.doc_col, [1]SubmittalLog!$E$1:$E$4000,
  _xlpm.date_col, [1]SubmittalLog!$H$1:$H$4000,
  _xlpm.status_col, [1]SubmittalLog!$O$1:$O$4000,
  _xlpm.first_app_date, _xlfn.MINIFS(_xlpm.date_col, _xlpm.doc_col, M177, _xlpm.status_col, "APP"),
  _xlpm.first_awc_date, _xlfn.MINIFS(_xlpm.date_col, _xlpm.doc_col, M177, _xlpm.status_col, "AWC"),
  _xlpm.earliest_date, IF(
    AND(_xlpm.first_app_date=0, _xlpm.first_awc_date=0), 0,
    IF(_xlpm.first_app_date=0, _xlpm.first_awc_date,
    IF(_xlpm.first_awc_date=0, _xlpm.first_app_date,
    MIN(_xlpm.first_app_date, _xlpm.first_awc_date)))
  ),
  IF(_xlpm.earliest_date=0, "", _xlpm.earliest_date)
))</f>
        <v>45820</v>
      </c>
      <c r="Y177" s="40" t="str" cm="1">
        <f t="array" ref="Y177">IF(OR(M177="", M177="Deleted"), "", _xlfn.LET(
  _xlpm.doc_col, [1]SubmittalLog!$E$1:$E$4000,
  _xlpm.date_col, [1]SubmittalLog!$H$1:$H$4000,
  _xlpm.status_col, [1]SubmittalLog!$O$1:$O$4000,
  _xlpm.has_sub, COUNTIF(_xlpm.doc_col, M177),
  _xlpm.latest_reviewed_date, _xlfn.MAXIFS(_xlpm.date_col, _xlpm.doc_col, M177, _xlpm.status_col, "&lt;&gt;"),
  IF(_xlpm.has_sub=0, "",
    IF(_xlpm.latest_reviewed_date=0, "",
      _xlfn.LET(
        _xlpm.res, _xlfn.XLOOKUP(1, (_xlpm.doc_col=M177) * (_xlpm.date_col=_xlpm.latest_reviewed_date) * (_xlpm.status_col&lt;&gt;""), _xlpm.status_col, ""),
        IF(OR(_xlpm.res="", _xlpm.res=0), "", _xlpm.res)
      )
    )
  )
))</f>
        <v>AWC</v>
      </c>
    </row>
    <row r="178" spans="1:25" x14ac:dyDescent="0.35">
      <c r="A178" s="33">
        <f>IF($M178="","",MAX($A$1:A177)+1)</f>
        <v>164</v>
      </c>
      <c r="B178" s="23" t="s">
        <v>250</v>
      </c>
      <c r="C178" s="23" t="s">
        <v>234</v>
      </c>
      <c r="G178" s="33">
        <v>131236</v>
      </c>
      <c r="H178" s="33" t="s">
        <v>59</v>
      </c>
      <c r="I178" s="33" t="s">
        <v>297</v>
      </c>
      <c r="J178" s="33" t="s">
        <v>233</v>
      </c>
      <c r="K178" s="51">
        <v>5703</v>
      </c>
      <c r="M178" s="34" t="str">
        <f t="shared" si="2"/>
        <v>131236-WIL21-DR-M-5703</v>
      </c>
      <c r="N178" s="26" t="s">
        <v>3709</v>
      </c>
      <c r="P178" s="34" t="s">
        <v>3498</v>
      </c>
      <c r="S178" s="35">
        <v>45805</v>
      </c>
      <c r="T178" s="35">
        <v>45814</v>
      </c>
      <c r="U178" s="64" cm="1">
        <f t="array" ref="U178">IF(OR(M178="", M178="Deleted"), "", _xlfn.LET(
  _xlpm.dates,
  _xlfn._xlws.FILTER(
    [1]SubmittalLog!$H$1:$H$4000,
    [1]SubmittalLog!$E$1:$E$4000=M178,
    ""
  ),
  _xlpm.min_date, IFERROR(MIN(_xlpm.dates), ""),
  IF(_xlpm.min_date=0, "", _xlpm.min_date)
))</f>
        <v>45820</v>
      </c>
      <c r="V178" s="63" t="str" cm="1">
        <f t="array" ref="V178">IF(OR(M178="", M178="Deleted"), "", IFERROR(
  _xlfn.TEXTJOIN(", ", TRUE,
    _xlfn.MAP(
      _xlfn.UNIQUE(
        _xlfn._xlws.FILTER(
          [1]SubmittalLog!$B$1:$B$4000,
          ([1]SubmittalLog!$E$1:$E$4000=M178) *
          ([1]SubmittalLog!$B$1:$B$4000&lt;&gt;""),
          ""
        )
      ),
      _xlfn.LAMBDA(_xlpm.val, TEXT(_xlpm.val, "000000"))
    )
  ),
""))</f>
        <v>001372</v>
      </c>
      <c r="W178" s="40" t="str" cm="1">
        <f t="array" ref="W178">IF(OR(M178="", M178="Deleted"), "", _xlfn.LET(
  _xlpm.doc_col, [1]SubmittalLog!$E$1:$E$4000,
  _xlpm.date_col, [1]SubmittalLog!$H$1:$H$4000,
  _xlpm.status_col, [1]SubmittalLog!$N$1:$N$4000,
  _xlpm.latest_date, _xlfn.MAXIFS(_xlpm.date_col, _xlpm.doc_col, M178),
  IF(_xlpm.latest_date=0, "NFS",
    _xlfn.LET(
      _xlpm.res, _xlfn.XLOOKUP(M178 &amp; "|" &amp; _xlpm.latest_date, _xlpm.doc_col &amp; "|" &amp; _xlpm.date_col, _xlpm.status_col, ""),
      IF(OR(_xlpm.res="", _xlpm.res=0), "", _xlpm.res)
    )
  )
))</f>
        <v>RTR</v>
      </c>
      <c r="X178" s="39">
        <f>IF(OR(M178="", M178="Deleted"), "", _xlfn.LET(
  _xlpm.doc_col, [1]SubmittalLog!$E$1:$E$4000,
  _xlpm.date_col, [1]SubmittalLog!$H$1:$H$4000,
  _xlpm.status_col, [1]SubmittalLog!$O$1:$O$4000,
  _xlpm.first_app_date, _xlfn.MINIFS(_xlpm.date_col, _xlpm.doc_col, M178, _xlpm.status_col, "APP"),
  _xlpm.first_awc_date, _xlfn.MINIFS(_xlpm.date_col, _xlpm.doc_col, M178, _xlpm.status_col, "AWC"),
  _xlpm.earliest_date, IF(
    AND(_xlpm.first_app_date=0, _xlpm.first_awc_date=0), 0,
    IF(_xlpm.first_app_date=0, _xlpm.first_awc_date,
    IF(_xlpm.first_awc_date=0, _xlpm.first_app_date,
    MIN(_xlpm.first_app_date, _xlpm.first_awc_date)))
  ),
  IF(_xlpm.earliest_date=0, "", _xlpm.earliest_date)
))</f>
        <v>45820</v>
      </c>
      <c r="Y178" s="40" t="str" cm="1">
        <f t="array" ref="Y178">IF(OR(M178="", M178="Deleted"), "", _xlfn.LET(
  _xlpm.doc_col, [1]SubmittalLog!$E$1:$E$4000,
  _xlpm.date_col, [1]SubmittalLog!$H$1:$H$4000,
  _xlpm.status_col, [1]SubmittalLog!$O$1:$O$4000,
  _xlpm.has_sub, COUNTIF(_xlpm.doc_col, M178),
  _xlpm.latest_reviewed_date, _xlfn.MAXIFS(_xlpm.date_col, _xlpm.doc_col, M178, _xlpm.status_col, "&lt;&gt;"),
  IF(_xlpm.has_sub=0, "",
    IF(_xlpm.latest_reviewed_date=0, "",
      _xlfn.LET(
        _xlpm.res, _xlfn.XLOOKUP(1, (_xlpm.doc_col=M178) * (_xlpm.date_col=_xlpm.latest_reviewed_date) * (_xlpm.status_col&lt;&gt;""), _xlpm.status_col, ""),
        IF(OR(_xlpm.res="", _xlpm.res=0), "", _xlpm.res)
      )
    )
  )
))</f>
        <v>AWC</v>
      </c>
    </row>
    <row r="179" spans="1:25" x14ac:dyDescent="0.35">
      <c r="A179" s="33">
        <f>IF($M179="","",MAX($A$1:A178)+1)</f>
        <v>165</v>
      </c>
      <c r="B179" s="23" t="s">
        <v>250</v>
      </c>
      <c r="C179" s="23" t="s">
        <v>234</v>
      </c>
      <c r="G179" s="33">
        <v>131236</v>
      </c>
      <c r="H179" s="33" t="s">
        <v>59</v>
      </c>
      <c r="I179" s="33" t="s">
        <v>297</v>
      </c>
      <c r="J179" s="33" t="s">
        <v>233</v>
      </c>
      <c r="K179" s="51" t="s">
        <v>3710</v>
      </c>
      <c r="M179" s="34" t="str">
        <f t="shared" si="2"/>
        <v>131236-WIL21-DR-M-5711</v>
      </c>
      <c r="N179" s="26" t="s">
        <v>3711</v>
      </c>
      <c r="P179" s="34" t="s">
        <v>3498</v>
      </c>
      <c r="S179" s="35">
        <v>45824</v>
      </c>
      <c r="T179" s="35">
        <v>45814</v>
      </c>
      <c r="U179" s="64" cm="1">
        <f t="array" ref="U179">IF(OR(M179="", M179="Deleted"), "", _xlfn.LET(
  _xlpm.dates,
  _xlfn._xlws.FILTER(
    [1]SubmittalLog!$H$1:$H$4000,
    [1]SubmittalLog!$E$1:$E$4000=M179,
    ""
  ),
  _xlpm.min_date, IFERROR(MIN(_xlpm.dates), ""),
  IF(_xlpm.min_date=0, "", _xlpm.min_date)
))</f>
        <v>45820</v>
      </c>
      <c r="V179" s="63" t="str" cm="1">
        <f t="array" ref="V179">IF(OR(M179="", M179="Deleted"), "", IFERROR(
  _xlfn.TEXTJOIN(", ", TRUE,
    _xlfn.MAP(
      _xlfn.UNIQUE(
        _xlfn._xlws.FILTER(
          [1]SubmittalLog!$B$1:$B$4000,
          ([1]SubmittalLog!$E$1:$E$4000=M179) *
          ([1]SubmittalLog!$B$1:$B$4000&lt;&gt;""),
          ""
        )
      ),
      _xlfn.LAMBDA(_xlpm.val, TEXT(_xlpm.val, "000000"))
    )
  ),
""))</f>
        <v>001373</v>
      </c>
      <c r="W179" s="40" t="str" cm="1">
        <f t="array" ref="W179">IF(OR(M179="", M179="Deleted"), "", _xlfn.LET(
  _xlpm.doc_col, [1]SubmittalLog!$E$1:$E$4000,
  _xlpm.date_col, [1]SubmittalLog!$H$1:$H$4000,
  _xlpm.status_col, [1]SubmittalLog!$N$1:$N$4000,
  _xlpm.latest_date, _xlfn.MAXIFS(_xlpm.date_col, _xlpm.doc_col, M179),
  IF(_xlpm.latest_date=0, "NFS",
    _xlfn.LET(
      _xlpm.res, _xlfn.XLOOKUP(M179 &amp; "|" &amp; _xlpm.latest_date, _xlpm.doc_col &amp; "|" &amp; _xlpm.date_col, _xlpm.status_col, ""),
      IF(OR(_xlpm.res="", _xlpm.res=0), "", _xlpm.res)
    )
  )
))</f>
        <v>RTR</v>
      </c>
      <c r="X179" s="39">
        <f>IF(OR(M179="", M179="Deleted"), "", _xlfn.LET(
  _xlpm.doc_col, [1]SubmittalLog!$E$1:$E$4000,
  _xlpm.date_col, [1]SubmittalLog!$H$1:$H$4000,
  _xlpm.status_col, [1]SubmittalLog!$O$1:$O$4000,
  _xlpm.first_app_date, _xlfn.MINIFS(_xlpm.date_col, _xlpm.doc_col, M179, _xlpm.status_col, "APP"),
  _xlpm.first_awc_date, _xlfn.MINIFS(_xlpm.date_col, _xlpm.doc_col, M179, _xlpm.status_col, "AWC"),
  _xlpm.earliest_date, IF(
    AND(_xlpm.first_app_date=0, _xlpm.first_awc_date=0), 0,
    IF(_xlpm.first_app_date=0, _xlpm.first_awc_date,
    IF(_xlpm.first_awc_date=0, _xlpm.first_app_date,
    MIN(_xlpm.first_app_date, _xlpm.first_awc_date)))
  ),
  IF(_xlpm.earliest_date=0, "", _xlpm.earliest_date)
))</f>
        <v>45820</v>
      </c>
      <c r="Y179" s="40" t="str" cm="1">
        <f t="array" ref="Y179">IF(OR(M179="", M179="Deleted"), "", _xlfn.LET(
  _xlpm.doc_col, [1]SubmittalLog!$E$1:$E$4000,
  _xlpm.date_col, [1]SubmittalLog!$H$1:$H$4000,
  _xlpm.status_col, [1]SubmittalLog!$O$1:$O$4000,
  _xlpm.has_sub, COUNTIF(_xlpm.doc_col, M179),
  _xlpm.latest_reviewed_date, _xlfn.MAXIFS(_xlpm.date_col, _xlpm.doc_col, M179, _xlpm.status_col, "&lt;&gt;"),
  IF(_xlpm.has_sub=0, "",
    IF(_xlpm.latest_reviewed_date=0, "",
      _xlfn.LET(
        _xlpm.res, _xlfn.XLOOKUP(1, (_xlpm.doc_col=M179) * (_xlpm.date_col=_xlpm.latest_reviewed_date) * (_xlpm.status_col&lt;&gt;""), _xlpm.status_col, ""),
        IF(OR(_xlpm.res="", _xlpm.res=0), "", _xlpm.res)
      )
    )
  )
))</f>
        <v>AWC</v>
      </c>
    </row>
    <row r="180" spans="1:25" x14ac:dyDescent="0.35">
      <c r="A180" s="33">
        <f>IF($M180="","",MAX($A$1:A179)+1)</f>
        <v>166</v>
      </c>
      <c r="B180" s="23" t="s">
        <v>54</v>
      </c>
      <c r="C180" s="23" t="s">
        <v>234</v>
      </c>
      <c r="G180" s="33">
        <v>131236</v>
      </c>
      <c r="H180" s="33" t="s">
        <v>59</v>
      </c>
      <c r="I180" s="33" t="s">
        <v>297</v>
      </c>
      <c r="J180" s="33" t="s">
        <v>233</v>
      </c>
      <c r="K180" s="51" t="s">
        <v>3712</v>
      </c>
      <c r="M180" s="34" t="str">
        <f t="shared" si="2"/>
        <v>Deleted</v>
      </c>
      <c r="N180" s="26" t="s">
        <v>3713</v>
      </c>
      <c r="P180" s="34" t="s">
        <v>3498</v>
      </c>
      <c r="S180" s="35">
        <v>45805</v>
      </c>
      <c r="T180" s="35">
        <v>45925</v>
      </c>
      <c r="U180" s="64" t="str" cm="1">
        <f t="array" ref="U180">IF(OR(M180="", M180="Deleted"), "", _xlfn.LET(
  _xlpm.dates,
  _xlfn._xlws.FILTER(
    [1]SubmittalLog!$H$1:$H$4000,
    [1]SubmittalLog!$E$1:$E$4000=M180,
    ""
  ),
  _xlpm.min_date, IFERROR(MIN(_xlpm.dates), ""),
  IF(_xlpm.min_date=0, "", _xlpm.min_date)
))</f>
        <v/>
      </c>
      <c r="V180" s="63" t="str" cm="1">
        <f t="array" ref="V180">IF(OR(M180="", M180="Deleted"), "", IFERROR(
  _xlfn.TEXTJOIN(", ", TRUE,
    _xlfn.MAP(
      _xlfn.UNIQUE(
        _xlfn._xlws.FILTER(
          [1]SubmittalLog!$B$1:$B$4000,
          ([1]SubmittalLog!$E$1:$E$4000=M180) *
          ([1]SubmittalLog!$B$1:$B$4000&lt;&gt;""),
          ""
        )
      ),
      _xlfn.LAMBDA(_xlpm.val, TEXT(_xlpm.val, "000000"))
    )
  ),
""))</f>
        <v/>
      </c>
      <c r="W180" s="40" t="str" cm="1">
        <f t="array" ref="W180">IF(OR(M180="", M180="Deleted"), "", _xlfn.LET(
  _xlpm.doc_col, [1]SubmittalLog!$E$1:$E$4000,
  _xlpm.date_col, [1]SubmittalLog!$H$1:$H$4000,
  _xlpm.status_col, [1]SubmittalLog!$N$1:$N$4000,
  _xlpm.latest_date, _xlfn.MAXIFS(_xlpm.date_col, _xlpm.doc_col, M180),
  IF(_xlpm.latest_date=0, "NFS",
    _xlfn.LET(
      _xlpm.res, _xlfn.XLOOKUP(M180 &amp; "|" &amp; _xlpm.latest_date, _xlpm.doc_col &amp; "|" &amp; _xlpm.date_col, _xlpm.status_col, ""),
      IF(OR(_xlpm.res="", _xlpm.res=0), "", _xlpm.res)
    )
  )
))</f>
        <v/>
      </c>
      <c r="X180" s="39" t="str">
        <f>IF(OR(M180="", M180="Deleted"), "", _xlfn.LET(
  _xlpm.doc_col, [1]SubmittalLog!$E$1:$E$4000,
  _xlpm.date_col, [1]SubmittalLog!$H$1:$H$4000,
  _xlpm.status_col, [1]SubmittalLog!$O$1:$O$4000,
  _xlpm.first_app_date, _xlfn.MINIFS(_xlpm.date_col, _xlpm.doc_col, M180, _xlpm.status_col, "APP"),
  _xlpm.first_awc_date, _xlfn.MINIFS(_xlpm.date_col, _xlpm.doc_col, M180, _xlpm.status_col, "AWC"),
  _xlpm.earliest_date, IF(
    AND(_xlpm.first_app_date=0, _xlpm.first_awc_date=0), 0,
    IF(_xlpm.first_app_date=0, _xlpm.first_awc_date,
    IF(_xlpm.first_awc_date=0, _xlpm.first_app_date,
    MIN(_xlpm.first_app_date, _xlpm.first_awc_date)))
  ),
  IF(_xlpm.earliest_date=0, "", _xlpm.earliest_date)
))</f>
        <v/>
      </c>
      <c r="Y180" s="40" t="str" cm="1">
        <f t="array" ref="Y180">IF(OR(M180="", M180="Deleted"), "", _xlfn.LET(
  _xlpm.doc_col, [1]SubmittalLog!$E$1:$E$4000,
  _xlpm.date_col, [1]SubmittalLog!$H$1:$H$4000,
  _xlpm.status_col, [1]SubmittalLog!$O$1:$O$4000,
  _xlpm.has_sub, COUNTIF(_xlpm.doc_col, M180),
  _xlpm.latest_reviewed_date, _xlfn.MAXIFS(_xlpm.date_col, _xlpm.doc_col, M180, _xlpm.status_col, "&lt;&gt;"),
  IF(_xlpm.has_sub=0, "",
    IF(_xlpm.latest_reviewed_date=0, "",
      _xlfn.LET(
        _xlpm.res, _xlfn.XLOOKUP(1, (_xlpm.doc_col=M180) * (_xlpm.date_col=_xlpm.latest_reviewed_date) * (_xlpm.status_col&lt;&gt;""), _xlpm.status_col, ""),
        IF(OR(_xlpm.res="", _xlpm.res=0), "", _xlpm.res)
      )
    )
  )
))</f>
        <v/>
      </c>
    </row>
    <row r="181" spans="1:25" x14ac:dyDescent="0.35">
      <c r="A181" s="33">
        <f>IF($M181="","",MAX($A$1:A180)+1)</f>
        <v>167</v>
      </c>
      <c r="B181" s="23" t="s">
        <v>54</v>
      </c>
      <c r="C181" s="23" t="s">
        <v>234</v>
      </c>
      <c r="G181" s="33">
        <v>131236</v>
      </c>
      <c r="H181" s="33" t="s">
        <v>59</v>
      </c>
      <c r="I181" s="33" t="s">
        <v>297</v>
      </c>
      <c r="J181" s="33" t="s">
        <v>233</v>
      </c>
      <c r="K181" s="51" t="s">
        <v>3714</v>
      </c>
      <c r="M181" s="34" t="str">
        <f t="shared" si="2"/>
        <v>Deleted</v>
      </c>
      <c r="N181" s="26" t="s">
        <v>3715</v>
      </c>
      <c r="P181" s="34" t="s">
        <v>3498</v>
      </c>
      <c r="S181" s="35">
        <v>45805</v>
      </c>
      <c r="T181" s="35">
        <v>45925</v>
      </c>
      <c r="U181" s="64" t="str" cm="1">
        <f t="array" ref="U181">IF(OR(M181="", M181="Deleted"), "", _xlfn.LET(
  _xlpm.dates,
  _xlfn._xlws.FILTER(
    [1]SubmittalLog!$H$1:$H$4000,
    [1]SubmittalLog!$E$1:$E$4000=M181,
    ""
  ),
  _xlpm.min_date, IFERROR(MIN(_xlpm.dates), ""),
  IF(_xlpm.min_date=0, "", _xlpm.min_date)
))</f>
        <v/>
      </c>
      <c r="V181" s="63" t="str" cm="1">
        <f t="array" ref="V181">IF(OR(M181="", M181="Deleted"), "", IFERROR(
  _xlfn.TEXTJOIN(", ", TRUE,
    _xlfn.MAP(
      _xlfn.UNIQUE(
        _xlfn._xlws.FILTER(
          [1]SubmittalLog!$B$1:$B$4000,
          ([1]SubmittalLog!$E$1:$E$4000=M181) *
          ([1]SubmittalLog!$B$1:$B$4000&lt;&gt;""),
          ""
        )
      ),
      _xlfn.LAMBDA(_xlpm.val, TEXT(_xlpm.val, "000000"))
    )
  ),
""))</f>
        <v/>
      </c>
      <c r="W181" s="40" t="str" cm="1">
        <f t="array" ref="W181">IF(OR(M181="", M181="Deleted"), "", _xlfn.LET(
  _xlpm.doc_col, [1]SubmittalLog!$E$1:$E$4000,
  _xlpm.date_col, [1]SubmittalLog!$H$1:$H$4000,
  _xlpm.status_col, [1]SubmittalLog!$N$1:$N$4000,
  _xlpm.latest_date, _xlfn.MAXIFS(_xlpm.date_col, _xlpm.doc_col, M181),
  IF(_xlpm.latest_date=0, "NFS",
    _xlfn.LET(
      _xlpm.res, _xlfn.XLOOKUP(M181 &amp; "|" &amp; _xlpm.latest_date, _xlpm.doc_col &amp; "|" &amp; _xlpm.date_col, _xlpm.status_col, ""),
      IF(OR(_xlpm.res="", _xlpm.res=0), "", _xlpm.res)
    )
  )
))</f>
        <v/>
      </c>
      <c r="X181" s="39" t="str">
        <f>IF(OR(M181="", M181="Deleted"), "", _xlfn.LET(
  _xlpm.doc_col, [1]SubmittalLog!$E$1:$E$4000,
  _xlpm.date_col, [1]SubmittalLog!$H$1:$H$4000,
  _xlpm.status_col, [1]SubmittalLog!$O$1:$O$4000,
  _xlpm.first_app_date, _xlfn.MINIFS(_xlpm.date_col, _xlpm.doc_col, M181, _xlpm.status_col, "APP"),
  _xlpm.first_awc_date, _xlfn.MINIFS(_xlpm.date_col, _xlpm.doc_col, M181, _xlpm.status_col, "AWC"),
  _xlpm.earliest_date, IF(
    AND(_xlpm.first_app_date=0, _xlpm.first_awc_date=0), 0,
    IF(_xlpm.first_app_date=0, _xlpm.first_awc_date,
    IF(_xlpm.first_awc_date=0, _xlpm.first_app_date,
    MIN(_xlpm.first_app_date, _xlpm.first_awc_date)))
  ),
  IF(_xlpm.earliest_date=0, "", _xlpm.earliest_date)
))</f>
        <v/>
      </c>
      <c r="Y181" s="40" t="str" cm="1">
        <f t="array" ref="Y181">IF(OR(M181="", M181="Deleted"), "", _xlfn.LET(
  _xlpm.doc_col, [1]SubmittalLog!$E$1:$E$4000,
  _xlpm.date_col, [1]SubmittalLog!$H$1:$H$4000,
  _xlpm.status_col, [1]SubmittalLog!$O$1:$O$4000,
  _xlpm.has_sub, COUNTIF(_xlpm.doc_col, M181),
  _xlpm.latest_reviewed_date, _xlfn.MAXIFS(_xlpm.date_col, _xlpm.doc_col, M181, _xlpm.status_col, "&lt;&gt;"),
  IF(_xlpm.has_sub=0, "",
    IF(_xlpm.latest_reviewed_date=0, "",
      _xlfn.LET(
        _xlpm.res, _xlfn.XLOOKUP(1, (_xlpm.doc_col=M181) * (_xlpm.date_col=_xlpm.latest_reviewed_date) * (_xlpm.status_col&lt;&gt;""), _xlpm.status_col, ""),
        IF(OR(_xlpm.res="", _xlpm.res=0), "", _xlpm.res)
      )
    )
  )
))</f>
        <v/>
      </c>
    </row>
    <row r="182" spans="1:25" x14ac:dyDescent="0.35">
      <c r="A182" s="33">
        <f>IF($M182="","",MAX($A$1:A181)+1)</f>
        <v>168</v>
      </c>
      <c r="B182" s="23" t="s">
        <v>54</v>
      </c>
      <c r="C182" s="23" t="s">
        <v>234</v>
      </c>
      <c r="G182" s="33">
        <v>131236</v>
      </c>
      <c r="H182" s="33" t="s">
        <v>59</v>
      </c>
      <c r="I182" s="33" t="s">
        <v>297</v>
      </c>
      <c r="J182" s="33" t="s">
        <v>233</v>
      </c>
      <c r="K182" s="51" t="s">
        <v>3567</v>
      </c>
      <c r="M182" s="34" t="str">
        <f t="shared" si="2"/>
        <v>Deleted</v>
      </c>
      <c r="N182" s="26" t="s">
        <v>3716</v>
      </c>
      <c r="P182" s="34" t="s">
        <v>3498</v>
      </c>
      <c r="S182" s="35">
        <v>45805</v>
      </c>
      <c r="T182" s="35">
        <v>45925</v>
      </c>
      <c r="U182" s="64" t="str" cm="1">
        <f t="array" ref="U182">IF(OR(M182="", M182="Deleted"), "", _xlfn.LET(
  _xlpm.dates,
  _xlfn._xlws.FILTER(
    [1]SubmittalLog!$H$1:$H$4000,
    [1]SubmittalLog!$E$1:$E$4000=M182,
    ""
  ),
  _xlpm.min_date, IFERROR(MIN(_xlpm.dates), ""),
  IF(_xlpm.min_date=0, "", _xlpm.min_date)
))</f>
        <v/>
      </c>
      <c r="V182" s="63" t="str" cm="1">
        <f t="array" ref="V182">IF(OR(M182="", M182="Deleted"), "", IFERROR(
  _xlfn.TEXTJOIN(", ", TRUE,
    _xlfn.MAP(
      _xlfn.UNIQUE(
        _xlfn._xlws.FILTER(
          [1]SubmittalLog!$B$1:$B$4000,
          ([1]SubmittalLog!$E$1:$E$4000=M182) *
          ([1]SubmittalLog!$B$1:$B$4000&lt;&gt;""),
          ""
        )
      ),
      _xlfn.LAMBDA(_xlpm.val, TEXT(_xlpm.val, "000000"))
    )
  ),
""))</f>
        <v/>
      </c>
      <c r="W182" s="40" t="str" cm="1">
        <f t="array" ref="W182">IF(OR(M182="", M182="Deleted"), "", _xlfn.LET(
  _xlpm.doc_col, [1]SubmittalLog!$E$1:$E$4000,
  _xlpm.date_col, [1]SubmittalLog!$H$1:$H$4000,
  _xlpm.status_col, [1]SubmittalLog!$N$1:$N$4000,
  _xlpm.latest_date, _xlfn.MAXIFS(_xlpm.date_col, _xlpm.doc_col, M182),
  IF(_xlpm.latest_date=0, "NFS",
    _xlfn.LET(
      _xlpm.res, _xlfn.XLOOKUP(M182 &amp; "|" &amp; _xlpm.latest_date, _xlpm.doc_col &amp; "|" &amp; _xlpm.date_col, _xlpm.status_col, ""),
      IF(OR(_xlpm.res="", _xlpm.res=0), "", _xlpm.res)
    )
  )
))</f>
        <v/>
      </c>
      <c r="X182" s="39" t="str">
        <f>IF(OR(M182="", M182="Deleted"), "", _xlfn.LET(
  _xlpm.doc_col, [1]SubmittalLog!$E$1:$E$4000,
  _xlpm.date_col, [1]SubmittalLog!$H$1:$H$4000,
  _xlpm.status_col, [1]SubmittalLog!$O$1:$O$4000,
  _xlpm.first_app_date, _xlfn.MINIFS(_xlpm.date_col, _xlpm.doc_col, M182, _xlpm.status_col, "APP"),
  _xlpm.first_awc_date, _xlfn.MINIFS(_xlpm.date_col, _xlpm.doc_col, M182, _xlpm.status_col, "AWC"),
  _xlpm.earliest_date, IF(
    AND(_xlpm.first_app_date=0, _xlpm.first_awc_date=0), 0,
    IF(_xlpm.first_app_date=0, _xlpm.first_awc_date,
    IF(_xlpm.first_awc_date=0, _xlpm.first_app_date,
    MIN(_xlpm.first_app_date, _xlpm.first_awc_date)))
  ),
  IF(_xlpm.earliest_date=0, "", _xlpm.earliest_date)
))</f>
        <v/>
      </c>
      <c r="Y182" s="40" t="str" cm="1">
        <f t="array" ref="Y182">IF(OR(M182="", M182="Deleted"), "", _xlfn.LET(
  _xlpm.doc_col, [1]SubmittalLog!$E$1:$E$4000,
  _xlpm.date_col, [1]SubmittalLog!$H$1:$H$4000,
  _xlpm.status_col, [1]SubmittalLog!$O$1:$O$4000,
  _xlpm.has_sub, COUNTIF(_xlpm.doc_col, M182),
  _xlpm.latest_reviewed_date, _xlfn.MAXIFS(_xlpm.date_col, _xlpm.doc_col, M182, _xlpm.status_col, "&lt;&gt;"),
  IF(_xlpm.has_sub=0, "",
    IF(_xlpm.latest_reviewed_date=0, "",
      _xlfn.LET(
        _xlpm.res, _xlfn.XLOOKUP(1, (_xlpm.doc_col=M182) * (_xlpm.date_col=_xlpm.latest_reviewed_date) * (_xlpm.status_col&lt;&gt;""), _xlpm.status_col, ""),
        IF(OR(_xlpm.res="", _xlpm.res=0), "", _xlpm.res)
      )
    )
  )
))</f>
        <v/>
      </c>
    </row>
    <row r="183" spans="1:25" x14ac:dyDescent="0.35">
      <c r="A183" s="33">
        <f>IF($M183="","",MAX($A$1:A182)+1)</f>
        <v>169</v>
      </c>
      <c r="B183" s="23" t="s">
        <v>54</v>
      </c>
      <c r="C183" s="23" t="s">
        <v>234</v>
      </c>
      <c r="G183" s="33">
        <v>131236</v>
      </c>
      <c r="H183" s="33" t="s">
        <v>59</v>
      </c>
      <c r="I183" s="33" t="s">
        <v>297</v>
      </c>
      <c r="J183" s="33" t="s">
        <v>233</v>
      </c>
      <c r="K183" s="51" t="s">
        <v>3569</v>
      </c>
      <c r="M183" s="34" t="str">
        <f t="shared" si="2"/>
        <v>Deleted</v>
      </c>
      <c r="N183" s="26" t="s">
        <v>3717</v>
      </c>
      <c r="P183" s="34" t="s">
        <v>3498</v>
      </c>
      <c r="S183" s="35">
        <v>45805</v>
      </c>
      <c r="T183" s="35">
        <v>45925</v>
      </c>
      <c r="U183" s="64" t="str" cm="1">
        <f t="array" ref="U183">IF(OR(M183="", M183="Deleted"), "", _xlfn.LET(
  _xlpm.dates,
  _xlfn._xlws.FILTER(
    [1]SubmittalLog!$H$1:$H$4000,
    [1]SubmittalLog!$E$1:$E$4000=M183,
    ""
  ),
  _xlpm.min_date, IFERROR(MIN(_xlpm.dates), ""),
  IF(_xlpm.min_date=0, "", _xlpm.min_date)
))</f>
        <v/>
      </c>
      <c r="V183" s="63" t="str" cm="1">
        <f t="array" ref="V183">IF(OR(M183="", M183="Deleted"), "", IFERROR(
  _xlfn.TEXTJOIN(", ", TRUE,
    _xlfn.MAP(
      _xlfn.UNIQUE(
        _xlfn._xlws.FILTER(
          [1]SubmittalLog!$B$1:$B$4000,
          ([1]SubmittalLog!$E$1:$E$4000=M183) *
          ([1]SubmittalLog!$B$1:$B$4000&lt;&gt;""),
          ""
        )
      ),
      _xlfn.LAMBDA(_xlpm.val, TEXT(_xlpm.val, "000000"))
    )
  ),
""))</f>
        <v/>
      </c>
      <c r="W183" s="40" t="str" cm="1">
        <f t="array" ref="W183">IF(OR(M183="", M183="Deleted"), "", _xlfn.LET(
  _xlpm.doc_col, [1]SubmittalLog!$E$1:$E$4000,
  _xlpm.date_col, [1]SubmittalLog!$H$1:$H$4000,
  _xlpm.status_col, [1]SubmittalLog!$N$1:$N$4000,
  _xlpm.latest_date, _xlfn.MAXIFS(_xlpm.date_col, _xlpm.doc_col, M183),
  IF(_xlpm.latest_date=0, "NFS",
    _xlfn.LET(
      _xlpm.res, _xlfn.XLOOKUP(M183 &amp; "|" &amp; _xlpm.latest_date, _xlpm.doc_col &amp; "|" &amp; _xlpm.date_col, _xlpm.status_col, ""),
      IF(OR(_xlpm.res="", _xlpm.res=0), "", _xlpm.res)
    )
  )
))</f>
        <v/>
      </c>
      <c r="X183" s="39" t="str">
        <f>IF(OR(M183="", M183="Deleted"), "", _xlfn.LET(
  _xlpm.doc_col, [1]SubmittalLog!$E$1:$E$4000,
  _xlpm.date_col, [1]SubmittalLog!$H$1:$H$4000,
  _xlpm.status_col, [1]SubmittalLog!$O$1:$O$4000,
  _xlpm.first_app_date, _xlfn.MINIFS(_xlpm.date_col, _xlpm.doc_col, M183, _xlpm.status_col, "APP"),
  _xlpm.first_awc_date, _xlfn.MINIFS(_xlpm.date_col, _xlpm.doc_col, M183, _xlpm.status_col, "AWC"),
  _xlpm.earliest_date, IF(
    AND(_xlpm.first_app_date=0, _xlpm.first_awc_date=0), 0,
    IF(_xlpm.first_app_date=0, _xlpm.first_awc_date,
    IF(_xlpm.first_awc_date=0, _xlpm.first_app_date,
    MIN(_xlpm.first_app_date, _xlpm.first_awc_date)))
  ),
  IF(_xlpm.earliest_date=0, "", _xlpm.earliest_date)
))</f>
        <v/>
      </c>
      <c r="Y183" s="40" t="str" cm="1">
        <f t="array" ref="Y183">IF(OR(M183="", M183="Deleted"), "", _xlfn.LET(
  _xlpm.doc_col, [1]SubmittalLog!$E$1:$E$4000,
  _xlpm.date_col, [1]SubmittalLog!$H$1:$H$4000,
  _xlpm.status_col, [1]SubmittalLog!$O$1:$O$4000,
  _xlpm.has_sub, COUNTIF(_xlpm.doc_col, M183),
  _xlpm.latest_reviewed_date, _xlfn.MAXIFS(_xlpm.date_col, _xlpm.doc_col, M183, _xlpm.status_col, "&lt;&gt;"),
  IF(_xlpm.has_sub=0, "",
    IF(_xlpm.latest_reviewed_date=0, "",
      _xlfn.LET(
        _xlpm.res, _xlfn.XLOOKUP(1, (_xlpm.doc_col=M183) * (_xlpm.date_col=_xlpm.latest_reviewed_date) * (_xlpm.status_col&lt;&gt;""), _xlpm.status_col, ""),
        IF(OR(_xlpm.res="", _xlpm.res=0), "", _xlpm.res)
      )
    )
  )
))</f>
        <v/>
      </c>
    </row>
    <row r="184" spans="1:25" x14ac:dyDescent="0.35">
      <c r="A184" s="33">
        <f>IF($M184="","",MAX($A$1:A183)+1)</f>
        <v>170</v>
      </c>
      <c r="B184" s="23" t="s">
        <v>54</v>
      </c>
      <c r="C184" s="23" t="s">
        <v>234</v>
      </c>
      <c r="G184" s="33">
        <v>131236</v>
      </c>
      <c r="H184" s="33" t="s">
        <v>59</v>
      </c>
      <c r="I184" s="33" t="s">
        <v>297</v>
      </c>
      <c r="J184" s="33" t="s">
        <v>233</v>
      </c>
      <c r="K184" s="51" t="s">
        <v>3571</v>
      </c>
      <c r="M184" s="34" t="str">
        <f t="shared" si="2"/>
        <v>Deleted</v>
      </c>
      <c r="N184" s="26" t="s">
        <v>3718</v>
      </c>
      <c r="P184" s="34" t="s">
        <v>3498</v>
      </c>
      <c r="S184" s="35">
        <v>45805</v>
      </c>
      <c r="T184" s="35">
        <v>45925</v>
      </c>
      <c r="U184" s="64" t="str" cm="1">
        <f t="array" ref="U184">IF(OR(M184="", M184="Deleted"), "", _xlfn.LET(
  _xlpm.dates,
  _xlfn._xlws.FILTER(
    [1]SubmittalLog!$H$1:$H$4000,
    [1]SubmittalLog!$E$1:$E$4000=M184,
    ""
  ),
  _xlpm.min_date, IFERROR(MIN(_xlpm.dates), ""),
  IF(_xlpm.min_date=0, "", _xlpm.min_date)
))</f>
        <v/>
      </c>
      <c r="V184" s="63" t="str" cm="1">
        <f t="array" ref="V184">IF(OR(M184="", M184="Deleted"), "", IFERROR(
  _xlfn.TEXTJOIN(", ", TRUE,
    _xlfn.MAP(
      _xlfn.UNIQUE(
        _xlfn._xlws.FILTER(
          [1]SubmittalLog!$B$1:$B$4000,
          ([1]SubmittalLog!$E$1:$E$4000=M184) *
          ([1]SubmittalLog!$B$1:$B$4000&lt;&gt;""),
          ""
        )
      ),
      _xlfn.LAMBDA(_xlpm.val, TEXT(_xlpm.val, "000000"))
    )
  ),
""))</f>
        <v/>
      </c>
      <c r="W184" s="40" t="str" cm="1">
        <f t="array" ref="W184">IF(OR(M184="", M184="Deleted"), "", _xlfn.LET(
  _xlpm.doc_col, [1]SubmittalLog!$E$1:$E$4000,
  _xlpm.date_col, [1]SubmittalLog!$H$1:$H$4000,
  _xlpm.status_col, [1]SubmittalLog!$N$1:$N$4000,
  _xlpm.latest_date, _xlfn.MAXIFS(_xlpm.date_col, _xlpm.doc_col, M184),
  IF(_xlpm.latest_date=0, "NFS",
    _xlfn.LET(
      _xlpm.res, _xlfn.XLOOKUP(M184 &amp; "|" &amp; _xlpm.latest_date, _xlpm.doc_col &amp; "|" &amp; _xlpm.date_col, _xlpm.status_col, ""),
      IF(OR(_xlpm.res="", _xlpm.res=0), "", _xlpm.res)
    )
  )
))</f>
        <v/>
      </c>
      <c r="X184" s="39" t="str">
        <f>IF(OR(M184="", M184="Deleted"), "", _xlfn.LET(
  _xlpm.doc_col, [1]SubmittalLog!$E$1:$E$4000,
  _xlpm.date_col, [1]SubmittalLog!$H$1:$H$4000,
  _xlpm.status_col, [1]SubmittalLog!$O$1:$O$4000,
  _xlpm.first_app_date, _xlfn.MINIFS(_xlpm.date_col, _xlpm.doc_col, M184, _xlpm.status_col, "APP"),
  _xlpm.first_awc_date, _xlfn.MINIFS(_xlpm.date_col, _xlpm.doc_col, M184, _xlpm.status_col, "AWC"),
  _xlpm.earliest_date, IF(
    AND(_xlpm.first_app_date=0, _xlpm.first_awc_date=0), 0,
    IF(_xlpm.first_app_date=0, _xlpm.first_awc_date,
    IF(_xlpm.first_awc_date=0, _xlpm.first_app_date,
    MIN(_xlpm.first_app_date, _xlpm.first_awc_date)))
  ),
  IF(_xlpm.earliest_date=0, "", _xlpm.earliest_date)
))</f>
        <v/>
      </c>
      <c r="Y184" s="40" t="str" cm="1">
        <f t="array" ref="Y184">IF(OR(M184="", M184="Deleted"), "", _xlfn.LET(
  _xlpm.doc_col, [1]SubmittalLog!$E$1:$E$4000,
  _xlpm.date_col, [1]SubmittalLog!$H$1:$H$4000,
  _xlpm.status_col, [1]SubmittalLog!$O$1:$O$4000,
  _xlpm.has_sub, COUNTIF(_xlpm.doc_col, M184),
  _xlpm.latest_reviewed_date, _xlfn.MAXIFS(_xlpm.date_col, _xlpm.doc_col, M184, _xlpm.status_col, "&lt;&gt;"),
  IF(_xlpm.has_sub=0, "",
    IF(_xlpm.latest_reviewed_date=0, "",
      _xlfn.LET(
        _xlpm.res, _xlfn.XLOOKUP(1, (_xlpm.doc_col=M184) * (_xlpm.date_col=_xlpm.latest_reviewed_date) * (_xlpm.status_col&lt;&gt;""), _xlpm.status_col, ""),
        IF(OR(_xlpm.res="", _xlpm.res=0), "", _xlpm.res)
      )
    )
  )
))</f>
        <v/>
      </c>
    </row>
    <row r="185" spans="1:25" x14ac:dyDescent="0.35">
      <c r="A185" s="33">
        <f>IF($M185="","",MAX($A$1:A184)+1)</f>
        <v>171</v>
      </c>
      <c r="B185" s="23" t="s">
        <v>54</v>
      </c>
      <c r="C185" s="23" t="s">
        <v>234</v>
      </c>
      <c r="G185" s="33">
        <v>131236</v>
      </c>
      <c r="H185" s="33" t="s">
        <v>59</v>
      </c>
      <c r="I185" s="33" t="s">
        <v>297</v>
      </c>
      <c r="J185" s="33" t="s">
        <v>233</v>
      </c>
      <c r="K185" s="51" t="s">
        <v>3573</v>
      </c>
      <c r="M185" s="34" t="str">
        <f t="shared" si="2"/>
        <v>Deleted</v>
      </c>
      <c r="N185" s="26" t="s">
        <v>3719</v>
      </c>
      <c r="P185" s="34" t="s">
        <v>3498</v>
      </c>
      <c r="S185" s="35">
        <v>45805</v>
      </c>
      <c r="T185" s="35">
        <v>45925</v>
      </c>
      <c r="U185" s="64" t="str" cm="1">
        <f t="array" ref="U185">IF(OR(M185="", M185="Deleted"), "", _xlfn.LET(
  _xlpm.dates,
  _xlfn._xlws.FILTER(
    [1]SubmittalLog!$H$1:$H$4000,
    [1]SubmittalLog!$E$1:$E$4000=M185,
    ""
  ),
  _xlpm.min_date, IFERROR(MIN(_xlpm.dates), ""),
  IF(_xlpm.min_date=0, "", _xlpm.min_date)
))</f>
        <v/>
      </c>
      <c r="V185" s="63" t="str" cm="1">
        <f t="array" ref="V185">IF(OR(M185="", M185="Deleted"), "", IFERROR(
  _xlfn.TEXTJOIN(", ", TRUE,
    _xlfn.MAP(
      _xlfn.UNIQUE(
        _xlfn._xlws.FILTER(
          [1]SubmittalLog!$B$1:$B$4000,
          ([1]SubmittalLog!$E$1:$E$4000=M185) *
          ([1]SubmittalLog!$B$1:$B$4000&lt;&gt;""),
          ""
        )
      ),
      _xlfn.LAMBDA(_xlpm.val, TEXT(_xlpm.val, "000000"))
    )
  ),
""))</f>
        <v/>
      </c>
      <c r="W185" s="40" t="str" cm="1">
        <f t="array" ref="W185">IF(OR(M185="", M185="Deleted"), "", _xlfn.LET(
  _xlpm.doc_col, [1]SubmittalLog!$E$1:$E$4000,
  _xlpm.date_col, [1]SubmittalLog!$H$1:$H$4000,
  _xlpm.status_col, [1]SubmittalLog!$N$1:$N$4000,
  _xlpm.latest_date, _xlfn.MAXIFS(_xlpm.date_col, _xlpm.doc_col, M185),
  IF(_xlpm.latest_date=0, "NFS",
    _xlfn.LET(
      _xlpm.res, _xlfn.XLOOKUP(M185 &amp; "|" &amp; _xlpm.latest_date, _xlpm.doc_col &amp; "|" &amp; _xlpm.date_col, _xlpm.status_col, ""),
      IF(OR(_xlpm.res="", _xlpm.res=0), "", _xlpm.res)
    )
  )
))</f>
        <v/>
      </c>
      <c r="X185" s="39" t="str">
        <f>IF(OR(M185="", M185="Deleted"), "", _xlfn.LET(
  _xlpm.doc_col, [1]SubmittalLog!$E$1:$E$4000,
  _xlpm.date_col, [1]SubmittalLog!$H$1:$H$4000,
  _xlpm.status_col, [1]SubmittalLog!$O$1:$O$4000,
  _xlpm.first_app_date, _xlfn.MINIFS(_xlpm.date_col, _xlpm.doc_col, M185, _xlpm.status_col, "APP"),
  _xlpm.first_awc_date, _xlfn.MINIFS(_xlpm.date_col, _xlpm.doc_col, M185, _xlpm.status_col, "AWC"),
  _xlpm.earliest_date, IF(
    AND(_xlpm.first_app_date=0, _xlpm.first_awc_date=0), 0,
    IF(_xlpm.first_app_date=0, _xlpm.first_awc_date,
    IF(_xlpm.first_awc_date=0, _xlpm.first_app_date,
    MIN(_xlpm.first_app_date, _xlpm.first_awc_date)))
  ),
  IF(_xlpm.earliest_date=0, "", _xlpm.earliest_date)
))</f>
        <v/>
      </c>
      <c r="Y185" s="40" t="str" cm="1">
        <f t="array" ref="Y185">IF(OR(M185="", M185="Deleted"), "", _xlfn.LET(
  _xlpm.doc_col, [1]SubmittalLog!$E$1:$E$4000,
  _xlpm.date_col, [1]SubmittalLog!$H$1:$H$4000,
  _xlpm.status_col, [1]SubmittalLog!$O$1:$O$4000,
  _xlpm.has_sub, COUNTIF(_xlpm.doc_col, M185),
  _xlpm.latest_reviewed_date, _xlfn.MAXIFS(_xlpm.date_col, _xlpm.doc_col, M185, _xlpm.status_col, "&lt;&gt;"),
  IF(_xlpm.has_sub=0, "",
    IF(_xlpm.latest_reviewed_date=0, "",
      _xlfn.LET(
        _xlpm.res, _xlfn.XLOOKUP(1, (_xlpm.doc_col=M185) * (_xlpm.date_col=_xlpm.latest_reviewed_date) * (_xlpm.status_col&lt;&gt;""), _xlpm.status_col, ""),
        IF(OR(_xlpm.res="", _xlpm.res=0), "", _xlpm.res)
      )
    )
  )
))</f>
        <v/>
      </c>
    </row>
    <row r="186" spans="1:25" x14ac:dyDescent="0.35">
      <c r="A186" s="33">
        <f>IF($M186="","",MAX($A$1:A185)+1)</f>
        <v>172</v>
      </c>
      <c r="B186" s="23" t="s">
        <v>54</v>
      </c>
      <c r="C186" s="23" t="s">
        <v>234</v>
      </c>
      <c r="G186" s="33">
        <v>131236</v>
      </c>
      <c r="H186" s="33" t="s">
        <v>59</v>
      </c>
      <c r="I186" s="33" t="s">
        <v>297</v>
      </c>
      <c r="J186" s="33" t="s">
        <v>233</v>
      </c>
      <c r="K186" s="51" t="s">
        <v>3575</v>
      </c>
      <c r="M186" s="34" t="str">
        <f t="shared" si="2"/>
        <v>Deleted</v>
      </c>
      <c r="N186" s="26" t="s">
        <v>3720</v>
      </c>
      <c r="P186" s="34" t="s">
        <v>3498</v>
      </c>
      <c r="S186" s="35">
        <v>45805</v>
      </c>
      <c r="T186" s="35">
        <v>45925</v>
      </c>
      <c r="U186" s="64" t="str" cm="1">
        <f t="array" ref="U186">IF(OR(M186="", M186="Deleted"), "", _xlfn.LET(
  _xlpm.dates,
  _xlfn._xlws.FILTER(
    [1]SubmittalLog!$H$1:$H$4000,
    [1]SubmittalLog!$E$1:$E$4000=M186,
    ""
  ),
  _xlpm.min_date, IFERROR(MIN(_xlpm.dates), ""),
  IF(_xlpm.min_date=0, "", _xlpm.min_date)
))</f>
        <v/>
      </c>
      <c r="V186" s="63" t="str" cm="1">
        <f t="array" ref="V186">IF(OR(M186="", M186="Deleted"), "", IFERROR(
  _xlfn.TEXTJOIN(", ", TRUE,
    _xlfn.MAP(
      _xlfn.UNIQUE(
        _xlfn._xlws.FILTER(
          [1]SubmittalLog!$B$1:$B$4000,
          ([1]SubmittalLog!$E$1:$E$4000=M186) *
          ([1]SubmittalLog!$B$1:$B$4000&lt;&gt;""),
          ""
        )
      ),
      _xlfn.LAMBDA(_xlpm.val, TEXT(_xlpm.val, "000000"))
    )
  ),
""))</f>
        <v/>
      </c>
      <c r="W186" s="40" t="str" cm="1">
        <f t="array" ref="W186">IF(OR(M186="", M186="Deleted"), "", _xlfn.LET(
  _xlpm.doc_col, [1]SubmittalLog!$E$1:$E$4000,
  _xlpm.date_col, [1]SubmittalLog!$H$1:$H$4000,
  _xlpm.status_col, [1]SubmittalLog!$N$1:$N$4000,
  _xlpm.latest_date, _xlfn.MAXIFS(_xlpm.date_col, _xlpm.doc_col, M186),
  IF(_xlpm.latest_date=0, "NFS",
    _xlfn.LET(
      _xlpm.res, _xlfn.XLOOKUP(M186 &amp; "|" &amp; _xlpm.latest_date, _xlpm.doc_col &amp; "|" &amp; _xlpm.date_col, _xlpm.status_col, ""),
      IF(OR(_xlpm.res="", _xlpm.res=0), "", _xlpm.res)
    )
  )
))</f>
        <v/>
      </c>
      <c r="X186" s="39" t="str">
        <f>IF(OR(M186="", M186="Deleted"), "", _xlfn.LET(
  _xlpm.doc_col, [1]SubmittalLog!$E$1:$E$4000,
  _xlpm.date_col, [1]SubmittalLog!$H$1:$H$4000,
  _xlpm.status_col, [1]SubmittalLog!$O$1:$O$4000,
  _xlpm.first_app_date, _xlfn.MINIFS(_xlpm.date_col, _xlpm.doc_col, M186, _xlpm.status_col, "APP"),
  _xlpm.first_awc_date, _xlfn.MINIFS(_xlpm.date_col, _xlpm.doc_col, M186, _xlpm.status_col, "AWC"),
  _xlpm.earliest_date, IF(
    AND(_xlpm.first_app_date=0, _xlpm.first_awc_date=0), 0,
    IF(_xlpm.first_app_date=0, _xlpm.first_awc_date,
    IF(_xlpm.first_awc_date=0, _xlpm.first_app_date,
    MIN(_xlpm.first_app_date, _xlpm.first_awc_date)))
  ),
  IF(_xlpm.earliest_date=0, "", _xlpm.earliest_date)
))</f>
        <v/>
      </c>
      <c r="Y186" s="40" t="str" cm="1">
        <f t="array" ref="Y186">IF(OR(M186="", M186="Deleted"), "", _xlfn.LET(
  _xlpm.doc_col, [1]SubmittalLog!$E$1:$E$4000,
  _xlpm.date_col, [1]SubmittalLog!$H$1:$H$4000,
  _xlpm.status_col, [1]SubmittalLog!$O$1:$O$4000,
  _xlpm.has_sub, COUNTIF(_xlpm.doc_col, M186),
  _xlpm.latest_reviewed_date, _xlfn.MAXIFS(_xlpm.date_col, _xlpm.doc_col, M186, _xlpm.status_col, "&lt;&gt;"),
  IF(_xlpm.has_sub=0, "",
    IF(_xlpm.latest_reviewed_date=0, "",
      _xlfn.LET(
        _xlpm.res, _xlfn.XLOOKUP(1, (_xlpm.doc_col=M186) * (_xlpm.date_col=_xlpm.latest_reviewed_date) * (_xlpm.status_col&lt;&gt;""), _xlpm.status_col, ""),
        IF(OR(_xlpm.res="", _xlpm.res=0), "", _xlpm.res)
      )
    )
  )
))</f>
        <v/>
      </c>
    </row>
    <row r="187" spans="1:25" x14ac:dyDescent="0.35">
      <c r="A187" s="33">
        <f>IF($M187="","",MAX($A$1:A186)+1)</f>
        <v>173</v>
      </c>
      <c r="B187" s="23" t="s">
        <v>250</v>
      </c>
      <c r="C187" s="23" t="s">
        <v>234</v>
      </c>
      <c r="G187" s="33">
        <v>131236</v>
      </c>
      <c r="H187" s="33" t="s">
        <v>59</v>
      </c>
      <c r="I187" s="33" t="s">
        <v>297</v>
      </c>
      <c r="J187" s="33" t="s">
        <v>233</v>
      </c>
      <c r="K187" s="51" t="s">
        <v>3721</v>
      </c>
      <c r="M187" s="34" t="str">
        <f t="shared" si="2"/>
        <v>131236-WIL21-DR-M-5751</v>
      </c>
      <c r="N187" s="26" t="s">
        <v>3722</v>
      </c>
      <c r="P187" s="34" t="s">
        <v>3498</v>
      </c>
      <c r="S187" s="35">
        <v>45823</v>
      </c>
      <c r="T187" s="35">
        <v>45819</v>
      </c>
      <c r="U187" s="64" cm="1">
        <f t="array" ref="U187">IF(OR(M187="", M187="Deleted"), "", _xlfn.LET(
  _xlpm.dates,
  _xlfn._xlws.FILTER(
    [1]SubmittalLog!$H$1:$H$4000,
    [1]SubmittalLog!$E$1:$E$4000=M187,
    ""
  ),
  _xlpm.min_date, IFERROR(MIN(_xlpm.dates), ""),
  IF(_xlpm.min_date=0, "", _xlpm.min_date)
))</f>
        <v>45824</v>
      </c>
      <c r="V187" s="63" t="str" cm="1">
        <f t="array" ref="V187">IF(OR(M187="", M187="Deleted"), "", IFERROR(
  _xlfn.TEXTJOIN(", ", TRUE,
    _xlfn.MAP(
      _xlfn.UNIQUE(
        _xlfn._xlws.FILTER(
          [1]SubmittalLog!$B$1:$B$4000,
          ([1]SubmittalLog!$E$1:$E$4000=M187) *
          ([1]SubmittalLog!$B$1:$B$4000&lt;&gt;""),
          ""
        )
      ),
      _xlfn.LAMBDA(_xlpm.val, TEXT(_xlpm.val, "000000"))
    )
  ),
""))</f>
        <v>001376</v>
      </c>
      <c r="W187" s="40" t="str" cm="1">
        <f t="array" ref="W187">IF(OR(M187="", M187="Deleted"), "", _xlfn.LET(
  _xlpm.doc_col, [1]SubmittalLog!$E$1:$E$4000,
  _xlpm.date_col, [1]SubmittalLog!$H$1:$H$4000,
  _xlpm.status_col, [1]SubmittalLog!$N$1:$N$4000,
  _xlpm.latest_date, _xlfn.MAXIFS(_xlpm.date_col, _xlpm.doc_col, M187),
  IF(_xlpm.latest_date=0, "NFS",
    _xlfn.LET(
      _xlpm.res, _xlfn.XLOOKUP(M187 &amp; "|" &amp; _xlpm.latest_date, _xlpm.doc_col &amp; "|" &amp; _xlpm.date_col, _xlpm.status_col, ""),
      IF(OR(_xlpm.res="", _xlpm.res=0), "", _xlpm.res)
    )
  )
))</f>
        <v>RTR</v>
      </c>
      <c r="X187" s="39">
        <f>IF(OR(M187="", M187="Deleted"), "", _xlfn.LET(
  _xlpm.doc_col, [1]SubmittalLog!$E$1:$E$4000,
  _xlpm.date_col, [1]SubmittalLog!$H$1:$H$4000,
  _xlpm.status_col, [1]SubmittalLog!$O$1:$O$4000,
  _xlpm.first_app_date, _xlfn.MINIFS(_xlpm.date_col, _xlpm.doc_col, M187, _xlpm.status_col, "APP"),
  _xlpm.first_awc_date, _xlfn.MINIFS(_xlpm.date_col, _xlpm.doc_col, M187, _xlpm.status_col, "AWC"),
  _xlpm.earliest_date, IF(
    AND(_xlpm.first_app_date=0, _xlpm.first_awc_date=0), 0,
    IF(_xlpm.first_app_date=0, _xlpm.first_awc_date,
    IF(_xlpm.first_awc_date=0, _xlpm.first_app_date,
    MIN(_xlpm.first_app_date, _xlpm.first_awc_date)))
  ),
  IF(_xlpm.earliest_date=0, "", _xlpm.earliest_date)
))</f>
        <v>45824</v>
      </c>
      <c r="Y187" s="40" t="str" cm="1">
        <f t="array" ref="Y187">IF(OR(M187="", M187="Deleted"), "", _xlfn.LET(
  _xlpm.doc_col, [1]SubmittalLog!$E$1:$E$4000,
  _xlpm.date_col, [1]SubmittalLog!$H$1:$H$4000,
  _xlpm.status_col, [1]SubmittalLog!$O$1:$O$4000,
  _xlpm.has_sub, COUNTIF(_xlpm.doc_col, M187),
  _xlpm.latest_reviewed_date, _xlfn.MAXIFS(_xlpm.date_col, _xlpm.doc_col, M187, _xlpm.status_col, "&lt;&gt;"),
  IF(_xlpm.has_sub=0, "",
    IF(_xlpm.latest_reviewed_date=0, "",
      _xlfn.LET(
        _xlpm.res, _xlfn.XLOOKUP(1, (_xlpm.doc_col=M187) * (_xlpm.date_col=_xlpm.latest_reviewed_date) * (_xlpm.status_col&lt;&gt;""), _xlpm.status_col, ""),
        IF(OR(_xlpm.res="", _xlpm.res=0), "", _xlpm.res)
      )
    )
  )
))</f>
        <v>AWC</v>
      </c>
    </row>
    <row r="188" spans="1:25" x14ac:dyDescent="0.35">
      <c r="A188" s="33">
        <f>IF($M188="","",MAX($A$1:A187)+1)</f>
        <v>174</v>
      </c>
      <c r="B188" s="23" t="s">
        <v>54</v>
      </c>
      <c r="C188" s="23" t="s">
        <v>234</v>
      </c>
      <c r="G188" s="33">
        <v>131236</v>
      </c>
      <c r="H188" s="33" t="s">
        <v>59</v>
      </c>
      <c r="I188" s="33" t="s">
        <v>297</v>
      </c>
      <c r="J188" s="33" t="s">
        <v>233</v>
      </c>
      <c r="K188" s="51" t="s">
        <v>3565</v>
      </c>
      <c r="M188" s="34" t="str">
        <f t="shared" si="2"/>
        <v>Deleted</v>
      </c>
      <c r="N188" s="26" t="s">
        <v>3723</v>
      </c>
      <c r="P188" s="34" t="s">
        <v>3498</v>
      </c>
      <c r="S188" s="35">
        <v>45823</v>
      </c>
      <c r="T188" s="35">
        <v>45925</v>
      </c>
      <c r="U188" s="64" t="str" cm="1">
        <f t="array" ref="U188">IF(OR(M188="", M188="Deleted"), "", _xlfn.LET(
  _xlpm.dates,
  _xlfn._xlws.FILTER(
    [1]SubmittalLog!$H$1:$H$4000,
    [1]SubmittalLog!$E$1:$E$4000=M188,
    ""
  ),
  _xlpm.min_date, IFERROR(MIN(_xlpm.dates), ""),
  IF(_xlpm.min_date=0, "", _xlpm.min_date)
))</f>
        <v/>
      </c>
      <c r="V188" s="63" t="str" cm="1">
        <f t="array" ref="V188">IF(OR(M188="", M188="Deleted"), "", IFERROR(
  _xlfn.TEXTJOIN(", ", TRUE,
    _xlfn.MAP(
      _xlfn.UNIQUE(
        _xlfn._xlws.FILTER(
          [1]SubmittalLog!$B$1:$B$4000,
          ([1]SubmittalLog!$E$1:$E$4000=M188) *
          ([1]SubmittalLog!$B$1:$B$4000&lt;&gt;""),
          ""
        )
      ),
      _xlfn.LAMBDA(_xlpm.val, TEXT(_xlpm.val, "000000"))
    )
  ),
""))</f>
        <v/>
      </c>
      <c r="W188" s="40" t="str" cm="1">
        <f t="array" ref="W188">IF(OR(M188="", M188="Deleted"), "", _xlfn.LET(
  _xlpm.doc_col, [1]SubmittalLog!$E$1:$E$4000,
  _xlpm.date_col, [1]SubmittalLog!$H$1:$H$4000,
  _xlpm.status_col, [1]SubmittalLog!$N$1:$N$4000,
  _xlpm.latest_date, _xlfn.MAXIFS(_xlpm.date_col, _xlpm.doc_col, M188),
  IF(_xlpm.latest_date=0, "NFS",
    _xlfn.LET(
      _xlpm.res, _xlfn.XLOOKUP(M188 &amp; "|" &amp; _xlpm.latest_date, _xlpm.doc_col &amp; "|" &amp; _xlpm.date_col, _xlpm.status_col, ""),
      IF(OR(_xlpm.res="", _xlpm.res=0), "", _xlpm.res)
    )
  )
))</f>
        <v/>
      </c>
      <c r="X188" s="39" t="str">
        <f>IF(OR(M188="", M188="Deleted"), "", _xlfn.LET(
  _xlpm.doc_col, [1]SubmittalLog!$E$1:$E$4000,
  _xlpm.date_col, [1]SubmittalLog!$H$1:$H$4000,
  _xlpm.status_col, [1]SubmittalLog!$O$1:$O$4000,
  _xlpm.first_app_date, _xlfn.MINIFS(_xlpm.date_col, _xlpm.doc_col, M188, _xlpm.status_col, "APP"),
  _xlpm.first_awc_date, _xlfn.MINIFS(_xlpm.date_col, _xlpm.doc_col, M188, _xlpm.status_col, "AWC"),
  _xlpm.earliest_date, IF(
    AND(_xlpm.first_app_date=0, _xlpm.first_awc_date=0), 0,
    IF(_xlpm.first_app_date=0, _xlpm.first_awc_date,
    IF(_xlpm.first_awc_date=0, _xlpm.first_app_date,
    MIN(_xlpm.first_app_date, _xlpm.first_awc_date)))
  ),
  IF(_xlpm.earliest_date=0, "", _xlpm.earliest_date)
))</f>
        <v/>
      </c>
      <c r="Y188" s="40" t="str" cm="1">
        <f t="array" ref="Y188">IF(OR(M188="", M188="Deleted"), "", _xlfn.LET(
  _xlpm.doc_col, [1]SubmittalLog!$E$1:$E$4000,
  _xlpm.date_col, [1]SubmittalLog!$H$1:$H$4000,
  _xlpm.status_col, [1]SubmittalLog!$O$1:$O$4000,
  _xlpm.has_sub, COUNTIF(_xlpm.doc_col, M188),
  _xlpm.latest_reviewed_date, _xlfn.MAXIFS(_xlpm.date_col, _xlpm.doc_col, M188, _xlpm.status_col, "&lt;&gt;"),
  IF(_xlpm.has_sub=0, "",
    IF(_xlpm.latest_reviewed_date=0, "",
      _xlfn.LET(
        _xlpm.res, _xlfn.XLOOKUP(1, (_xlpm.doc_col=M188) * (_xlpm.date_col=_xlpm.latest_reviewed_date) * (_xlpm.status_col&lt;&gt;""), _xlpm.status_col, ""),
        IF(OR(_xlpm.res="", _xlpm.res=0), "", _xlpm.res)
      )
    )
  )
))</f>
        <v/>
      </c>
    </row>
    <row r="189" spans="1:25" x14ac:dyDescent="0.35">
      <c r="A189" s="33">
        <f>IF($M189="","",MAX($A$1:A188)+1)</f>
        <v>175</v>
      </c>
      <c r="B189" s="23" t="s">
        <v>54</v>
      </c>
      <c r="C189" s="23" t="s">
        <v>234</v>
      </c>
      <c r="G189" s="33">
        <v>131236</v>
      </c>
      <c r="H189" s="33" t="s">
        <v>59</v>
      </c>
      <c r="I189" s="33" t="s">
        <v>297</v>
      </c>
      <c r="J189" s="33" t="s">
        <v>233</v>
      </c>
      <c r="K189" s="51" t="s">
        <v>3724</v>
      </c>
      <c r="M189" s="34" t="str">
        <f t="shared" si="2"/>
        <v>Deleted</v>
      </c>
      <c r="N189" s="26" t="s">
        <v>3725</v>
      </c>
      <c r="P189" s="34" t="s">
        <v>3498</v>
      </c>
      <c r="S189" s="35">
        <v>45823</v>
      </c>
      <c r="T189" s="35">
        <v>45925</v>
      </c>
      <c r="U189" s="64" t="str" cm="1">
        <f t="array" ref="U189">IF(OR(M189="", M189="Deleted"), "", _xlfn.LET(
  _xlpm.dates,
  _xlfn._xlws.FILTER(
    [1]SubmittalLog!$H$1:$H$4000,
    [1]SubmittalLog!$E$1:$E$4000=M189,
    ""
  ),
  _xlpm.min_date, IFERROR(MIN(_xlpm.dates), ""),
  IF(_xlpm.min_date=0, "", _xlpm.min_date)
))</f>
        <v/>
      </c>
      <c r="V189" s="63" t="str" cm="1">
        <f t="array" ref="V189">IF(OR(M189="", M189="Deleted"), "", IFERROR(
  _xlfn.TEXTJOIN(", ", TRUE,
    _xlfn.MAP(
      _xlfn.UNIQUE(
        _xlfn._xlws.FILTER(
          [1]SubmittalLog!$B$1:$B$4000,
          ([1]SubmittalLog!$E$1:$E$4000=M189) *
          ([1]SubmittalLog!$B$1:$B$4000&lt;&gt;""),
          ""
        )
      ),
      _xlfn.LAMBDA(_xlpm.val, TEXT(_xlpm.val, "000000"))
    )
  ),
""))</f>
        <v/>
      </c>
      <c r="W189" s="40" t="str" cm="1">
        <f t="array" ref="W189">IF(OR(M189="", M189="Deleted"), "", _xlfn.LET(
  _xlpm.doc_col, [1]SubmittalLog!$E$1:$E$4000,
  _xlpm.date_col, [1]SubmittalLog!$H$1:$H$4000,
  _xlpm.status_col, [1]SubmittalLog!$N$1:$N$4000,
  _xlpm.latest_date, _xlfn.MAXIFS(_xlpm.date_col, _xlpm.doc_col, M189),
  IF(_xlpm.latest_date=0, "NFS",
    _xlfn.LET(
      _xlpm.res, _xlfn.XLOOKUP(M189 &amp; "|" &amp; _xlpm.latest_date, _xlpm.doc_col &amp; "|" &amp; _xlpm.date_col, _xlpm.status_col, ""),
      IF(OR(_xlpm.res="", _xlpm.res=0), "", _xlpm.res)
    )
  )
))</f>
        <v/>
      </c>
      <c r="X189" s="39" t="str">
        <f>IF(OR(M189="", M189="Deleted"), "", _xlfn.LET(
  _xlpm.doc_col, [1]SubmittalLog!$E$1:$E$4000,
  _xlpm.date_col, [1]SubmittalLog!$H$1:$H$4000,
  _xlpm.status_col, [1]SubmittalLog!$O$1:$O$4000,
  _xlpm.first_app_date, _xlfn.MINIFS(_xlpm.date_col, _xlpm.doc_col, M189, _xlpm.status_col, "APP"),
  _xlpm.first_awc_date, _xlfn.MINIFS(_xlpm.date_col, _xlpm.doc_col, M189, _xlpm.status_col, "AWC"),
  _xlpm.earliest_date, IF(
    AND(_xlpm.first_app_date=0, _xlpm.first_awc_date=0), 0,
    IF(_xlpm.first_app_date=0, _xlpm.first_awc_date,
    IF(_xlpm.first_awc_date=0, _xlpm.first_app_date,
    MIN(_xlpm.first_app_date, _xlpm.first_awc_date)))
  ),
  IF(_xlpm.earliest_date=0, "", _xlpm.earliest_date)
))</f>
        <v/>
      </c>
      <c r="Y189" s="40" t="str" cm="1">
        <f t="array" ref="Y189">IF(OR(M189="", M189="Deleted"), "", _xlfn.LET(
  _xlpm.doc_col, [1]SubmittalLog!$E$1:$E$4000,
  _xlpm.date_col, [1]SubmittalLog!$H$1:$H$4000,
  _xlpm.status_col, [1]SubmittalLog!$O$1:$O$4000,
  _xlpm.has_sub, COUNTIF(_xlpm.doc_col, M189),
  _xlpm.latest_reviewed_date, _xlfn.MAXIFS(_xlpm.date_col, _xlpm.doc_col, M189, _xlpm.status_col, "&lt;&gt;"),
  IF(_xlpm.has_sub=0, "",
    IF(_xlpm.latest_reviewed_date=0, "",
      _xlfn.LET(
        _xlpm.res, _xlfn.XLOOKUP(1, (_xlpm.doc_col=M189) * (_xlpm.date_col=_xlpm.latest_reviewed_date) * (_xlpm.status_col&lt;&gt;""), _xlpm.status_col, ""),
        IF(OR(_xlpm.res="", _xlpm.res=0), "", _xlpm.res)
      )
    )
  )
))</f>
        <v/>
      </c>
    </row>
    <row r="190" spans="1:25" x14ac:dyDescent="0.35">
      <c r="A190" s="33">
        <f>IF($M190="","",MAX($A$1:A189)+1)</f>
        <v>176</v>
      </c>
      <c r="B190" s="23" t="s">
        <v>54</v>
      </c>
      <c r="C190" s="23" t="s">
        <v>234</v>
      </c>
      <c r="G190" s="33">
        <v>131236</v>
      </c>
      <c r="H190" s="33" t="s">
        <v>59</v>
      </c>
      <c r="I190" s="33" t="s">
        <v>297</v>
      </c>
      <c r="J190" s="33" t="s">
        <v>233</v>
      </c>
      <c r="K190" s="51" t="s">
        <v>3726</v>
      </c>
      <c r="M190" s="34" t="str">
        <f t="shared" si="2"/>
        <v>Deleted</v>
      </c>
      <c r="N190" s="26" t="s">
        <v>3727</v>
      </c>
      <c r="P190" s="34" t="s">
        <v>3498</v>
      </c>
      <c r="S190" s="35">
        <v>45823</v>
      </c>
      <c r="T190" s="35">
        <v>45925</v>
      </c>
      <c r="U190" s="64" t="str" cm="1">
        <f t="array" ref="U190">IF(OR(M190="", M190="Deleted"), "", _xlfn.LET(
  _xlpm.dates,
  _xlfn._xlws.FILTER(
    [1]SubmittalLog!$H$1:$H$4000,
    [1]SubmittalLog!$E$1:$E$4000=M190,
    ""
  ),
  _xlpm.min_date, IFERROR(MIN(_xlpm.dates), ""),
  IF(_xlpm.min_date=0, "", _xlpm.min_date)
))</f>
        <v/>
      </c>
      <c r="V190" s="63" t="str" cm="1">
        <f t="array" ref="V190">IF(OR(M190="", M190="Deleted"), "", IFERROR(
  _xlfn.TEXTJOIN(", ", TRUE,
    _xlfn.MAP(
      _xlfn.UNIQUE(
        _xlfn._xlws.FILTER(
          [1]SubmittalLog!$B$1:$B$4000,
          ([1]SubmittalLog!$E$1:$E$4000=M190) *
          ([1]SubmittalLog!$B$1:$B$4000&lt;&gt;""),
          ""
        )
      ),
      _xlfn.LAMBDA(_xlpm.val, TEXT(_xlpm.val, "000000"))
    )
  ),
""))</f>
        <v/>
      </c>
      <c r="W190" s="40" t="str" cm="1">
        <f t="array" ref="W190">IF(OR(M190="", M190="Deleted"), "", _xlfn.LET(
  _xlpm.doc_col, [1]SubmittalLog!$E$1:$E$4000,
  _xlpm.date_col, [1]SubmittalLog!$H$1:$H$4000,
  _xlpm.status_col, [1]SubmittalLog!$N$1:$N$4000,
  _xlpm.latest_date, _xlfn.MAXIFS(_xlpm.date_col, _xlpm.doc_col, M190),
  IF(_xlpm.latest_date=0, "NFS",
    _xlfn.LET(
      _xlpm.res, _xlfn.XLOOKUP(M190 &amp; "|" &amp; _xlpm.latest_date, _xlpm.doc_col &amp; "|" &amp; _xlpm.date_col, _xlpm.status_col, ""),
      IF(OR(_xlpm.res="", _xlpm.res=0), "", _xlpm.res)
    )
  )
))</f>
        <v/>
      </c>
      <c r="X190" s="39" t="str">
        <f>IF(OR(M190="", M190="Deleted"), "", _xlfn.LET(
  _xlpm.doc_col, [1]SubmittalLog!$E$1:$E$4000,
  _xlpm.date_col, [1]SubmittalLog!$H$1:$H$4000,
  _xlpm.status_col, [1]SubmittalLog!$O$1:$O$4000,
  _xlpm.first_app_date, _xlfn.MINIFS(_xlpm.date_col, _xlpm.doc_col, M190, _xlpm.status_col, "APP"),
  _xlpm.first_awc_date, _xlfn.MINIFS(_xlpm.date_col, _xlpm.doc_col, M190, _xlpm.status_col, "AWC"),
  _xlpm.earliest_date, IF(
    AND(_xlpm.first_app_date=0, _xlpm.first_awc_date=0), 0,
    IF(_xlpm.first_app_date=0, _xlpm.first_awc_date,
    IF(_xlpm.first_awc_date=0, _xlpm.first_app_date,
    MIN(_xlpm.first_app_date, _xlpm.first_awc_date)))
  ),
  IF(_xlpm.earliest_date=0, "", _xlpm.earliest_date)
))</f>
        <v/>
      </c>
      <c r="Y190" s="40" t="str" cm="1">
        <f t="array" ref="Y190">IF(OR(M190="", M190="Deleted"), "", _xlfn.LET(
  _xlpm.doc_col, [1]SubmittalLog!$E$1:$E$4000,
  _xlpm.date_col, [1]SubmittalLog!$H$1:$H$4000,
  _xlpm.status_col, [1]SubmittalLog!$O$1:$O$4000,
  _xlpm.has_sub, COUNTIF(_xlpm.doc_col, M190),
  _xlpm.latest_reviewed_date, _xlfn.MAXIFS(_xlpm.date_col, _xlpm.doc_col, M190, _xlpm.status_col, "&lt;&gt;"),
  IF(_xlpm.has_sub=0, "",
    IF(_xlpm.latest_reviewed_date=0, "",
      _xlfn.LET(
        _xlpm.res, _xlfn.XLOOKUP(1, (_xlpm.doc_col=M190) * (_xlpm.date_col=_xlpm.latest_reviewed_date) * (_xlpm.status_col&lt;&gt;""), _xlpm.status_col, ""),
        IF(OR(_xlpm.res="", _xlpm.res=0), "", _xlpm.res)
      )
    )
  )
))</f>
        <v/>
      </c>
    </row>
    <row r="191" spans="1:25" x14ac:dyDescent="0.35">
      <c r="A191" s="33">
        <f>IF($M191="","",MAX($A$1:A190)+1)</f>
        <v>177</v>
      </c>
      <c r="B191" s="23" t="s">
        <v>54</v>
      </c>
      <c r="C191" s="23" t="s">
        <v>234</v>
      </c>
      <c r="G191" s="33">
        <v>131236</v>
      </c>
      <c r="H191" s="33" t="s">
        <v>59</v>
      </c>
      <c r="I191" s="33" t="s">
        <v>297</v>
      </c>
      <c r="J191" s="33" t="s">
        <v>233</v>
      </c>
      <c r="K191" s="51" t="s">
        <v>3728</v>
      </c>
      <c r="M191" s="34" t="str">
        <f t="shared" si="2"/>
        <v>Deleted</v>
      </c>
      <c r="N191" s="26" t="s">
        <v>3729</v>
      </c>
      <c r="P191" s="34" t="s">
        <v>3498</v>
      </c>
      <c r="S191" s="35">
        <v>45823</v>
      </c>
      <c r="T191" s="35">
        <v>45925</v>
      </c>
      <c r="U191" s="64" t="str" cm="1">
        <f t="array" ref="U191">IF(OR(M191="", M191="Deleted"), "", _xlfn.LET(
  _xlpm.dates,
  _xlfn._xlws.FILTER(
    [1]SubmittalLog!$H$1:$H$4000,
    [1]SubmittalLog!$E$1:$E$4000=M191,
    ""
  ),
  _xlpm.min_date, IFERROR(MIN(_xlpm.dates), ""),
  IF(_xlpm.min_date=0, "", _xlpm.min_date)
))</f>
        <v/>
      </c>
      <c r="V191" s="63" t="str" cm="1">
        <f t="array" ref="V191">IF(OR(M191="", M191="Deleted"), "", IFERROR(
  _xlfn.TEXTJOIN(", ", TRUE,
    _xlfn.MAP(
      _xlfn.UNIQUE(
        _xlfn._xlws.FILTER(
          [1]SubmittalLog!$B$1:$B$4000,
          ([1]SubmittalLog!$E$1:$E$4000=M191) *
          ([1]SubmittalLog!$B$1:$B$4000&lt;&gt;""),
          ""
        )
      ),
      _xlfn.LAMBDA(_xlpm.val, TEXT(_xlpm.val, "000000"))
    )
  ),
""))</f>
        <v/>
      </c>
      <c r="W191" s="40" t="str" cm="1">
        <f t="array" ref="W191">IF(OR(M191="", M191="Deleted"), "", _xlfn.LET(
  _xlpm.doc_col, [1]SubmittalLog!$E$1:$E$4000,
  _xlpm.date_col, [1]SubmittalLog!$H$1:$H$4000,
  _xlpm.status_col, [1]SubmittalLog!$N$1:$N$4000,
  _xlpm.latest_date, _xlfn.MAXIFS(_xlpm.date_col, _xlpm.doc_col, M191),
  IF(_xlpm.latest_date=0, "NFS",
    _xlfn.LET(
      _xlpm.res, _xlfn.XLOOKUP(M191 &amp; "|" &amp; _xlpm.latest_date, _xlpm.doc_col &amp; "|" &amp; _xlpm.date_col, _xlpm.status_col, ""),
      IF(OR(_xlpm.res="", _xlpm.res=0), "", _xlpm.res)
    )
  )
))</f>
        <v/>
      </c>
      <c r="X191" s="39" t="str">
        <f>IF(OR(M191="", M191="Deleted"), "", _xlfn.LET(
  _xlpm.doc_col, [1]SubmittalLog!$E$1:$E$4000,
  _xlpm.date_col, [1]SubmittalLog!$H$1:$H$4000,
  _xlpm.status_col, [1]SubmittalLog!$O$1:$O$4000,
  _xlpm.first_app_date, _xlfn.MINIFS(_xlpm.date_col, _xlpm.doc_col, M191, _xlpm.status_col, "APP"),
  _xlpm.first_awc_date, _xlfn.MINIFS(_xlpm.date_col, _xlpm.doc_col, M191, _xlpm.status_col, "AWC"),
  _xlpm.earliest_date, IF(
    AND(_xlpm.first_app_date=0, _xlpm.first_awc_date=0), 0,
    IF(_xlpm.first_app_date=0, _xlpm.first_awc_date,
    IF(_xlpm.first_awc_date=0, _xlpm.first_app_date,
    MIN(_xlpm.first_app_date, _xlpm.first_awc_date)))
  ),
  IF(_xlpm.earliest_date=0, "", _xlpm.earliest_date)
))</f>
        <v/>
      </c>
      <c r="Y191" s="40" t="str" cm="1">
        <f t="array" ref="Y191">IF(OR(M191="", M191="Deleted"), "", _xlfn.LET(
  _xlpm.doc_col, [1]SubmittalLog!$E$1:$E$4000,
  _xlpm.date_col, [1]SubmittalLog!$H$1:$H$4000,
  _xlpm.status_col, [1]SubmittalLog!$O$1:$O$4000,
  _xlpm.has_sub, COUNTIF(_xlpm.doc_col, M191),
  _xlpm.latest_reviewed_date, _xlfn.MAXIFS(_xlpm.date_col, _xlpm.doc_col, M191, _xlpm.status_col, "&lt;&gt;"),
  IF(_xlpm.has_sub=0, "",
    IF(_xlpm.latest_reviewed_date=0, "",
      _xlfn.LET(
        _xlpm.res, _xlfn.XLOOKUP(1, (_xlpm.doc_col=M191) * (_xlpm.date_col=_xlpm.latest_reviewed_date) * (_xlpm.status_col&lt;&gt;""), _xlpm.status_col, ""),
        IF(OR(_xlpm.res="", _xlpm.res=0), "", _xlpm.res)
      )
    )
  )
))</f>
        <v/>
      </c>
    </row>
    <row r="192" spans="1:25" x14ac:dyDescent="0.35">
      <c r="A192" s="33">
        <f>IF($M192="","",MAX($A$1:A191)+1)</f>
        <v>178</v>
      </c>
      <c r="B192" s="23" t="s">
        <v>250</v>
      </c>
      <c r="C192" s="23" t="s">
        <v>234</v>
      </c>
      <c r="G192" s="33">
        <v>131236</v>
      </c>
      <c r="H192" s="33" t="s">
        <v>59</v>
      </c>
      <c r="I192" s="33" t="s">
        <v>297</v>
      </c>
      <c r="J192" s="33" t="s">
        <v>233</v>
      </c>
      <c r="K192" s="51">
        <v>5801</v>
      </c>
      <c r="M192" s="34" t="str">
        <f t="shared" si="2"/>
        <v>131236-WIL21-DR-M-5801</v>
      </c>
      <c r="N192" s="26" t="s">
        <v>3730</v>
      </c>
      <c r="P192" s="34" t="s">
        <v>3498</v>
      </c>
      <c r="S192" s="35">
        <v>45736</v>
      </c>
      <c r="T192" s="35">
        <v>45736</v>
      </c>
      <c r="U192" s="64" cm="1">
        <f t="array" ref="U192">IF(OR(M192="", M192="Deleted"), "", _xlfn.LET(
  _xlpm.dates,
  _xlfn._xlws.FILTER(
    [1]SubmittalLog!$H$1:$H$4000,
    [1]SubmittalLog!$E$1:$E$4000=M192,
    ""
  ),
  _xlpm.min_date, IFERROR(MIN(_xlpm.dates), ""),
  IF(_xlpm.min_date=0, "", _xlpm.min_date)
))</f>
        <v>45736</v>
      </c>
      <c r="V192" s="63" t="str" cm="1">
        <f t="array" ref="V192">IF(OR(M192="", M192="Deleted"), "", IFERROR(
  _xlfn.TEXTJOIN(", ", TRUE,
    _xlfn.MAP(
      _xlfn.UNIQUE(
        _xlfn._xlws.FILTER(
          [1]SubmittalLog!$B$1:$B$4000,
          ([1]SubmittalLog!$E$1:$E$4000=M192) *
          ([1]SubmittalLog!$B$1:$B$4000&lt;&gt;""),
          ""
        )
      ),
      _xlfn.LAMBDA(_xlpm.val, TEXT(_xlpm.val, "000000"))
    )
  ),
""))</f>
        <v>001135</v>
      </c>
      <c r="W192" s="40" t="str" cm="1">
        <f t="array" ref="W192">IF(OR(M192="", M192="Deleted"), "", _xlfn.LET(
  _xlpm.doc_col, [1]SubmittalLog!$E$1:$E$4000,
  _xlpm.date_col, [1]SubmittalLog!$H$1:$H$4000,
  _xlpm.status_col, [1]SubmittalLog!$N$1:$N$4000,
  _xlpm.latest_date, _xlfn.MAXIFS(_xlpm.date_col, _xlpm.doc_col, M192),
  IF(_xlpm.latest_date=0, "NFS",
    _xlfn.LET(
      _xlpm.res, _xlfn.XLOOKUP(M192 &amp; "|" &amp; _xlpm.latest_date, _xlpm.doc_col &amp; "|" &amp; _xlpm.date_col, _xlpm.status_col, ""),
      IF(OR(_xlpm.res="", _xlpm.res=0), "", _xlpm.res)
    )
  )
))</f>
        <v>RTR</v>
      </c>
      <c r="X192" s="39">
        <f>IF(OR(M192="", M192="Deleted"), "", _xlfn.LET(
  _xlpm.doc_col, [1]SubmittalLog!$E$1:$E$4000,
  _xlpm.date_col, [1]SubmittalLog!$H$1:$H$4000,
  _xlpm.status_col, [1]SubmittalLog!$O$1:$O$4000,
  _xlpm.first_app_date, _xlfn.MINIFS(_xlpm.date_col, _xlpm.doc_col, M192, _xlpm.status_col, "APP"),
  _xlpm.first_awc_date, _xlfn.MINIFS(_xlpm.date_col, _xlpm.doc_col, M192, _xlpm.status_col, "AWC"),
  _xlpm.earliest_date, IF(
    AND(_xlpm.first_app_date=0, _xlpm.first_awc_date=0), 0,
    IF(_xlpm.first_app_date=0, _xlpm.first_awc_date,
    IF(_xlpm.first_awc_date=0, _xlpm.first_app_date,
    MIN(_xlpm.first_app_date, _xlpm.first_awc_date)))
  ),
  IF(_xlpm.earliest_date=0, "", _xlpm.earliest_date)
))</f>
        <v>45736</v>
      </c>
      <c r="Y192" s="40" t="str" cm="1">
        <f t="array" ref="Y192">IF(OR(M192="", M192="Deleted"), "", _xlfn.LET(
  _xlpm.doc_col, [1]SubmittalLog!$E$1:$E$4000,
  _xlpm.date_col, [1]SubmittalLog!$H$1:$H$4000,
  _xlpm.status_col, [1]SubmittalLog!$O$1:$O$4000,
  _xlpm.has_sub, COUNTIF(_xlpm.doc_col, M192),
  _xlpm.latest_reviewed_date, _xlfn.MAXIFS(_xlpm.date_col, _xlpm.doc_col, M192, _xlpm.status_col, "&lt;&gt;"),
  IF(_xlpm.has_sub=0, "",
    IF(_xlpm.latest_reviewed_date=0, "",
      _xlfn.LET(
        _xlpm.res, _xlfn.XLOOKUP(1, (_xlpm.doc_col=M192) * (_xlpm.date_col=_xlpm.latest_reviewed_date) * (_xlpm.status_col&lt;&gt;""), _xlpm.status_col, ""),
        IF(OR(_xlpm.res="", _xlpm.res=0), "", _xlpm.res)
      )
    )
  )
))</f>
        <v>AWC</v>
      </c>
    </row>
    <row r="193" spans="1:25" x14ac:dyDescent="0.35">
      <c r="A193" s="33">
        <f>IF($M193="","",MAX($A$1:A192)+1)</f>
        <v>179</v>
      </c>
      <c r="B193" s="23" t="s">
        <v>54</v>
      </c>
      <c r="C193" s="23" t="s">
        <v>234</v>
      </c>
      <c r="G193" s="33">
        <v>131236</v>
      </c>
      <c r="H193" s="33" t="s">
        <v>59</v>
      </c>
      <c r="I193" s="33" t="s">
        <v>297</v>
      </c>
      <c r="J193" s="33" t="s">
        <v>233</v>
      </c>
      <c r="K193" s="51">
        <v>1220</v>
      </c>
      <c r="M193" s="34" t="str">
        <f t="shared" si="2"/>
        <v>Deleted</v>
      </c>
      <c r="N193" s="26" t="s">
        <v>3731</v>
      </c>
      <c r="P193" s="34" t="s">
        <v>3498</v>
      </c>
      <c r="S193" s="35">
        <v>45823</v>
      </c>
      <c r="T193" s="35">
        <v>45925</v>
      </c>
      <c r="U193" s="64" t="str" cm="1">
        <f t="array" ref="U193">IF(OR(M193="", M193="Deleted"), "", _xlfn.LET(
  _xlpm.dates,
  _xlfn._xlws.FILTER(
    [1]SubmittalLog!$H$1:$H$4000,
    [1]SubmittalLog!$E$1:$E$4000=M193,
    ""
  ),
  _xlpm.min_date, IFERROR(MIN(_xlpm.dates), ""),
  IF(_xlpm.min_date=0, "", _xlpm.min_date)
))</f>
        <v/>
      </c>
      <c r="V193" s="63" t="str" cm="1">
        <f t="array" ref="V193">IF(OR(M193="", M193="Deleted"), "", IFERROR(
  _xlfn.TEXTJOIN(", ", TRUE,
    _xlfn.MAP(
      _xlfn.UNIQUE(
        _xlfn._xlws.FILTER(
          [1]SubmittalLog!$B$1:$B$4000,
          ([1]SubmittalLog!$E$1:$E$4000=M193) *
          ([1]SubmittalLog!$B$1:$B$4000&lt;&gt;""),
          ""
        )
      ),
      _xlfn.LAMBDA(_xlpm.val, TEXT(_xlpm.val, "000000"))
    )
  ),
""))</f>
        <v/>
      </c>
      <c r="W193" s="40" t="str" cm="1">
        <f t="array" ref="W193">IF(OR(M193="", M193="Deleted"), "", _xlfn.LET(
  _xlpm.doc_col, [1]SubmittalLog!$E$1:$E$4000,
  _xlpm.date_col, [1]SubmittalLog!$H$1:$H$4000,
  _xlpm.status_col, [1]SubmittalLog!$N$1:$N$4000,
  _xlpm.latest_date, _xlfn.MAXIFS(_xlpm.date_col, _xlpm.doc_col, M193),
  IF(_xlpm.latest_date=0, "NFS",
    _xlfn.LET(
      _xlpm.res, _xlfn.XLOOKUP(M193 &amp; "|" &amp; _xlpm.latest_date, _xlpm.doc_col &amp; "|" &amp; _xlpm.date_col, _xlpm.status_col, ""),
      IF(OR(_xlpm.res="", _xlpm.res=0), "", _xlpm.res)
    )
  )
))</f>
        <v/>
      </c>
      <c r="X193" s="39" t="str">
        <f>IF(OR(M193="", M193="Deleted"), "", _xlfn.LET(
  _xlpm.doc_col, [1]SubmittalLog!$E$1:$E$4000,
  _xlpm.date_col, [1]SubmittalLog!$H$1:$H$4000,
  _xlpm.status_col, [1]SubmittalLog!$O$1:$O$4000,
  _xlpm.first_app_date, _xlfn.MINIFS(_xlpm.date_col, _xlpm.doc_col, M193, _xlpm.status_col, "APP"),
  _xlpm.first_awc_date, _xlfn.MINIFS(_xlpm.date_col, _xlpm.doc_col, M193, _xlpm.status_col, "AWC"),
  _xlpm.earliest_date, IF(
    AND(_xlpm.first_app_date=0, _xlpm.first_awc_date=0), 0,
    IF(_xlpm.first_app_date=0, _xlpm.first_awc_date,
    IF(_xlpm.first_awc_date=0, _xlpm.first_app_date,
    MIN(_xlpm.first_app_date, _xlpm.first_awc_date)))
  ),
  IF(_xlpm.earliest_date=0, "", _xlpm.earliest_date)
))</f>
        <v/>
      </c>
      <c r="Y193" s="40" t="str" cm="1">
        <f t="array" ref="Y193">IF(OR(M193="", M193="Deleted"), "", _xlfn.LET(
  _xlpm.doc_col, [1]SubmittalLog!$E$1:$E$4000,
  _xlpm.date_col, [1]SubmittalLog!$H$1:$H$4000,
  _xlpm.status_col, [1]SubmittalLog!$O$1:$O$4000,
  _xlpm.has_sub, COUNTIF(_xlpm.doc_col, M193),
  _xlpm.latest_reviewed_date, _xlfn.MAXIFS(_xlpm.date_col, _xlpm.doc_col, M193, _xlpm.status_col, "&lt;&gt;"),
  IF(_xlpm.has_sub=0, "",
    IF(_xlpm.latest_reviewed_date=0, "",
      _xlfn.LET(
        _xlpm.res, _xlfn.XLOOKUP(1, (_xlpm.doc_col=M193) * (_xlpm.date_col=_xlpm.latest_reviewed_date) * (_xlpm.status_col&lt;&gt;""), _xlpm.status_col, ""),
        IF(OR(_xlpm.res="", _xlpm.res=0), "", _xlpm.res)
      )
    )
  )
))</f>
        <v/>
      </c>
    </row>
    <row r="194" spans="1:25" x14ac:dyDescent="0.35">
      <c r="A194" s="33">
        <f>IF($M194="","",MAX($A$1:A193)+1)</f>
        <v>180</v>
      </c>
      <c r="B194" s="23" t="s">
        <v>120</v>
      </c>
      <c r="C194" s="23" t="s">
        <v>234</v>
      </c>
      <c r="G194" s="33">
        <v>131236</v>
      </c>
      <c r="H194" s="33" t="s">
        <v>59</v>
      </c>
      <c r="I194" s="33" t="s">
        <v>297</v>
      </c>
      <c r="J194" s="33" t="s">
        <v>233</v>
      </c>
      <c r="K194" s="51" t="s">
        <v>3732</v>
      </c>
      <c r="M194" s="34" t="str">
        <f t="shared" si="2"/>
        <v>131236-WIL21-DR-M-0015</v>
      </c>
      <c r="N194" s="26" t="s">
        <v>3655</v>
      </c>
      <c r="P194" s="34" t="s">
        <v>3467</v>
      </c>
      <c r="S194" s="35">
        <v>45379</v>
      </c>
      <c r="T194" s="35">
        <v>45379</v>
      </c>
      <c r="U194" s="64" cm="1">
        <f t="array" ref="U194">IF(OR(M194="", M194="Deleted"), "", _xlfn.LET(
  _xlpm.dates,
  _xlfn._xlws.FILTER(
    [1]SubmittalLog!$H$1:$H$4000,
    [1]SubmittalLog!$E$1:$E$4000=M194,
    ""
  ),
  _xlpm.min_date, IFERROR(MIN(_xlpm.dates), ""),
  IF(_xlpm.min_date=0, "", _xlpm.min_date)
))</f>
        <v>45379</v>
      </c>
      <c r="V194" s="63" t="str" cm="1">
        <f t="array" ref="V194">IF(OR(M194="", M194="Deleted"), "", IFERROR(
  _xlfn.TEXTJOIN(", ", TRUE,
    _xlfn.MAP(
      _xlfn.UNIQUE(
        _xlfn._xlws.FILTER(
          [1]SubmittalLog!$B$1:$B$4000,
          ([1]SubmittalLog!$E$1:$E$4000=M194) *
          ([1]SubmittalLog!$B$1:$B$4000&lt;&gt;""),
          ""
        )
      ),
      _xlfn.LAMBDA(_xlpm.val, TEXT(_xlpm.val, "000000"))
    )
  ),
""))</f>
        <v>000408</v>
      </c>
      <c r="W194" s="40" t="str" cm="1">
        <f t="array" ref="W194">IF(OR(M194="", M194="Deleted"), "", _xlfn.LET(
  _xlpm.doc_col, [1]SubmittalLog!$E$1:$E$4000,
  _xlpm.date_col, [1]SubmittalLog!$H$1:$H$4000,
  _xlpm.status_col, [1]SubmittalLog!$N$1:$N$4000,
  _xlpm.latest_date, _xlfn.MAXIFS(_xlpm.date_col, _xlpm.doc_col, M194),
  IF(_xlpm.latest_date=0, "NFS",
    _xlfn.LET(
      _xlpm.res, _xlfn.XLOOKUP(M194 &amp; "|" &amp; _xlpm.latest_date, _xlpm.doc_col &amp; "|" &amp; _xlpm.date_col, _xlpm.status_col, ""),
      IF(OR(_xlpm.res="", _xlpm.res=0), "", _xlpm.res)
    )
  )
))</f>
        <v>RTR</v>
      </c>
      <c r="X194" s="39">
        <f>IF(OR(M194="", M194="Deleted"), "", _xlfn.LET(
  _xlpm.doc_col, [1]SubmittalLog!$E$1:$E$4000,
  _xlpm.date_col, [1]SubmittalLog!$H$1:$H$4000,
  _xlpm.status_col, [1]SubmittalLog!$O$1:$O$4000,
  _xlpm.first_app_date, _xlfn.MINIFS(_xlpm.date_col, _xlpm.doc_col, M194, _xlpm.status_col, "APP"),
  _xlpm.first_awc_date, _xlfn.MINIFS(_xlpm.date_col, _xlpm.doc_col, M194, _xlpm.status_col, "AWC"),
  _xlpm.earliest_date, IF(
    AND(_xlpm.first_app_date=0, _xlpm.first_awc_date=0), 0,
    IF(_xlpm.first_app_date=0, _xlpm.first_awc_date,
    IF(_xlpm.first_awc_date=0, _xlpm.first_app_date,
    MIN(_xlpm.first_app_date, _xlpm.first_awc_date)))
  ),
  IF(_xlpm.earliest_date=0, "", _xlpm.earliest_date)
))</f>
        <v>45379</v>
      </c>
      <c r="Y194" s="40" t="str" cm="1">
        <f t="array" ref="Y194">IF(OR(M194="", M194="Deleted"), "", _xlfn.LET(
  _xlpm.doc_col, [1]SubmittalLog!$E$1:$E$4000,
  _xlpm.date_col, [1]SubmittalLog!$H$1:$H$4000,
  _xlpm.status_col, [1]SubmittalLog!$O$1:$O$4000,
  _xlpm.has_sub, COUNTIF(_xlpm.doc_col, M194),
  _xlpm.latest_reviewed_date, _xlfn.MAXIFS(_xlpm.date_col, _xlpm.doc_col, M194, _xlpm.status_col, "&lt;&gt;"),
  IF(_xlpm.has_sub=0, "",
    IF(_xlpm.latest_reviewed_date=0, "",
      _xlfn.LET(
        _xlpm.res, _xlfn.XLOOKUP(1, (_xlpm.doc_col=M194) * (_xlpm.date_col=_xlpm.latest_reviewed_date) * (_xlpm.status_col&lt;&gt;""), _xlpm.status_col, ""),
        IF(OR(_xlpm.res="", _xlpm.res=0), "", _xlpm.res)
      )
    )
  )
))</f>
        <v>AWC</v>
      </c>
    </row>
    <row r="195" spans="1:25" x14ac:dyDescent="0.35">
      <c r="A195" s="33">
        <f>IF($M195="","",MAX($A$1:A194)+1)</f>
        <v>181</v>
      </c>
      <c r="B195" s="23" t="s">
        <v>120</v>
      </c>
      <c r="C195" s="23" t="s">
        <v>234</v>
      </c>
      <c r="G195" s="33">
        <v>131236</v>
      </c>
      <c r="H195" s="33" t="s">
        <v>59</v>
      </c>
      <c r="I195" s="33" t="s">
        <v>297</v>
      </c>
      <c r="J195" s="33" t="s">
        <v>233</v>
      </c>
      <c r="K195" s="51" t="s">
        <v>3733</v>
      </c>
      <c r="M195" s="34" t="str">
        <f t="shared" ref="M195:M258" si="3">IF(B195="Deleted","Deleted",_xlfn.TEXTJOIN("-",TRUE,G195,H195,I195,J195,IF(K195="","",TEXT(K195,"0000"))))</f>
        <v>131236-WIL21-DR-M-0016</v>
      </c>
      <c r="N195" s="26" t="s">
        <v>3657</v>
      </c>
      <c r="P195" s="34" t="s">
        <v>3467</v>
      </c>
      <c r="S195" s="35">
        <v>45379</v>
      </c>
      <c r="T195" s="35">
        <v>45379</v>
      </c>
      <c r="U195" s="64" cm="1">
        <f t="array" ref="U195">IF(OR(M195="", M195="Deleted"), "", _xlfn.LET(
  _xlpm.dates,
  _xlfn._xlws.FILTER(
    [1]SubmittalLog!$H$1:$H$4000,
    [1]SubmittalLog!$E$1:$E$4000=M195,
    ""
  ),
  _xlpm.min_date, IFERROR(MIN(_xlpm.dates), ""),
  IF(_xlpm.min_date=0, "", _xlpm.min_date)
))</f>
        <v>45379</v>
      </c>
      <c r="V195" s="63" t="str" cm="1">
        <f t="array" ref="V195">IF(OR(M195="", M195="Deleted"), "", IFERROR(
  _xlfn.TEXTJOIN(", ", TRUE,
    _xlfn.MAP(
      _xlfn.UNIQUE(
        _xlfn._xlws.FILTER(
          [1]SubmittalLog!$B$1:$B$4000,
          ([1]SubmittalLog!$E$1:$E$4000=M195) *
          ([1]SubmittalLog!$B$1:$B$4000&lt;&gt;""),
          ""
        )
      ),
      _xlfn.LAMBDA(_xlpm.val, TEXT(_xlpm.val, "000000"))
    )
  ),
""))</f>
        <v>000408</v>
      </c>
      <c r="W195" s="40" t="str" cm="1">
        <f t="array" ref="W195">IF(OR(M195="", M195="Deleted"), "", _xlfn.LET(
  _xlpm.doc_col, [1]SubmittalLog!$E$1:$E$4000,
  _xlpm.date_col, [1]SubmittalLog!$H$1:$H$4000,
  _xlpm.status_col, [1]SubmittalLog!$N$1:$N$4000,
  _xlpm.latest_date, _xlfn.MAXIFS(_xlpm.date_col, _xlpm.doc_col, M195),
  IF(_xlpm.latest_date=0, "NFS",
    _xlfn.LET(
      _xlpm.res, _xlfn.XLOOKUP(M195 &amp; "|" &amp; _xlpm.latest_date, _xlpm.doc_col &amp; "|" &amp; _xlpm.date_col, _xlpm.status_col, ""),
      IF(OR(_xlpm.res="", _xlpm.res=0), "", _xlpm.res)
    )
  )
))</f>
        <v>RTR</v>
      </c>
      <c r="X195" s="39">
        <f>IF(OR(M195="", M195="Deleted"), "", _xlfn.LET(
  _xlpm.doc_col, [1]SubmittalLog!$E$1:$E$4000,
  _xlpm.date_col, [1]SubmittalLog!$H$1:$H$4000,
  _xlpm.status_col, [1]SubmittalLog!$O$1:$O$4000,
  _xlpm.first_app_date, _xlfn.MINIFS(_xlpm.date_col, _xlpm.doc_col, M195, _xlpm.status_col, "APP"),
  _xlpm.first_awc_date, _xlfn.MINIFS(_xlpm.date_col, _xlpm.doc_col, M195, _xlpm.status_col, "AWC"),
  _xlpm.earliest_date, IF(
    AND(_xlpm.first_app_date=0, _xlpm.first_awc_date=0), 0,
    IF(_xlpm.first_app_date=0, _xlpm.first_awc_date,
    IF(_xlpm.first_awc_date=0, _xlpm.first_app_date,
    MIN(_xlpm.first_app_date, _xlpm.first_awc_date)))
  ),
  IF(_xlpm.earliest_date=0, "", _xlpm.earliest_date)
))</f>
        <v>45379</v>
      </c>
      <c r="Y195" s="40" t="str" cm="1">
        <f t="array" ref="Y195">IF(OR(M195="", M195="Deleted"), "", _xlfn.LET(
  _xlpm.doc_col, [1]SubmittalLog!$E$1:$E$4000,
  _xlpm.date_col, [1]SubmittalLog!$H$1:$H$4000,
  _xlpm.status_col, [1]SubmittalLog!$O$1:$O$4000,
  _xlpm.has_sub, COUNTIF(_xlpm.doc_col, M195),
  _xlpm.latest_reviewed_date, _xlfn.MAXIFS(_xlpm.date_col, _xlpm.doc_col, M195, _xlpm.status_col, "&lt;&gt;"),
  IF(_xlpm.has_sub=0, "",
    IF(_xlpm.latest_reviewed_date=0, "",
      _xlfn.LET(
        _xlpm.res, _xlfn.XLOOKUP(1, (_xlpm.doc_col=M195) * (_xlpm.date_col=_xlpm.latest_reviewed_date) * (_xlpm.status_col&lt;&gt;""), _xlpm.status_col, ""),
        IF(OR(_xlpm.res="", _xlpm.res=0), "", _xlpm.res)
      )
    )
  )
))</f>
        <v>AWC</v>
      </c>
    </row>
    <row r="196" spans="1:25" x14ac:dyDescent="0.35">
      <c r="A196" s="33">
        <f>IF($M196="","",MAX($A$1:A195)+1)</f>
        <v>182</v>
      </c>
      <c r="B196" s="23" t="s">
        <v>120</v>
      </c>
      <c r="C196" s="23" t="s">
        <v>234</v>
      </c>
      <c r="G196" s="33">
        <v>131236</v>
      </c>
      <c r="H196" s="33" t="s">
        <v>59</v>
      </c>
      <c r="I196" s="33" t="s">
        <v>297</v>
      </c>
      <c r="J196" s="33" t="s">
        <v>233</v>
      </c>
      <c r="K196" s="51" t="s">
        <v>3734</v>
      </c>
      <c r="M196" s="34" t="str">
        <f t="shared" si="3"/>
        <v>131236-WIL21-DR-M-0017</v>
      </c>
      <c r="N196" s="26" t="s">
        <v>3662</v>
      </c>
      <c r="P196" s="34" t="s">
        <v>3498</v>
      </c>
      <c r="S196" s="35">
        <v>45379</v>
      </c>
      <c r="T196" s="35">
        <v>45379</v>
      </c>
      <c r="U196" s="64" cm="1">
        <f t="array" ref="U196">IF(OR(M196="", M196="Deleted"), "", _xlfn.LET(
  _xlpm.dates,
  _xlfn._xlws.FILTER(
    [1]SubmittalLog!$H$1:$H$4000,
    [1]SubmittalLog!$E$1:$E$4000=M196,
    ""
  ),
  _xlpm.min_date, IFERROR(MIN(_xlpm.dates), ""),
  IF(_xlpm.min_date=0, "", _xlpm.min_date)
))</f>
        <v>45379</v>
      </c>
      <c r="V196" s="63" t="str" cm="1">
        <f t="array" ref="V196">IF(OR(M196="", M196="Deleted"), "", IFERROR(
  _xlfn.TEXTJOIN(", ", TRUE,
    _xlfn.MAP(
      _xlfn.UNIQUE(
        _xlfn._xlws.FILTER(
          [1]SubmittalLog!$B$1:$B$4000,
          ([1]SubmittalLog!$E$1:$E$4000=M196) *
          ([1]SubmittalLog!$B$1:$B$4000&lt;&gt;""),
          ""
        )
      ),
      _xlfn.LAMBDA(_xlpm.val, TEXT(_xlpm.val, "000000"))
    )
  ),
""))</f>
        <v>000409</v>
      </c>
      <c r="W196" s="40" t="str" cm="1">
        <f t="array" ref="W196">IF(OR(M196="", M196="Deleted"), "", _xlfn.LET(
  _xlpm.doc_col, [1]SubmittalLog!$E$1:$E$4000,
  _xlpm.date_col, [1]SubmittalLog!$H$1:$H$4000,
  _xlpm.status_col, [1]SubmittalLog!$N$1:$N$4000,
  _xlpm.latest_date, _xlfn.MAXIFS(_xlpm.date_col, _xlpm.doc_col, M196),
  IF(_xlpm.latest_date=0, "NFS",
    _xlfn.LET(
      _xlpm.res, _xlfn.XLOOKUP(M196 &amp; "|" &amp; _xlpm.latest_date, _xlpm.doc_col &amp; "|" &amp; _xlpm.date_col, _xlpm.status_col, ""),
      IF(OR(_xlpm.res="", _xlpm.res=0), "", _xlpm.res)
    )
  )
))</f>
        <v>RTR</v>
      </c>
      <c r="X196" s="39">
        <f>IF(OR(M196="", M196="Deleted"), "", _xlfn.LET(
  _xlpm.doc_col, [1]SubmittalLog!$E$1:$E$4000,
  _xlpm.date_col, [1]SubmittalLog!$H$1:$H$4000,
  _xlpm.status_col, [1]SubmittalLog!$O$1:$O$4000,
  _xlpm.first_app_date, _xlfn.MINIFS(_xlpm.date_col, _xlpm.doc_col, M196, _xlpm.status_col, "APP"),
  _xlpm.first_awc_date, _xlfn.MINIFS(_xlpm.date_col, _xlpm.doc_col, M196, _xlpm.status_col, "AWC"),
  _xlpm.earliest_date, IF(
    AND(_xlpm.first_app_date=0, _xlpm.first_awc_date=0), 0,
    IF(_xlpm.first_app_date=0, _xlpm.first_awc_date,
    IF(_xlpm.first_awc_date=0, _xlpm.first_app_date,
    MIN(_xlpm.first_app_date, _xlpm.first_awc_date)))
  ),
  IF(_xlpm.earliest_date=0, "", _xlpm.earliest_date)
))</f>
        <v>45379</v>
      </c>
      <c r="Y196" s="40" t="str" cm="1">
        <f t="array" ref="Y196">IF(OR(M196="", M196="Deleted"), "", _xlfn.LET(
  _xlpm.doc_col, [1]SubmittalLog!$E$1:$E$4000,
  _xlpm.date_col, [1]SubmittalLog!$H$1:$H$4000,
  _xlpm.status_col, [1]SubmittalLog!$O$1:$O$4000,
  _xlpm.has_sub, COUNTIF(_xlpm.doc_col, M196),
  _xlpm.latest_reviewed_date, _xlfn.MAXIFS(_xlpm.date_col, _xlpm.doc_col, M196, _xlpm.status_col, "&lt;&gt;"),
  IF(_xlpm.has_sub=0, "",
    IF(_xlpm.latest_reviewed_date=0, "",
      _xlfn.LET(
        _xlpm.res, _xlfn.XLOOKUP(1, (_xlpm.doc_col=M196) * (_xlpm.date_col=_xlpm.latest_reviewed_date) * (_xlpm.status_col&lt;&gt;""), _xlpm.status_col, ""),
        IF(OR(_xlpm.res="", _xlpm.res=0), "", _xlpm.res)
      )
    )
  )
))</f>
        <v>AWC</v>
      </c>
    </row>
    <row r="197" spans="1:25" x14ac:dyDescent="0.35">
      <c r="A197" s="33">
        <f>IF($M197="","",MAX($A$1:A196)+1)</f>
        <v>183</v>
      </c>
      <c r="B197" s="23" t="s">
        <v>120</v>
      </c>
      <c r="C197" s="23" t="s">
        <v>234</v>
      </c>
      <c r="G197" s="33">
        <v>131236</v>
      </c>
      <c r="H197" s="33" t="s">
        <v>59</v>
      </c>
      <c r="I197" s="33" t="s">
        <v>297</v>
      </c>
      <c r="J197" s="33" t="s">
        <v>233</v>
      </c>
      <c r="K197" s="51" t="s">
        <v>3735</v>
      </c>
      <c r="M197" s="34" t="str">
        <f t="shared" si="3"/>
        <v>131236-WIL21-DR-M-0018</v>
      </c>
      <c r="N197" s="26" t="s">
        <v>3664</v>
      </c>
      <c r="P197" s="34" t="s">
        <v>3498</v>
      </c>
      <c r="S197" s="35">
        <v>45488</v>
      </c>
      <c r="T197" s="35">
        <v>45488</v>
      </c>
      <c r="U197" s="64" cm="1">
        <f t="array" ref="U197">IF(OR(M197="", M197="Deleted"), "", _xlfn.LET(
  _xlpm.dates,
  _xlfn._xlws.FILTER(
    [1]SubmittalLog!$H$1:$H$4000,
    [1]SubmittalLog!$E$1:$E$4000=M197,
    ""
  ),
  _xlpm.min_date, IFERROR(MIN(_xlpm.dates), ""),
  IF(_xlpm.min_date=0, "", _xlpm.min_date)
))</f>
        <v>45478</v>
      </c>
      <c r="V197" s="63" t="str" cm="1">
        <f t="array" ref="V197">IF(OR(M197="", M197="Deleted"), "", IFERROR(
  _xlfn.TEXTJOIN(", ", TRUE,
    _xlfn.MAP(
      _xlfn.UNIQUE(
        _xlfn._xlws.FILTER(
          [1]SubmittalLog!$B$1:$B$4000,
          ([1]SubmittalLog!$E$1:$E$4000=M197) *
          ([1]SubmittalLog!$B$1:$B$4000&lt;&gt;""),
          ""
        )
      ),
      _xlfn.LAMBDA(_xlpm.val, TEXT(_xlpm.val, "000000"))
    )
  ),
""))</f>
        <v>000409</v>
      </c>
      <c r="W197" s="40" t="str" cm="1">
        <f t="array" ref="W197">IF(OR(M197="", M197="Deleted"), "", _xlfn.LET(
  _xlpm.doc_col, [1]SubmittalLog!$E$1:$E$4000,
  _xlpm.date_col, [1]SubmittalLog!$H$1:$H$4000,
  _xlpm.status_col, [1]SubmittalLog!$N$1:$N$4000,
  _xlpm.latest_date, _xlfn.MAXIFS(_xlpm.date_col, _xlpm.doc_col, M197),
  IF(_xlpm.latest_date=0, "NFS",
    _xlfn.LET(
      _xlpm.res, _xlfn.XLOOKUP(M197 &amp; "|" &amp; _xlpm.latest_date, _xlpm.doc_col &amp; "|" &amp; _xlpm.date_col, _xlpm.status_col, ""),
      IF(OR(_xlpm.res="", _xlpm.res=0), "", _xlpm.res)
    )
  )
))</f>
        <v>RTR</v>
      </c>
      <c r="X197" s="39">
        <f>IF(OR(M197="", M197="Deleted"), "", _xlfn.LET(
  _xlpm.doc_col, [1]SubmittalLog!$E$1:$E$4000,
  _xlpm.date_col, [1]SubmittalLog!$H$1:$H$4000,
  _xlpm.status_col, [1]SubmittalLog!$O$1:$O$4000,
  _xlpm.first_app_date, _xlfn.MINIFS(_xlpm.date_col, _xlpm.doc_col, M197, _xlpm.status_col, "APP"),
  _xlpm.first_awc_date, _xlfn.MINIFS(_xlpm.date_col, _xlpm.doc_col, M197, _xlpm.status_col, "AWC"),
  _xlpm.earliest_date, IF(
    AND(_xlpm.first_app_date=0, _xlpm.first_awc_date=0), 0,
    IF(_xlpm.first_app_date=0, _xlpm.first_awc_date,
    IF(_xlpm.first_awc_date=0, _xlpm.first_app_date,
    MIN(_xlpm.first_app_date, _xlpm.first_awc_date)))
  ),
  IF(_xlpm.earliest_date=0, "", _xlpm.earliest_date)
))</f>
        <v>45478</v>
      </c>
      <c r="Y197" s="40" t="str" cm="1">
        <f t="array" ref="Y197">IF(OR(M197="", M197="Deleted"), "", _xlfn.LET(
  _xlpm.doc_col, [1]SubmittalLog!$E$1:$E$4000,
  _xlpm.date_col, [1]SubmittalLog!$H$1:$H$4000,
  _xlpm.status_col, [1]SubmittalLog!$O$1:$O$4000,
  _xlpm.has_sub, COUNTIF(_xlpm.doc_col, M197),
  _xlpm.latest_reviewed_date, _xlfn.MAXIFS(_xlpm.date_col, _xlpm.doc_col, M197, _xlpm.status_col, "&lt;&gt;"),
  IF(_xlpm.has_sub=0, "",
    IF(_xlpm.latest_reviewed_date=0, "",
      _xlfn.LET(
        _xlpm.res, _xlfn.XLOOKUP(1, (_xlpm.doc_col=M197) * (_xlpm.date_col=_xlpm.latest_reviewed_date) * (_xlpm.status_col&lt;&gt;""), _xlpm.status_col, ""),
        IF(OR(_xlpm.res="", _xlpm.res=0), "", _xlpm.res)
      )
    )
  )
))</f>
        <v>AWC</v>
      </c>
    </row>
    <row r="198" spans="1:25" x14ac:dyDescent="0.35">
      <c r="A198" s="33">
        <f>IF($M198="","",MAX($A$1:A197)+1)</f>
        <v>184</v>
      </c>
      <c r="B198" s="23" t="s">
        <v>120</v>
      </c>
      <c r="C198" s="23" t="s">
        <v>234</v>
      </c>
      <c r="G198" s="33">
        <v>131236</v>
      </c>
      <c r="H198" s="33" t="s">
        <v>59</v>
      </c>
      <c r="I198" s="33" t="s">
        <v>297</v>
      </c>
      <c r="J198" s="33" t="s">
        <v>233</v>
      </c>
      <c r="K198" s="51" t="s">
        <v>3736</v>
      </c>
      <c r="M198" s="34" t="str">
        <f t="shared" si="3"/>
        <v>131236-WIL21-DR-M-0025</v>
      </c>
      <c r="N198" s="26" t="s">
        <v>3667</v>
      </c>
      <c r="P198" s="34" t="s">
        <v>3467</v>
      </c>
      <c r="S198" s="35">
        <v>45598</v>
      </c>
      <c r="T198" s="35">
        <v>45598</v>
      </c>
      <c r="U198" s="64" cm="1">
        <f t="array" ref="U198">IF(OR(M198="", M198="Deleted"), "", _xlfn.LET(
  _xlpm.dates,
  _xlfn._xlws.FILTER(
    [1]SubmittalLog!$H$1:$H$4000,
    [1]SubmittalLog!$E$1:$E$4000=M198,
    ""
  ),
  _xlpm.min_date, IFERROR(MIN(_xlpm.dates), ""),
  IF(_xlpm.min_date=0, "", _xlpm.min_date)
))</f>
        <v>45598</v>
      </c>
      <c r="V198" s="63" t="str" cm="1">
        <f t="array" ref="V198">IF(OR(M198="", M198="Deleted"), "", IFERROR(
  _xlfn.TEXTJOIN(", ", TRUE,
    _xlfn.MAP(
      _xlfn.UNIQUE(
        _xlfn._xlws.FILTER(
          [1]SubmittalLog!$B$1:$B$4000,
          ([1]SubmittalLog!$E$1:$E$4000=M198) *
          ([1]SubmittalLog!$B$1:$B$4000&lt;&gt;""),
          ""
        )
      ),
      _xlfn.LAMBDA(_xlpm.val, TEXT(_xlpm.val, "000000"))
    )
  ),
""))</f>
        <v>000553</v>
      </c>
      <c r="W198" s="40" t="str" cm="1">
        <f t="array" ref="W198">IF(OR(M198="", M198="Deleted"), "", _xlfn.LET(
  _xlpm.doc_col, [1]SubmittalLog!$E$1:$E$4000,
  _xlpm.date_col, [1]SubmittalLog!$H$1:$H$4000,
  _xlpm.status_col, [1]SubmittalLog!$N$1:$N$4000,
  _xlpm.latest_date, _xlfn.MAXIFS(_xlpm.date_col, _xlpm.doc_col, M198),
  IF(_xlpm.latest_date=0, "NFS",
    _xlfn.LET(
      _xlpm.res, _xlfn.XLOOKUP(M198 &amp; "|" &amp; _xlpm.latest_date, _xlpm.doc_col &amp; "|" &amp; _xlpm.date_col, _xlpm.status_col, ""),
      IF(OR(_xlpm.res="", _xlpm.res=0), "", _xlpm.res)
    )
  )
))</f>
        <v>RTR</v>
      </c>
      <c r="X198" s="39">
        <f>IF(OR(M198="", M198="Deleted"), "", _xlfn.LET(
  _xlpm.doc_col, [1]SubmittalLog!$E$1:$E$4000,
  _xlpm.date_col, [1]SubmittalLog!$H$1:$H$4000,
  _xlpm.status_col, [1]SubmittalLog!$O$1:$O$4000,
  _xlpm.first_app_date, _xlfn.MINIFS(_xlpm.date_col, _xlpm.doc_col, M198, _xlpm.status_col, "APP"),
  _xlpm.first_awc_date, _xlfn.MINIFS(_xlpm.date_col, _xlpm.doc_col, M198, _xlpm.status_col, "AWC"),
  _xlpm.earliest_date, IF(
    AND(_xlpm.first_app_date=0, _xlpm.first_awc_date=0), 0,
    IF(_xlpm.first_app_date=0, _xlpm.first_awc_date,
    IF(_xlpm.first_awc_date=0, _xlpm.first_app_date,
    MIN(_xlpm.first_app_date, _xlpm.first_awc_date)))
  ),
  IF(_xlpm.earliest_date=0, "", _xlpm.earliest_date)
))</f>
        <v>45598</v>
      </c>
      <c r="Y198" s="40" t="str" cm="1">
        <f t="array" ref="Y198">IF(OR(M198="", M198="Deleted"), "", _xlfn.LET(
  _xlpm.doc_col, [1]SubmittalLog!$E$1:$E$4000,
  _xlpm.date_col, [1]SubmittalLog!$H$1:$H$4000,
  _xlpm.status_col, [1]SubmittalLog!$O$1:$O$4000,
  _xlpm.has_sub, COUNTIF(_xlpm.doc_col, M198),
  _xlpm.latest_reviewed_date, _xlfn.MAXIFS(_xlpm.date_col, _xlpm.doc_col, M198, _xlpm.status_col, "&lt;&gt;"),
  IF(_xlpm.has_sub=0, "",
    IF(_xlpm.latest_reviewed_date=0, "",
      _xlfn.LET(
        _xlpm.res, _xlfn.XLOOKUP(1, (_xlpm.doc_col=M198) * (_xlpm.date_col=_xlpm.latest_reviewed_date) * (_xlpm.status_col&lt;&gt;""), _xlpm.status_col, ""),
        IF(OR(_xlpm.res="", _xlpm.res=0), "", _xlpm.res)
      )
    )
  )
))</f>
        <v>AWC</v>
      </c>
    </row>
    <row r="199" spans="1:25" x14ac:dyDescent="0.35">
      <c r="A199" s="33">
        <f>IF($M199="","",MAX($A$1:A198)+1)</f>
        <v>185</v>
      </c>
      <c r="B199" s="23" t="s">
        <v>120</v>
      </c>
      <c r="C199" s="23" t="s">
        <v>234</v>
      </c>
      <c r="G199" s="33">
        <v>131236</v>
      </c>
      <c r="H199" s="33" t="s">
        <v>59</v>
      </c>
      <c r="I199" s="33" t="s">
        <v>297</v>
      </c>
      <c r="J199" s="33" t="s">
        <v>233</v>
      </c>
      <c r="K199" s="51" t="s">
        <v>3737</v>
      </c>
      <c r="M199" s="34" t="str">
        <f t="shared" si="3"/>
        <v>131236-WIL21-DR-M-0026</v>
      </c>
      <c r="N199" s="26" t="s">
        <v>3669</v>
      </c>
      <c r="P199" s="34" t="s">
        <v>3467</v>
      </c>
      <c r="S199" s="35">
        <v>45598</v>
      </c>
      <c r="T199" s="35">
        <v>45598</v>
      </c>
      <c r="U199" s="64" cm="1">
        <f t="array" ref="U199">IF(OR(M199="", M199="Deleted"), "", _xlfn.LET(
  _xlpm.dates,
  _xlfn._xlws.FILTER(
    [1]SubmittalLog!$H$1:$H$4000,
    [1]SubmittalLog!$E$1:$E$4000=M199,
    ""
  ),
  _xlpm.min_date, IFERROR(MIN(_xlpm.dates), ""),
  IF(_xlpm.min_date=0, "", _xlpm.min_date)
))</f>
        <v>45598</v>
      </c>
      <c r="V199" s="63" t="str" cm="1">
        <f t="array" ref="V199">IF(OR(M199="", M199="Deleted"), "", IFERROR(
  _xlfn.TEXTJOIN(", ", TRUE,
    _xlfn.MAP(
      _xlfn.UNIQUE(
        _xlfn._xlws.FILTER(
          [1]SubmittalLog!$B$1:$B$4000,
          ([1]SubmittalLog!$E$1:$E$4000=M199) *
          ([1]SubmittalLog!$B$1:$B$4000&lt;&gt;""),
          ""
        )
      ),
      _xlfn.LAMBDA(_xlpm.val, TEXT(_xlpm.val, "000000"))
    )
  ),
""))</f>
        <v>000553</v>
      </c>
      <c r="W199" s="40" t="str" cm="1">
        <f t="array" ref="W199">IF(OR(M199="", M199="Deleted"), "", _xlfn.LET(
  _xlpm.doc_col, [1]SubmittalLog!$E$1:$E$4000,
  _xlpm.date_col, [1]SubmittalLog!$H$1:$H$4000,
  _xlpm.status_col, [1]SubmittalLog!$N$1:$N$4000,
  _xlpm.latest_date, _xlfn.MAXIFS(_xlpm.date_col, _xlpm.doc_col, M199),
  IF(_xlpm.latest_date=0, "NFS",
    _xlfn.LET(
      _xlpm.res, _xlfn.XLOOKUP(M199 &amp; "|" &amp; _xlpm.latest_date, _xlpm.doc_col &amp; "|" &amp; _xlpm.date_col, _xlpm.status_col, ""),
      IF(OR(_xlpm.res="", _xlpm.res=0), "", _xlpm.res)
    )
  )
))</f>
        <v>RTR</v>
      </c>
      <c r="X199" s="39">
        <f>IF(OR(M199="", M199="Deleted"), "", _xlfn.LET(
  _xlpm.doc_col, [1]SubmittalLog!$E$1:$E$4000,
  _xlpm.date_col, [1]SubmittalLog!$H$1:$H$4000,
  _xlpm.status_col, [1]SubmittalLog!$O$1:$O$4000,
  _xlpm.first_app_date, _xlfn.MINIFS(_xlpm.date_col, _xlpm.doc_col, M199, _xlpm.status_col, "APP"),
  _xlpm.first_awc_date, _xlfn.MINIFS(_xlpm.date_col, _xlpm.doc_col, M199, _xlpm.status_col, "AWC"),
  _xlpm.earliest_date, IF(
    AND(_xlpm.first_app_date=0, _xlpm.first_awc_date=0), 0,
    IF(_xlpm.first_app_date=0, _xlpm.first_awc_date,
    IF(_xlpm.first_awc_date=0, _xlpm.first_app_date,
    MIN(_xlpm.first_app_date, _xlpm.first_awc_date)))
  ),
  IF(_xlpm.earliest_date=0, "", _xlpm.earliest_date)
))</f>
        <v>45598</v>
      </c>
      <c r="Y199" s="40" t="str" cm="1">
        <f t="array" ref="Y199">IF(OR(M199="", M199="Deleted"), "", _xlfn.LET(
  _xlpm.doc_col, [1]SubmittalLog!$E$1:$E$4000,
  _xlpm.date_col, [1]SubmittalLog!$H$1:$H$4000,
  _xlpm.status_col, [1]SubmittalLog!$O$1:$O$4000,
  _xlpm.has_sub, COUNTIF(_xlpm.doc_col, M199),
  _xlpm.latest_reviewed_date, _xlfn.MAXIFS(_xlpm.date_col, _xlpm.doc_col, M199, _xlpm.status_col, "&lt;&gt;"),
  IF(_xlpm.has_sub=0, "",
    IF(_xlpm.latest_reviewed_date=0, "",
      _xlfn.LET(
        _xlpm.res, _xlfn.XLOOKUP(1, (_xlpm.doc_col=M199) * (_xlpm.date_col=_xlpm.latest_reviewed_date) * (_xlpm.status_col&lt;&gt;""), _xlpm.status_col, ""),
        IF(OR(_xlpm.res="", _xlpm.res=0), "", _xlpm.res)
      )
    )
  )
))</f>
        <v>AWC</v>
      </c>
    </row>
    <row r="200" spans="1:25" x14ac:dyDescent="0.35">
      <c r="A200" s="33">
        <f>IF($M200="","",MAX($A$1:A199)+1)</f>
        <v>186</v>
      </c>
      <c r="B200" s="23" t="s">
        <v>54</v>
      </c>
      <c r="C200" s="23" t="s">
        <v>257</v>
      </c>
      <c r="G200" s="33">
        <v>131236</v>
      </c>
      <c r="H200" s="33" t="s">
        <v>59</v>
      </c>
      <c r="I200" s="33" t="s">
        <v>297</v>
      </c>
      <c r="J200" s="33" t="s">
        <v>107</v>
      </c>
      <c r="K200" s="51">
        <v>3100</v>
      </c>
      <c r="M200" s="34" t="str">
        <f t="shared" si="3"/>
        <v>Deleted</v>
      </c>
      <c r="N200" s="26" t="s">
        <v>3738</v>
      </c>
      <c r="P200" s="34" t="s">
        <v>3467</v>
      </c>
      <c r="U200" s="64" t="str" cm="1">
        <f t="array" ref="U200">IF(OR(M200="", M200="Deleted"), "", _xlfn.LET(
  _xlpm.dates,
  _xlfn._xlws.FILTER(
    [1]SubmittalLog!$H$1:$H$4000,
    [1]SubmittalLog!$E$1:$E$4000=M200,
    ""
  ),
  _xlpm.min_date, IFERROR(MIN(_xlpm.dates), ""),
  IF(_xlpm.min_date=0, "", _xlpm.min_date)
))</f>
        <v/>
      </c>
      <c r="V200" s="63" t="str" cm="1">
        <f t="array" ref="V200">IF(OR(M200="", M200="Deleted"), "", IFERROR(
  _xlfn.TEXTJOIN(", ", TRUE,
    _xlfn.MAP(
      _xlfn.UNIQUE(
        _xlfn._xlws.FILTER(
          [1]SubmittalLog!$B$1:$B$4000,
          ([1]SubmittalLog!$E$1:$E$4000=M200) *
          ([1]SubmittalLog!$B$1:$B$4000&lt;&gt;""),
          ""
        )
      ),
      _xlfn.LAMBDA(_xlpm.val, TEXT(_xlpm.val, "000000"))
    )
  ),
""))</f>
        <v/>
      </c>
      <c r="W200" s="40" t="str" cm="1">
        <f t="array" ref="W200">IF(OR(M200="", M200="Deleted"), "", _xlfn.LET(
  _xlpm.doc_col, [1]SubmittalLog!$E$1:$E$4000,
  _xlpm.date_col, [1]SubmittalLog!$H$1:$H$4000,
  _xlpm.status_col, [1]SubmittalLog!$N$1:$N$4000,
  _xlpm.latest_date, _xlfn.MAXIFS(_xlpm.date_col, _xlpm.doc_col, M200),
  IF(_xlpm.latest_date=0, "NFS",
    _xlfn.LET(
      _xlpm.res, _xlfn.XLOOKUP(M200 &amp; "|" &amp; _xlpm.latest_date, _xlpm.doc_col &amp; "|" &amp; _xlpm.date_col, _xlpm.status_col, ""),
      IF(OR(_xlpm.res="", _xlpm.res=0), "", _xlpm.res)
    )
  )
))</f>
        <v/>
      </c>
      <c r="X200" s="39" t="str">
        <f>IF(OR(M200="", M200="Deleted"), "", _xlfn.LET(
  _xlpm.doc_col, [1]SubmittalLog!$E$1:$E$4000,
  _xlpm.date_col, [1]SubmittalLog!$H$1:$H$4000,
  _xlpm.status_col, [1]SubmittalLog!$O$1:$O$4000,
  _xlpm.first_app_date, _xlfn.MINIFS(_xlpm.date_col, _xlpm.doc_col, M200, _xlpm.status_col, "APP"),
  _xlpm.first_awc_date, _xlfn.MINIFS(_xlpm.date_col, _xlpm.doc_col, M200, _xlpm.status_col, "AWC"),
  _xlpm.earliest_date, IF(
    AND(_xlpm.first_app_date=0, _xlpm.first_awc_date=0), 0,
    IF(_xlpm.first_app_date=0, _xlpm.first_awc_date,
    IF(_xlpm.first_awc_date=0, _xlpm.first_app_date,
    MIN(_xlpm.first_app_date, _xlpm.first_awc_date)))
  ),
  IF(_xlpm.earliest_date=0, "", _xlpm.earliest_date)
))</f>
        <v/>
      </c>
      <c r="Y200" s="40" t="str" cm="1">
        <f t="array" ref="Y200">IF(OR(M200="", M200="Deleted"), "", _xlfn.LET(
  _xlpm.doc_col, [1]SubmittalLog!$E$1:$E$4000,
  _xlpm.date_col, [1]SubmittalLog!$H$1:$H$4000,
  _xlpm.status_col, [1]SubmittalLog!$O$1:$O$4000,
  _xlpm.has_sub, COUNTIF(_xlpm.doc_col, M200),
  _xlpm.latest_reviewed_date, _xlfn.MAXIFS(_xlpm.date_col, _xlpm.doc_col, M200, _xlpm.status_col, "&lt;&gt;"),
  IF(_xlpm.has_sub=0, "",
    IF(_xlpm.latest_reviewed_date=0, "",
      _xlfn.LET(
        _xlpm.res, _xlfn.XLOOKUP(1, (_xlpm.doc_col=M200) * (_xlpm.date_col=_xlpm.latest_reviewed_date) * (_xlpm.status_col&lt;&gt;""), _xlpm.status_col, ""),
        IF(OR(_xlpm.res="", _xlpm.res=0), "", _xlpm.res)
      )
    )
  )
))</f>
        <v/>
      </c>
    </row>
    <row r="201" spans="1:25" x14ac:dyDescent="0.35">
      <c r="A201" s="33">
        <f>IF($M201="","",MAX($A$1:A200)+1)</f>
        <v>187</v>
      </c>
      <c r="B201" s="23" t="s">
        <v>54</v>
      </c>
      <c r="C201" s="23" t="s">
        <v>246</v>
      </c>
      <c r="G201" s="33">
        <v>131236</v>
      </c>
      <c r="H201" s="33" t="s">
        <v>59</v>
      </c>
      <c r="I201" s="33" t="s">
        <v>297</v>
      </c>
      <c r="J201" s="33" t="s">
        <v>233</v>
      </c>
      <c r="K201" s="51">
        <v>1001</v>
      </c>
      <c r="M201" s="34" t="str">
        <f t="shared" si="3"/>
        <v>Deleted</v>
      </c>
      <c r="N201" s="26" t="s">
        <v>3739</v>
      </c>
      <c r="P201" s="34" t="s">
        <v>3467</v>
      </c>
      <c r="U201" s="64" t="str" cm="1">
        <f t="array" ref="U201">IF(OR(M201="", M201="Deleted"), "", _xlfn.LET(
  _xlpm.dates,
  _xlfn._xlws.FILTER(
    [1]SubmittalLog!$H$1:$H$4000,
    [1]SubmittalLog!$E$1:$E$4000=M201,
    ""
  ),
  _xlpm.min_date, IFERROR(MIN(_xlpm.dates), ""),
  IF(_xlpm.min_date=0, "", _xlpm.min_date)
))</f>
        <v/>
      </c>
      <c r="V201" s="63" t="str" cm="1">
        <f t="array" ref="V201">IF(OR(M201="", M201="Deleted"), "", IFERROR(
  _xlfn.TEXTJOIN(", ", TRUE,
    _xlfn.MAP(
      _xlfn.UNIQUE(
        _xlfn._xlws.FILTER(
          [1]SubmittalLog!$B$1:$B$4000,
          ([1]SubmittalLog!$E$1:$E$4000=M201) *
          ([1]SubmittalLog!$B$1:$B$4000&lt;&gt;""),
          ""
        )
      ),
      _xlfn.LAMBDA(_xlpm.val, TEXT(_xlpm.val, "000000"))
    )
  ),
""))</f>
        <v/>
      </c>
      <c r="W201" s="40" t="str" cm="1">
        <f t="array" ref="W201">IF(OR(M201="", M201="Deleted"), "", _xlfn.LET(
  _xlpm.doc_col, [1]SubmittalLog!$E$1:$E$4000,
  _xlpm.date_col, [1]SubmittalLog!$H$1:$H$4000,
  _xlpm.status_col, [1]SubmittalLog!$N$1:$N$4000,
  _xlpm.latest_date, _xlfn.MAXIFS(_xlpm.date_col, _xlpm.doc_col, M201),
  IF(_xlpm.latest_date=0, "NFS",
    _xlfn.LET(
      _xlpm.res, _xlfn.XLOOKUP(M201 &amp; "|" &amp; _xlpm.latest_date, _xlpm.doc_col &amp; "|" &amp; _xlpm.date_col, _xlpm.status_col, ""),
      IF(OR(_xlpm.res="", _xlpm.res=0), "", _xlpm.res)
    )
  )
))</f>
        <v/>
      </c>
      <c r="X201" s="39" t="str">
        <f>IF(OR(M201="", M201="Deleted"), "", _xlfn.LET(
  _xlpm.doc_col, [1]SubmittalLog!$E$1:$E$4000,
  _xlpm.date_col, [1]SubmittalLog!$H$1:$H$4000,
  _xlpm.status_col, [1]SubmittalLog!$O$1:$O$4000,
  _xlpm.first_app_date, _xlfn.MINIFS(_xlpm.date_col, _xlpm.doc_col, M201, _xlpm.status_col, "APP"),
  _xlpm.first_awc_date, _xlfn.MINIFS(_xlpm.date_col, _xlpm.doc_col, M201, _xlpm.status_col, "AWC"),
  _xlpm.earliest_date, IF(
    AND(_xlpm.first_app_date=0, _xlpm.first_awc_date=0), 0,
    IF(_xlpm.first_app_date=0, _xlpm.first_awc_date,
    IF(_xlpm.first_awc_date=0, _xlpm.first_app_date,
    MIN(_xlpm.first_app_date, _xlpm.first_awc_date)))
  ),
  IF(_xlpm.earliest_date=0, "", _xlpm.earliest_date)
))</f>
        <v/>
      </c>
      <c r="Y201" s="40" t="str" cm="1">
        <f t="array" ref="Y201">IF(OR(M201="", M201="Deleted"), "", _xlfn.LET(
  _xlpm.doc_col, [1]SubmittalLog!$E$1:$E$4000,
  _xlpm.date_col, [1]SubmittalLog!$H$1:$H$4000,
  _xlpm.status_col, [1]SubmittalLog!$O$1:$O$4000,
  _xlpm.has_sub, COUNTIF(_xlpm.doc_col, M201),
  _xlpm.latest_reviewed_date, _xlfn.MAXIFS(_xlpm.date_col, _xlpm.doc_col, M201, _xlpm.status_col, "&lt;&gt;"),
  IF(_xlpm.has_sub=0, "",
    IF(_xlpm.latest_reviewed_date=0, "",
      _xlfn.LET(
        _xlpm.res, _xlfn.XLOOKUP(1, (_xlpm.doc_col=M201) * (_xlpm.date_col=_xlpm.latest_reviewed_date) * (_xlpm.status_col&lt;&gt;""), _xlpm.status_col, ""),
        IF(OR(_xlpm.res="", _xlpm.res=0), "", _xlpm.res)
      )
    )
  )
))</f>
        <v/>
      </c>
    </row>
    <row r="202" spans="1:25" x14ac:dyDescent="0.35">
      <c r="A202" s="33" t="str">
        <f>IF($M202="","",MAX($A$1:A201)+1)</f>
        <v/>
      </c>
      <c r="M202" s="34" t="str">
        <f t="shared" si="3"/>
        <v/>
      </c>
      <c r="N202" s="26" t="s">
        <v>310</v>
      </c>
      <c r="U202" s="64" t="str" cm="1">
        <f t="array" ref="U202">IF(OR(M202="", M202="Deleted"), "", _xlfn.LET(
  _xlpm.dates,
  _xlfn._xlws.FILTER(
    [1]SubmittalLog!$H$1:$H$4000,
    [1]SubmittalLog!$E$1:$E$4000=M202,
    ""
  ),
  _xlpm.min_date, IFERROR(MIN(_xlpm.dates), ""),
  IF(_xlpm.min_date=0, "", _xlpm.min_date)
))</f>
        <v/>
      </c>
      <c r="V202" s="63" t="str" cm="1">
        <f t="array" ref="V202">IF(OR(M202="", M202="Deleted"), "", IFERROR(
  _xlfn.TEXTJOIN(", ", TRUE,
    _xlfn.MAP(
      _xlfn.UNIQUE(
        _xlfn._xlws.FILTER(
          [1]SubmittalLog!$B$1:$B$4000,
          ([1]SubmittalLog!$E$1:$E$4000=M202) *
          ([1]SubmittalLog!$B$1:$B$4000&lt;&gt;""),
          ""
        )
      ),
      _xlfn.LAMBDA(_xlpm.val, TEXT(_xlpm.val, "000000"))
    )
  ),
""))</f>
        <v/>
      </c>
      <c r="W202" s="40" t="str" cm="1">
        <f t="array" ref="W202">IF(OR(M202="", M202="Deleted"), "", _xlfn.LET(
  _xlpm.doc_col, [1]SubmittalLog!$E$1:$E$4000,
  _xlpm.date_col, [1]SubmittalLog!$H$1:$H$4000,
  _xlpm.status_col, [1]SubmittalLog!$N$1:$N$4000,
  _xlpm.latest_date, _xlfn.MAXIFS(_xlpm.date_col, _xlpm.doc_col, M202),
  IF(_xlpm.latest_date=0, "NFS",
    _xlfn.LET(
      _xlpm.res, _xlfn.XLOOKUP(M202 &amp; "|" &amp; _xlpm.latest_date, _xlpm.doc_col &amp; "|" &amp; _xlpm.date_col, _xlpm.status_col, ""),
      IF(OR(_xlpm.res="", _xlpm.res=0), "", _xlpm.res)
    )
  )
))</f>
        <v/>
      </c>
      <c r="X202" s="39" t="str">
        <f>IF(OR(M202="", M202="Deleted"), "", _xlfn.LET(
  _xlpm.doc_col, [1]SubmittalLog!$E$1:$E$4000,
  _xlpm.date_col, [1]SubmittalLog!$H$1:$H$4000,
  _xlpm.status_col, [1]SubmittalLog!$O$1:$O$4000,
  _xlpm.first_app_date, _xlfn.MINIFS(_xlpm.date_col, _xlpm.doc_col, M202, _xlpm.status_col, "APP"),
  _xlpm.first_awc_date, _xlfn.MINIFS(_xlpm.date_col, _xlpm.doc_col, M202, _xlpm.status_col, "AWC"),
  _xlpm.earliest_date, IF(
    AND(_xlpm.first_app_date=0, _xlpm.first_awc_date=0), 0,
    IF(_xlpm.first_app_date=0, _xlpm.first_awc_date,
    IF(_xlpm.first_awc_date=0, _xlpm.first_app_date,
    MIN(_xlpm.first_app_date, _xlpm.first_awc_date)))
  ),
  IF(_xlpm.earliest_date=0, "", _xlpm.earliest_date)
))</f>
        <v/>
      </c>
      <c r="Y202" s="40" t="str" cm="1">
        <f t="array" ref="Y202">IF(OR(M202="", M202="Deleted"), "", _xlfn.LET(
  _xlpm.doc_col, [1]SubmittalLog!$E$1:$E$4000,
  _xlpm.date_col, [1]SubmittalLog!$H$1:$H$4000,
  _xlpm.status_col, [1]SubmittalLog!$O$1:$O$4000,
  _xlpm.has_sub, COUNTIF(_xlpm.doc_col, M202),
  _xlpm.latest_reviewed_date, _xlfn.MAXIFS(_xlpm.date_col, _xlpm.doc_col, M202, _xlpm.status_col, "&lt;&gt;"),
  IF(_xlpm.has_sub=0, "",
    IF(_xlpm.latest_reviewed_date=0, "",
      _xlfn.LET(
        _xlpm.res, _xlfn.XLOOKUP(1, (_xlpm.doc_col=M202) * (_xlpm.date_col=_xlpm.latest_reviewed_date) * (_xlpm.status_col&lt;&gt;""), _xlpm.status_col, ""),
        IF(OR(_xlpm.res="", _xlpm.res=0), "", _xlpm.res)
      )
    )
  )
))</f>
        <v/>
      </c>
    </row>
    <row r="203" spans="1:25" x14ac:dyDescent="0.35">
      <c r="A203" s="33">
        <f>IF($M203="","",MAX($A$1:A202)+1)</f>
        <v>188</v>
      </c>
      <c r="B203" s="23" t="s">
        <v>54</v>
      </c>
      <c r="C203" s="23" t="s">
        <v>234</v>
      </c>
      <c r="G203" s="33">
        <v>131236</v>
      </c>
      <c r="H203" s="33" t="s">
        <v>59</v>
      </c>
      <c r="I203" s="33" t="s">
        <v>309</v>
      </c>
      <c r="J203" s="33" t="s">
        <v>233</v>
      </c>
      <c r="K203" s="51">
        <v>5201</v>
      </c>
      <c r="M203" s="34" t="str">
        <f t="shared" si="3"/>
        <v>Deleted</v>
      </c>
      <c r="N203" s="26" t="s">
        <v>3740</v>
      </c>
      <c r="P203" s="34" t="s">
        <v>3467</v>
      </c>
      <c r="U203" s="64" t="str" cm="1">
        <f t="array" ref="U203">IF(OR(M203="", M203="Deleted"), "", _xlfn.LET(
  _xlpm.dates,
  _xlfn._xlws.FILTER(
    [1]SubmittalLog!$H$1:$H$4000,
    [1]SubmittalLog!$E$1:$E$4000=M203,
    ""
  ),
  _xlpm.min_date, IFERROR(MIN(_xlpm.dates), ""),
  IF(_xlpm.min_date=0, "", _xlpm.min_date)
))</f>
        <v/>
      </c>
      <c r="V203" s="63" t="str" cm="1">
        <f t="array" ref="V203">IF(OR(M203="", M203="Deleted"), "", IFERROR(
  _xlfn.TEXTJOIN(", ", TRUE,
    _xlfn.MAP(
      _xlfn.UNIQUE(
        _xlfn._xlws.FILTER(
          [1]SubmittalLog!$B$1:$B$4000,
          ([1]SubmittalLog!$E$1:$E$4000=M203) *
          ([1]SubmittalLog!$B$1:$B$4000&lt;&gt;""),
          ""
        )
      ),
      _xlfn.LAMBDA(_xlpm.val, TEXT(_xlpm.val, "000000"))
    )
  ),
""))</f>
        <v/>
      </c>
      <c r="W203" s="40" t="str" cm="1">
        <f t="array" ref="W203">IF(OR(M203="", M203="Deleted"), "", _xlfn.LET(
  _xlpm.doc_col, [1]SubmittalLog!$E$1:$E$4000,
  _xlpm.date_col, [1]SubmittalLog!$H$1:$H$4000,
  _xlpm.status_col, [1]SubmittalLog!$N$1:$N$4000,
  _xlpm.latest_date, _xlfn.MAXIFS(_xlpm.date_col, _xlpm.doc_col, M203),
  IF(_xlpm.latest_date=0, "NFS",
    _xlfn.LET(
      _xlpm.res, _xlfn.XLOOKUP(M203 &amp; "|" &amp; _xlpm.latest_date, _xlpm.doc_col &amp; "|" &amp; _xlpm.date_col, _xlpm.status_col, ""),
      IF(OR(_xlpm.res="", _xlpm.res=0), "", _xlpm.res)
    )
  )
))</f>
        <v/>
      </c>
      <c r="X203" s="39" t="str">
        <f>IF(OR(M203="", M203="Deleted"), "", _xlfn.LET(
  _xlpm.doc_col, [1]SubmittalLog!$E$1:$E$4000,
  _xlpm.date_col, [1]SubmittalLog!$H$1:$H$4000,
  _xlpm.status_col, [1]SubmittalLog!$O$1:$O$4000,
  _xlpm.first_app_date, _xlfn.MINIFS(_xlpm.date_col, _xlpm.doc_col, M203, _xlpm.status_col, "APP"),
  _xlpm.first_awc_date, _xlfn.MINIFS(_xlpm.date_col, _xlpm.doc_col, M203, _xlpm.status_col, "AWC"),
  _xlpm.earliest_date, IF(
    AND(_xlpm.first_app_date=0, _xlpm.first_awc_date=0), 0,
    IF(_xlpm.first_app_date=0, _xlpm.first_awc_date,
    IF(_xlpm.first_awc_date=0, _xlpm.first_app_date,
    MIN(_xlpm.first_app_date, _xlpm.first_awc_date)))
  ),
  IF(_xlpm.earliest_date=0, "", _xlpm.earliest_date)
))</f>
        <v/>
      </c>
      <c r="Y203" s="40" t="str" cm="1">
        <f t="array" ref="Y203">IF(OR(M203="", M203="Deleted"), "", _xlfn.LET(
  _xlpm.doc_col, [1]SubmittalLog!$E$1:$E$4000,
  _xlpm.date_col, [1]SubmittalLog!$H$1:$H$4000,
  _xlpm.status_col, [1]SubmittalLog!$O$1:$O$4000,
  _xlpm.has_sub, COUNTIF(_xlpm.doc_col, M203),
  _xlpm.latest_reviewed_date, _xlfn.MAXIFS(_xlpm.date_col, _xlpm.doc_col, M203, _xlpm.status_col, "&lt;&gt;"),
  IF(_xlpm.has_sub=0, "",
    IF(_xlpm.latest_reviewed_date=0, "",
      _xlfn.LET(
        _xlpm.res, _xlfn.XLOOKUP(1, (_xlpm.doc_col=M203) * (_xlpm.date_col=_xlpm.latest_reviewed_date) * (_xlpm.status_col&lt;&gt;""), _xlpm.status_col, ""),
        IF(OR(_xlpm.res="", _xlpm.res=0), "", _xlpm.res)
      )
    )
  )
))</f>
        <v/>
      </c>
    </row>
    <row r="204" spans="1:25" x14ac:dyDescent="0.35">
      <c r="A204" s="33">
        <f>IF($M204="","",MAX($A$1:A203)+1)</f>
        <v>189</v>
      </c>
      <c r="B204" s="23" t="s">
        <v>54</v>
      </c>
      <c r="C204" s="23" t="s">
        <v>234</v>
      </c>
      <c r="G204" s="33">
        <v>131236</v>
      </c>
      <c r="H204" s="33" t="s">
        <v>59</v>
      </c>
      <c r="I204" s="33" t="s">
        <v>309</v>
      </c>
      <c r="J204" s="33" t="s">
        <v>233</v>
      </c>
      <c r="K204" s="51">
        <v>5202</v>
      </c>
      <c r="M204" s="34" t="str">
        <f t="shared" si="3"/>
        <v>Deleted</v>
      </c>
      <c r="N204" s="26" t="s">
        <v>3741</v>
      </c>
      <c r="P204" s="34" t="s">
        <v>3467</v>
      </c>
      <c r="U204" s="64" t="str" cm="1">
        <f t="array" ref="U204">IF(OR(M204="", M204="Deleted"), "", _xlfn.LET(
  _xlpm.dates,
  _xlfn._xlws.FILTER(
    [1]SubmittalLog!$H$1:$H$4000,
    [1]SubmittalLog!$E$1:$E$4000=M204,
    ""
  ),
  _xlpm.min_date, IFERROR(MIN(_xlpm.dates), ""),
  IF(_xlpm.min_date=0, "", _xlpm.min_date)
))</f>
        <v/>
      </c>
      <c r="V204" s="63" t="str" cm="1">
        <f t="array" ref="V204">IF(OR(M204="", M204="Deleted"), "", IFERROR(
  _xlfn.TEXTJOIN(", ", TRUE,
    _xlfn.MAP(
      _xlfn.UNIQUE(
        _xlfn._xlws.FILTER(
          [1]SubmittalLog!$B$1:$B$4000,
          ([1]SubmittalLog!$E$1:$E$4000=M204) *
          ([1]SubmittalLog!$B$1:$B$4000&lt;&gt;""),
          ""
        )
      ),
      _xlfn.LAMBDA(_xlpm.val, TEXT(_xlpm.val, "000000"))
    )
  ),
""))</f>
        <v/>
      </c>
      <c r="W204" s="40" t="str" cm="1">
        <f t="array" ref="W204">IF(OR(M204="", M204="Deleted"), "", _xlfn.LET(
  _xlpm.doc_col, [1]SubmittalLog!$E$1:$E$4000,
  _xlpm.date_col, [1]SubmittalLog!$H$1:$H$4000,
  _xlpm.status_col, [1]SubmittalLog!$N$1:$N$4000,
  _xlpm.latest_date, _xlfn.MAXIFS(_xlpm.date_col, _xlpm.doc_col, M204),
  IF(_xlpm.latest_date=0, "NFS",
    _xlfn.LET(
      _xlpm.res, _xlfn.XLOOKUP(M204 &amp; "|" &amp; _xlpm.latest_date, _xlpm.doc_col &amp; "|" &amp; _xlpm.date_col, _xlpm.status_col, ""),
      IF(OR(_xlpm.res="", _xlpm.res=0), "", _xlpm.res)
    )
  )
))</f>
        <v/>
      </c>
      <c r="X204" s="39" t="str">
        <f>IF(OR(M204="", M204="Deleted"), "", _xlfn.LET(
  _xlpm.doc_col, [1]SubmittalLog!$E$1:$E$4000,
  _xlpm.date_col, [1]SubmittalLog!$H$1:$H$4000,
  _xlpm.status_col, [1]SubmittalLog!$O$1:$O$4000,
  _xlpm.first_app_date, _xlfn.MINIFS(_xlpm.date_col, _xlpm.doc_col, M204, _xlpm.status_col, "APP"),
  _xlpm.first_awc_date, _xlfn.MINIFS(_xlpm.date_col, _xlpm.doc_col, M204, _xlpm.status_col, "AWC"),
  _xlpm.earliest_date, IF(
    AND(_xlpm.first_app_date=0, _xlpm.first_awc_date=0), 0,
    IF(_xlpm.first_app_date=0, _xlpm.first_awc_date,
    IF(_xlpm.first_awc_date=0, _xlpm.first_app_date,
    MIN(_xlpm.first_app_date, _xlpm.first_awc_date)))
  ),
  IF(_xlpm.earliest_date=0, "", _xlpm.earliest_date)
))</f>
        <v/>
      </c>
      <c r="Y204" s="40" t="str" cm="1">
        <f t="array" ref="Y204">IF(OR(M204="", M204="Deleted"), "", _xlfn.LET(
  _xlpm.doc_col, [1]SubmittalLog!$E$1:$E$4000,
  _xlpm.date_col, [1]SubmittalLog!$H$1:$H$4000,
  _xlpm.status_col, [1]SubmittalLog!$O$1:$O$4000,
  _xlpm.has_sub, COUNTIF(_xlpm.doc_col, M204),
  _xlpm.latest_reviewed_date, _xlfn.MAXIFS(_xlpm.date_col, _xlpm.doc_col, M204, _xlpm.status_col, "&lt;&gt;"),
  IF(_xlpm.has_sub=0, "",
    IF(_xlpm.latest_reviewed_date=0, "",
      _xlfn.LET(
        _xlpm.res, _xlfn.XLOOKUP(1, (_xlpm.doc_col=M204) * (_xlpm.date_col=_xlpm.latest_reviewed_date) * (_xlpm.status_col&lt;&gt;""), _xlpm.status_col, ""),
        IF(OR(_xlpm.res="", _xlpm.res=0), "", _xlpm.res)
      )
    )
  )
))</f>
        <v/>
      </c>
    </row>
    <row r="205" spans="1:25" x14ac:dyDescent="0.35">
      <c r="A205" s="33">
        <f>IF($M205="","",MAX($A$1:A204)+1)</f>
        <v>190</v>
      </c>
      <c r="B205" s="23" t="s">
        <v>54</v>
      </c>
      <c r="C205" s="23" t="s">
        <v>234</v>
      </c>
      <c r="G205" s="33">
        <v>131236</v>
      </c>
      <c r="H205" s="33" t="s">
        <v>59</v>
      </c>
      <c r="I205" s="33" t="s">
        <v>309</v>
      </c>
      <c r="J205" s="33" t="s">
        <v>233</v>
      </c>
      <c r="K205" s="51">
        <v>5203</v>
      </c>
      <c r="M205" s="34" t="str">
        <f t="shared" si="3"/>
        <v>Deleted</v>
      </c>
      <c r="N205" s="26" t="s">
        <v>3742</v>
      </c>
      <c r="P205" s="34" t="s">
        <v>3467</v>
      </c>
      <c r="U205" s="64" t="str" cm="1">
        <f t="array" ref="U205">IF(OR(M205="", M205="Deleted"), "", _xlfn.LET(
  _xlpm.dates,
  _xlfn._xlws.FILTER(
    [1]SubmittalLog!$H$1:$H$4000,
    [1]SubmittalLog!$E$1:$E$4000=M205,
    ""
  ),
  _xlpm.min_date, IFERROR(MIN(_xlpm.dates), ""),
  IF(_xlpm.min_date=0, "", _xlpm.min_date)
))</f>
        <v/>
      </c>
      <c r="V205" s="63" t="str" cm="1">
        <f t="array" ref="V205">IF(OR(M205="", M205="Deleted"), "", IFERROR(
  _xlfn.TEXTJOIN(", ", TRUE,
    _xlfn.MAP(
      _xlfn.UNIQUE(
        _xlfn._xlws.FILTER(
          [1]SubmittalLog!$B$1:$B$4000,
          ([1]SubmittalLog!$E$1:$E$4000=M205) *
          ([1]SubmittalLog!$B$1:$B$4000&lt;&gt;""),
          ""
        )
      ),
      _xlfn.LAMBDA(_xlpm.val, TEXT(_xlpm.val, "000000"))
    )
  ),
""))</f>
        <v/>
      </c>
      <c r="W205" s="40" t="str" cm="1">
        <f t="array" ref="W205">IF(OR(M205="", M205="Deleted"), "", _xlfn.LET(
  _xlpm.doc_col, [1]SubmittalLog!$E$1:$E$4000,
  _xlpm.date_col, [1]SubmittalLog!$H$1:$H$4000,
  _xlpm.status_col, [1]SubmittalLog!$N$1:$N$4000,
  _xlpm.latest_date, _xlfn.MAXIFS(_xlpm.date_col, _xlpm.doc_col, M205),
  IF(_xlpm.latest_date=0, "NFS",
    _xlfn.LET(
      _xlpm.res, _xlfn.XLOOKUP(M205 &amp; "|" &amp; _xlpm.latest_date, _xlpm.doc_col &amp; "|" &amp; _xlpm.date_col, _xlpm.status_col, ""),
      IF(OR(_xlpm.res="", _xlpm.res=0), "", _xlpm.res)
    )
  )
))</f>
        <v/>
      </c>
      <c r="X205" s="39" t="str">
        <f>IF(OR(M205="", M205="Deleted"), "", _xlfn.LET(
  _xlpm.doc_col, [1]SubmittalLog!$E$1:$E$4000,
  _xlpm.date_col, [1]SubmittalLog!$H$1:$H$4000,
  _xlpm.status_col, [1]SubmittalLog!$O$1:$O$4000,
  _xlpm.first_app_date, _xlfn.MINIFS(_xlpm.date_col, _xlpm.doc_col, M205, _xlpm.status_col, "APP"),
  _xlpm.first_awc_date, _xlfn.MINIFS(_xlpm.date_col, _xlpm.doc_col, M205, _xlpm.status_col, "AWC"),
  _xlpm.earliest_date, IF(
    AND(_xlpm.first_app_date=0, _xlpm.first_awc_date=0), 0,
    IF(_xlpm.first_app_date=0, _xlpm.first_awc_date,
    IF(_xlpm.first_awc_date=0, _xlpm.first_app_date,
    MIN(_xlpm.first_app_date, _xlpm.first_awc_date)))
  ),
  IF(_xlpm.earliest_date=0, "", _xlpm.earliest_date)
))</f>
        <v/>
      </c>
      <c r="Y205" s="40" t="str" cm="1">
        <f t="array" ref="Y205">IF(OR(M205="", M205="Deleted"), "", _xlfn.LET(
  _xlpm.doc_col, [1]SubmittalLog!$E$1:$E$4000,
  _xlpm.date_col, [1]SubmittalLog!$H$1:$H$4000,
  _xlpm.status_col, [1]SubmittalLog!$O$1:$O$4000,
  _xlpm.has_sub, COUNTIF(_xlpm.doc_col, M205),
  _xlpm.latest_reviewed_date, _xlfn.MAXIFS(_xlpm.date_col, _xlpm.doc_col, M205, _xlpm.status_col, "&lt;&gt;"),
  IF(_xlpm.has_sub=0, "",
    IF(_xlpm.latest_reviewed_date=0, "",
      _xlfn.LET(
        _xlpm.res, _xlfn.XLOOKUP(1, (_xlpm.doc_col=M205) * (_xlpm.date_col=_xlpm.latest_reviewed_date) * (_xlpm.status_col&lt;&gt;""), _xlpm.status_col, ""),
        IF(OR(_xlpm.res="", _xlpm.res=0), "", _xlpm.res)
      )
    )
  )
))</f>
        <v/>
      </c>
    </row>
    <row r="206" spans="1:25" x14ac:dyDescent="0.35">
      <c r="A206" s="33">
        <f>IF($M206="","",MAX($A$1:A205)+1)</f>
        <v>191</v>
      </c>
      <c r="B206" s="23" t="s">
        <v>54</v>
      </c>
      <c r="C206" s="23" t="s">
        <v>234</v>
      </c>
      <c r="G206" s="33">
        <v>131236</v>
      </c>
      <c r="H206" s="33" t="s">
        <v>59</v>
      </c>
      <c r="I206" s="33" t="s">
        <v>309</v>
      </c>
      <c r="J206" s="33" t="s">
        <v>233</v>
      </c>
      <c r="K206" s="51">
        <v>5204</v>
      </c>
      <c r="M206" s="34" t="str">
        <f t="shared" si="3"/>
        <v>Deleted</v>
      </c>
      <c r="N206" s="26" t="s">
        <v>3743</v>
      </c>
      <c r="P206" s="34" t="s">
        <v>3467</v>
      </c>
      <c r="U206" s="64" t="str" cm="1">
        <f t="array" ref="U206">IF(OR(M206="", M206="Deleted"), "", _xlfn.LET(
  _xlpm.dates,
  _xlfn._xlws.FILTER(
    [1]SubmittalLog!$H$1:$H$4000,
    [1]SubmittalLog!$E$1:$E$4000=M206,
    ""
  ),
  _xlpm.min_date, IFERROR(MIN(_xlpm.dates), ""),
  IF(_xlpm.min_date=0, "", _xlpm.min_date)
))</f>
        <v/>
      </c>
      <c r="V206" s="63" t="str" cm="1">
        <f t="array" ref="V206">IF(OR(M206="", M206="Deleted"), "", IFERROR(
  _xlfn.TEXTJOIN(", ", TRUE,
    _xlfn.MAP(
      _xlfn.UNIQUE(
        _xlfn._xlws.FILTER(
          [1]SubmittalLog!$B$1:$B$4000,
          ([1]SubmittalLog!$E$1:$E$4000=M206) *
          ([1]SubmittalLog!$B$1:$B$4000&lt;&gt;""),
          ""
        )
      ),
      _xlfn.LAMBDA(_xlpm.val, TEXT(_xlpm.val, "000000"))
    )
  ),
""))</f>
        <v/>
      </c>
      <c r="W206" s="40" t="str" cm="1">
        <f t="array" ref="W206">IF(OR(M206="", M206="Deleted"), "", _xlfn.LET(
  _xlpm.doc_col, [1]SubmittalLog!$E$1:$E$4000,
  _xlpm.date_col, [1]SubmittalLog!$H$1:$H$4000,
  _xlpm.status_col, [1]SubmittalLog!$N$1:$N$4000,
  _xlpm.latest_date, _xlfn.MAXIFS(_xlpm.date_col, _xlpm.doc_col, M206),
  IF(_xlpm.latest_date=0, "NFS",
    _xlfn.LET(
      _xlpm.res, _xlfn.XLOOKUP(M206 &amp; "|" &amp; _xlpm.latest_date, _xlpm.doc_col &amp; "|" &amp; _xlpm.date_col, _xlpm.status_col, ""),
      IF(OR(_xlpm.res="", _xlpm.res=0), "", _xlpm.res)
    )
  )
))</f>
        <v/>
      </c>
      <c r="X206" s="39" t="str">
        <f>IF(OR(M206="", M206="Deleted"), "", _xlfn.LET(
  _xlpm.doc_col, [1]SubmittalLog!$E$1:$E$4000,
  _xlpm.date_col, [1]SubmittalLog!$H$1:$H$4000,
  _xlpm.status_col, [1]SubmittalLog!$O$1:$O$4000,
  _xlpm.first_app_date, _xlfn.MINIFS(_xlpm.date_col, _xlpm.doc_col, M206, _xlpm.status_col, "APP"),
  _xlpm.first_awc_date, _xlfn.MINIFS(_xlpm.date_col, _xlpm.doc_col, M206, _xlpm.status_col, "AWC"),
  _xlpm.earliest_date, IF(
    AND(_xlpm.first_app_date=0, _xlpm.first_awc_date=0), 0,
    IF(_xlpm.first_app_date=0, _xlpm.first_awc_date,
    IF(_xlpm.first_awc_date=0, _xlpm.first_app_date,
    MIN(_xlpm.first_app_date, _xlpm.first_awc_date)))
  ),
  IF(_xlpm.earliest_date=0, "", _xlpm.earliest_date)
))</f>
        <v/>
      </c>
      <c r="Y206" s="40" t="str" cm="1">
        <f t="array" ref="Y206">IF(OR(M206="", M206="Deleted"), "", _xlfn.LET(
  _xlpm.doc_col, [1]SubmittalLog!$E$1:$E$4000,
  _xlpm.date_col, [1]SubmittalLog!$H$1:$H$4000,
  _xlpm.status_col, [1]SubmittalLog!$O$1:$O$4000,
  _xlpm.has_sub, COUNTIF(_xlpm.doc_col, M206),
  _xlpm.latest_reviewed_date, _xlfn.MAXIFS(_xlpm.date_col, _xlpm.doc_col, M206, _xlpm.status_col, "&lt;&gt;"),
  IF(_xlpm.has_sub=0, "",
    IF(_xlpm.latest_reviewed_date=0, "",
      _xlfn.LET(
        _xlpm.res, _xlfn.XLOOKUP(1, (_xlpm.doc_col=M206) * (_xlpm.date_col=_xlpm.latest_reviewed_date) * (_xlpm.status_col&lt;&gt;""), _xlpm.status_col, ""),
        IF(OR(_xlpm.res="", _xlpm.res=0), "", _xlpm.res)
      )
    )
  )
))</f>
        <v/>
      </c>
    </row>
    <row r="207" spans="1:25" x14ac:dyDescent="0.35">
      <c r="A207" s="33">
        <f>IF($M207="","",MAX($A$1:A206)+1)</f>
        <v>192</v>
      </c>
      <c r="B207" s="23" t="s">
        <v>54</v>
      </c>
      <c r="C207" s="23" t="s">
        <v>234</v>
      </c>
      <c r="G207" s="33">
        <v>131236</v>
      </c>
      <c r="H207" s="33" t="s">
        <v>59</v>
      </c>
      <c r="I207" s="33" t="s">
        <v>309</v>
      </c>
      <c r="J207" s="33" t="s">
        <v>233</v>
      </c>
      <c r="K207" s="51">
        <v>5205</v>
      </c>
      <c r="M207" s="34" t="str">
        <f t="shared" si="3"/>
        <v>Deleted</v>
      </c>
      <c r="N207" s="26" t="s">
        <v>3744</v>
      </c>
      <c r="P207" s="34" t="s">
        <v>3467</v>
      </c>
      <c r="U207" s="64" t="str" cm="1">
        <f t="array" ref="U207">IF(OR(M207="", M207="Deleted"), "", _xlfn.LET(
  _xlpm.dates,
  _xlfn._xlws.FILTER(
    [1]SubmittalLog!$H$1:$H$4000,
    [1]SubmittalLog!$E$1:$E$4000=M207,
    ""
  ),
  _xlpm.min_date, IFERROR(MIN(_xlpm.dates), ""),
  IF(_xlpm.min_date=0, "", _xlpm.min_date)
))</f>
        <v/>
      </c>
      <c r="V207" s="63" t="str" cm="1">
        <f t="array" ref="V207">IF(OR(M207="", M207="Deleted"), "", IFERROR(
  _xlfn.TEXTJOIN(", ", TRUE,
    _xlfn.MAP(
      _xlfn.UNIQUE(
        _xlfn._xlws.FILTER(
          [1]SubmittalLog!$B$1:$B$4000,
          ([1]SubmittalLog!$E$1:$E$4000=M207) *
          ([1]SubmittalLog!$B$1:$B$4000&lt;&gt;""),
          ""
        )
      ),
      _xlfn.LAMBDA(_xlpm.val, TEXT(_xlpm.val, "000000"))
    )
  ),
""))</f>
        <v/>
      </c>
      <c r="W207" s="40" t="str" cm="1">
        <f t="array" ref="W207">IF(OR(M207="", M207="Deleted"), "", _xlfn.LET(
  _xlpm.doc_col, [1]SubmittalLog!$E$1:$E$4000,
  _xlpm.date_col, [1]SubmittalLog!$H$1:$H$4000,
  _xlpm.status_col, [1]SubmittalLog!$N$1:$N$4000,
  _xlpm.latest_date, _xlfn.MAXIFS(_xlpm.date_col, _xlpm.doc_col, M207),
  IF(_xlpm.latest_date=0, "NFS",
    _xlfn.LET(
      _xlpm.res, _xlfn.XLOOKUP(M207 &amp; "|" &amp; _xlpm.latest_date, _xlpm.doc_col &amp; "|" &amp; _xlpm.date_col, _xlpm.status_col, ""),
      IF(OR(_xlpm.res="", _xlpm.res=0), "", _xlpm.res)
    )
  )
))</f>
        <v/>
      </c>
      <c r="X207" s="39" t="str">
        <f>IF(OR(M207="", M207="Deleted"), "", _xlfn.LET(
  _xlpm.doc_col, [1]SubmittalLog!$E$1:$E$4000,
  _xlpm.date_col, [1]SubmittalLog!$H$1:$H$4000,
  _xlpm.status_col, [1]SubmittalLog!$O$1:$O$4000,
  _xlpm.first_app_date, _xlfn.MINIFS(_xlpm.date_col, _xlpm.doc_col, M207, _xlpm.status_col, "APP"),
  _xlpm.first_awc_date, _xlfn.MINIFS(_xlpm.date_col, _xlpm.doc_col, M207, _xlpm.status_col, "AWC"),
  _xlpm.earliest_date, IF(
    AND(_xlpm.first_app_date=0, _xlpm.first_awc_date=0), 0,
    IF(_xlpm.first_app_date=0, _xlpm.first_awc_date,
    IF(_xlpm.first_awc_date=0, _xlpm.first_app_date,
    MIN(_xlpm.first_app_date, _xlpm.first_awc_date)))
  ),
  IF(_xlpm.earliest_date=0, "", _xlpm.earliest_date)
))</f>
        <v/>
      </c>
      <c r="Y207" s="40" t="str" cm="1">
        <f t="array" ref="Y207">IF(OR(M207="", M207="Deleted"), "", _xlfn.LET(
  _xlpm.doc_col, [1]SubmittalLog!$E$1:$E$4000,
  _xlpm.date_col, [1]SubmittalLog!$H$1:$H$4000,
  _xlpm.status_col, [1]SubmittalLog!$O$1:$O$4000,
  _xlpm.has_sub, COUNTIF(_xlpm.doc_col, M207),
  _xlpm.latest_reviewed_date, _xlfn.MAXIFS(_xlpm.date_col, _xlpm.doc_col, M207, _xlpm.status_col, "&lt;&gt;"),
  IF(_xlpm.has_sub=0, "",
    IF(_xlpm.latest_reviewed_date=0, "",
      _xlfn.LET(
        _xlpm.res, _xlfn.XLOOKUP(1, (_xlpm.doc_col=M207) * (_xlpm.date_col=_xlpm.latest_reviewed_date) * (_xlpm.status_col&lt;&gt;""), _xlpm.status_col, ""),
        IF(OR(_xlpm.res="", _xlpm.res=0), "", _xlpm.res)
      )
    )
  )
))</f>
        <v/>
      </c>
    </row>
    <row r="208" spans="1:25" x14ac:dyDescent="0.35">
      <c r="A208" s="33">
        <f>IF($M208="","",MAX($A$1:A207)+1)</f>
        <v>193</v>
      </c>
      <c r="B208" s="23" t="s">
        <v>54</v>
      </c>
      <c r="C208" s="23" t="s">
        <v>234</v>
      </c>
      <c r="G208" s="33">
        <v>131236</v>
      </c>
      <c r="H208" s="33" t="s">
        <v>59</v>
      </c>
      <c r="I208" s="33" t="s">
        <v>309</v>
      </c>
      <c r="J208" s="33" t="s">
        <v>233</v>
      </c>
      <c r="K208" s="51">
        <v>5207</v>
      </c>
      <c r="M208" s="34" t="str">
        <f t="shared" si="3"/>
        <v>Deleted</v>
      </c>
      <c r="N208" s="26" t="s">
        <v>3745</v>
      </c>
      <c r="P208" s="34" t="s">
        <v>3467</v>
      </c>
      <c r="U208" s="64" t="str" cm="1">
        <f t="array" ref="U208">IF(OR(M208="", M208="Deleted"), "", _xlfn.LET(
  _xlpm.dates,
  _xlfn._xlws.FILTER(
    [1]SubmittalLog!$H$1:$H$4000,
    [1]SubmittalLog!$E$1:$E$4000=M208,
    ""
  ),
  _xlpm.min_date, IFERROR(MIN(_xlpm.dates), ""),
  IF(_xlpm.min_date=0, "", _xlpm.min_date)
))</f>
        <v/>
      </c>
      <c r="V208" s="63" t="str" cm="1">
        <f t="array" ref="V208">IF(OR(M208="", M208="Deleted"), "", IFERROR(
  _xlfn.TEXTJOIN(", ", TRUE,
    _xlfn.MAP(
      _xlfn.UNIQUE(
        _xlfn._xlws.FILTER(
          [1]SubmittalLog!$B$1:$B$4000,
          ([1]SubmittalLog!$E$1:$E$4000=M208) *
          ([1]SubmittalLog!$B$1:$B$4000&lt;&gt;""),
          ""
        )
      ),
      _xlfn.LAMBDA(_xlpm.val, TEXT(_xlpm.val, "000000"))
    )
  ),
""))</f>
        <v/>
      </c>
      <c r="W208" s="40" t="str" cm="1">
        <f t="array" ref="W208">IF(OR(M208="", M208="Deleted"), "", _xlfn.LET(
  _xlpm.doc_col, [1]SubmittalLog!$E$1:$E$4000,
  _xlpm.date_col, [1]SubmittalLog!$H$1:$H$4000,
  _xlpm.status_col, [1]SubmittalLog!$N$1:$N$4000,
  _xlpm.latest_date, _xlfn.MAXIFS(_xlpm.date_col, _xlpm.doc_col, M208),
  IF(_xlpm.latest_date=0, "NFS",
    _xlfn.LET(
      _xlpm.res, _xlfn.XLOOKUP(M208 &amp; "|" &amp; _xlpm.latest_date, _xlpm.doc_col &amp; "|" &amp; _xlpm.date_col, _xlpm.status_col, ""),
      IF(OR(_xlpm.res="", _xlpm.res=0), "", _xlpm.res)
    )
  )
))</f>
        <v/>
      </c>
      <c r="X208" s="39" t="str">
        <f>IF(OR(M208="", M208="Deleted"), "", _xlfn.LET(
  _xlpm.doc_col, [1]SubmittalLog!$E$1:$E$4000,
  _xlpm.date_col, [1]SubmittalLog!$H$1:$H$4000,
  _xlpm.status_col, [1]SubmittalLog!$O$1:$O$4000,
  _xlpm.first_app_date, _xlfn.MINIFS(_xlpm.date_col, _xlpm.doc_col, M208, _xlpm.status_col, "APP"),
  _xlpm.first_awc_date, _xlfn.MINIFS(_xlpm.date_col, _xlpm.doc_col, M208, _xlpm.status_col, "AWC"),
  _xlpm.earliest_date, IF(
    AND(_xlpm.first_app_date=0, _xlpm.first_awc_date=0), 0,
    IF(_xlpm.first_app_date=0, _xlpm.first_awc_date,
    IF(_xlpm.first_awc_date=0, _xlpm.first_app_date,
    MIN(_xlpm.first_app_date, _xlpm.first_awc_date)))
  ),
  IF(_xlpm.earliest_date=0, "", _xlpm.earliest_date)
))</f>
        <v/>
      </c>
      <c r="Y208" s="40" t="str" cm="1">
        <f t="array" ref="Y208">IF(OR(M208="", M208="Deleted"), "", _xlfn.LET(
  _xlpm.doc_col, [1]SubmittalLog!$E$1:$E$4000,
  _xlpm.date_col, [1]SubmittalLog!$H$1:$H$4000,
  _xlpm.status_col, [1]SubmittalLog!$O$1:$O$4000,
  _xlpm.has_sub, COUNTIF(_xlpm.doc_col, M208),
  _xlpm.latest_reviewed_date, _xlfn.MAXIFS(_xlpm.date_col, _xlpm.doc_col, M208, _xlpm.status_col, "&lt;&gt;"),
  IF(_xlpm.has_sub=0, "",
    IF(_xlpm.latest_reviewed_date=0, "",
      _xlfn.LET(
        _xlpm.res, _xlfn.XLOOKUP(1, (_xlpm.doc_col=M208) * (_xlpm.date_col=_xlpm.latest_reviewed_date) * (_xlpm.status_col&lt;&gt;""), _xlpm.status_col, ""),
        IF(OR(_xlpm.res="", _xlpm.res=0), "", _xlpm.res)
      )
    )
  )
))</f>
        <v/>
      </c>
    </row>
    <row r="209" spans="1:25" x14ac:dyDescent="0.35">
      <c r="A209" s="33">
        <f>IF($M209="","",MAX($A$1:A208)+1)</f>
        <v>194</v>
      </c>
      <c r="B209" s="23" t="s">
        <v>54</v>
      </c>
      <c r="C209" s="23" t="s">
        <v>234</v>
      </c>
      <c r="G209" s="33">
        <v>131236</v>
      </c>
      <c r="H209" s="33" t="s">
        <v>59</v>
      </c>
      <c r="I209" s="33" t="s">
        <v>309</v>
      </c>
      <c r="J209" s="33" t="s">
        <v>233</v>
      </c>
      <c r="K209" s="51">
        <v>5208</v>
      </c>
      <c r="M209" s="34" t="str">
        <f t="shared" si="3"/>
        <v>Deleted</v>
      </c>
      <c r="N209" s="26" t="s">
        <v>3746</v>
      </c>
      <c r="P209" s="34" t="s">
        <v>3467</v>
      </c>
      <c r="U209" s="64" t="str" cm="1">
        <f t="array" ref="U209">IF(OR(M209="", M209="Deleted"), "", _xlfn.LET(
  _xlpm.dates,
  _xlfn._xlws.FILTER(
    [1]SubmittalLog!$H$1:$H$4000,
    [1]SubmittalLog!$E$1:$E$4000=M209,
    ""
  ),
  _xlpm.min_date, IFERROR(MIN(_xlpm.dates), ""),
  IF(_xlpm.min_date=0, "", _xlpm.min_date)
))</f>
        <v/>
      </c>
      <c r="V209" s="63" t="str" cm="1">
        <f t="array" ref="V209">IF(OR(M209="", M209="Deleted"), "", IFERROR(
  _xlfn.TEXTJOIN(", ", TRUE,
    _xlfn.MAP(
      _xlfn.UNIQUE(
        _xlfn._xlws.FILTER(
          [1]SubmittalLog!$B$1:$B$4000,
          ([1]SubmittalLog!$E$1:$E$4000=M209) *
          ([1]SubmittalLog!$B$1:$B$4000&lt;&gt;""),
          ""
        )
      ),
      _xlfn.LAMBDA(_xlpm.val, TEXT(_xlpm.val, "000000"))
    )
  ),
""))</f>
        <v/>
      </c>
      <c r="W209" s="40" t="str" cm="1">
        <f t="array" ref="W209">IF(OR(M209="", M209="Deleted"), "", _xlfn.LET(
  _xlpm.doc_col, [1]SubmittalLog!$E$1:$E$4000,
  _xlpm.date_col, [1]SubmittalLog!$H$1:$H$4000,
  _xlpm.status_col, [1]SubmittalLog!$N$1:$N$4000,
  _xlpm.latest_date, _xlfn.MAXIFS(_xlpm.date_col, _xlpm.doc_col, M209),
  IF(_xlpm.latest_date=0, "NFS",
    _xlfn.LET(
      _xlpm.res, _xlfn.XLOOKUP(M209 &amp; "|" &amp; _xlpm.latest_date, _xlpm.doc_col &amp; "|" &amp; _xlpm.date_col, _xlpm.status_col, ""),
      IF(OR(_xlpm.res="", _xlpm.res=0), "", _xlpm.res)
    )
  )
))</f>
        <v/>
      </c>
      <c r="X209" s="39" t="str">
        <f>IF(OR(M209="", M209="Deleted"), "", _xlfn.LET(
  _xlpm.doc_col, [1]SubmittalLog!$E$1:$E$4000,
  _xlpm.date_col, [1]SubmittalLog!$H$1:$H$4000,
  _xlpm.status_col, [1]SubmittalLog!$O$1:$O$4000,
  _xlpm.first_app_date, _xlfn.MINIFS(_xlpm.date_col, _xlpm.doc_col, M209, _xlpm.status_col, "APP"),
  _xlpm.first_awc_date, _xlfn.MINIFS(_xlpm.date_col, _xlpm.doc_col, M209, _xlpm.status_col, "AWC"),
  _xlpm.earliest_date, IF(
    AND(_xlpm.first_app_date=0, _xlpm.first_awc_date=0), 0,
    IF(_xlpm.first_app_date=0, _xlpm.first_awc_date,
    IF(_xlpm.first_awc_date=0, _xlpm.first_app_date,
    MIN(_xlpm.first_app_date, _xlpm.first_awc_date)))
  ),
  IF(_xlpm.earliest_date=0, "", _xlpm.earliest_date)
))</f>
        <v/>
      </c>
      <c r="Y209" s="40" t="str" cm="1">
        <f t="array" ref="Y209">IF(OR(M209="", M209="Deleted"), "", _xlfn.LET(
  _xlpm.doc_col, [1]SubmittalLog!$E$1:$E$4000,
  _xlpm.date_col, [1]SubmittalLog!$H$1:$H$4000,
  _xlpm.status_col, [1]SubmittalLog!$O$1:$O$4000,
  _xlpm.has_sub, COUNTIF(_xlpm.doc_col, M209),
  _xlpm.latest_reviewed_date, _xlfn.MAXIFS(_xlpm.date_col, _xlpm.doc_col, M209, _xlpm.status_col, "&lt;&gt;"),
  IF(_xlpm.has_sub=0, "",
    IF(_xlpm.latest_reviewed_date=0, "",
      _xlfn.LET(
        _xlpm.res, _xlfn.XLOOKUP(1, (_xlpm.doc_col=M209) * (_xlpm.date_col=_xlpm.latest_reviewed_date) * (_xlpm.status_col&lt;&gt;""), _xlpm.status_col, ""),
        IF(OR(_xlpm.res="", _xlpm.res=0), "", _xlpm.res)
      )
    )
  )
))</f>
        <v/>
      </c>
    </row>
    <row r="210" spans="1:25" x14ac:dyDescent="0.35">
      <c r="A210" s="33">
        <f>IF($M210="","",MAX($A$1:A209)+1)</f>
        <v>195</v>
      </c>
      <c r="B210" s="23" t="s">
        <v>54</v>
      </c>
      <c r="C210" s="23" t="s">
        <v>234</v>
      </c>
      <c r="G210" s="33">
        <v>131236</v>
      </c>
      <c r="H210" s="33" t="s">
        <v>59</v>
      </c>
      <c r="I210" s="33" t="s">
        <v>309</v>
      </c>
      <c r="J210" s="33" t="s">
        <v>233</v>
      </c>
      <c r="K210" s="51">
        <v>5209</v>
      </c>
      <c r="M210" s="34" t="str">
        <f t="shared" si="3"/>
        <v>Deleted</v>
      </c>
      <c r="N210" s="26" t="s">
        <v>3747</v>
      </c>
      <c r="P210" s="34" t="s">
        <v>3467</v>
      </c>
      <c r="U210" s="64" t="str" cm="1">
        <f t="array" ref="U210">IF(OR(M210="", M210="Deleted"), "", _xlfn.LET(
  _xlpm.dates,
  _xlfn._xlws.FILTER(
    [1]SubmittalLog!$H$1:$H$4000,
    [1]SubmittalLog!$E$1:$E$4000=M210,
    ""
  ),
  _xlpm.min_date, IFERROR(MIN(_xlpm.dates), ""),
  IF(_xlpm.min_date=0, "", _xlpm.min_date)
))</f>
        <v/>
      </c>
      <c r="V210" s="63" t="str" cm="1">
        <f t="array" ref="V210">IF(OR(M210="", M210="Deleted"), "", IFERROR(
  _xlfn.TEXTJOIN(", ", TRUE,
    _xlfn.MAP(
      _xlfn.UNIQUE(
        _xlfn._xlws.FILTER(
          [1]SubmittalLog!$B$1:$B$4000,
          ([1]SubmittalLog!$E$1:$E$4000=M210) *
          ([1]SubmittalLog!$B$1:$B$4000&lt;&gt;""),
          ""
        )
      ),
      _xlfn.LAMBDA(_xlpm.val, TEXT(_xlpm.val, "000000"))
    )
  ),
""))</f>
        <v/>
      </c>
      <c r="W210" s="40" t="str" cm="1">
        <f t="array" ref="W210">IF(OR(M210="", M210="Deleted"), "", _xlfn.LET(
  _xlpm.doc_col, [1]SubmittalLog!$E$1:$E$4000,
  _xlpm.date_col, [1]SubmittalLog!$H$1:$H$4000,
  _xlpm.status_col, [1]SubmittalLog!$N$1:$N$4000,
  _xlpm.latest_date, _xlfn.MAXIFS(_xlpm.date_col, _xlpm.doc_col, M210),
  IF(_xlpm.latest_date=0, "NFS",
    _xlfn.LET(
      _xlpm.res, _xlfn.XLOOKUP(M210 &amp; "|" &amp; _xlpm.latest_date, _xlpm.doc_col &amp; "|" &amp; _xlpm.date_col, _xlpm.status_col, ""),
      IF(OR(_xlpm.res="", _xlpm.res=0), "", _xlpm.res)
    )
  )
))</f>
        <v/>
      </c>
      <c r="X210" s="39" t="str">
        <f>IF(OR(M210="", M210="Deleted"), "", _xlfn.LET(
  _xlpm.doc_col, [1]SubmittalLog!$E$1:$E$4000,
  _xlpm.date_col, [1]SubmittalLog!$H$1:$H$4000,
  _xlpm.status_col, [1]SubmittalLog!$O$1:$O$4000,
  _xlpm.first_app_date, _xlfn.MINIFS(_xlpm.date_col, _xlpm.doc_col, M210, _xlpm.status_col, "APP"),
  _xlpm.first_awc_date, _xlfn.MINIFS(_xlpm.date_col, _xlpm.doc_col, M210, _xlpm.status_col, "AWC"),
  _xlpm.earliest_date, IF(
    AND(_xlpm.first_app_date=0, _xlpm.first_awc_date=0), 0,
    IF(_xlpm.first_app_date=0, _xlpm.first_awc_date,
    IF(_xlpm.first_awc_date=0, _xlpm.first_app_date,
    MIN(_xlpm.first_app_date, _xlpm.first_awc_date)))
  ),
  IF(_xlpm.earliest_date=0, "", _xlpm.earliest_date)
))</f>
        <v/>
      </c>
      <c r="Y210" s="40" t="str" cm="1">
        <f t="array" ref="Y210">IF(OR(M210="", M210="Deleted"), "", _xlfn.LET(
  _xlpm.doc_col, [1]SubmittalLog!$E$1:$E$4000,
  _xlpm.date_col, [1]SubmittalLog!$H$1:$H$4000,
  _xlpm.status_col, [1]SubmittalLog!$O$1:$O$4000,
  _xlpm.has_sub, COUNTIF(_xlpm.doc_col, M210),
  _xlpm.latest_reviewed_date, _xlfn.MAXIFS(_xlpm.date_col, _xlpm.doc_col, M210, _xlpm.status_col, "&lt;&gt;"),
  IF(_xlpm.has_sub=0, "",
    IF(_xlpm.latest_reviewed_date=0, "",
      _xlfn.LET(
        _xlpm.res, _xlfn.XLOOKUP(1, (_xlpm.doc_col=M210) * (_xlpm.date_col=_xlpm.latest_reviewed_date) * (_xlpm.status_col&lt;&gt;""), _xlpm.status_col, ""),
        IF(OR(_xlpm.res="", _xlpm.res=0), "", _xlpm.res)
      )
    )
  )
))</f>
        <v/>
      </c>
    </row>
    <row r="211" spans="1:25" ht="29" x14ac:dyDescent="0.35">
      <c r="A211" s="33">
        <f>IF($M211="","",MAX($A$1:A210)+1)</f>
        <v>196</v>
      </c>
      <c r="B211" s="23" t="s">
        <v>54</v>
      </c>
      <c r="C211" s="23" t="s">
        <v>234</v>
      </c>
      <c r="G211" s="33">
        <v>131236</v>
      </c>
      <c r="H211" s="33" t="s">
        <v>59</v>
      </c>
      <c r="I211" s="33" t="s">
        <v>309</v>
      </c>
      <c r="J211" s="33" t="s">
        <v>233</v>
      </c>
      <c r="K211" s="51">
        <v>5210</v>
      </c>
      <c r="M211" s="34" t="str">
        <f t="shared" si="3"/>
        <v>Deleted</v>
      </c>
      <c r="N211" s="26" t="s">
        <v>3748</v>
      </c>
      <c r="P211" s="34" t="s">
        <v>3467</v>
      </c>
      <c r="U211" s="64" t="str" cm="1">
        <f t="array" ref="U211">IF(OR(M211="", M211="Deleted"), "", _xlfn.LET(
  _xlpm.dates,
  _xlfn._xlws.FILTER(
    [1]SubmittalLog!$H$1:$H$4000,
    [1]SubmittalLog!$E$1:$E$4000=M211,
    ""
  ),
  _xlpm.min_date, IFERROR(MIN(_xlpm.dates), ""),
  IF(_xlpm.min_date=0, "", _xlpm.min_date)
))</f>
        <v/>
      </c>
      <c r="V211" s="63" t="str" cm="1">
        <f t="array" ref="V211">IF(OR(M211="", M211="Deleted"), "", IFERROR(
  _xlfn.TEXTJOIN(", ", TRUE,
    _xlfn.MAP(
      _xlfn.UNIQUE(
        _xlfn._xlws.FILTER(
          [1]SubmittalLog!$B$1:$B$4000,
          ([1]SubmittalLog!$E$1:$E$4000=M211) *
          ([1]SubmittalLog!$B$1:$B$4000&lt;&gt;""),
          ""
        )
      ),
      _xlfn.LAMBDA(_xlpm.val, TEXT(_xlpm.val, "000000"))
    )
  ),
""))</f>
        <v/>
      </c>
      <c r="W211" s="40" t="str" cm="1">
        <f t="array" ref="W211">IF(OR(M211="", M211="Deleted"), "", _xlfn.LET(
  _xlpm.doc_col, [1]SubmittalLog!$E$1:$E$4000,
  _xlpm.date_col, [1]SubmittalLog!$H$1:$H$4000,
  _xlpm.status_col, [1]SubmittalLog!$N$1:$N$4000,
  _xlpm.latest_date, _xlfn.MAXIFS(_xlpm.date_col, _xlpm.doc_col, M211),
  IF(_xlpm.latest_date=0, "NFS",
    _xlfn.LET(
      _xlpm.res, _xlfn.XLOOKUP(M211 &amp; "|" &amp; _xlpm.latest_date, _xlpm.doc_col &amp; "|" &amp; _xlpm.date_col, _xlpm.status_col, ""),
      IF(OR(_xlpm.res="", _xlpm.res=0), "", _xlpm.res)
    )
  )
))</f>
        <v/>
      </c>
      <c r="X211" s="39" t="str">
        <f>IF(OR(M211="", M211="Deleted"), "", _xlfn.LET(
  _xlpm.doc_col, [1]SubmittalLog!$E$1:$E$4000,
  _xlpm.date_col, [1]SubmittalLog!$H$1:$H$4000,
  _xlpm.status_col, [1]SubmittalLog!$O$1:$O$4000,
  _xlpm.first_app_date, _xlfn.MINIFS(_xlpm.date_col, _xlpm.doc_col, M211, _xlpm.status_col, "APP"),
  _xlpm.first_awc_date, _xlfn.MINIFS(_xlpm.date_col, _xlpm.doc_col, M211, _xlpm.status_col, "AWC"),
  _xlpm.earliest_date, IF(
    AND(_xlpm.first_app_date=0, _xlpm.first_awc_date=0), 0,
    IF(_xlpm.first_app_date=0, _xlpm.first_awc_date,
    IF(_xlpm.first_awc_date=0, _xlpm.first_app_date,
    MIN(_xlpm.first_app_date, _xlpm.first_awc_date)))
  ),
  IF(_xlpm.earliest_date=0, "", _xlpm.earliest_date)
))</f>
        <v/>
      </c>
      <c r="Y211" s="40" t="str" cm="1">
        <f t="array" ref="Y211">IF(OR(M211="", M211="Deleted"), "", _xlfn.LET(
  _xlpm.doc_col, [1]SubmittalLog!$E$1:$E$4000,
  _xlpm.date_col, [1]SubmittalLog!$H$1:$H$4000,
  _xlpm.status_col, [1]SubmittalLog!$O$1:$O$4000,
  _xlpm.has_sub, COUNTIF(_xlpm.doc_col, M211),
  _xlpm.latest_reviewed_date, _xlfn.MAXIFS(_xlpm.date_col, _xlpm.doc_col, M211, _xlpm.status_col, "&lt;&gt;"),
  IF(_xlpm.has_sub=0, "",
    IF(_xlpm.latest_reviewed_date=0, "",
      _xlfn.LET(
        _xlpm.res, _xlfn.XLOOKUP(1, (_xlpm.doc_col=M211) * (_xlpm.date_col=_xlpm.latest_reviewed_date) * (_xlpm.status_col&lt;&gt;""), _xlpm.status_col, ""),
        IF(OR(_xlpm.res="", _xlpm.res=0), "", _xlpm.res)
      )
    )
  )
))</f>
        <v/>
      </c>
    </row>
    <row r="212" spans="1:25" x14ac:dyDescent="0.35">
      <c r="A212" s="33">
        <f>IF($M212="","",MAX($A$1:A211)+1)</f>
        <v>197</v>
      </c>
      <c r="B212" s="23" t="s">
        <v>250</v>
      </c>
      <c r="C212" s="23" t="s">
        <v>234</v>
      </c>
      <c r="G212" s="33">
        <v>131236</v>
      </c>
      <c r="H212" s="33" t="s">
        <v>59</v>
      </c>
      <c r="I212" s="33" t="s">
        <v>309</v>
      </c>
      <c r="J212" s="33" t="s">
        <v>233</v>
      </c>
      <c r="K212" s="51">
        <v>5711</v>
      </c>
      <c r="M212" s="34" t="str">
        <f t="shared" si="3"/>
        <v>131236-WIL21-DS-M-5711</v>
      </c>
      <c r="N212" s="26" t="s">
        <v>3749</v>
      </c>
      <c r="P212" s="34" t="s">
        <v>3467</v>
      </c>
      <c r="S212" s="35">
        <v>45796</v>
      </c>
      <c r="T212" s="35">
        <v>45878</v>
      </c>
      <c r="U212" s="64" cm="1">
        <f t="array" ref="U212">IF(OR(M212="", M212="Deleted"), "", _xlfn.LET(
  _xlpm.dates,
  _xlfn._xlws.FILTER(
    [1]SubmittalLog!$H$1:$H$4000,
    [1]SubmittalLog!$E$1:$E$4000=M212,
    ""
  ),
  _xlpm.min_date, IFERROR(MIN(_xlpm.dates), ""),
  IF(_xlpm.min_date=0, "", _xlpm.min_date)
))</f>
        <v>45796</v>
      </c>
      <c r="V212" s="63" t="str" cm="1">
        <f t="array" ref="V212">IF(OR(M212="", M212="Deleted"), "", IFERROR(
  _xlfn.TEXTJOIN(", ", TRUE,
    _xlfn.MAP(
      _xlfn.UNIQUE(
        _xlfn._xlws.FILTER(
          [1]SubmittalLog!$B$1:$B$4000,
          ([1]SubmittalLog!$E$1:$E$4000=M212) *
          ([1]SubmittalLog!$B$1:$B$4000&lt;&gt;""),
          ""
        )
      ),
      _xlfn.LAMBDA(_xlpm.val, TEXT(_xlpm.val, "000000"))
    )
  ),
""))</f>
        <v>001310</v>
      </c>
      <c r="W212" s="40" t="str" cm="1">
        <f t="array" ref="W212">IF(OR(M212="", M212="Deleted"), "", _xlfn.LET(
  _xlpm.doc_col, [1]SubmittalLog!$E$1:$E$4000,
  _xlpm.date_col, [1]SubmittalLog!$H$1:$H$4000,
  _xlpm.status_col, [1]SubmittalLog!$N$1:$N$4000,
  _xlpm.latest_date, _xlfn.MAXIFS(_xlpm.date_col, _xlpm.doc_col, M212),
  IF(_xlpm.latest_date=0, "NFS",
    _xlfn.LET(
      _xlpm.res, _xlfn.XLOOKUP(M212 &amp; "|" &amp; _xlpm.latest_date, _xlpm.doc_col &amp; "|" &amp; _xlpm.date_col, _xlpm.status_col, ""),
      IF(OR(_xlpm.res="", _xlpm.res=0), "", _xlpm.res)
    )
  )
))</f>
        <v>RTR</v>
      </c>
      <c r="X212" s="39">
        <f>IF(OR(M212="", M212="Deleted"), "", _xlfn.LET(
  _xlpm.doc_col, [1]SubmittalLog!$E$1:$E$4000,
  _xlpm.date_col, [1]SubmittalLog!$H$1:$H$4000,
  _xlpm.status_col, [1]SubmittalLog!$O$1:$O$4000,
  _xlpm.first_app_date, _xlfn.MINIFS(_xlpm.date_col, _xlpm.doc_col, M212, _xlpm.status_col, "APP"),
  _xlpm.first_awc_date, _xlfn.MINIFS(_xlpm.date_col, _xlpm.doc_col, M212, _xlpm.status_col, "AWC"),
  _xlpm.earliest_date, IF(
    AND(_xlpm.first_app_date=0, _xlpm.first_awc_date=0), 0,
    IF(_xlpm.first_app_date=0, _xlpm.first_awc_date,
    IF(_xlpm.first_awc_date=0, _xlpm.first_app_date,
    MIN(_xlpm.first_app_date, _xlpm.first_awc_date)))
  ),
  IF(_xlpm.earliest_date=0, "", _xlpm.earliest_date)
))</f>
        <v>45796</v>
      </c>
      <c r="Y212" s="40" t="str" cm="1">
        <f t="array" ref="Y212">IF(OR(M212="", M212="Deleted"), "", _xlfn.LET(
  _xlpm.doc_col, [1]SubmittalLog!$E$1:$E$4000,
  _xlpm.date_col, [1]SubmittalLog!$H$1:$H$4000,
  _xlpm.status_col, [1]SubmittalLog!$O$1:$O$4000,
  _xlpm.has_sub, COUNTIF(_xlpm.doc_col, M212),
  _xlpm.latest_reviewed_date, _xlfn.MAXIFS(_xlpm.date_col, _xlpm.doc_col, M212, _xlpm.status_col, "&lt;&gt;"),
  IF(_xlpm.has_sub=0, "",
    IF(_xlpm.latest_reviewed_date=0, "",
      _xlfn.LET(
        _xlpm.res, _xlfn.XLOOKUP(1, (_xlpm.doc_col=M212) * (_xlpm.date_col=_xlpm.latest_reviewed_date) * (_xlpm.status_col&lt;&gt;""), _xlpm.status_col, ""),
        IF(OR(_xlpm.res="", _xlpm.res=0), "", _xlpm.res)
      )
    )
  )
))</f>
        <v>AWC</v>
      </c>
    </row>
    <row r="213" spans="1:25" x14ac:dyDescent="0.35">
      <c r="A213" s="33">
        <f>IF($M213="","",MAX($A$1:A212)+1)</f>
        <v>198</v>
      </c>
      <c r="B213" s="23" t="s">
        <v>54</v>
      </c>
      <c r="C213" s="23" t="s">
        <v>234</v>
      </c>
      <c r="G213" s="33">
        <v>131236</v>
      </c>
      <c r="H213" s="33" t="s">
        <v>59</v>
      </c>
      <c r="I213" s="33" t="s">
        <v>309</v>
      </c>
      <c r="J213" s="33" t="s">
        <v>233</v>
      </c>
      <c r="K213" s="51">
        <v>5212</v>
      </c>
      <c r="M213" s="34" t="str">
        <f t="shared" si="3"/>
        <v>Deleted</v>
      </c>
      <c r="N213" s="26" t="s">
        <v>3750</v>
      </c>
      <c r="P213" s="34" t="s">
        <v>3467</v>
      </c>
      <c r="U213" s="64" t="str" cm="1">
        <f t="array" ref="U213">IF(OR(M213="", M213="Deleted"), "", _xlfn.LET(
  _xlpm.dates,
  _xlfn._xlws.FILTER(
    [1]SubmittalLog!$H$1:$H$4000,
    [1]SubmittalLog!$E$1:$E$4000=M213,
    ""
  ),
  _xlpm.min_date, IFERROR(MIN(_xlpm.dates), ""),
  IF(_xlpm.min_date=0, "", _xlpm.min_date)
))</f>
        <v/>
      </c>
      <c r="V213" s="63" t="str" cm="1">
        <f t="array" ref="V213">IF(OR(M213="", M213="Deleted"), "", IFERROR(
  _xlfn.TEXTJOIN(", ", TRUE,
    _xlfn.MAP(
      _xlfn.UNIQUE(
        _xlfn._xlws.FILTER(
          [1]SubmittalLog!$B$1:$B$4000,
          ([1]SubmittalLog!$E$1:$E$4000=M213) *
          ([1]SubmittalLog!$B$1:$B$4000&lt;&gt;""),
          ""
        )
      ),
      _xlfn.LAMBDA(_xlpm.val, TEXT(_xlpm.val, "000000"))
    )
  ),
""))</f>
        <v/>
      </c>
      <c r="W213" s="40" t="str" cm="1">
        <f t="array" ref="W213">IF(OR(M213="", M213="Deleted"), "", _xlfn.LET(
  _xlpm.doc_col, [1]SubmittalLog!$E$1:$E$4000,
  _xlpm.date_col, [1]SubmittalLog!$H$1:$H$4000,
  _xlpm.status_col, [1]SubmittalLog!$N$1:$N$4000,
  _xlpm.latest_date, _xlfn.MAXIFS(_xlpm.date_col, _xlpm.doc_col, M213),
  IF(_xlpm.latest_date=0, "NFS",
    _xlfn.LET(
      _xlpm.res, _xlfn.XLOOKUP(M213 &amp; "|" &amp; _xlpm.latest_date, _xlpm.doc_col &amp; "|" &amp; _xlpm.date_col, _xlpm.status_col, ""),
      IF(OR(_xlpm.res="", _xlpm.res=0), "", _xlpm.res)
    )
  )
))</f>
        <v/>
      </c>
      <c r="X213" s="39" t="str">
        <f>IF(OR(M213="", M213="Deleted"), "", _xlfn.LET(
  _xlpm.doc_col, [1]SubmittalLog!$E$1:$E$4000,
  _xlpm.date_col, [1]SubmittalLog!$H$1:$H$4000,
  _xlpm.status_col, [1]SubmittalLog!$O$1:$O$4000,
  _xlpm.first_app_date, _xlfn.MINIFS(_xlpm.date_col, _xlpm.doc_col, M213, _xlpm.status_col, "APP"),
  _xlpm.first_awc_date, _xlfn.MINIFS(_xlpm.date_col, _xlpm.doc_col, M213, _xlpm.status_col, "AWC"),
  _xlpm.earliest_date, IF(
    AND(_xlpm.first_app_date=0, _xlpm.first_awc_date=0), 0,
    IF(_xlpm.first_app_date=0, _xlpm.first_awc_date,
    IF(_xlpm.first_awc_date=0, _xlpm.first_app_date,
    MIN(_xlpm.first_app_date, _xlpm.first_awc_date)))
  ),
  IF(_xlpm.earliest_date=0, "", _xlpm.earliest_date)
))</f>
        <v/>
      </c>
      <c r="Y213" s="40" t="str" cm="1">
        <f t="array" ref="Y213">IF(OR(M213="", M213="Deleted"), "", _xlfn.LET(
  _xlpm.doc_col, [1]SubmittalLog!$E$1:$E$4000,
  _xlpm.date_col, [1]SubmittalLog!$H$1:$H$4000,
  _xlpm.status_col, [1]SubmittalLog!$O$1:$O$4000,
  _xlpm.has_sub, COUNTIF(_xlpm.doc_col, M213),
  _xlpm.latest_reviewed_date, _xlfn.MAXIFS(_xlpm.date_col, _xlpm.doc_col, M213, _xlpm.status_col, "&lt;&gt;"),
  IF(_xlpm.has_sub=0, "",
    IF(_xlpm.latest_reviewed_date=0, "",
      _xlfn.LET(
        _xlpm.res, _xlfn.XLOOKUP(1, (_xlpm.doc_col=M213) * (_xlpm.date_col=_xlpm.latest_reviewed_date) * (_xlpm.status_col&lt;&gt;""), _xlpm.status_col, ""),
        IF(OR(_xlpm.res="", _xlpm.res=0), "", _xlpm.res)
      )
    )
  )
))</f>
        <v/>
      </c>
    </row>
    <row r="214" spans="1:25" x14ac:dyDescent="0.35">
      <c r="A214" s="33">
        <f>IF($M214="","",MAX($A$1:A213)+1)</f>
        <v>199</v>
      </c>
      <c r="B214" s="23" t="s">
        <v>54</v>
      </c>
      <c r="C214" s="23" t="s">
        <v>234</v>
      </c>
      <c r="G214" s="33">
        <v>131236</v>
      </c>
      <c r="H214" s="33" t="s">
        <v>59</v>
      </c>
      <c r="I214" s="33" t="s">
        <v>309</v>
      </c>
      <c r="J214" s="33" t="s">
        <v>233</v>
      </c>
      <c r="K214" s="51">
        <v>5213</v>
      </c>
      <c r="M214" s="34" t="str">
        <f t="shared" si="3"/>
        <v>Deleted</v>
      </c>
      <c r="N214" s="26" t="s">
        <v>3751</v>
      </c>
      <c r="P214" s="34" t="s">
        <v>3467</v>
      </c>
      <c r="U214" s="64" t="str" cm="1">
        <f t="array" ref="U214">IF(OR(M214="", M214="Deleted"), "", _xlfn.LET(
  _xlpm.dates,
  _xlfn._xlws.FILTER(
    [1]SubmittalLog!$H$1:$H$4000,
    [1]SubmittalLog!$E$1:$E$4000=M214,
    ""
  ),
  _xlpm.min_date, IFERROR(MIN(_xlpm.dates), ""),
  IF(_xlpm.min_date=0, "", _xlpm.min_date)
))</f>
        <v/>
      </c>
      <c r="V214" s="63" t="str" cm="1">
        <f t="array" ref="V214">IF(OR(M214="", M214="Deleted"), "", IFERROR(
  _xlfn.TEXTJOIN(", ", TRUE,
    _xlfn.MAP(
      _xlfn.UNIQUE(
        _xlfn._xlws.FILTER(
          [1]SubmittalLog!$B$1:$B$4000,
          ([1]SubmittalLog!$E$1:$E$4000=M214) *
          ([1]SubmittalLog!$B$1:$B$4000&lt;&gt;""),
          ""
        )
      ),
      _xlfn.LAMBDA(_xlpm.val, TEXT(_xlpm.val, "000000"))
    )
  ),
""))</f>
        <v/>
      </c>
      <c r="W214" s="40" t="str" cm="1">
        <f t="array" ref="W214">IF(OR(M214="", M214="Deleted"), "", _xlfn.LET(
  _xlpm.doc_col, [1]SubmittalLog!$E$1:$E$4000,
  _xlpm.date_col, [1]SubmittalLog!$H$1:$H$4000,
  _xlpm.status_col, [1]SubmittalLog!$N$1:$N$4000,
  _xlpm.latest_date, _xlfn.MAXIFS(_xlpm.date_col, _xlpm.doc_col, M214),
  IF(_xlpm.latest_date=0, "NFS",
    _xlfn.LET(
      _xlpm.res, _xlfn.XLOOKUP(M214 &amp; "|" &amp; _xlpm.latest_date, _xlpm.doc_col &amp; "|" &amp; _xlpm.date_col, _xlpm.status_col, ""),
      IF(OR(_xlpm.res="", _xlpm.res=0), "", _xlpm.res)
    )
  )
))</f>
        <v/>
      </c>
      <c r="X214" s="39" t="str">
        <f>IF(OR(M214="", M214="Deleted"), "", _xlfn.LET(
  _xlpm.doc_col, [1]SubmittalLog!$E$1:$E$4000,
  _xlpm.date_col, [1]SubmittalLog!$H$1:$H$4000,
  _xlpm.status_col, [1]SubmittalLog!$O$1:$O$4000,
  _xlpm.first_app_date, _xlfn.MINIFS(_xlpm.date_col, _xlpm.doc_col, M214, _xlpm.status_col, "APP"),
  _xlpm.first_awc_date, _xlfn.MINIFS(_xlpm.date_col, _xlpm.doc_col, M214, _xlpm.status_col, "AWC"),
  _xlpm.earliest_date, IF(
    AND(_xlpm.first_app_date=0, _xlpm.first_awc_date=0), 0,
    IF(_xlpm.first_app_date=0, _xlpm.first_awc_date,
    IF(_xlpm.first_awc_date=0, _xlpm.first_app_date,
    MIN(_xlpm.first_app_date, _xlpm.first_awc_date)))
  ),
  IF(_xlpm.earliest_date=0, "", _xlpm.earliest_date)
))</f>
        <v/>
      </c>
      <c r="Y214" s="40" t="str" cm="1">
        <f t="array" ref="Y214">IF(OR(M214="", M214="Deleted"), "", _xlfn.LET(
  _xlpm.doc_col, [1]SubmittalLog!$E$1:$E$4000,
  _xlpm.date_col, [1]SubmittalLog!$H$1:$H$4000,
  _xlpm.status_col, [1]SubmittalLog!$O$1:$O$4000,
  _xlpm.has_sub, COUNTIF(_xlpm.doc_col, M214),
  _xlpm.latest_reviewed_date, _xlfn.MAXIFS(_xlpm.date_col, _xlpm.doc_col, M214, _xlpm.status_col, "&lt;&gt;"),
  IF(_xlpm.has_sub=0, "",
    IF(_xlpm.latest_reviewed_date=0, "",
      _xlfn.LET(
        _xlpm.res, _xlfn.XLOOKUP(1, (_xlpm.doc_col=M214) * (_xlpm.date_col=_xlpm.latest_reviewed_date) * (_xlpm.status_col&lt;&gt;""), _xlpm.status_col, ""),
        IF(OR(_xlpm.res="", _xlpm.res=0), "", _xlpm.res)
      )
    )
  )
))</f>
        <v/>
      </c>
    </row>
    <row r="215" spans="1:25" x14ac:dyDescent="0.35">
      <c r="A215" s="33">
        <f>IF($M215="","",MAX($A$1:A214)+1)</f>
        <v>200</v>
      </c>
      <c r="B215" s="23" t="s">
        <v>54</v>
      </c>
      <c r="C215" s="23" t="s">
        <v>234</v>
      </c>
      <c r="G215" s="33">
        <v>131236</v>
      </c>
      <c r="H215" s="33" t="s">
        <v>59</v>
      </c>
      <c r="I215" s="33" t="s">
        <v>309</v>
      </c>
      <c r="J215" s="33" t="s">
        <v>233</v>
      </c>
      <c r="K215" s="51">
        <v>5214</v>
      </c>
      <c r="M215" s="34" t="str">
        <f t="shared" si="3"/>
        <v>Deleted</v>
      </c>
      <c r="N215" s="26" t="s">
        <v>3752</v>
      </c>
      <c r="P215" s="34" t="s">
        <v>3467</v>
      </c>
      <c r="U215" s="64" t="str" cm="1">
        <f t="array" ref="U215">IF(OR(M215="", M215="Deleted"), "", _xlfn.LET(
  _xlpm.dates,
  _xlfn._xlws.FILTER(
    [1]SubmittalLog!$H$1:$H$4000,
    [1]SubmittalLog!$E$1:$E$4000=M215,
    ""
  ),
  _xlpm.min_date, IFERROR(MIN(_xlpm.dates), ""),
  IF(_xlpm.min_date=0, "", _xlpm.min_date)
))</f>
        <v/>
      </c>
      <c r="V215" s="63" t="str" cm="1">
        <f t="array" ref="V215">IF(OR(M215="", M215="Deleted"), "", IFERROR(
  _xlfn.TEXTJOIN(", ", TRUE,
    _xlfn.MAP(
      _xlfn.UNIQUE(
        _xlfn._xlws.FILTER(
          [1]SubmittalLog!$B$1:$B$4000,
          ([1]SubmittalLog!$E$1:$E$4000=M215) *
          ([1]SubmittalLog!$B$1:$B$4000&lt;&gt;""),
          ""
        )
      ),
      _xlfn.LAMBDA(_xlpm.val, TEXT(_xlpm.val, "000000"))
    )
  ),
""))</f>
        <v/>
      </c>
      <c r="W215" s="40" t="str" cm="1">
        <f t="array" ref="W215">IF(OR(M215="", M215="Deleted"), "", _xlfn.LET(
  _xlpm.doc_col, [1]SubmittalLog!$E$1:$E$4000,
  _xlpm.date_col, [1]SubmittalLog!$H$1:$H$4000,
  _xlpm.status_col, [1]SubmittalLog!$N$1:$N$4000,
  _xlpm.latest_date, _xlfn.MAXIFS(_xlpm.date_col, _xlpm.doc_col, M215),
  IF(_xlpm.latest_date=0, "NFS",
    _xlfn.LET(
      _xlpm.res, _xlfn.XLOOKUP(M215 &amp; "|" &amp; _xlpm.latest_date, _xlpm.doc_col &amp; "|" &amp; _xlpm.date_col, _xlpm.status_col, ""),
      IF(OR(_xlpm.res="", _xlpm.res=0), "", _xlpm.res)
    )
  )
))</f>
        <v/>
      </c>
      <c r="X215" s="39" t="str">
        <f>IF(OR(M215="", M215="Deleted"), "", _xlfn.LET(
  _xlpm.doc_col, [1]SubmittalLog!$E$1:$E$4000,
  _xlpm.date_col, [1]SubmittalLog!$H$1:$H$4000,
  _xlpm.status_col, [1]SubmittalLog!$O$1:$O$4000,
  _xlpm.first_app_date, _xlfn.MINIFS(_xlpm.date_col, _xlpm.doc_col, M215, _xlpm.status_col, "APP"),
  _xlpm.first_awc_date, _xlfn.MINIFS(_xlpm.date_col, _xlpm.doc_col, M215, _xlpm.status_col, "AWC"),
  _xlpm.earliest_date, IF(
    AND(_xlpm.first_app_date=0, _xlpm.first_awc_date=0), 0,
    IF(_xlpm.first_app_date=0, _xlpm.first_awc_date,
    IF(_xlpm.first_awc_date=0, _xlpm.first_app_date,
    MIN(_xlpm.first_app_date, _xlpm.first_awc_date)))
  ),
  IF(_xlpm.earliest_date=0, "", _xlpm.earliest_date)
))</f>
        <v/>
      </c>
      <c r="Y215" s="40" t="str" cm="1">
        <f t="array" ref="Y215">IF(OR(M215="", M215="Deleted"), "", _xlfn.LET(
  _xlpm.doc_col, [1]SubmittalLog!$E$1:$E$4000,
  _xlpm.date_col, [1]SubmittalLog!$H$1:$H$4000,
  _xlpm.status_col, [1]SubmittalLog!$O$1:$O$4000,
  _xlpm.has_sub, COUNTIF(_xlpm.doc_col, M215),
  _xlpm.latest_reviewed_date, _xlfn.MAXIFS(_xlpm.date_col, _xlpm.doc_col, M215, _xlpm.status_col, "&lt;&gt;"),
  IF(_xlpm.has_sub=0, "",
    IF(_xlpm.latest_reviewed_date=0, "",
      _xlfn.LET(
        _xlpm.res, _xlfn.XLOOKUP(1, (_xlpm.doc_col=M215) * (_xlpm.date_col=_xlpm.latest_reviewed_date) * (_xlpm.status_col&lt;&gt;""), _xlpm.status_col, ""),
        IF(OR(_xlpm.res="", _xlpm.res=0), "", _xlpm.res)
      )
    )
  )
))</f>
        <v/>
      </c>
    </row>
    <row r="216" spans="1:25" x14ac:dyDescent="0.35">
      <c r="A216" s="33">
        <f>IF($M216="","",MAX($A$1:A215)+1)</f>
        <v>201</v>
      </c>
      <c r="B216" s="23" t="s">
        <v>54</v>
      </c>
      <c r="C216" s="23" t="s">
        <v>234</v>
      </c>
      <c r="G216" s="33">
        <v>131236</v>
      </c>
      <c r="H216" s="33" t="s">
        <v>59</v>
      </c>
      <c r="I216" s="33" t="s">
        <v>309</v>
      </c>
      <c r="J216" s="33" t="s">
        <v>233</v>
      </c>
      <c r="K216" s="51">
        <v>5215</v>
      </c>
      <c r="M216" s="34" t="str">
        <f t="shared" si="3"/>
        <v>Deleted</v>
      </c>
      <c r="N216" s="26" t="s">
        <v>3753</v>
      </c>
      <c r="P216" s="34" t="s">
        <v>3467</v>
      </c>
      <c r="U216" s="64" t="str" cm="1">
        <f t="array" ref="U216">IF(OR(M216="", M216="Deleted"), "", _xlfn.LET(
  _xlpm.dates,
  _xlfn._xlws.FILTER(
    [1]SubmittalLog!$H$1:$H$4000,
    [1]SubmittalLog!$E$1:$E$4000=M216,
    ""
  ),
  _xlpm.min_date, IFERROR(MIN(_xlpm.dates), ""),
  IF(_xlpm.min_date=0, "", _xlpm.min_date)
))</f>
        <v/>
      </c>
      <c r="V216" s="63" t="str" cm="1">
        <f t="array" ref="V216">IF(OR(M216="", M216="Deleted"), "", IFERROR(
  _xlfn.TEXTJOIN(", ", TRUE,
    _xlfn.MAP(
      _xlfn.UNIQUE(
        _xlfn._xlws.FILTER(
          [1]SubmittalLog!$B$1:$B$4000,
          ([1]SubmittalLog!$E$1:$E$4000=M216) *
          ([1]SubmittalLog!$B$1:$B$4000&lt;&gt;""),
          ""
        )
      ),
      _xlfn.LAMBDA(_xlpm.val, TEXT(_xlpm.val, "000000"))
    )
  ),
""))</f>
        <v/>
      </c>
      <c r="W216" s="40" t="str" cm="1">
        <f t="array" ref="W216">IF(OR(M216="", M216="Deleted"), "", _xlfn.LET(
  _xlpm.doc_col, [1]SubmittalLog!$E$1:$E$4000,
  _xlpm.date_col, [1]SubmittalLog!$H$1:$H$4000,
  _xlpm.status_col, [1]SubmittalLog!$N$1:$N$4000,
  _xlpm.latest_date, _xlfn.MAXIFS(_xlpm.date_col, _xlpm.doc_col, M216),
  IF(_xlpm.latest_date=0, "NFS",
    _xlfn.LET(
      _xlpm.res, _xlfn.XLOOKUP(M216 &amp; "|" &amp; _xlpm.latest_date, _xlpm.doc_col &amp; "|" &amp; _xlpm.date_col, _xlpm.status_col, ""),
      IF(OR(_xlpm.res="", _xlpm.res=0), "", _xlpm.res)
    )
  )
))</f>
        <v/>
      </c>
      <c r="X216" s="39" t="str">
        <f>IF(OR(M216="", M216="Deleted"), "", _xlfn.LET(
  _xlpm.doc_col, [1]SubmittalLog!$E$1:$E$4000,
  _xlpm.date_col, [1]SubmittalLog!$H$1:$H$4000,
  _xlpm.status_col, [1]SubmittalLog!$O$1:$O$4000,
  _xlpm.first_app_date, _xlfn.MINIFS(_xlpm.date_col, _xlpm.doc_col, M216, _xlpm.status_col, "APP"),
  _xlpm.first_awc_date, _xlfn.MINIFS(_xlpm.date_col, _xlpm.doc_col, M216, _xlpm.status_col, "AWC"),
  _xlpm.earliest_date, IF(
    AND(_xlpm.first_app_date=0, _xlpm.first_awc_date=0), 0,
    IF(_xlpm.first_app_date=0, _xlpm.first_awc_date,
    IF(_xlpm.first_awc_date=0, _xlpm.first_app_date,
    MIN(_xlpm.first_app_date, _xlpm.first_awc_date)))
  ),
  IF(_xlpm.earliest_date=0, "", _xlpm.earliest_date)
))</f>
        <v/>
      </c>
      <c r="Y216" s="40" t="str" cm="1">
        <f t="array" ref="Y216">IF(OR(M216="", M216="Deleted"), "", _xlfn.LET(
  _xlpm.doc_col, [1]SubmittalLog!$E$1:$E$4000,
  _xlpm.date_col, [1]SubmittalLog!$H$1:$H$4000,
  _xlpm.status_col, [1]SubmittalLog!$O$1:$O$4000,
  _xlpm.has_sub, COUNTIF(_xlpm.doc_col, M216),
  _xlpm.latest_reviewed_date, _xlfn.MAXIFS(_xlpm.date_col, _xlpm.doc_col, M216, _xlpm.status_col, "&lt;&gt;"),
  IF(_xlpm.has_sub=0, "",
    IF(_xlpm.latest_reviewed_date=0, "",
      _xlfn.LET(
        _xlpm.res, _xlfn.XLOOKUP(1, (_xlpm.doc_col=M216) * (_xlpm.date_col=_xlpm.latest_reviewed_date) * (_xlpm.status_col&lt;&gt;""), _xlpm.status_col, ""),
        IF(OR(_xlpm.res="", _xlpm.res=0), "", _xlpm.res)
      )
    )
  )
))</f>
        <v/>
      </c>
    </row>
    <row r="217" spans="1:25" x14ac:dyDescent="0.35">
      <c r="A217" s="33">
        <f>IF($M217="","",MAX($A$1:A216)+1)</f>
        <v>202</v>
      </c>
      <c r="B217" s="23" t="s">
        <v>54</v>
      </c>
      <c r="C217" s="23" t="s">
        <v>234</v>
      </c>
      <c r="G217" s="33">
        <v>131236</v>
      </c>
      <c r="H217" s="33" t="s">
        <v>59</v>
      </c>
      <c r="I217" s="33" t="s">
        <v>309</v>
      </c>
      <c r="J217" s="33" t="s">
        <v>233</v>
      </c>
      <c r="K217" s="51">
        <v>5216</v>
      </c>
      <c r="M217" s="34" t="str">
        <f t="shared" si="3"/>
        <v>Deleted</v>
      </c>
      <c r="N217" s="26" t="s">
        <v>3754</v>
      </c>
      <c r="P217" s="34" t="s">
        <v>3467</v>
      </c>
      <c r="U217" s="64" t="str" cm="1">
        <f t="array" ref="U217">IF(OR(M217="", M217="Deleted"), "", _xlfn.LET(
  _xlpm.dates,
  _xlfn._xlws.FILTER(
    [1]SubmittalLog!$H$1:$H$4000,
    [1]SubmittalLog!$E$1:$E$4000=M217,
    ""
  ),
  _xlpm.min_date, IFERROR(MIN(_xlpm.dates), ""),
  IF(_xlpm.min_date=0, "", _xlpm.min_date)
))</f>
        <v/>
      </c>
      <c r="V217" s="63" t="str" cm="1">
        <f t="array" ref="V217">IF(OR(M217="", M217="Deleted"), "", IFERROR(
  _xlfn.TEXTJOIN(", ", TRUE,
    _xlfn.MAP(
      _xlfn.UNIQUE(
        _xlfn._xlws.FILTER(
          [1]SubmittalLog!$B$1:$B$4000,
          ([1]SubmittalLog!$E$1:$E$4000=M217) *
          ([1]SubmittalLog!$B$1:$B$4000&lt;&gt;""),
          ""
        )
      ),
      _xlfn.LAMBDA(_xlpm.val, TEXT(_xlpm.val, "000000"))
    )
  ),
""))</f>
        <v/>
      </c>
      <c r="W217" s="40" t="str" cm="1">
        <f t="array" ref="W217">IF(OR(M217="", M217="Deleted"), "", _xlfn.LET(
  _xlpm.doc_col, [1]SubmittalLog!$E$1:$E$4000,
  _xlpm.date_col, [1]SubmittalLog!$H$1:$H$4000,
  _xlpm.status_col, [1]SubmittalLog!$N$1:$N$4000,
  _xlpm.latest_date, _xlfn.MAXIFS(_xlpm.date_col, _xlpm.doc_col, M217),
  IF(_xlpm.latest_date=0, "NFS",
    _xlfn.LET(
      _xlpm.res, _xlfn.XLOOKUP(M217 &amp; "|" &amp; _xlpm.latest_date, _xlpm.doc_col &amp; "|" &amp; _xlpm.date_col, _xlpm.status_col, ""),
      IF(OR(_xlpm.res="", _xlpm.res=0), "", _xlpm.res)
    )
  )
))</f>
        <v/>
      </c>
      <c r="X217" s="39" t="str">
        <f>IF(OR(M217="", M217="Deleted"), "", _xlfn.LET(
  _xlpm.doc_col, [1]SubmittalLog!$E$1:$E$4000,
  _xlpm.date_col, [1]SubmittalLog!$H$1:$H$4000,
  _xlpm.status_col, [1]SubmittalLog!$O$1:$O$4000,
  _xlpm.first_app_date, _xlfn.MINIFS(_xlpm.date_col, _xlpm.doc_col, M217, _xlpm.status_col, "APP"),
  _xlpm.first_awc_date, _xlfn.MINIFS(_xlpm.date_col, _xlpm.doc_col, M217, _xlpm.status_col, "AWC"),
  _xlpm.earliest_date, IF(
    AND(_xlpm.first_app_date=0, _xlpm.first_awc_date=0), 0,
    IF(_xlpm.first_app_date=0, _xlpm.first_awc_date,
    IF(_xlpm.first_awc_date=0, _xlpm.first_app_date,
    MIN(_xlpm.first_app_date, _xlpm.first_awc_date)))
  ),
  IF(_xlpm.earliest_date=0, "", _xlpm.earliest_date)
))</f>
        <v/>
      </c>
      <c r="Y217" s="40" t="str" cm="1">
        <f t="array" ref="Y217">IF(OR(M217="", M217="Deleted"), "", _xlfn.LET(
  _xlpm.doc_col, [1]SubmittalLog!$E$1:$E$4000,
  _xlpm.date_col, [1]SubmittalLog!$H$1:$H$4000,
  _xlpm.status_col, [1]SubmittalLog!$O$1:$O$4000,
  _xlpm.has_sub, COUNTIF(_xlpm.doc_col, M217),
  _xlpm.latest_reviewed_date, _xlfn.MAXIFS(_xlpm.date_col, _xlpm.doc_col, M217, _xlpm.status_col, "&lt;&gt;"),
  IF(_xlpm.has_sub=0, "",
    IF(_xlpm.latest_reviewed_date=0, "",
      _xlfn.LET(
        _xlpm.res, _xlfn.XLOOKUP(1, (_xlpm.doc_col=M217) * (_xlpm.date_col=_xlpm.latest_reviewed_date) * (_xlpm.status_col&lt;&gt;""), _xlpm.status_col, ""),
        IF(OR(_xlpm.res="", _xlpm.res=0), "", _xlpm.res)
      )
    )
  )
))</f>
        <v/>
      </c>
    </row>
    <row r="218" spans="1:25" x14ac:dyDescent="0.35">
      <c r="A218" s="33">
        <f>IF($M218="","",MAX($A$1:A217)+1)</f>
        <v>203</v>
      </c>
      <c r="B218" s="23" t="s">
        <v>54</v>
      </c>
      <c r="C218" s="23" t="s">
        <v>234</v>
      </c>
      <c r="G218" s="33">
        <v>131236</v>
      </c>
      <c r="H218" s="33" t="s">
        <v>59</v>
      </c>
      <c r="I218" s="33" t="s">
        <v>309</v>
      </c>
      <c r="J218" s="33" t="s">
        <v>233</v>
      </c>
      <c r="K218" s="51">
        <v>5230</v>
      </c>
      <c r="M218" s="34" t="str">
        <f t="shared" si="3"/>
        <v>Deleted</v>
      </c>
      <c r="N218" s="26" t="s">
        <v>3755</v>
      </c>
      <c r="P218" s="34" t="s">
        <v>3467</v>
      </c>
      <c r="U218" s="64" t="str" cm="1">
        <f t="array" ref="U218">IF(OR(M218="", M218="Deleted"), "", _xlfn.LET(
  _xlpm.dates,
  _xlfn._xlws.FILTER(
    [1]SubmittalLog!$H$1:$H$4000,
    [1]SubmittalLog!$E$1:$E$4000=M218,
    ""
  ),
  _xlpm.min_date, IFERROR(MIN(_xlpm.dates), ""),
  IF(_xlpm.min_date=0, "", _xlpm.min_date)
))</f>
        <v/>
      </c>
      <c r="V218" s="63" t="str" cm="1">
        <f t="array" ref="V218">IF(OR(M218="", M218="Deleted"), "", IFERROR(
  _xlfn.TEXTJOIN(", ", TRUE,
    _xlfn.MAP(
      _xlfn.UNIQUE(
        _xlfn._xlws.FILTER(
          [1]SubmittalLog!$B$1:$B$4000,
          ([1]SubmittalLog!$E$1:$E$4000=M218) *
          ([1]SubmittalLog!$B$1:$B$4000&lt;&gt;""),
          ""
        )
      ),
      _xlfn.LAMBDA(_xlpm.val, TEXT(_xlpm.val, "000000"))
    )
  ),
""))</f>
        <v/>
      </c>
      <c r="W218" s="40" t="str" cm="1">
        <f t="array" ref="W218">IF(OR(M218="", M218="Deleted"), "", _xlfn.LET(
  _xlpm.doc_col, [1]SubmittalLog!$E$1:$E$4000,
  _xlpm.date_col, [1]SubmittalLog!$H$1:$H$4000,
  _xlpm.status_col, [1]SubmittalLog!$N$1:$N$4000,
  _xlpm.latest_date, _xlfn.MAXIFS(_xlpm.date_col, _xlpm.doc_col, M218),
  IF(_xlpm.latest_date=0, "NFS",
    _xlfn.LET(
      _xlpm.res, _xlfn.XLOOKUP(M218 &amp; "|" &amp; _xlpm.latest_date, _xlpm.doc_col &amp; "|" &amp; _xlpm.date_col, _xlpm.status_col, ""),
      IF(OR(_xlpm.res="", _xlpm.res=0), "", _xlpm.res)
    )
  )
))</f>
        <v/>
      </c>
      <c r="X218" s="39" t="str">
        <f>IF(OR(M218="", M218="Deleted"), "", _xlfn.LET(
  _xlpm.doc_col, [1]SubmittalLog!$E$1:$E$4000,
  _xlpm.date_col, [1]SubmittalLog!$H$1:$H$4000,
  _xlpm.status_col, [1]SubmittalLog!$O$1:$O$4000,
  _xlpm.first_app_date, _xlfn.MINIFS(_xlpm.date_col, _xlpm.doc_col, M218, _xlpm.status_col, "APP"),
  _xlpm.first_awc_date, _xlfn.MINIFS(_xlpm.date_col, _xlpm.doc_col, M218, _xlpm.status_col, "AWC"),
  _xlpm.earliest_date, IF(
    AND(_xlpm.first_app_date=0, _xlpm.first_awc_date=0), 0,
    IF(_xlpm.first_app_date=0, _xlpm.first_awc_date,
    IF(_xlpm.first_awc_date=0, _xlpm.first_app_date,
    MIN(_xlpm.first_app_date, _xlpm.first_awc_date)))
  ),
  IF(_xlpm.earliest_date=0, "", _xlpm.earliest_date)
))</f>
        <v/>
      </c>
      <c r="Y218" s="40" t="str" cm="1">
        <f t="array" ref="Y218">IF(OR(M218="", M218="Deleted"), "", _xlfn.LET(
  _xlpm.doc_col, [1]SubmittalLog!$E$1:$E$4000,
  _xlpm.date_col, [1]SubmittalLog!$H$1:$H$4000,
  _xlpm.status_col, [1]SubmittalLog!$O$1:$O$4000,
  _xlpm.has_sub, COUNTIF(_xlpm.doc_col, M218),
  _xlpm.latest_reviewed_date, _xlfn.MAXIFS(_xlpm.date_col, _xlpm.doc_col, M218, _xlpm.status_col, "&lt;&gt;"),
  IF(_xlpm.has_sub=0, "",
    IF(_xlpm.latest_reviewed_date=0, "",
      _xlfn.LET(
        _xlpm.res, _xlfn.XLOOKUP(1, (_xlpm.doc_col=M218) * (_xlpm.date_col=_xlpm.latest_reviewed_date) * (_xlpm.status_col&lt;&gt;""), _xlpm.status_col, ""),
        IF(OR(_xlpm.res="", _xlpm.res=0), "", _xlpm.res)
      )
    )
  )
))</f>
        <v/>
      </c>
    </row>
    <row r="219" spans="1:25" x14ac:dyDescent="0.35">
      <c r="A219" s="33">
        <f>IF($M219="","",MAX($A$1:A218)+1)</f>
        <v>204</v>
      </c>
      <c r="B219" s="23" t="s">
        <v>54</v>
      </c>
      <c r="C219" s="23" t="s">
        <v>234</v>
      </c>
      <c r="G219" s="33">
        <v>131236</v>
      </c>
      <c r="H219" s="33" t="s">
        <v>59</v>
      </c>
      <c r="I219" s="33" t="s">
        <v>309</v>
      </c>
      <c r="J219" s="33" t="s">
        <v>233</v>
      </c>
      <c r="K219" s="51">
        <v>5231</v>
      </c>
      <c r="M219" s="34" t="str">
        <f t="shared" si="3"/>
        <v>Deleted</v>
      </c>
      <c r="N219" s="26" t="s">
        <v>3756</v>
      </c>
      <c r="P219" s="34" t="s">
        <v>3467</v>
      </c>
      <c r="U219" s="64" t="str" cm="1">
        <f t="array" ref="U219">IF(OR(M219="", M219="Deleted"), "", _xlfn.LET(
  _xlpm.dates,
  _xlfn._xlws.FILTER(
    [1]SubmittalLog!$H$1:$H$4000,
    [1]SubmittalLog!$E$1:$E$4000=M219,
    ""
  ),
  _xlpm.min_date, IFERROR(MIN(_xlpm.dates), ""),
  IF(_xlpm.min_date=0, "", _xlpm.min_date)
))</f>
        <v/>
      </c>
      <c r="V219" s="63" t="str" cm="1">
        <f t="array" ref="V219">IF(OR(M219="", M219="Deleted"), "", IFERROR(
  _xlfn.TEXTJOIN(", ", TRUE,
    _xlfn.MAP(
      _xlfn.UNIQUE(
        _xlfn._xlws.FILTER(
          [1]SubmittalLog!$B$1:$B$4000,
          ([1]SubmittalLog!$E$1:$E$4000=M219) *
          ([1]SubmittalLog!$B$1:$B$4000&lt;&gt;""),
          ""
        )
      ),
      _xlfn.LAMBDA(_xlpm.val, TEXT(_xlpm.val, "000000"))
    )
  ),
""))</f>
        <v/>
      </c>
      <c r="W219" s="40" t="str" cm="1">
        <f t="array" ref="W219">IF(OR(M219="", M219="Deleted"), "", _xlfn.LET(
  _xlpm.doc_col, [1]SubmittalLog!$E$1:$E$4000,
  _xlpm.date_col, [1]SubmittalLog!$H$1:$H$4000,
  _xlpm.status_col, [1]SubmittalLog!$N$1:$N$4000,
  _xlpm.latest_date, _xlfn.MAXIFS(_xlpm.date_col, _xlpm.doc_col, M219),
  IF(_xlpm.latest_date=0, "NFS",
    _xlfn.LET(
      _xlpm.res, _xlfn.XLOOKUP(M219 &amp; "|" &amp; _xlpm.latest_date, _xlpm.doc_col &amp; "|" &amp; _xlpm.date_col, _xlpm.status_col, ""),
      IF(OR(_xlpm.res="", _xlpm.res=0), "", _xlpm.res)
    )
  )
))</f>
        <v/>
      </c>
      <c r="X219" s="39" t="str">
        <f>IF(OR(M219="", M219="Deleted"), "", _xlfn.LET(
  _xlpm.doc_col, [1]SubmittalLog!$E$1:$E$4000,
  _xlpm.date_col, [1]SubmittalLog!$H$1:$H$4000,
  _xlpm.status_col, [1]SubmittalLog!$O$1:$O$4000,
  _xlpm.first_app_date, _xlfn.MINIFS(_xlpm.date_col, _xlpm.doc_col, M219, _xlpm.status_col, "APP"),
  _xlpm.first_awc_date, _xlfn.MINIFS(_xlpm.date_col, _xlpm.doc_col, M219, _xlpm.status_col, "AWC"),
  _xlpm.earliest_date, IF(
    AND(_xlpm.first_app_date=0, _xlpm.first_awc_date=0), 0,
    IF(_xlpm.first_app_date=0, _xlpm.first_awc_date,
    IF(_xlpm.first_awc_date=0, _xlpm.first_app_date,
    MIN(_xlpm.first_app_date, _xlpm.first_awc_date)))
  ),
  IF(_xlpm.earliest_date=0, "", _xlpm.earliest_date)
))</f>
        <v/>
      </c>
      <c r="Y219" s="40" t="str" cm="1">
        <f t="array" ref="Y219">IF(OR(M219="", M219="Deleted"), "", _xlfn.LET(
  _xlpm.doc_col, [1]SubmittalLog!$E$1:$E$4000,
  _xlpm.date_col, [1]SubmittalLog!$H$1:$H$4000,
  _xlpm.status_col, [1]SubmittalLog!$O$1:$O$4000,
  _xlpm.has_sub, COUNTIF(_xlpm.doc_col, M219),
  _xlpm.latest_reviewed_date, _xlfn.MAXIFS(_xlpm.date_col, _xlpm.doc_col, M219, _xlpm.status_col, "&lt;&gt;"),
  IF(_xlpm.has_sub=0, "",
    IF(_xlpm.latest_reviewed_date=0, "",
      _xlfn.LET(
        _xlpm.res, _xlfn.XLOOKUP(1, (_xlpm.doc_col=M219) * (_xlpm.date_col=_xlpm.latest_reviewed_date) * (_xlpm.status_col&lt;&gt;""), _xlpm.status_col, ""),
        IF(OR(_xlpm.res="", _xlpm.res=0), "", _xlpm.res)
      )
    )
  )
))</f>
        <v/>
      </c>
    </row>
    <row r="220" spans="1:25" x14ac:dyDescent="0.35">
      <c r="A220" s="33">
        <f>IF($M220="","",MAX($A$1:A219)+1)</f>
        <v>205</v>
      </c>
      <c r="B220" s="23" t="s">
        <v>250</v>
      </c>
      <c r="C220" s="23" t="s">
        <v>234</v>
      </c>
      <c r="G220" s="33">
        <v>131236</v>
      </c>
      <c r="H220" s="33" t="s">
        <v>59</v>
      </c>
      <c r="I220" s="33" t="s">
        <v>309</v>
      </c>
      <c r="J220" s="33" t="s">
        <v>233</v>
      </c>
      <c r="K220" s="51">
        <v>5701</v>
      </c>
      <c r="M220" s="34" t="str">
        <f t="shared" si="3"/>
        <v>131236-WIL21-DS-M-5701</v>
      </c>
      <c r="N220" s="26" t="s">
        <v>3757</v>
      </c>
      <c r="P220" s="34" t="s">
        <v>3467</v>
      </c>
      <c r="S220" s="35">
        <v>45743</v>
      </c>
      <c r="T220" s="35">
        <v>45743</v>
      </c>
      <c r="U220" s="64" cm="1">
        <f t="array" ref="U220">IF(OR(M220="", M220="Deleted"), "", _xlfn.LET(
  _xlpm.dates,
  _xlfn._xlws.FILTER(
    [1]SubmittalLog!$H$1:$H$4000,
    [1]SubmittalLog!$E$1:$E$4000=M220,
    ""
  ),
  _xlpm.min_date, IFERROR(MIN(_xlpm.dates), ""),
  IF(_xlpm.min_date=0, "", _xlpm.min_date)
))</f>
        <v>45743</v>
      </c>
      <c r="V220" s="63" t="str" cm="1">
        <f t="array" ref="V220">IF(OR(M220="", M220="Deleted"), "", IFERROR(
  _xlfn.TEXTJOIN(", ", TRUE,
    _xlfn.MAP(
      _xlfn.UNIQUE(
        _xlfn._xlws.FILTER(
          [1]SubmittalLog!$B$1:$B$4000,
          ([1]SubmittalLog!$E$1:$E$4000=M220) *
          ([1]SubmittalLog!$B$1:$B$4000&lt;&gt;""),
          ""
        )
      ),
      _xlfn.LAMBDA(_xlpm.val, TEXT(_xlpm.val, "000000"))
    )
  ),
""))</f>
        <v>001170</v>
      </c>
      <c r="W220" s="40" t="str" cm="1">
        <f t="array" ref="W220">IF(OR(M220="", M220="Deleted"), "", _xlfn.LET(
  _xlpm.doc_col, [1]SubmittalLog!$E$1:$E$4000,
  _xlpm.date_col, [1]SubmittalLog!$H$1:$H$4000,
  _xlpm.status_col, [1]SubmittalLog!$N$1:$N$4000,
  _xlpm.latest_date, _xlfn.MAXIFS(_xlpm.date_col, _xlpm.doc_col, M220),
  IF(_xlpm.latest_date=0, "NFS",
    _xlfn.LET(
      _xlpm.res, _xlfn.XLOOKUP(M220 &amp; "|" &amp; _xlpm.latest_date, _xlpm.doc_col &amp; "|" &amp; _xlpm.date_col, _xlpm.status_col, ""),
      IF(OR(_xlpm.res="", _xlpm.res=0), "", _xlpm.res)
    )
  )
))</f>
        <v>RTR</v>
      </c>
      <c r="X220" s="39">
        <f>IF(OR(M220="", M220="Deleted"), "", _xlfn.LET(
  _xlpm.doc_col, [1]SubmittalLog!$E$1:$E$4000,
  _xlpm.date_col, [1]SubmittalLog!$H$1:$H$4000,
  _xlpm.status_col, [1]SubmittalLog!$O$1:$O$4000,
  _xlpm.first_app_date, _xlfn.MINIFS(_xlpm.date_col, _xlpm.doc_col, M220, _xlpm.status_col, "APP"),
  _xlpm.first_awc_date, _xlfn.MINIFS(_xlpm.date_col, _xlpm.doc_col, M220, _xlpm.status_col, "AWC"),
  _xlpm.earliest_date, IF(
    AND(_xlpm.first_app_date=0, _xlpm.first_awc_date=0), 0,
    IF(_xlpm.first_app_date=0, _xlpm.first_awc_date,
    IF(_xlpm.first_awc_date=0, _xlpm.first_app_date,
    MIN(_xlpm.first_app_date, _xlpm.first_awc_date)))
  ),
  IF(_xlpm.earliest_date=0, "", _xlpm.earliest_date)
))</f>
        <v>45743</v>
      </c>
      <c r="Y220" s="40" t="str" cm="1">
        <f t="array" ref="Y220">IF(OR(M220="", M220="Deleted"), "", _xlfn.LET(
  _xlpm.doc_col, [1]SubmittalLog!$E$1:$E$4000,
  _xlpm.date_col, [1]SubmittalLog!$H$1:$H$4000,
  _xlpm.status_col, [1]SubmittalLog!$O$1:$O$4000,
  _xlpm.has_sub, COUNTIF(_xlpm.doc_col, M220),
  _xlpm.latest_reviewed_date, _xlfn.MAXIFS(_xlpm.date_col, _xlpm.doc_col, M220, _xlpm.status_col, "&lt;&gt;"),
  IF(_xlpm.has_sub=0, "",
    IF(_xlpm.latest_reviewed_date=0, "",
      _xlfn.LET(
        _xlpm.res, _xlfn.XLOOKUP(1, (_xlpm.doc_col=M220) * (_xlpm.date_col=_xlpm.latest_reviewed_date) * (_xlpm.status_col&lt;&gt;""), _xlpm.status_col, ""),
        IF(OR(_xlpm.res="", _xlpm.res=0), "", _xlpm.res)
      )
    )
  )
))</f>
        <v>AWC</v>
      </c>
    </row>
    <row r="221" spans="1:25" x14ac:dyDescent="0.35">
      <c r="A221" s="33">
        <f>IF($M221="","",MAX($A$1:A220)+1)</f>
        <v>206</v>
      </c>
      <c r="B221" s="23" t="s">
        <v>250</v>
      </c>
      <c r="C221" s="23" t="s">
        <v>234</v>
      </c>
      <c r="G221" s="33">
        <v>131236</v>
      </c>
      <c r="H221" s="33" t="s">
        <v>59</v>
      </c>
      <c r="I221" s="33" t="s">
        <v>309</v>
      </c>
      <c r="J221" s="33" t="s">
        <v>233</v>
      </c>
      <c r="K221" s="51">
        <v>5702</v>
      </c>
      <c r="M221" s="34" t="str">
        <f t="shared" si="3"/>
        <v>131236-WIL21-DS-M-5702</v>
      </c>
      <c r="N221" s="26" t="s">
        <v>3758</v>
      </c>
      <c r="P221" s="34" t="s">
        <v>3467</v>
      </c>
      <c r="S221" s="35">
        <v>45743</v>
      </c>
      <c r="T221" s="35">
        <v>45743</v>
      </c>
      <c r="U221" s="64" cm="1">
        <f t="array" ref="U221">IF(OR(M221="", M221="Deleted"), "", _xlfn.LET(
  _xlpm.dates,
  _xlfn._xlws.FILTER(
    [1]SubmittalLog!$H$1:$H$4000,
    [1]SubmittalLog!$E$1:$E$4000=M221,
    ""
  ),
  _xlpm.min_date, IFERROR(MIN(_xlpm.dates), ""),
  IF(_xlpm.min_date=0, "", _xlpm.min_date)
))</f>
        <v>45743</v>
      </c>
      <c r="V221" s="63" t="str" cm="1">
        <f t="array" ref="V221">IF(OR(M221="", M221="Deleted"), "", IFERROR(
  _xlfn.TEXTJOIN(", ", TRUE,
    _xlfn.MAP(
      _xlfn.UNIQUE(
        _xlfn._xlws.FILTER(
          [1]SubmittalLog!$B$1:$B$4000,
          ([1]SubmittalLog!$E$1:$E$4000=M221) *
          ([1]SubmittalLog!$B$1:$B$4000&lt;&gt;""),
          ""
        )
      ),
      _xlfn.LAMBDA(_xlpm.val, TEXT(_xlpm.val, "000000"))
    )
  ),
""))</f>
        <v>001170</v>
      </c>
      <c r="W221" s="40" t="str" cm="1">
        <f t="array" ref="W221">IF(OR(M221="", M221="Deleted"), "", _xlfn.LET(
  _xlpm.doc_col, [1]SubmittalLog!$E$1:$E$4000,
  _xlpm.date_col, [1]SubmittalLog!$H$1:$H$4000,
  _xlpm.status_col, [1]SubmittalLog!$N$1:$N$4000,
  _xlpm.latest_date, _xlfn.MAXIFS(_xlpm.date_col, _xlpm.doc_col, M221),
  IF(_xlpm.latest_date=0, "NFS",
    _xlfn.LET(
      _xlpm.res, _xlfn.XLOOKUP(M221 &amp; "|" &amp; _xlpm.latest_date, _xlpm.doc_col &amp; "|" &amp; _xlpm.date_col, _xlpm.status_col, ""),
      IF(OR(_xlpm.res="", _xlpm.res=0), "", _xlpm.res)
    )
  )
))</f>
        <v>RTR</v>
      </c>
      <c r="X221" s="39">
        <f>IF(OR(M221="", M221="Deleted"), "", _xlfn.LET(
  _xlpm.doc_col, [1]SubmittalLog!$E$1:$E$4000,
  _xlpm.date_col, [1]SubmittalLog!$H$1:$H$4000,
  _xlpm.status_col, [1]SubmittalLog!$O$1:$O$4000,
  _xlpm.first_app_date, _xlfn.MINIFS(_xlpm.date_col, _xlpm.doc_col, M221, _xlpm.status_col, "APP"),
  _xlpm.first_awc_date, _xlfn.MINIFS(_xlpm.date_col, _xlpm.doc_col, M221, _xlpm.status_col, "AWC"),
  _xlpm.earliest_date, IF(
    AND(_xlpm.first_app_date=0, _xlpm.first_awc_date=0), 0,
    IF(_xlpm.first_app_date=0, _xlpm.first_awc_date,
    IF(_xlpm.first_awc_date=0, _xlpm.first_app_date,
    MIN(_xlpm.first_app_date, _xlpm.first_awc_date)))
  ),
  IF(_xlpm.earliest_date=0, "", _xlpm.earliest_date)
))</f>
        <v>45743</v>
      </c>
      <c r="Y221" s="40" t="str" cm="1">
        <f t="array" ref="Y221">IF(OR(M221="", M221="Deleted"), "", _xlfn.LET(
  _xlpm.doc_col, [1]SubmittalLog!$E$1:$E$4000,
  _xlpm.date_col, [1]SubmittalLog!$H$1:$H$4000,
  _xlpm.status_col, [1]SubmittalLog!$O$1:$O$4000,
  _xlpm.has_sub, COUNTIF(_xlpm.doc_col, M221),
  _xlpm.latest_reviewed_date, _xlfn.MAXIFS(_xlpm.date_col, _xlpm.doc_col, M221, _xlpm.status_col, "&lt;&gt;"),
  IF(_xlpm.has_sub=0, "",
    IF(_xlpm.latest_reviewed_date=0, "",
      _xlfn.LET(
        _xlpm.res, _xlfn.XLOOKUP(1, (_xlpm.doc_col=M221) * (_xlpm.date_col=_xlpm.latest_reviewed_date) * (_xlpm.status_col&lt;&gt;""), _xlpm.status_col, ""),
        IF(OR(_xlpm.res="", _xlpm.res=0), "", _xlpm.res)
      )
    )
  )
))</f>
        <v>AWC</v>
      </c>
    </row>
    <row r="222" spans="1:25" ht="29" x14ac:dyDescent="0.35">
      <c r="A222" s="33">
        <f>IF($M222="","",MAX($A$1:A221)+1)</f>
        <v>207</v>
      </c>
      <c r="B222" s="23" t="s">
        <v>250</v>
      </c>
      <c r="C222" s="23" t="s">
        <v>234</v>
      </c>
      <c r="G222" s="33">
        <v>131236</v>
      </c>
      <c r="H222" s="33" t="s">
        <v>59</v>
      </c>
      <c r="I222" s="33" t="s">
        <v>309</v>
      </c>
      <c r="J222" s="33" t="s">
        <v>233</v>
      </c>
      <c r="K222" s="51">
        <v>5703</v>
      </c>
      <c r="M222" s="34" t="str">
        <f t="shared" si="3"/>
        <v>131236-WIL21-DS-M-5703</v>
      </c>
      <c r="N222" s="26" t="s">
        <v>3759</v>
      </c>
      <c r="P222" s="34" t="s">
        <v>3467</v>
      </c>
      <c r="S222" s="35">
        <v>45743</v>
      </c>
      <c r="T222" s="35">
        <v>45743</v>
      </c>
      <c r="U222" s="64" cm="1">
        <f t="array" ref="U222">IF(OR(M222="", M222="Deleted"), "", _xlfn.LET(
  _xlpm.dates,
  _xlfn._xlws.FILTER(
    [1]SubmittalLog!$H$1:$H$4000,
    [1]SubmittalLog!$E$1:$E$4000=M222,
    ""
  ),
  _xlpm.min_date, IFERROR(MIN(_xlpm.dates), ""),
  IF(_xlpm.min_date=0, "", _xlpm.min_date)
))</f>
        <v>45743</v>
      </c>
      <c r="V222" s="63" t="str" cm="1">
        <f t="array" ref="V222">IF(OR(M222="", M222="Deleted"), "", IFERROR(
  _xlfn.TEXTJOIN(", ", TRUE,
    _xlfn.MAP(
      _xlfn.UNIQUE(
        _xlfn._xlws.FILTER(
          [1]SubmittalLog!$B$1:$B$4000,
          ([1]SubmittalLog!$E$1:$E$4000=M222) *
          ([1]SubmittalLog!$B$1:$B$4000&lt;&gt;""),
          ""
        )
      ),
      _xlfn.LAMBDA(_xlpm.val, TEXT(_xlpm.val, "000000"))
    )
  ),
""))</f>
        <v>001170</v>
      </c>
      <c r="W222" s="40" t="str" cm="1">
        <f t="array" ref="W222">IF(OR(M222="", M222="Deleted"), "", _xlfn.LET(
  _xlpm.doc_col, [1]SubmittalLog!$E$1:$E$4000,
  _xlpm.date_col, [1]SubmittalLog!$H$1:$H$4000,
  _xlpm.status_col, [1]SubmittalLog!$N$1:$N$4000,
  _xlpm.latest_date, _xlfn.MAXIFS(_xlpm.date_col, _xlpm.doc_col, M222),
  IF(_xlpm.latest_date=0, "NFS",
    _xlfn.LET(
      _xlpm.res, _xlfn.XLOOKUP(M222 &amp; "|" &amp; _xlpm.latest_date, _xlpm.doc_col &amp; "|" &amp; _xlpm.date_col, _xlpm.status_col, ""),
      IF(OR(_xlpm.res="", _xlpm.res=0), "", _xlpm.res)
    )
  )
))</f>
        <v>RTR</v>
      </c>
      <c r="X222" s="39">
        <f>IF(OR(M222="", M222="Deleted"), "", _xlfn.LET(
  _xlpm.doc_col, [1]SubmittalLog!$E$1:$E$4000,
  _xlpm.date_col, [1]SubmittalLog!$H$1:$H$4000,
  _xlpm.status_col, [1]SubmittalLog!$O$1:$O$4000,
  _xlpm.first_app_date, _xlfn.MINIFS(_xlpm.date_col, _xlpm.doc_col, M222, _xlpm.status_col, "APP"),
  _xlpm.first_awc_date, _xlfn.MINIFS(_xlpm.date_col, _xlpm.doc_col, M222, _xlpm.status_col, "AWC"),
  _xlpm.earliest_date, IF(
    AND(_xlpm.first_app_date=0, _xlpm.first_awc_date=0), 0,
    IF(_xlpm.first_app_date=0, _xlpm.first_awc_date,
    IF(_xlpm.first_awc_date=0, _xlpm.first_app_date,
    MIN(_xlpm.first_app_date, _xlpm.first_awc_date)))
  ),
  IF(_xlpm.earliest_date=0, "", _xlpm.earliest_date)
))</f>
        <v>45743</v>
      </c>
      <c r="Y222" s="40" t="str" cm="1">
        <f t="array" ref="Y222">IF(OR(M222="", M222="Deleted"), "", _xlfn.LET(
  _xlpm.doc_col, [1]SubmittalLog!$E$1:$E$4000,
  _xlpm.date_col, [1]SubmittalLog!$H$1:$H$4000,
  _xlpm.status_col, [1]SubmittalLog!$O$1:$O$4000,
  _xlpm.has_sub, COUNTIF(_xlpm.doc_col, M222),
  _xlpm.latest_reviewed_date, _xlfn.MAXIFS(_xlpm.date_col, _xlpm.doc_col, M222, _xlpm.status_col, "&lt;&gt;"),
  IF(_xlpm.has_sub=0, "",
    IF(_xlpm.latest_reviewed_date=0, "",
      _xlfn.LET(
        _xlpm.res, _xlfn.XLOOKUP(1, (_xlpm.doc_col=M222) * (_xlpm.date_col=_xlpm.latest_reviewed_date) * (_xlpm.status_col&lt;&gt;""), _xlpm.status_col, ""),
        IF(OR(_xlpm.res="", _xlpm.res=0), "", _xlpm.res)
      )
    )
  )
))</f>
        <v>AWC</v>
      </c>
    </row>
    <row r="223" spans="1:25" x14ac:dyDescent="0.35">
      <c r="A223" s="33">
        <f>IF($M223="","",MAX($A$1:A222)+1)</f>
        <v>208</v>
      </c>
      <c r="B223" s="23" t="s">
        <v>54</v>
      </c>
      <c r="C223" s="23" t="s">
        <v>234</v>
      </c>
      <c r="G223" s="33">
        <v>131236</v>
      </c>
      <c r="H223" s="33" t="s">
        <v>59</v>
      </c>
      <c r="I223" s="33" t="s">
        <v>309</v>
      </c>
      <c r="J223" s="33" t="s">
        <v>233</v>
      </c>
      <c r="K223" s="51">
        <v>5711</v>
      </c>
      <c r="M223" s="34" t="str">
        <f t="shared" si="3"/>
        <v>Deleted</v>
      </c>
      <c r="N223" s="26" t="s">
        <v>3760</v>
      </c>
      <c r="P223" s="34" t="s">
        <v>3467</v>
      </c>
      <c r="S223" s="35">
        <v>45786</v>
      </c>
      <c r="T223" s="35">
        <v>45970</v>
      </c>
      <c r="U223" s="64" t="str" cm="1">
        <f t="array" ref="U223">IF(OR(M223="", M223="Deleted"), "", _xlfn.LET(
  _xlpm.dates,
  _xlfn._xlws.FILTER(
    [1]SubmittalLog!$H$1:$H$4000,
    [1]SubmittalLog!$E$1:$E$4000=M223,
    ""
  ),
  _xlpm.min_date, IFERROR(MIN(_xlpm.dates), ""),
  IF(_xlpm.min_date=0, "", _xlpm.min_date)
))</f>
        <v/>
      </c>
      <c r="V223" s="63" t="str" cm="1">
        <f t="array" ref="V223">IF(OR(M223="", M223="Deleted"), "", IFERROR(
  _xlfn.TEXTJOIN(", ", TRUE,
    _xlfn.MAP(
      _xlfn.UNIQUE(
        _xlfn._xlws.FILTER(
          [1]SubmittalLog!$B$1:$B$4000,
          ([1]SubmittalLog!$E$1:$E$4000=M223) *
          ([1]SubmittalLog!$B$1:$B$4000&lt;&gt;""),
          ""
        )
      ),
      _xlfn.LAMBDA(_xlpm.val, TEXT(_xlpm.val, "000000"))
    )
  ),
""))</f>
        <v/>
      </c>
      <c r="W223" s="40" t="str" cm="1">
        <f t="array" ref="W223">IF(OR(M223="", M223="Deleted"), "", _xlfn.LET(
  _xlpm.doc_col, [1]SubmittalLog!$E$1:$E$4000,
  _xlpm.date_col, [1]SubmittalLog!$H$1:$H$4000,
  _xlpm.status_col, [1]SubmittalLog!$N$1:$N$4000,
  _xlpm.latest_date, _xlfn.MAXIFS(_xlpm.date_col, _xlpm.doc_col, M223),
  IF(_xlpm.latest_date=0, "NFS",
    _xlfn.LET(
      _xlpm.res, _xlfn.XLOOKUP(M223 &amp; "|" &amp; _xlpm.latest_date, _xlpm.doc_col &amp; "|" &amp; _xlpm.date_col, _xlpm.status_col, ""),
      IF(OR(_xlpm.res="", _xlpm.res=0), "", _xlpm.res)
    )
  )
))</f>
        <v/>
      </c>
      <c r="X223" s="39" t="str">
        <f>IF(OR(M223="", M223="Deleted"), "", _xlfn.LET(
  _xlpm.doc_col, [1]SubmittalLog!$E$1:$E$4000,
  _xlpm.date_col, [1]SubmittalLog!$H$1:$H$4000,
  _xlpm.status_col, [1]SubmittalLog!$O$1:$O$4000,
  _xlpm.first_app_date, _xlfn.MINIFS(_xlpm.date_col, _xlpm.doc_col, M223, _xlpm.status_col, "APP"),
  _xlpm.first_awc_date, _xlfn.MINIFS(_xlpm.date_col, _xlpm.doc_col, M223, _xlpm.status_col, "AWC"),
  _xlpm.earliest_date, IF(
    AND(_xlpm.first_app_date=0, _xlpm.first_awc_date=0), 0,
    IF(_xlpm.first_app_date=0, _xlpm.first_awc_date,
    IF(_xlpm.first_awc_date=0, _xlpm.first_app_date,
    MIN(_xlpm.first_app_date, _xlpm.first_awc_date)))
  ),
  IF(_xlpm.earliest_date=0, "", _xlpm.earliest_date)
))</f>
        <v/>
      </c>
      <c r="Y223" s="40" t="str" cm="1">
        <f t="array" ref="Y223">IF(OR(M223="", M223="Deleted"), "", _xlfn.LET(
  _xlpm.doc_col, [1]SubmittalLog!$E$1:$E$4000,
  _xlpm.date_col, [1]SubmittalLog!$H$1:$H$4000,
  _xlpm.status_col, [1]SubmittalLog!$O$1:$O$4000,
  _xlpm.has_sub, COUNTIF(_xlpm.doc_col, M223),
  _xlpm.latest_reviewed_date, _xlfn.MAXIFS(_xlpm.date_col, _xlpm.doc_col, M223, _xlpm.status_col, "&lt;&gt;"),
  IF(_xlpm.has_sub=0, "",
    IF(_xlpm.latest_reviewed_date=0, "",
      _xlfn.LET(
        _xlpm.res, _xlfn.XLOOKUP(1, (_xlpm.doc_col=M223) * (_xlpm.date_col=_xlpm.latest_reviewed_date) * (_xlpm.status_col&lt;&gt;""), _xlpm.status_col, ""),
        IF(OR(_xlpm.res="", _xlpm.res=0), "", _xlpm.res)
      )
    )
  )
))</f>
        <v/>
      </c>
    </row>
    <row r="224" spans="1:25" x14ac:dyDescent="0.35">
      <c r="A224" s="33">
        <f>IF($M224="","",MAX($A$1:A223)+1)</f>
        <v>209</v>
      </c>
      <c r="B224" s="23" t="s">
        <v>250</v>
      </c>
      <c r="C224" s="23" t="s">
        <v>234</v>
      </c>
      <c r="G224" s="33">
        <v>131236</v>
      </c>
      <c r="H224" s="33" t="s">
        <v>59</v>
      </c>
      <c r="I224" s="33" t="s">
        <v>309</v>
      </c>
      <c r="J224" s="33" t="s">
        <v>233</v>
      </c>
      <c r="K224" s="51">
        <v>5721</v>
      </c>
      <c r="M224" s="34" t="str">
        <f t="shared" si="3"/>
        <v>131236-WIL21-DS-M-5721</v>
      </c>
      <c r="N224" s="26" t="s">
        <v>3761</v>
      </c>
      <c r="P224" s="34" t="s">
        <v>3467</v>
      </c>
      <c r="S224" s="35">
        <v>45786</v>
      </c>
      <c r="T224" s="35">
        <v>45786</v>
      </c>
      <c r="U224" s="64" cm="1">
        <f t="array" ref="U224">IF(OR(M224="", M224="Deleted"), "", _xlfn.LET(
  _xlpm.dates,
  _xlfn._xlws.FILTER(
    [1]SubmittalLog!$H$1:$H$4000,
    [1]SubmittalLog!$E$1:$E$4000=M224,
    ""
  ),
  _xlpm.min_date, IFERROR(MIN(_xlpm.dates), ""),
  IF(_xlpm.min_date=0, "", _xlpm.min_date)
))</f>
        <v>45787</v>
      </c>
      <c r="V224" s="63" t="str" cm="1">
        <f t="array" ref="V224">IF(OR(M224="", M224="Deleted"), "", IFERROR(
  _xlfn.TEXTJOIN(", ", TRUE,
    _xlfn.MAP(
      _xlfn.UNIQUE(
        _xlfn._xlws.FILTER(
          [1]SubmittalLog!$B$1:$B$4000,
          ([1]SubmittalLog!$E$1:$E$4000=M224) *
          ([1]SubmittalLog!$B$1:$B$4000&lt;&gt;""),
          ""
        )
      ),
      _xlfn.LAMBDA(_xlpm.val, TEXT(_xlpm.val, "000000"))
    )
  ),
""))</f>
        <v>001277</v>
      </c>
      <c r="W224" s="40" t="str" cm="1">
        <f t="array" ref="W224">IF(OR(M224="", M224="Deleted"), "", _xlfn.LET(
  _xlpm.doc_col, [1]SubmittalLog!$E$1:$E$4000,
  _xlpm.date_col, [1]SubmittalLog!$H$1:$H$4000,
  _xlpm.status_col, [1]SubmittalLog!$N$1:$N$4000,
  _xlpm.latest_date, _xlfn.MAXIFS(_xlpm.date_col, _xlpm.doc_col, M224),
  IF(_xlpm.latest_date=0, "NFS",
    _xlfn.LET(
      _xlpm.res, _xlfn.XLOOKUP(M224 &amp; "|" &amp; _xlpm.latest_date, _xlpm.doc_col &amp; "|" &amp; _xlpm.date_col, _xlpm.status_col, ""),
      IF(OR(_xlpm.res="", _xlpm.res=0), "", _xlpm.res)
    )
  )
))</f>
        <v>RTR</v>
      </c>
      <c r="X224" s="39">
        <f>IF(OR(M224="", M224="Deleted"), "", _xlfn.LET(
  _xlpm.doc_col, [1]SubmittalLog!$E$1:$E$4000,
  _xlpm.date_col, [1]SubmittalLog!$H$1:$H$4000,
  _xlpm.status_col, [1]SubmittalLog!$O$1:$O$4000,
  _xlpm.first_app_date, _xlfn.MINIFS(_xlpm.date_col, _xlpm.doc_col, M224, _xlpm.status_col, "APP"),
  _xlpm.first_awc_date, _xlfn.MINIFS(_xlpm.date_col, _xlpm.doc_col, M224, _xlpm.status_col, "AWC"),
  _xlpm.earliest_date, IF(
    AND(_xlpm.first_app_date=0, _xlpm.first_awc_date=0), 0,
    IF(_xlpm.first_app_date=0, _xlpm.first_awc_date,
    IF(_xlpm.first_awc_date=0, _xlpm.first_app_date,
    MIN(_xlpm.first_app_date, _xlpm.first_awc_date)))
  ),
  IF(_xlpm.earliest_date=0, "", _xlpm.earliest_date)
))</f>
        <v>45787</v>
      </c>
      <c r="Y224" s="40" t="str" cm="1">
        <f t="array" ref="Y224">IF(OR(M224="", M224="Deleted"), "", _xlfn.LET(
  _xlpm.doc_col, [1]SubmittalLog!$E$1:$E$4000,
  _xlpm.date_col, [1]SubmittalLog!$H$1:$H$4000,
  _xlpm.status_col, [1]SubmittalLog!$O$1:$O$4000,
  _xlpm.has_sub, COUNTIF(_xlpm.doc_col, M224),
  _xlpm.latest_reviewed_date, _xlfn.MAXIFS(_xlpm.date_col, _xlpm.doc_col, M224, _xlpm.status_col, "&lt;&gt;"),
  IF(_xlpm.has_sub=0, "",
    IF(_xlpm.latest_reviewed_date=0, "",
      _xlfn.LET(
        _xlpm.res, _xlfn.XLOOKUP(1, (_xlpm.doc_col=M224) * (_xlpm.date_col=_xlpm.latest_reviewed_date) * (_xlpm.status_col&lt;&gt;""), _xlpm.status_col, ""),
        IF(OR(_xlpm.res="", _xlpm.res=0), "", _xlpm.res)
      )
    )
  )
))</f>
        <v>AWC</v>
      </c>
    </row>
    <row r="225" spans="1:25" x14ac:dyDescent="0.35">
      <c r="A225" s="33">
        <f>IF($M225="","",MAX($A$1:A224)+1)</f>
        <v>210</v>
      </c>
      <c r="B225" s="23" t="s">
        <v>250</v>
      </c>
      <c r="C225" s="23" t="s">
        <v>234</v>
      </c>
      <c r="G225" s="33">
        <v>131236</v>
      </c>
      <c r="H225" s="33" t="s">
        <v>59</v>
      </c>
      <c r="I225" s="33" t="s">
        <v>309</v>
      </c>
      <c r="J225" s="33" t="s">
        <v>233</v>
      </c>
      <c r="K225" s="51">
        <v>5722</v>
      </c>
      <c r="M225" s="34" t="str">
        <f t="shared" si="3"/>
        <v>131236-WIL21-DS-M-5722</v>
      </c>
      <c r="N225" s="26" t="s">
        <v>3762</v>
      </c>
      <c r="P225" s="34" t="s">
        <v>3467</v>
      </c>
      <c r="S225" s="35">
        <v>45786</v>
      </c>
      <c r="T225" s="35">
        <v>45786</v>
      </c>
      <c r="U225" s="64" cm="1">
        <f t="array" ref="U225">IF(OR(M225="", M225="Deleted"), "", _xlfn.LET(
  _xlpm.dates,
  _xlfn._xlws.FILTER(
    [1]SubmittalLog!$H$1:$H$4000,
    [1]SubmittalLog!$E$1:$E$4000=M225,
    ""
  ),
  _xlpm.min_date, IFERROR(MIN(_xlpm.dates), ""),
  IF(_xlpm.min_date=0, "", _xlpm.min_date)
))</f>
        <v>45787</v>
      </c>
      <c r="V225" s="63" t="str" cm="1">
        <f t="array" ref="V225">IF(OR(M225="", M225="Deleted"), "", IFERROR(
  _xlfn.TEXTJOIN(", ", TRUE,
    _xlfn.MAP(
      _xlfn.UNIQUE(
        _xlfn._xlws.FILTER(
          [1]SubmittalLog!$B$1:$B$4000,
          ([1]SubmittalLog!$E$1:$E$4000=M225) *
          ([1]SubmittalLog!$B$1:$B$4000&lt;&gt;""),
          ""
        )
      ),
      _xlfn.LAMBDA(_xlpm.val, TEXT(_xlpm.val, "000000"))
    )
  ),
""))</f>
        <v>001277</v>
      </c>
      <c r="W225" s="40" t="str" cm="1">
        <f t="array" ref="W225">IF(OR(M225="", M225="Deleted"), "", _xlfn.LET(
  _xlpm.doc_col, [1]SubmittalLog!$E$1:$E$4000,
  _xlpm.date_col, [1]SubmittalLog!$H$1:$H$4000,
  _xlpm.status_col, [1]SubmittalLog!$N$1:$N$4000,
  _xlpm.latest_date, _xlfn.MAXIFS(_xlpm.date_col, _xlpm.doc_col, M225),
  IF(_xlpm.latest_date=0, "NFS",
    _xlfn.LET(
      _xlpm.res, _xlfn.XLOOKUP(M225 &amp; "|" &amp; _xlpm.latest_date, _xlpm.doc_col &amp; "|" &amp; _xlpm.date_col, _xlpm.status_col, ""),
      IF(OR(_xlpm.res="", _xlpm.res=0), "", _xlpm.res)
    )
  )
))</f>
        <v>RTR</v>
      </c>
      <c r="X225" s="39">
        <f>IF(OR(M225="", M225="Deleted"), "", _xlfn.LET(
  _xlpm.doc_col, [1]SubmittalLog!$E$1:$E$4000,
  _xlpm.date_col, [1]SubmittalLog!$H$1:$H$4000,
  _xlpm.status_col, [1]SubmittalLog!$O$1:$O$4000,
  _xlpm.first_app_date, _xlfn.MINIFS(_xlpm.date_col, _xlpm.doc_col, M225, _xlpm.status_col, "APP"),
  _xlpm.first_awc_date, _xlfn.MINIFS(_xlpm.date_col, _xlpm.doc_col, M225, _xlpm.status_col, "AWC"),
  _xlpm.earliest_date, IF(
    AND(_xlpm.first_app_date=0, _xlpm.first_awc_date=0), 0,
    IF(_xlpm.first_app_date=0, _xlpm.first_awc_date,
    IF(_xlpm.first_awc_date=0, _xlpm.first_app_date,
    MIN(_xlpm.first_app_date, _xlpm.first_awc_date)))
  ),
  IF(_xlpm.earliest_date=0, "", _xlpm.earliest_date)
))</f>
        <v>45787</v>
      </c>
      <c r="Y225" s="40" t="str" cm="1">
        <f t="array" ref="Y225">IF(OR(M225="", M225="Deleted"), "", _xlfn.LET(
  _xlpm.doc_col, [1]SubmittalLog!$E$1:$E$4000,
  _xlpm.date_col, [1]SubmittalLog!$H$1:$H$4000,
  _xlpm.status_col, [1]SubmittalLog!$O$1:$O$4000,
  _xlpm.has_sub, COUNTIF(_xlpm.doc_col, M225),
  _xlpm.latest_reviewed_date, _xlfn.MAXIFS(_xlpm.date_col, _xlpm.doc_col, M225, _xlpm.status_col, "&lt;&gt;"),
  IF(_xlpm.has_sub=0, "",
    IF(_xlpm.latest_reviewed_date=0, "",
      _xlfn.LET(
        _xlpm.res, _xlfn.XLOOKUP(1, (_xlpm.doc_col=M225) * (_xlpm.date_col=_xlpm.latest_reviewed_date) * (_xlpm.status_col&lt;&gt;""), _xlpm.status_col, ""),
        IF(OR(_xlpm.res="", _xlpm.res=0), "", _xlpm.res)
      )
    )
  )
))</f>
        <v>AWC</v>
      </c>
    </row>
    <row r="226" spans="1:25" x14ac:dyDescent="0.35">
      <c r="A226" s="33">
        <f>IF($M226="","",MAX($A$1:A225)+1)</f>
        <v>211</v>
      </c>
      <c r="B226" s="23" t="s">
        <v>250</v>
      </c>
      <c r="C226" s="23" t="s">
        <v>234</v>
      </c>
      <c r="G226" s="33">
        <v>131236</v>
      </c>
      <c r="H226" s="33" t="s">
        <v>59</v>
      </c>
      <c r="I226" s="33" t="s">
        <v>309</v>
      </c>
      <c r="J226" s="33" t="s">
        <v>233</v>
      </c>
      <c r="K226" s="51">
        <v>5723</v>
      </c>
      <c r="M226" s="34" t="str">
        <f t="shared" si="3"/>
        <v>131236-WIL21-DS-M-5723</v>
      </c>
      <c r="N226" s="26" t="s">
        <v>3763</v>
      </c>
      <c r="P226" s="34" t="s">
        <v>3467</v>
      </c>
      <c r="S226" s="35">
        <v>45786</v>
      </c>
      <c r="T226" s="35">
        <v>45786</v>
      </c>
      <c r="U226" s="64" cm="1">
        <f t="array" ref="U226">IF(OR(M226="", M226="Deleted"), "", _xlfn.LET(
  _xlpm.dates,
  _xlfn._xlws.FILTER(
    [1]SubmittalLog!$H$1:$H$4000,
    [1]SubmittalLog!$E$1:$E$4000=M226,
    ""
  ),
  _xlpm.min_date, IFERROR(MIN(_xlpm.dates), ""),
  IF(_xlpm.min_date=0, "", _xlpm.min_date)
))</f>
        <v>45787</v>
      </c>
      <c r="V226" s="63" t="str" cm="1">
        <f t="array" ref="V226">IF(OR(M226="", M226="Deleted"), "", IFERROR(
  _xlfn.TEXTJOIN(", ", TRUE,
    _xlfn.MAP(
      _xlfn.UNIQUE(
        _xlfn._xlws.FILTER(
          [1]SubmittalLog!$B$1:$B$4000,
          ([1]SubmittalLog!$E$1:$E$4000=M226) *
          ([1]SubmittalLog!$B$1:$B$4000&lt;&gt;""),
          ""
        )
      ),
      _xlfn.LAMBDA(_xlpm.val, TEXT(_xlpm.val, "000000"))
    )
  ),
""))</f>
        <v>001277</v>
      </c>
      <c r="W226" s="40" t="str" cm="1">
        <f t="array" ref="W226">IF(OR(M226="", M226="Deleted"), "", _xlfn.LET(
  _xlpm.doc_col, [1]SubmittalLog!$E$1:$E$4000,
  _xlpm.date_col, [1]SubmittalLog!$H$1:$H$4000,
  _xlpm.status_col, [1]SubmittalLog!$N$1:$N$4000,
  _xlpm.latest_date, _xlfn.MAXIFS(_xlpm.date_col, _xlpm.doc_col, M226),
  IF(_xlpm.latest_date=0, "NFS",
    _xlfn.LET(
      _xlpm.res, _xlfn.XLOOKUP(M226 &amp; "|" &amp; _xlpm.latest_date, _xlpm.doc_col &amp; "|" &amp; _xlpm.date_col, _xlpm.status_col, ""),
      IF(OR(_xlpm.res="", _xlpm.res=0), "", _xlpm.res)
    )
  )
))</f>
        <v>RTR</v>
      </c>
      <c r="X226" s="39">
        <f>IF(OR(M226="", M226="Deleted"), "", _xlfn.LET(
  _xlpm.doc_col, [1]SubmittalLog!$E$1:$E$4000,
  _xlpm.date_col, [1]SubmittalLog!$H$1:$H$4000,
  _xlpm.status_col, [1]SubmittalLog!$O$1:$O$4000,
  _xlpm.first_app_date, _xlfn.MINIFS(_xlpm.date_col, _xlpm.doc_col, M226, _xlpm.status_col, "APP"),
  _xlpm.first_awc_date, _xlfn.MINIFS(_xlpm.date_col, _xlpm.doc_col, M226, _xlpm.status_col, "AWC"),
  _xlpm.earliest_date, IF(
    AND(_xlpm.first_app_date=0, _xlpm.first_awc_date=0), 0,
    IF(_xlpm.first_app_date=0, _xlpm.first_awc_date,
    IF(_xlpm.first_awc_date=0, _xlpm.first_app_date,
    MIN(_xlpm.first_app_date, _xlpm.first_awc_date)))
  ),
  IF(_xlpm.earliest_date=0, "", _xlpm.earliest_date)
))</f>
        <v>45787</v>
      </c>
      <c r="Y226" s="40" t="str" cm="1">
        <f t="array" ref="Y226">IF(OR(M226="", M226="Deleted"), "", _xlfn.LET(
  _xlpm.doc_col, [1]SubmittalLog!$E$1:$E$4000,
  _xlpm.date_col, [1]SubmittalLog!$H$1:$H$4000,
  _xlpm.status_col, [1]SubmittalLog!$O$1:$O$4000,
  _xlpm.has_sub, COUNTIF(_xlpm.doc_col, M226),
  _xlpm.latest_reviewed_date, _xlfn.MAXIFS(_xlpm.date_col, _xlpm.doc_col, M226, _xlpm.status_col, "&lt;&gt;"),
  IF(_xlpm.has_sub=0, "",
    IF(_xlpm.latest_reviewed_date=0, "",
      _xlfn.LET(
        _xlpm.res, _xlfn.XLOOKUP(1, (_xlpm.doc_col=M226) * (_xlpm.date_col=_xlpm.latest_reviewed_date) * (_xlpm.status_col&lt;&gt;""), _xlpm.status_col, ""),
        IF(OR(_xlpm.res="", _xlpm.res=0), "", _xlpm.res)
      )
    )
  )
))</f>
        <v>AWC</v>
      </c>
    </row>
    <row r="227" spans="1:25" x14ac:dyDescent="0.35">
      <c r="A227" s="33">
        <f>IF($M227="","",MAX($A$1:A226)+1)</f>
        <v>212</v>
      </c>
      <c r="B227" s="23" t="s">
        <v>250</v>
      </c>
      <c r="C227" s="23" t="s">
        <v>234</v>
      </c>
      <c r="G227" s="33">
        <v>131236</v>
      </c>
      <c r="H227" s="33" t="s">
        <v>59</v>
      </c>
      <c r="I227" s="33" t="s">
        <v>309</v>
      </c>
      <c r="J227" s="33" t="s">
        <v>233</v>
      </c>
      <c r="K227" s="51">
        <v>5724</v>
      </c>
      <c r="M227" s="34" t="str">
        <f t="shared" si="3"/>
        <v>131236-WIL21-DS-M-5724</v>
      </c>
      <c r="N227" s="26" t="s">
        <v>3764</v>
      </c>
      <c r="P227" s="34" t="s">
        <v>3467</v>
      </c>
      <c r="S227" s="35">
        <v>45786</v>
      </c>
      <c r="T227" s="35">
        <v>45786</v>
      </c>
      <c r="U227" s="64" cm="1">
        <f t="array" ref="U227">IF(OR(M227="", M227="Deleted"), "", _xlfn.LET(
  _xlpm.dates,
  _xlfn._xlws.FILTER(
    [1]SubmittalLog!$H$1:$H$4000,
    [1]SubmittalLog!$E$1:$E$4000=M227,
    ""
  ),
  _xlpm.min_date, IFERROR(MIN(_xlpm.dates), ""),
  IF(_xlpm.min_date=0, "", _xlpm.min_date)
))</f>
        <v>45787</v>
      </c>
      <c r="V227" s="63" t="str" cm="1">
        <f t="array" ref="V227">IF(OR(M227="", M227="Deleted"), "", IFERROR(
  _xlfn.TEXTJOIN(", ", TRUE,
    _xlfn.MAP(
      _xlfn.UNIQUE(
        _xlfn._xlws.FILTER(
          [1]SubmittalLog!$B$1:$B$4000,
          ([1]SubmittalLog!$E$1:$E$4000=M227) *
          ([1]SubmittalLog!$B$1:$B$4000&lt;&gt;""),
          ""
        )
      ),
      _xlfn.LAMBDA(_xlpm.val, TEXT(_xlpm.val, "000000"))
    )
  ),
""))</f>
        <v>001277</v>
      </c>
      <c r="W227" s="40" t="str" cm="1">
        <f t="array" ref="W227">IF(OR(M227="", M227="Deleted"), "", _xlfn.LET(
  _xlpm.doc_col, [1]SubmittalLog!$E$1:$E$4000,
  _xlpm.date_col, [1]SubmittalLog!$H$1:$H$4000,
  _xlpm.status_col, [1]SubmittalLog!$N$1:$N$4000,
  _xlpm.latest_date, _xlfn.MAXIFS(_xlpm.date_col, _xlpm.doc_col, M227),
  IF(_xlpm.latest_date=0, "NFS",
    _xlfn.LET(
      _xlpm.res, _xlfn.XLOOKUP(M227 &amp; "|" &amp; _xlpm.latest_date, _xlpm.doc_col &amp; "|" &amp; _xlpm.date_col, _xlpm.status_col, ""),
      IF(OR(_xlpm.res="", _xlpm.res=0), "", _xlpm.res)
    )
  )
))</f>
        <v>RTR</v>
      </c>
      <c r="X227" s="39">
        <f>IF(OR(M227="", M227="Deleted"), "", _xlfn.LET(
  _xlpm.doc_col, [1]SubmittalLog!$E$1:$E$4000,
  _xlpm.date_col, [1]SubmittalLog!$H$1:$H$4000,
  _xlpm.status_col, [1]SubmittalLog!$O$1:$O$4000,
  _xlpm.first_app_date, _xlfn.MINIFS(_xlpm.date_col, _xlpm.doc_col, M227, _xlpm.status_col, "APP"),
  _xlpm.first_awc_date, _xlfn.MINIFS(_xlpm.date_col, _xlpm.doc_col, M227, _xlpm.status_col, "AWC"),
  _xlpm.earliest_date, IF(
    AND(_xlpm.first_app_date=0, _xlpm.first_awc_date=0), 0,
    IF(_xlpm.first_app_date=0, _xlpm.first_awc_date,
    IF(_xlpm.first_awc_date=0, _xlpm.first_app_date,
    MIN(_xlpm.first_app_date, _xlpm.first_awc_date)))
  ),
  IF(_xlpm.earliest_date=0, "", _xlpm.earliest_date)
))</f>
        <v>45787</v>
      </c>
      <c r="Y227" s="40" t="str" cm="1">
        <f t="array" ref="Y227">IF(OR(M227="", M227="Deleted"), "", _xlfn.LET(
  _xlpm.doc_col, [1]SubmittalLog!$E$1:$E$4000,
  _xlpm.date_col, [1]SubmittalLog!$H$1:$H$4000,
  _xlpm.status_col, [1]SubmittalLog!$O$1:$O$4000,
  _xlpm.has_sub, COUNTIF(_xlpm.doc_col, M227),
  _xlpm.latest_reviewed_date, _xlfn.MAXIFS(_xlpm.date_col, _xlpm.doc_col, M227, _xlpm.status_col, "&lt;&gt;"),
  IF(_xlpm.has_sub=0, "",
    IF(_xlpm.latest_reviewed_date=0, "",
      _xlfn.LET(
        _xlpm.res, _xlfn.XLOOKUP(1, (_xlpm.doc_col=M227) * (_xlpm.date_col=_xlpm.latest_reviewed_date) * (_xlpm.status_col&lt;&gt;""), _xlpm.status_col, ""),
        IF(OR(_xlpm.res="", _xlpm.res=0), "", _xlpm.res)
      )
    )
  )
))</f>
        <v>AWC</v>
      </c>
    </row>
    <row r="228" spans="1:25" x14ac:dyDescent="0.35">
      <c r="A228" s="33">
        <f>IF($M228="","",MAX($A$1:A227)+1)</f>
        <v>213</v>
      </c>
      <c r="B228" s="23" t="s">
        <v>250</v>
      </c>
      <c r="C228" s="23" t="s">
        <v>234</v>
      </c>
      <c r="G228" s="33">
        <v>131236</v>
      </c>
      <c r="H228" s="33" t="s">
        <v>59</v>
      </c>
      <c r="I228" s="33" t="s">
        <v>309</v>
      </c>
      <c r="J228" s="33" t="s">
        <v>233</v>
      </c>
      <c r="K228" s="51">
        <v>5725</v>
      </c>
      <c r="M228" s="34" t="str">
        <f t="shared" si="3"/>
        <v>131236-WIL21-DS-M-5725</v>
      </c>
      <c r="N228" s="26" t="s">
        <v>3765</v>
      </c>
      <c r="P228" s="34" t="s">
        <v>3467</v>
      </c>
      <c r="S228" s="35">
        <v>45786</v>
      </c>
      <c r="T228" s="35">
        <v>45786</v>
      </c>
      <c r="U228" s="64" cm="1">
        <f t="array" ref="U228">IF(OR(M228="", M228="Deleted"), "", _xlfn.LET(
  _xlpm.dates,
  _xlfn._xlws.FILTER(
    [1]SubmittalLog!$H$1:$H$4000,
    [1]SubmittalLog!$E$1:$E$4000=M228,
    ""
  ),
  _xlpm.min_date, IFERROR(MIN(_xlpm.dates), ""),
  IF(_xlpm.min_date=0, "", _xlpm.min_date)
))</f>
        <v>45787</v>
      </c>
      <c r="V228" s="63" t="str" cm="1">
        <f t="array" ref="V228">IF(OR(M228="", M228="Deleted"), "", IFERROR(
  _xlfn.TEXTJOIN(", ", TRUE,
    _xlfn.MAP(
      _xlfn.UNIQUE(
        _xlfn._xlws.FILTER(
          [1]SubmittalLog!$B$1:$B$4000,
          ([1]SubmittalLog!$E$1:$E$4000=M228) *
          ([1]SubmittalLog!$B$1:$B$4000&lt;&gt;""),
          ""
        )
      ),
      _xlfn.LAMBDA(_xlpm.val, TEXT(_xlpm.val, "000000"))
    )
  ),
""))</f>
        <v>001277</v>
      </c>
      <c r="W228" s="40" t="str" cm="1">
        <f t="array" ref="W228">IF(OR(M228="", M228="Deleted"), "", _xlfn.LET(
  _xlpm.doc_col, [1]SubmittalLog!$E$1:$E$4000,
  _xlpm.date_col, [1]SubmittalLog!$H$1:$H$4000,
  _xlpm.status_col, [1]SubmittalLog!$N$1:$N$4000,
  _xlpm.latest_date, _xlfn.MAXIFS(_xlpm.date_col, _xlpm.doc_col, M228),
  IF(_xlpm.latest_date=0, "NFS",
    _xlfn.LET(
      _xlpm.res, _xlfn.XLOOKUP(M228 &amp; "|" &amp; _xlpm.latest_date, _xlpm.doc_col &amp; "|" &amp; _xlpm.date_col, _xlpm.status_col, ""),
      IF(OR(_xlpm.res="", _xlpm.res=0), "", _xlpm.res)
    )
  )
))</f>
        <v>RTR</v>
      </c>
      <c r="X228" s="39">
        <f>IF(OR(M228="", M228="Deleted"), "", _xlfn.LET(
  _xlpm.doc_col, [1]SubmittalLog!$E$1:$E$4000,
  _xlpm.date_col, [1]SubmittalLog!$H$1:$H$4000,
  _xlpm.status_col, [1]SubmittalLog!$O$1:$O$4000,
  _xlpm.first_app_date, _xlfn.MINIFS(_xlpm.date_col, _xlpm.doc_col, M228, _xlpm.status_col, "APP"),
  _xlpm.first_awc_date, _xlfn.MINIFS(_xlpm.date_col, _xlpm.doc_col, M228, _xlpm.status_col, "AWC"),
  _xlpm.earliest_date, IF(
    AND(_xlpm.first_app_date=0, _xlpm.first_awc_date=0), 0,
    IF(_xlpm.first_app_date=0, _xlpm.first_awc_date,
    IF(_xlpm.first_awc_date=0, _xlpm.first_app_date,
    MIN(_xlpm.first_app_date, _xlpm.first_awc_date)))
  ),
  IF(_xlpm.earliest_date=0, "", _xlpm.earliest_date)
))</f>
        <v>45787</v>
      </c>
      <c r="Y228" s="40" t="str" cm="1">
        <f t="array" ref="Y228">IF(OR(M228="", M228="Deleted"), "", _xlfn.LET(
  _xlpm.doc_col, [1]SubmittalLog!$E$1:$E$4000,
  _xlpm.date_col, [1]SubmittalLog!$H$1:$H$4000,
  _xlpm.status_col, [1]SubmittalLog!$O$1:$O$4000,
  _xlpm.has_sub, COUNTIF(_xlpm.doc_col, M228),
  _xlpm.latest_reviewed_date, _xlfn.MAXIFS(_xlpm.date_col, _xlpm.doc_col, M228, _xlpm.status_col, "&lt;&gt;"),
  IF(_xlpm.has_sub=0, "",
    IF(_xlpm.latest_reviewed_date=0, "",
      _xlfn.LET(
        _xlpm.res, _xlfn.XLOOKUP(1, (_xlpm.doc_col=M228) * (_xlpm.date_col=_xlpm.latest_reviewed_date) * (_xlpm.status_col&lt;&gt;""), _xlpm.status_col, ""),
        IF(OR(_xlpm.res="", _xlpm.res=0), "", _xlpm.res)
      )
    )
  )
))</f>
        <v>AWC</v>
      </c>
    </row>
    <row r="229" spans="1:25" x14ac:dyDescent="0.35">
      <c r="A229" s="33">
        <f>IF($M229="","",MAX($A$1:A228)+1)</f>
        <v>214</v>
      </c>
      <c r="B229" s="23" t="s">
        <v>250</v>
      </c>
      <c r="C229" s="23" t="s">
        <v>234</v>
      </c>
      <c r="G229" s="33">
        <v>131236</v>
      </c>
      <c r="H229" s="33" t="s">
        <v>59</v>
      </c>
      <c r="I229" s="33" t="s">
        <v>309</v>
      </c>
      <c r="J229" s="33" t="s">
        <v>233</v>
      </c>
      <c r="K229" s="51" t="s">
        <v>3569</v>
      </c>
      <c r="M229" s="34" t="str">
        <f t="shared" si="3"/>
        <v>131236-WIL21-DS-M-5732</v>
      </c>
      <c r="N229" s="26" t="s">
        <v>3766</v>
      </c>
      <c r="P229" s="34" t="s">
        <v>3467</v>
      </c>
      <c r="S229" s="35">
        <v>45260</v>
      </c>
      <c r="T229" s="35">
        <v>45779</v>
      </c>
      <c r="U229" s="64" cm="1">
        <f t="array" ref="U229">IF(OR(M229="", M229="Deleted"), "", _xlfn.LET(
  _xlpm.dates,
  _xlfn._xlws.FILTER(
    [1]SubmittalLog!$H$1:$H$4000,
    [1]SubmittalLog!$E$1:$E$4000=M229,
    ""
  ),
  _xlpm.min_date, IFERROR(MIN(_xlpm.dates), ""),
  IF(_xlpm.min_date=0, "", _xlpm.min_date)
))</f>
        <v>45776</v>
      </c>
      <c r="V229" s="63" t="str" cm="1">
        <f t="array" ref="V229">IF(OR(M229="", M229="Deleted"), "", IFERROR(
  _xlfn.TEXTJOIN(", ", TRUE,
    _xlfn.MAP(
      _xlfn.UNIQUE(
        _xlfn._xlws.FILTER(
          [1]SubmittalLog!$B$1:$B$4000,
          ([1]SubmittalLog!$E$1:$E$4000=M229) *
          ([1]SubmittalLog!$B$1:$B$4000&lt;&gt;""),
          ""
        )
      ),
      _xlfn.LAMBDA(_xlpm.val, TEXT(_xlpm.val, "000000"))
    )
  ),
""))</f>
        <v>001259</v>
      </c>
      <c r="W229" s="40" t="str" cm="1">
        <f t="array" ref="W229">IF(OR(M229="", M229="Deleted"), "", _xlfn.LET(
  _xlpm.doc_col, [1]SubmittalLog!$E$1:$E$4000,
  _xlpm.date_col, [1]SubmittalLog!$H$1:$H$4000,
  _xlpm.status_col, [1]SubmittalLog!$N$1:$N$4000,
  _xlpm.latest_date, _xlfn.MAXIFS(_xlpm.date_col, _xlpm.doc_col, M229),
  IF(_xlpm.latest_date=0, "NFS",
    _xlfn.LET(
      _xlpm.res, _xlfn.XLOOKUP(M229 &amp; "|" &amp; _xlpm.latest_date, _xlpm.doc_col &amp; "|" &amp; _xlpm.date_col, _xlpm.status_col, ""),
      IF(OR(_xlpm.res="", _xlpm.res=0), "", _xlpm.res)
    )
  )
))</f>
        <v>RTR</v>
      </c>
      <c r="X229" s="39">
        <f>IF(OR(M229="", M229="Deleted"), "", _xlfn.LET(
  _xlpm.doc_col, [1]SubmittalLog!$E$1:$E$4000,
  _xlpm.date_col, [1]SubmittalLog!$H$1:$H$4000,
  _xlpm.status_col, [1]SubmittalLog!$O$1:$O$4000,
  _xlpm.first_app_date, _xlfn.MINIFS(_xlpm.date_col, _xlpm.doc_col, M229, _xlpm.status_col, "APP"),
  _xlpm.first_awc_date, _xlfn.MINIFS(_xlpm.date_col, _xlpm.doc_col, M229, _xlpm.status_col, "AWC"),
  _xlpm.earliest_date, IF(
    AND(_xlpm.first_app_date=0, _xlpm.first_awc_date=0), 0,
    IF(_xlpm.first_app_date=0, _xlpm.first_awc_date,
    IF(_xlpm.first_awc_date=0, _xlpm.first_app_date,
    MIN(_xlpm.first_app_date, _xlpm.first_awc_date)))
  ),
  IF(_xlpm.earliest_date=0, "", _xlpm.earliest_date)
))</f>
        <v>45776</v>
      </c>
      <c r="Y229" s="40" t="str" cm="1">
        <f t="array" ref="Y229">IF(OR(M229="", M229="Deleted"), "", _xlfn.LET(
  _xlpm.doc_col, [1]SubmittalLog!$E$1:$E$4000,
  _xlpm.date_col, [1]SubmittalLog!$H$1:$H$4000,
  _xlpm.status_col, [1]SubmittalLog!$O$1:$O$4000,
  _xlpm.has_sub, COUNTIF(_xlpm.doc_col, M229),
  _xlpm.latest_reviewed_date, _xlfn.MAXIFS(_xlpm.date_col, _xlpm.doc_col, M229, _xlpm.status_col, "&lt;&gt;"),
  IF(_xlpm.has_sub=0, "",
    IF(_xlpm.latest_reviewed_date=0, "",
      _xlfn.LET(
        _xlpm.res, _xlfn.XLOOKUP(1, (_xlpm.doc_col=M229) * (_xlpm.date_col=_xlpm.latest_reviewed_date) * (_xlpm.status_col&lt;&gt;""), _xlpm.status_col, ""),
        IF(OR(_xlpm.res="", _xlpm.res=0), "", _xlpm.res)
      )
    )
  )
))</f>
        <v>AWC</v>
      </c>
    </row>
    <row r="230" spans="1:25" x14ac:dyDescent="0.35">
      <c r="A230" s="33">
        <f>IF($M230="","",MAX($A$1:A229)+1)</f>
        <v>215</v>
      </c>
      <c r="B230" s="23" t="s">
        <v>250</v>
      </c>
      <c r="C230" s="23" t="s">
        <v>234</v>
      </c>
      <c r="G230" s="33">
        <v>131236</v>
      </c>
      <c r="H230" s="33" t="s">
        <v>59</v>
      </c>
      <c r="I230" s="33" t="s">
        <v>309</v>
      </c>
      <c r="J230" s="33" t="s">
        <v>233</v>
      </c>
      <c r="K230" s="51" t="s">
        <v>3571</v>
      </c>
      <c r="M230" s="34" t="str">
        <f t="shared" si="3"/>
        <v>131236-WIL21-DS-M-5733</v>
      </c>
      <c r="N230" s="26" t="s">
        <v>3767</v>
      </c>
      <c r="P230" s="34" t="s">
        <v>3467</v>
      </c>
      <c r="S230" s="35">
        <v>45260</v>
      </c>
      <c r="T230" s="35">
        <v>45779</v>
      </c>
      <c r="U230" s="64" cm="1">
        <f t="array" ref="U230">IF(OR(M230="", M230="Deleted"), "", _xlfn.LET(
  _xlpm.dates,
  _xlfn._xlws.FILTER(
    [1]SubmittalLog!$H$1:$H$4000,
    [1]SubmittalLog!$E$1:$E$4000=M230,
    ""
  ),
  _xlpm.min_date, IFERROR(MIN(_xlpm.dates), ""),
  IF(_xlpm.min_date=0, "", _xlpm.min_date)
))</f>
        <v>45776</v>
      </c>
      <c r="V230" s="63" t="str" cm="1">
        <f t="array" ref="V230">IF(OR(M230="", M230="Deleted"), "", IFERROR(
  _xlfn.TEXTJOIN(", ", TRUE,
    _xlfn.MAP(
      _xlfn.UNIQUE(
        _xlfn._xlws.FILTER(
          [1]SubmittalLog!$B$1:$B$4000,
          ([1]SubmittalLog!$E$1:$E$4000=M230) *
          ([1]SubmittalLog!$B$1:$B$4000&lt;&gt;""),
          ""
        )
      ),
      _xlfn.LAMBDA(_xlpm.val, TEXT(_xlpm.val, "000000"))
    )
  ),
""))</f>
        <v>001259</v>
      </c>
      <c r="W230" s="40" t="str" cm="1">
        <f t="array" ref="W230">IF(OR(M230="", M230="Deleted"), "", _xlfn.LET(
  _xlpm.doc_col, [1]SubmittalLog!$E$1:$E$4000,
  _xlpm.date_col, [1]SubmittalLog!$H$1:$H$4000,
  _xlpm.status_col, [1]SubmittalLog!$N$1:$N$4000,
  _xlpm.latest_date, _xlfn.MAXIFS(_xlpm.date_col, _xlpm.doc_col, M230),
  IF(_xlpm.latest_date=0, "NFS",
    _xlfn.LET(
      _xlpm.res, _xlfn.XLOOKUP(M230 &amp; "|" &amp; _xlpm.latest_date, _xlpm.doc_col &amp; "|" &amp; _xlpm.date_col, _xlpm.status_col, ""),
      IF(OR(_xlpm.res="", _xlpm.res=0), "", _xlpm.res)
    )
  )
))</f>
        <v>RTR</v>
      </c>
      <c r="X230" s="39">
        <f>IF(OR(M230="", M230="Deleted"), "", _xlfn.LET(
  _xlpm.doc_col, [1]SubmittalLog!$E$1:$E$4000,
  _xlpm.date_col, [1]SubmittalLog!$H$1:$H$4000,
  _xlpm.status_col, [1]SubmittalLog!$O$1:$O$4000,
  _xlpm.first_app_date, _xlfn.MINIFS(_xlpm.date_col, _xlpm.doc_col, M230, _xlpm.status_col, "APP"),
  _xlpm.first_awc_date, _xlfn.MINIFS(_xlpm.date_col, _xlpm.doc_col, M230, _xlpm.status_col, "AWC"),
  _xlpm.earliest_date, IF(
    AND(_xlpm.first_app_date=0, _xlpm.first_awc_date=0), 0,
    IF(_xlpm.first_app_date=0, _xlpm.first_awc_date,
    IF(_xlpm.first_awc_date=0, _xlpm.first_app_date,
    MIN(_xlpm.first_app_date, _xlpm.first_awc_date)))
  ),
  IF(_xlpm.earliest_date=0, "", _xlpm.earliest_date)
))</f>
        <v>45776</v>
      </c>
      <c r="Y230" s="40" t="str" cm="1">
        <f t="array" ref="Y230">IF(OR(M230="", M230="Deleted"), "", _xlfn.LET(
  _xlpm.doc_col, [1]SubmittalLog!$E$1:$E$4000,
  _xlpm.date_col, [1]SubmittalLog!$H$1:$H$4000,
  _xlpm.status_col, [1]SubmittalLog!$O$1:$O$4000,
  _xlpm.has_sub, COUNTIF(_xlpm.doc_col, M230),
  _xlpm.latest_reviewed_date, _xlfn.MAXIFS(_xlpm.date_col, _xlpm.doc_col, M230, _xlpm.status_col, "&lt;&gt;"),
  IF(_xlpm.has_sub=0, "",
    IF(_xlpm.latest_reviewed_date=0, "",
      _xlfn.LET(
        _xlpm.res, _xlfn.XLOOKUP(1, (_xlpm.doc_col=M230) * (_xlpm.date_col=_xlpm.latest_reviewed_date) * (_xlpm.status_col&lt;&gt;""), _xlpm.status_col, ""),
        IF(OR(_xlpm.res="", _xlpm.res=0), "", _xlpm.res)
      )
    )
  )
))</f>
        <v>AWC</v>
      </c>
    </row>
    <row r="231" spans="1:25" x14ac:dyDescent="0.35">
      <c r="A231" s="33">
        <f>IF($M231="","",MAX($A$1:A230)+1)</f>
        <v>216</v>
      </c>
      <c r="B231" s="23" t="s">
        <v>250</v>
      </c>
      <c r="C231" s="23" t="s">
        <v>234</v>
      </c>
      <c r="G231" s="33">
        <v>131236</v>
      </c>
      <c r="H231" s="33" t="s">
        <v>59</v>
      </c>
      <c r="I231" s="33" t="s">
        <v>309</v>
      </c>
      <c r="J231" s="33" t="s">
        <v>233</v>
      </c>
      <c r="K231" s="51" t="s">
        <v>3573</v>
      </c>
      <c r="M231" s="34" t="str">
        <f t="shared" si="3"/>
        <v>131236-WIL21-DS-M-5734</v>
      </c>
      <c r="N231" s="26" t="s">
        <v>3768</v>
      </c>
      <c r="P231" s="34" t="s">
        <v>3467</v>
      </c>
      <c r="S231" s="35">
        <v>45260</v>
      </c>
      <c r="T231" s="35">
        <v>45779</v>
      </c>
      <c r="U231" s="64" cm="1">
        <f t="array" ref="U231">IF(OR(M231="", M231="Deleted"), "", _xlfn.LET(
  _xlpm.dates,
  _xlfn._xlws.FILTER(
    [1]SubmittalLog!$H$1:$H$4000,
    [1]SubmittalLog!$E$1:$E$4000=M231,
    ""
  ),
  _xlpm.min_date, IFERROR(MIN(_xlpm.dates), ""),
  IF(_xlpm.min_date=0, "", _xlpm.min_date)
))</f>
        <v>45776</v>
      </c>
      <c r="V231" s="63" t="str" cm="1">
        <f t="array" ref="V231">IF(OR(M231="", M231="Deleted"), "", IFERROR(
  _xlfn.TEXTJOIN(", ", TRUE,
    _xlfn.MAP(
      _xlfn.UNIQUE(
        _xlfn._xlws.FILTER(
          [1]SubmittalLog!$B$1:$B$4000,
          ([1]SubmittalLog!$E$1:$E$4000=M231) *
          ([1]SubmittalLog!$B$1:$B$4000&lt;&gt;""),
          ""
        )
      ),
      _xlfn.LAMBDA(_xlpm.val, TEXT(_xlpm.val, "000000"))
    )
  ),
""))</f>
        <v>001259</v>
      </c>
      <c r="W231" s="40" t="str" cm="1">
        <f t="array" ref="W231">IF(OR(M231="", M231="Deleted"), "", _xlfn.LET(
  _xlpm.doc_col, [1]SubmittalLog!$E$1:$E$4000,
  _xlpm.date_col, [1]SubmittalLog!$H$1:$H$4000,
  _xlpm.status_col, [1]SubmittalLog!$N$1:$N$4000,
  _xlpm.latest_date, _xlfn.MAXIFS(_xlpm.date_col, _xlpm.doc_col, M231),
  IF(_xlpm.latest_date=0, "NFS",
    _xlfn.LET(
      _xlpm.res, _xlfn.XLOOKUP(M231 &amp; "|" &amp; _xlpm.latest_date, _xlpm.doc_col &amp; "|" &amp; _xlpm.date_col, _xlpm.status_col, ""),
      IF(OR(_xlpm.res="", _xlpm.res=0), "", _xlpm.res)
    )
  )
))</f>
        <v>RTR</v>
      </c>
      <c r="X231" s="39">
        <f>IF(OR(M231="", M231="Deleted"), "", _xlfn.LET(
  _xlpm.doc_col, [1]SubmittalLog!$E$1:$E$4000,
  _xlpm.date_col, [1]SubmittalLog!$H$1:$H$4000,
  _xlpm.status_col, [1]SubmittalLog!$O$1:$O$4000,
  _xlpm.first_app_date, _xlfn.MINIFS(_xlpm.date_col, _xlpm.doc_col, M231, _xlpm.status_col, "APP"),
  _xlpm.first_awc_date, _xlfn.MINIFS(_xlpm.date_col, _xlpm.doc_col, M231, _xlpm.status_col, "AWC"),
  _xlpm.earliest_date, IF(
    AND(_xlpm.first_app_date=0, _xlpm.first_awc_date=0), 0,
    IF(_xlpm.first_app_date=0, _xlpm.first_awc_date,
    IF(_xlpm.first_awc_date=0, _xlpm.first_app_date,
    MIN(_xlpm.first_app_date, _xlpm.first_awc_date)))
  ),
  IF(_xlpm.earliest_date=0, "", _xlpm.earliest_date)
))</f>
        <v>45776</v>
      </c>
      <c r="Y231" s="40" t="str" cm="1">
        <f t="array" ref="Y231">IF(OR(M231="", M231="Deleted"), "", _xlfn.LET(
  _xlpm.doc_col, [1]SubmittalLog!$E$1:$E$4000,
  _xlpm.date_col, [1]SubmittalLog!$H$1:$H$4000,
  _xlpm.status_col, [1]SubmittalLog!$O$1:$O$4000,
  _xlpm.has_sub, COUNTIF(_xlpm.doc_col, M231),
  _xlpm.latest_reviewed_date, _xlfn.MAXIFS(_xlpm.date_col, _xlpm.doc_col, M231, _xlpm.status_col, "&lt;&gt;"),
  IF(_xlpm.has_sub=0, "",
    IF(_xlpm.latest_reviewed_date=0, "",
      _xlfn.LET(
        _xlpm.res, _xlfn.XLOOKUP(1, (_xlpm.doc_col=M231) * (_xlpm.date_col=_xlpm.latest_reviewed_date) * (_xlpm.status_col&lt;&gt;""), _xlpm.status_col, ""),
        IF(OR(_xlpm.res="", _xlpm.res=0), "", _xlpm.res)
      )
    )
  )
))</f>
        <v>AWC</v>
      </c>
    </row>
    <row r="232" spans="1:25" x14ac:dyDescent="0.35">
      <c r="A232" s="33">
        <f>IF($M232="","",MAX($A$1:A231)+1)</f>
        <v>217</v>
      </c>
      <c r="B232" s="23" t="s">
        <v>250</v>
      </c>
      <c r="C232" s="23" t="s">
        <v>234</v>
      </c>
      <c r="G232" s="33">
        <v>131236</v>
      </c>
      <c r="H232" s="33" t="s">
        <v>59</v>
      </c>
      <c r="I232" s="33" t="s">
        <v>309</v>
      </c>
      <c r="J232" s="33" t="s">
        <v>233</v>
      </c>
      <c r="K232" s="51" t="s">
        <v>3567</v>
      </c>
      <c r="M232" s="34" t="str">
        <f t="shared" si="3"/>
        <v>131236-WIL21-DS-M-5731</v>
      </c>
      <c r="N232" s="26" t="s">
        <v>3769</v>
      </c>
      <c r="P232" s="34" t="s">
        <v>3467</v>
      </c>
      <c r="S232" s="35">
        <v>45260</v>
      </c>
      <c r="T232" s="35">
        <v>45779</v>
      </c>
      <c r="U232" s="64" cm="1">
        <f t="array" ref="U232">IF(OR(M232="", M232="Deleted"), "", _xlfn.LET(
  _xlpm.dates,
  _xlfn._xlws.FILTER(
    [1]SubmittalLog!$H$1:$H$4000,
    [1]SubmittalLog!$E$1:$E$4000=M232,
    ""
  ),
  _xlpm.min_date, IFERROR(MIN(_xlpm.dates), ""),
  IF(_xlpm.min_date=0, "", _xlpm.min_date)
))</f>
        <v>45776</v>
      </c>
      <c r="V232" s="63" t="str" cm="1">
        <f t="array" ref="V232">IF(OR(M232="", M232="Deleted"), "", IFERROR(
  _xlfn.TEXTJOIN(", ", TRUE,
    _xlfn.MAP(
      _xlfn.UNIQUE(
        _xlfn._xlws.FILTER(
          [1]SubmittalLog!$B$1:$B$4000,
          ([1]SubmittalLog!$E$1:$E$4000=M232) *
          ([1]SubmittalLog!$B$1:$B$4000&lt;&gt;""),
          ""
        )
      ),
      _xlfn.LAMBDA(_xlpm.val, TEXT(_xlpm.val, "000000"))
    )
  ),
""))</f>
        <v>001259</v>
      </c>
      <c r="W232" s="40" t="str" cm="1">
        <f t="array" ref="W232">IF(OR(M232="", M232="Deleted"), "", _xlfn.LET(
  _xlpm.doc_col, [1]SubmittalLog!$E$1:$E$4000,
  _xlpm.date_col, [1]SubmittalLog!$H$1:$H$4000,
  _xlpm.status_col, [1]SubmittalLog!$N$1:$N$4000,
  _xlpm.latest_date, _xlfn.MAXIFS(_xlpm.date_col, _xlpm.doc_col, M232),
  IF(_xlpm.latest_date=0, "NFS",
    _xlfn.LET(
      _xlpm.res, _xlfn.XLOOKUP(M232 &amp; "|" &amp; _xlpm.latest_date, _xlpm.doc_col &amp; "|" &amp; _xlpm.date_col, _xlpm.status_col, ""),
      IF(OR(_xlpm.res="", _xlpm.res=0), "", _xlpm.res)
    )
  )
))</f>
        <v>RTR</v>
      </c>
      <c r="X232" s="39">
        <f>IF(OR(M232="", M232="Deleted"), "", _xlfn.LET(
  _xlpm.doc_col, [1]SubmittalLog!$E$1:$E$4000,
  _xlpm.date_col, [1]SubmittalLog!$H$1:$H$4000,
  _xlpm.status_col, [1]SubmittalLog!$O$1:$O$4000,
  _xlpm.first_app_date, _xlfn.MINIFS(_xlpm.date_col, _xlpm.doc_col, M232, _xlpm.status_col, "APP"),
  _xlpm.first_awc_date, _xlfn.MINIFS(_xlpm.date_col, _xlpm.doc_col, M232, _xlpm.status_col, "AWC"),
  _xlpm.earliest_date, IF(
    AND(_xlpm.first_app_date=0, _xlpm.first_awc_date=0), 0,
    IF(_xlpm.first_app_date=0, _xlpm.first_awc_date,
    IF(_xlpm.first_awc_date=0, _xlpm.first_app_date,
    MIN(_xlpm.first_app_date, _xlpm.first_awc_date)))
  ),
  IF(_xlpm.earliest_date=0, "", _xlpm.earliest_date)
))</f>
        <v>45776</v>
      </c>
      <c r="Y232" s="40" t="str" cm="1">
        <f t="array" ref="Y232">IF(OR(M232="", M232="Deleted"), "", _xlfn.LET(
  _xlpm.doc_col, [1]SubmittalLog!$E$1:$E$4000,
  _xlpm.date_col, [1]SubmittalLog!$H$1:$H$4000,
  _xlpm.status_col, [1]SubmittalLog!$O$1:$O$4000,
  _xlpm.has_sub, COUNTIF(_xlpm.doc_col, M232),
  _xlpm.latest_reviewed_date, _xlfn.MAXIFS(_xlpm.date_col, _xlpm.doc_col, M232, _xlpm.status_col, "&lt;&gt;"),
  IF(_xlpm.has_sub=0, "",
    IF(_xlpm.latest_reviewed_date=0, "",
      _xlfn.LET(
        _xlpm.res, _xlfn.XLOOKUP(1, (_xlpm.doc_col=M232) * (_xlpm.date_col=_xlpm.latest_reviewed_date) * (_xlpm.status_col&lt;&gt;""), _xlpm.status_col, ""),
        IF(OR(_xlpm.res="", _xlpm.res=0), "", _xlpm.res)
      )
    )
  )
))</f>
        <v>AWC</v>
      </c>
    </row>
    <row r="233" spans="1:25" x14ac:dyDescent="0.35">
      <c r="A233" s="33">
        <f>IF($M233="","",MAX($A$1:A232)+1)</f>
        <v>218</v>
      </c>
      <c r="B233" s="23" t="s">
        <v>250</v>
      </c>
      <c r="C233" s="23" t="s">
        <v>234</v>
      </c>
      <c r="G233" s="33">
        <v>131236</v>
      </c>
      <c r="H233" s="33" t="s">
        <v>59</v>
      </c>
      <c r="I233" s="33" t="s">
        <v>309</v>
      </c>
      <c r="J233" s="33" t="s">
        <v>233</v>
      </c>
      <c r="K233" s="51" t="s">
        <v>3575</v>
      </c>
      <c r="M233" s="34" t="str">
        <f t="shared" si="3"/>
        <v>131236-WIL21-DS-M-5735</v>
      </c>
      <c r="N233" s="26" t="s">
        <v>3770</v>
      </c>
      <c r="P233" s="34" t="s">
        <v>3467</v>
      </c>
      <c r="S233" s="35">
        <v>45260</v>
      </c>
      <c r="T233" s="35">
        <v>45779</v>
      </c>
      <c r="U233" s="64" cm="1">
        <f t="array" ref="U233">IF(OR(M233="", M233="Deleted"), "", _xlfn.LET(
  _xlpm.dates,
  _xlfn._xlws.FILTER(
    [1]SubmittalLog!$H$1:$H$4000,
    [1]SubmittalLog!$E$1:$E$4000=M233,
    ""
  ),
  _xlpm.min_date, IFERROR(MIN(_xlpm.dates), ""),
  IF(_xlpm.min_date=0, "", _xlpm.min_date)
))</f>
        <v>45776</v>
      </c>
      <c r="V233" s="63" t="str" cm="1">
        <f t="array" ref="V233">IF(OR(M233="", M233="Deleted"), "", IFERROR(
  _xlfn.TEXTJOIN(", ", TRUE,
    _xlfn.MAP(
      _xlfn.UNIQUE(
        _xlfn._xlws.FILTER(
          [1]SubmittalLog!$B$1:$B$4000,
          ([1]SubmittalLog!$E$1:$E$4000=M233) *
          ([1]SubmittalLog!$B$1:$B$4000&lt;&gt;""),
          ""
        )
      ),
      _xlfn.LAMBDA(_xlpm.val, TEXT(_xlpm.val, "000000"))
    )
  ),
""))</f>
        <v>001259</v>
      </c>
      <c r="W233" s="40" t="str" cm="1">
        <f t="array" ref="W233">IF(OR(M233="", M233="Deleted"), "", _xlfn.LET(
  _xlpm.doc_col, [1]SubmittalLog!$E$1:$E$4000,
  _xlpm.date_col, [1]SubmittalLog!$H$1:$H$4000,
  _xlpm.status_col, [1]SubmittalLog!$N$1:$N$4000,
  _xlpm.latest_date, _xlfn.MAXIFS(_xlpm.date_col, _xlpm.doc_col, M233),
  IF(_xlpm.latest_date=0, "NFS",
    _xlfn.LET(
      _xlpm.res, _xlfn.XLOOKUP(M233 &amp; "|" &amp; _xlpm.latest_date, _xlpm.doc_col &amp; "|" &amp; _xlpm.date_col, _xlpm.status_col, ""),
      IF(OR(_xlpm.res="", _xlpm.res=0), "", _xlpm.res)
    )
  )
))</f>
        <v>RTR</v>
      </c>
      <c r="X233" s="39">
        <f>IF(OR(M233="", M233="Deleted"), "", _xlfn.LET(
  _xlpm.doc_col, [1]SubmittalLog!$E$1:$E$4000,
  _xlpm.date_col, [1]SubmittalLog!$H$1:$H$4000,
  _xlpm.status_col, [1]SubmittalLog!$O$1:$O$4000,
  _xlpm.first_app_date, _xlfn.MINIFS(_xlpm.date_col, _xlpm.doc_col, M233, _xlpm.status_col, "APP"),
  _xlpm.first_awc_date, _xlfn.MINIFS(_xlpm.date_col, _xlpm.doc_col, M233, _xlpm.status_col, "AWC"),
  _xlpm.earliest_date, IF(
    AND(_xlpm.first_app_date=0, _xlpm.first_awc_date=0), 0,
    IF(_xlpm.first_app_date=0, _xlpm.first_awc_date,
    IF(_xlpm.first_awc_date=0, _xlpm.first_app_date,
    MIN(_xlpm.first_app_date, _xlpm.first_awc_date)))
  ),
  IF(_xlpm.earliest_date=0, "", _xlpm.earliest_date)
))</f>
        <v>45776</v>
      </c>
      <c r="Y233" s="40" t="str" cm="1">
        <f t="array" ref="Y233">IF(OR(M233="", M233="Deleted"), "", _xlfn.LET(
  _xlpm.doc_col, [1]SubmittalLog!$E$1:$E$4000,
  _xlpm.date_col, [1]SubmittalLog!$H$1:$H$4000,
  _xlpm.status_col, [1]SubmittalLog!$O$1:$O$4000,
  _xlpm.has_sub, COUNTIF(_xlpm.doc_col, M233),
  _xlpm.latest_reviewed_date, _xlfn.MAXIFS(_xlpm.date_col, _xlpm.doc_col, M233, _xlpm.status_col, "&lt;&gt;"),
  IF(_xlpm.has_sub=0, "",
    IF(_xlpm.latest_reviewed_date=0, "",
      _xlfn.LET(
        _xlpm.res, _xlfn.XLOOKUP(1, (_xlpm.doc_col=M233) * (_xlpm.date_col=_xlpm.latest_reviewed_date) * (_xlpm.status_col&lt;&gt;""), _xlpm.status_col, ""),
        IF(OR(_xlpm.res="", _xlpm.res=0), "", _xlpm.res)
      )
    )
  )
))</f>
        <v>AWC</v>
      </c>
    </row>
    <row r="234" spans="1:25" x14ac:dyDescent="0.35">
      <c r="A234" s="33">
        <f>IF($M234="","",MAX($A$1:A233)+1)</f>
        <v>219</v>
      </c>
      <c r="B234" s="23" t="s">
        <v>250</v>
      </c>
      <c r="C234" s="23" t="s">
        <v>234</v>
      </c>
      <c r="G234" s="33">
        <v>131236</v>
      </c>
      <c r="H234" s="33" t="s">
        <v>59</v>
      </c>
      <c r="I234" s="33" t="s">
        <v>309</v>
      </c>
      <c r="J234" s="33" t="s">
        <v>233</v>
      </c>
      <c r="K234" s="51" t="s">
        <v>3771</v>
      </c>
      <c r="M234" s="34" t="str">
        <f t="shared" si="3"/>
        <v>131236-WIL21-DS-M-5560</v>
      </c>
      <c r="N234" s="26" t="s">
        <v>3772</v>
      </c>
      <c r="P234" s="34" t="s">
        <v>3467</v>
      </c>
      <c r="S234" s="35">
        <v>45837</v>
      </c>
      <c r="T234" s="35">
        <v>45898</v>
      </c>
      <c r="U234" s="64" cm="1">
        <f t="array" ref="U234">IF(OR(M234="", M234="Deleted"), "", _xlfn.LET(
  _xlpm.dates,
  _xlfn._xlws.FILTER(
    [1]SubmittalLog!$H$1:$H$4000,
    [1]SubmittalLog!$E$1:$E$4000=M234,
    ""
  ),
  _xlpm.min_date, IFERROR(MIN(_xlpm.dates), ""),
  IF(_xlpm.min_date=0, "", _xlpm.min_date)
))</f>
        <v>45904</v>
      </c>
      <c r="V234" s="63" t="str" cm="1">
        <f t="array" ref="V234">IF(OR(M234="", M234="Deleted"), "", IFERROR(
  _xlfn.TEXTJOIN(", ", TRUE,
    _xlfn.MAP(
      _xlfn.UNIQUE(
        _xlfn._xlws.FILTER(
          [1]SubmittalLog!$B$1:$B$4000,
          ([1]SubmittalLog!$E$1:$E$4000=M234) *
          ([1]SubmittalLog!$B$1:$B$4000&lt;&gt;""),
          ""
        )
      ),
      _xlfn.LAMBDA(_xlpm.val, TEXT(_xlpm.val, "000000"))
    )
  ),
""))</f>
        <v>001649</v>
      </c>
      <c r="W234" s="40" t="str" cm="1">
        <f t="array" ref="W234">IF(OR(M234="", M234="Deleted"), "", _xlfn.LET(
  _xlpm.doc_col, [1]SubmittalLog!$E$1:$E$4000,
  _xlpm.date_col, [1]SubmittalLog!$H$1:$H$4000,
  _xlpm.status_col, [1]SubmittalLog!$N$1:$N$4000,
  _xlpm.latest_date, _xlfn.MAXIFS(_xlpm.date_col, _xlpm.doc_col, M234),
  IF(_xlpm.latest_date=0, "NFS",
    _xlfn.LET(
      _xlpm.res, _xlfn.XLOOKUP(M234 &amp; "|" &amp; _xlpm.latest_date, _xlpm.doc_col &amp; "|" &amp; _xlpm.date_col, _xlpm.status_col, ""),
      IF(OR(_xlpm.res="", _xlpm.res=0), "", _xlpm.res)
    )
  )
))</f>
        <v>RTR</v>
      </c>
      <c r="X234" s="39" t="str">
        <f>IF(OR(M234="", M234="Deleted"), "", _xlfn.LET(
  _xlpm.doc_col, [1]SubmittalLog!$E$1:$E$4000,
  _xlpm.date_col, [1]SubmittalLog!$H$1:$H$4000,
  _xlpm.status_col, [1]SubmittalLog!$O$1:$O$4000,
  _xlpm.first_app_date, _xlfn.MINIFS(_xlpm.date_col, _xlpm.doc_col, M234, _xlpm.status_col, "APP"),
  _xlpm.first_awc_date, _xlfn.MINIFS(_xlpm.date_col, _xlpm.doc_col, M234, _xlpm.status_col, "AWC"),
  _xlpm.earliest_date, IF(
    AND(_xlpm.first_app_date=0, _xlpm.first_awc_date=0), 0,
    IF(_xlpm.first_app_date=0, _xlpm.first_awc_date,
    IF(_xlpm.first_awc_date=0, _xlpm.first_app_date,
    MIN(_xlpm.first_app_date, _xlpm.first_awc_date)))
  ),
  IF(_xlpm.earliest_date=0, "", _xlpm.earliest_date)
))</f>
        <v/>
      </c>
      <c r="Y234" s="40" t="str" cm="1">
        <f t="array" ref="Y234">IF(OR(M234="", M234="Deleted"), "", _xlfn.LET(
  _xlpm.doc_col, [1]SubmittalLog!$E$1:$E$4000,
  _xlpm.date_col, [1]SubmittalLog!$H$1:$H$4000,
  _xlpm.status_col, [1]SubmittalLog!$O$1:$O$4000,
  _xlpm.has_sub, COUNTIF(_xlpm.doc_col, M234),
  _xlpm.latest_reviewed_date, _xlfn.MAXIFS(_xlpm.date_col, _xlpm.doc_col, M234, _xlpm.status_col, "&lt;&gt;"),
  IF(_xlpm.has_sub=0, "",
    IF(_xlpm.latest_reviewed_date=0, "",
      _xlfn.LET(
        _xlpm.res, _xlfn.XLOOKUP(1, (_xlpm.doc_col=M234) * (_xlpm.date_col=_xlpm.latest_reviewed_date) * (_xlpm.status_col&lt;&gt;""), _xlpm.status_col, ""),
        IF(OR(_xlpm.res="", _xlpm.res=0), "", _xlpm.res)
      )
    )
  )
))</f>
        <v>REJ</v>
      </c>
    </row>
    <row r="235" spans="1:25" x14ac:dyDescent="0.35">
      <c r="A235" s="33">
        <f>IF($M235="","",MAX($A$1:A234)+1)</f>
        <v>220</v>
      </c>
      <c r="B235" s="23" t="s">
        <v>54</v>
      </c>
      <c r="C235" s="23" t="s">
        <v>234</v>
      </c>
      <c r="G235" s="33">
        <v>131236</v>
      </c>
      <c r="H235" s="33" t="s">
        <v>59</v>
      </c>
      <c r="I235" s="33" t="s">
        <v>309</v>
      </c>
      <c r="J235" s="33" t="s">
        <v>233</v>
      </c>
      <c r="K235" s="51">
        <v>5741</v>
      </c>
      <c r="M235" s="34" t="str">
        <f t="shared" si="3"/>
        <v>Deleted</v>
      </c>
      <c r="N235" s="26" t="s">
        <v>3773</v>
      </c>
      <c r="P235" s="34" t="s">
        <v>3467</v>
      </c>
      <c r="S235" s="35">
        <v>45260</v>
      </c>
      <c r="T235" s="35">
        <v>45703</v>
      </c>
      <c r="U235" s="64" t="str" cm="1">
        <f t="array" ref="U235">IF(OR(M235="", M235="Deleted"), "", _xlfn.LET(
  _xlpm.dates,
  _xlfn._xlws.FILTER(
    [1]SubmittalLog!$H$1:$H$4000,
    [1]SubmittalLog!$E$1:$E$4000=M235,
    ""
  ),
  _xlpm.min_date, IFERROR(MIN(_xlpm.dates), ""),
  IF(_xlpm.min_date=0, "", _xlpm.min_date)
))</f>
        <v/>
      </c>
      <c r="V235" s="63" t="str" cm="1">
        <f t="array" ref="V235">IF(OR(M235="", M235="Deleted"), "", IFERROR(
  _xlfn.TEXTJOIN(", ", TRUE,
    _xlfn.MAP(
      _xlfn.UNIQUE(
        _xlfn._xlws.FILTER(
          [1]SubmittalLog!$B$1:$B$4000,
          ([1]SubmittalLog!$E$1:$E$4000=M235) *
          ([1]SubmittalLog!$B$1:$B$4000&lt;&gt;""),
          ""
        )
      ),
      _xlfn.LAMBDA(_xlpm.val, TEXT(_xlpm.val, "000000"))
    )
  ),
""))</f>
        <v/>
      </c>
      <c r="W235" s="40" t="str" cm="1">
        <f t="array" ref="W235">IF(OR(M235="", M235="Deleted"), "", _xlfn.LET(
  _xlpm.doc_col, [1]SubmittalLog!$E$1:$E$4000,
  _xlpm.date_col, [1]SubmittalLog!$H$1:$H$4000,
  _xlpm.status_col, [1]SubmittalLog!$N$1:$N$4000,
  _xlpm.latest_date, _xlfn.MAXIFS(_xlpm.date_col, _xlpm.doc_col, M235),
  IF(_xlpm.latest_date=0, "NFS",
    _xlfn.LET(
      _xlpm.res, _xlfn.XLOOKUP(M235 &amp; "|" &amp; _xlpm.latest_date, _xlpm.doc_col &amp; "|" &amp; _xlpm.date_col, _xlpm.status_col, ""),
      IF(OR(_xlpm.res="", _xlpm.res=0), "", _xlpm.res)
    )
  )
))</f>
        <v/>
      </c>
      <c r="X235" s="39" t="str">
        <f>IF(OR(M235="", M235="Deleted"), "", _xlfn.LET(
  _xlpm.doc_col, [1]SubmittalLog!$E$1:$E$4000,
  _xlpm.date_col, [1]SubmittalLog!$H$1:$H$4000,
  _xlpm.status_col, [1]SubmittalLog!$O$1:$O$4000,
  _xlpm.first_app_date, _xlfn.MINIFS(_xlpm.date_col, _xlpm.doc_col, M235, _xlpm.status_col, "APP"),
  _xlpm.first_awc_date, _xlfn.MINIFS(_xlpm.date_col, _xlpm.doc_col, M235, _xlpm.status_col, "AWC"),
  _xlpm.earliest_date, IF(
    AND(_xlpm.first_app_date=0, _xlpm.first_awc_date=0), 0,
    IF(_xlpm.first_app_date=0, _xlpm.first_awc_date,
    IF(_xlpm.first_awc_date=0, _xlpm.first_app_date,
    MIN(_xlpm.first_app_date, _xlpm.first_awc_date)))
  ),
  IF(_xlpm.earliest_date=0, "", _xlpm.earliest_date)
))</f>
        <v/>
      </c>
      <c r="Y235" s="40" t="str" cm="1">
        <f t="array" ref="Y235">IF(OR(M235="", M235="Deleted"), "", _xlfn.LET(
  _xlpm.doc_col, [1]SubmittalLog!$E$1:$E$4000,
  _xlpm.date_col, [1]SubmittalLog!$H$1:$H$4000,
  _xlpm.status_col, [1]SubmittalLog!$O$1:$O$4000,
  _xlpm.has_sub, COUNTIF(_xlpm.doc_col, M235),
  _xlpm.latest_reviewed_date, _xlfn.MAXIFS(_xlpm.date_col, _xlpm.doc_col, M235, _xlpm.status_col, "&lt;&gt;"),
  IF(_xlpm.has_sub=0, "",
    IF(_xlpm.latest_reviewed_date=0, "",
      _xlfn.LET(
        _xlpm.res, _xlfn.XLOOKUP(1, (_xlpm.doc_col=M235) * (_xlpm.date_col=_xlpm.latest_reviewed_date) * (_xlpm.status_col&lt;&gt;""), _xlpm.status_col, ""),
        IF(OR(_xlpm.res="", _xlpm.res=0), "", _xlpm.res)
      )
    )
  )
))</f>
        <v/>
      </c>
    </row>
    <row r="236" spans="1:25" x14ac:dyDescent="0.35">
      <c r="A236" s="33">
        <f>IF($M236="","",MAX($A$1:A235)+1)</f>
        <v>221</v>
      </c>
      <c r="B236" s="23" t="s">
        <v>250</v>
      </c>
      <c r="C236" s="23" t="s">
        <v>234</v>
      </c>
      <c r="G236" s="33">
        <v>131236</v>
      </c>
      <c r="H236" s="33" t="s">
        <v>59</v>
      </c>
      <c r="I236" s="33" t="s">
        <v>309</v>
      </c>
      <c r="J236" s="33" t="s">
        <v>233</v>
      </c>
      <c r="K236" s="51">
        <v>5751</v>
      </c>
      <c r="M236" s="34" t="str">
        <f t="shared" si="3"/>
        <v>131236-WIL21-DS-M-5751</v>
      </c>
      <c r="N236" s="26" t="s">
        <v>3774</v>
      </c>
      <c r="P236" s="34" t="s">
        <v>3467</v>
      </c>
      <c r="S236" s="35">
        <v>45716</v>
      </c>
      <c r="T236" s="35">
        <v>45716</v>
      </c>
      <c r="U236" s="64" cm="1">
        <f t="array" ref="U236">IF(OR(M236="", M236="Deleted"), "", _xlfn.LET(
  _xlpm.dates,
  _xlfn._xlws.FILTER(
    [1]SubmittalLog!$H$1:$H$4000,
    [1]SubmittalLog!$E$1:$E$4000=M236,
    ""
  ),
  _xlpm.min_date, IFERROR(MIN(_xlpm.dates), ""),
  IF(_xlpm.min_date=0, "", _xlpm.min_date)
))</f>
        <v>45716</v>
      </c>
      <c r="V236" s="63" t="str" cm="1">
        <f t="array" ref="V236">IF(OR(M236="", M236="Deleted"), "", IFERROR(
  _xlfn.TEXTJOIN(", ", TRUE,
    _xlfn.MAP(
      _xlfn.UNIQUE(
        _xlfn._xlws.FILTER(
          [1]SubmittalLog!$B$1:$B$4000,
          ([1]SubmittalLog!$E$1:$E$4000=M236) *
          ([1]SubmittalLog!$B$1:$B$4000&lt;&gt;""),
          ""
        )
      ),
      _xlfn.LAMBDA(_xlpm.val, TEXT(_xlpm.val, "000000"))
    )
  ),
""))</f>
        <v>001080</v>
      </c>
      <c r="W236" s="40" t="str" cm="1">
        <f t="array" ref="W236">IF(OR(M236="", M236="Deleted"), "", _xlfn.LET(
  _xlpm.doc_col, [1]SubmittalLog!$E$1:$E$4000,
  _xlpm.date_col, [1]SubmittalLog!$H$1:$H$4000,
  _xlpm.status_col, [1]SubmittalLog!$N$1:$N$4000,
  _xlpm.latest_date, _xlfn.MAXIFS(_xlpm.date_col, _xlpm.doc_col, M236),
  IF(_xlpm.latest_date=0, "NFS",
    _xlfn.LET(
      _xlpm.res, _xlfn.XLOOKUP(M236 &amp; "|" &amp; _xlpm.latest_date, _xlpm.doc_col &amp; "|" &amp; _xlpm.date_col, _xlpm.status_col, ""),
      IF(OR(_xlpm.res="", _xlpm.res=0), "", _xlpm.res)
    )
  )
))</f>
        <v>RTR</v>
      </c>
      <c r="X236" s="39">
        <f>IF(OR(M236="", M236="Deleted"), "", _xlfn.LET(
  _xlpm.doc_col, [1]SubmittalLog!$E$1:$E$4000,
  _xlpm.date_col, [1]SubmittalLog!$H$1:$H$4000,
  _xlpm.status_col, [1]SubmittalLog!$O$1:$O$4000,
  _xlpm.first_app_date, _xlfn.MINIFS(_xlpm.date_col, _xlpm.doc_col, M236, _xlpm.status_col, "APP"),
  _xlpm.first_awc_date, _xlfn.MINIFS(_xlpm.date_col, _xlpm.doc_col, M236, _xlpm.status_col, "AWC"),
  _xlpm.earliest_date, IF(
    AND(_xlpm.first_app_date=0, _xlpm.first_awc_date=0), 0,
    IF(_xlpm.first_app_date=0, _xlpm.first_awc_date,
    IF(_xlpm.first_awc_date=0, _xlpm.first_app_date,
    MIN(_xlpm.first_app_date, _xlpm.first_awc_date)))
  ),
  IF(_xlpm.earliest_date=0, "", _xlpm.earliest_date)
))</f>
        <v>45716</v>
      </c>
      <c r="Y236" s="40" t="str" cm="1">
        <f t="array" ref="Y236">IF(OR(M236="", M236="Deleted"), "", _xlfn.LET(
  _xlpm.doc_col, [1]SubmittalLog!$E$1:$E$4000,
  _xlpm.date_col, [1]SubmittalLog!$H$1:$H$4000,
  _xlpm.status_col, [1]SubmittalLog!$O$1:$O$4000,
  _xlpm.has_sub, COUNTIF(_xlpm.doc_col, M236),
  _xlpm.latest_reviewed_date, _xlfn.MAXIFS(_xlpm.date_col, _xlpm.doc_col, M236, _xlpm.status_col, "&lt;&gt;"),
  IF(_xlpm.has_sub=0, "",
    IF(_xlpm.latest_reviewed_date=0, "",
      _xlfn.LET(
        _xlpm.res, _xlfn.XLOOKUP(1, (_xlpm.doc_col=M236) * (_xlpm.date_col=_xlpm.latest_reviewed_date) * (_xlpm.status_col&lt;&gt;""), _xlpm.status_col, ""),
        IF(OR(_xlpm.res="", _xlpm.res=0), "", _xlpm.res)
      )
    )
  )
))</f>
        <v>APP</v>
      </c>
    </row>
    <row r="237" spans="1:25" x14ac:dyDescent="0.35">
      <c r="A237" s="33">
        <f>IF($M237="","",MAX($A$1:A236)+1)</f>
        <v>222</v>
      </c>
      <c r="B237" s="23" t="s">
        <v>54</v>
      </c>
      <c r="C237" s="23" t="s">
        <v>234</v>
      </c>
      <c r="G237" s="33">
        <v>131236</v>
      </c>
      <c r="H237" s="33" t="s">
        <v>59</v>
      </c>
      <c r="I237" s="33" t="s">
        <v>309</v>
      </c>
      <c r="J237" s="33" t="s">
        <v>233</v>
      </c>
      <c r="K237" s="51">
        <v>5751</v>
      </c>
      <c r="M237" s="34" t="str">
        <f t="shared" si="3"/>
        <v>Deleted</v>
      </c>
      <c r="N237" s="26" t="s">
        <v>3775</v>
      </c>
      <c r="P237" s="34" t="s">
        <v>3467</v>
      </c>
      <c r="U237" s="64" t="str" cm="1">
        <f t="array" ref="U237">IF(OR(M237="", M237="Deleted"), "", _xlfn.LET(
  _xlpm.dates,
  _xlfn._xlws.FILTER(
    [1]SubmittalLog!$H$1:$H$4000,
    [1]SubmittalLog!$E$1:$E$4000=M237,
    ""
  ),
  _xlpm.min_date, IFERROR(MIN(_xlpm.dates), ""),
  IF(_xlpm.min_date=0, "", _xlpm.min_date)
))</f>
        <v/>
      </c>
      <c r="V237" s="63" t="str" cm="1">
        <f t="array" ref="V237">IF(OR(M237="", M237="Deleted"), "", IFERROR(
  _xlfn.TEXTJOIN(", ", TRUE,
    _xlfn.MAP(
      _xlfn.UNIQUE(
        _xlfn._xlws.FILTER(
          [1]SubmittalLog!$B$1:$B$4000,
          ([1]SubmittalLog!$E$1:$E$4000=M237) *
          ([1]SubmittalLog!$B$1:$B$4000&lt;&gt;""),
          ""
        )
      ),
      _xlfn.LAMBDA(_xlpm.val, TEXT(_xlpm.val, "000000"))
    )
  ),
""))</f>
        <v/>
      </c>
      <c r="W237" s="40" t="str" cm="1">
        <f t="array" ref="W237">IF(OR(M237="", M237="Deleted"), "", _xlfn.LET(
  _xlpm.doc_col, [1]SubmittalLog!$E$1:$E$4000,
  _xlpm.date_col, [1]SubmittalLog!$H$1:$H$4000,
  _xlpm.status_col, [1]SubmittalLog!$N$1:$N$4000,
  _xlpm.latest_date, _xlfn.MAXIFS(_xlpm.date_col, _xlpm.doc_col, M237),
  IF(_xlpm.latest_date=0, "NFS",
    _xlfn.LET(
      _xlpm.res, _xlfn.XLOOKUP(M237 &amp; "|" &amp; _xlpm.latest_date, _xlpm.doc_col &amp; "|" &amp; _xlpm.date_col, _xlpm.status_col, ""),
      IF(OR(_xlpm.res="", _xlpm.res=0), "", _xlpm.res)
    )
  )
))</f>
        <v/>
      </c>
      <c r="X237" s="39" t="str">
        <f>IF(OR(M237="", M237="Deleted"), "", _xlfn.LET(
  _xlpm.doc_col, [1]SubmittalLog!$E$1:$E$4000,
  _xlpm.date_col, [1]SubmittalLog!$H$1:$H$4000,
  _xlpm.status_col, [1]SubmittalLog!$O$1:$O$4000,
  _xlpm.first_app_date, _xlfn.MINIFS(_xlpm.date_col, _xlpm.doc_col, M237, _xlpm.status_col, "APP"),
  _xlpm.first_awc_date, _xlfn.MINIFS(_xlpm.date_col, _xlpm.doc_col, M237, _xlpm.status_col, "AWC"),
  _xlpm.earliest_date, IF(
    AND(_xlpm.first_app_date=0, _xlpm.first_awc_date=0), 0,
    IF(_xlpm.first_app_date=0, _xlpm.first_awc_date,
    IF(_xlpm.first_awc_date=0, _xlpm.first_app_date,
    MIN(_xlpm.first_app_date, _xlpm.first_awc_date)))
  ),
  IF(_xlpm.earliest_date=0, "", _xlpm.earliest_date)
))</f>
        <v/>
      </c>
      <c r="Y237" s="40" t="str" cm="1">
        <f t="array" ref="Y237">IF(OR(M237="", M237="Deleted"), "", _xlfn.LET(
  _xlpm.doc_col, [1]SubmittalLog!$E$1:$E$4000,
  _xlpm.date_col, [1]SubmittalLog!$H$1:$H$4000,
  _xlpm.status_col, [1]SubmittalLog!$O$1:$O$4000,
  _xlpm.has_sub, COUNTIF(_xlpm.doc_col, M237),
  _xlpm.latest_reviewed_date, _xlfn.MAXIFS(_xlpm.date_col, _xlpm.doc_col, M237, _xlpm.status_col, "&lt;&gt;"),
  IF(_xlpm.has_sub=0, "",
    IF(_xlpm.latest_reviewed_date=0, "",
      _xlfn.LET(
        _xlpm.res, _xlfn.XLOOKUP(1, (_xlpm.doc_col=M237) * (_xlpm.date_col=_xlpm.latest_reviewed_date) * (_xlpm.status_col&lt;&gt;""), _xlpm.status_col, ""),
        IF(OR(_xlpm.res="", _xlpm.res=0), "", _xlpm.res)
      )
    )
  )
))</f>
        <v/>
      </c>
    </row>
    <row r="238" spans="1:25" x14ac:dyDescent="0.35">
      <c r="A238" s="33">
        <f>IF($M238="","",MAX($A$1:A237)+1)</f>
        <v>223</v>
      </c>
      <c r="B238" s="23" t="s">
        <v>250</v>
      </c>
      <c r="C238" s="23" t="s">
        <v>234</v>
      </c>
      <c r="G238" s="33">
        <v>131236</v>
      </c>
      <c r="H238" s="33" t="s">
        <v>59</v>
      </c>
      <c r="I238" s="33" t="s">
        <v>309</v>
      </c>
      <c r="J238" s="33" t="s">
        <v>233</v>
      </c>
      <c r="K238" s="51">
        <v>5752</v>
      </c>
      <c r="M238" s="34" t="str">
        <f t="shared" si="3"/>
        <v>131236-WIL21-DS-M-5752</v>
      </c>
      <c r="N238" s="26" t="s">
        <v>3776</v>
      </c>
      <c r="P238" s="34" t="s">
        <v>3467</v>
      </c>
      <c r="S238" s="35">
        <v>45807</v>
      </c>
      <c r="T238" s="35">
        <v>45987</v>
      </c>
      <c r="U238" s="64" cm="1">
        <f t="array" ref="U238">IF(OR(M238="", M238="Deleted"), "", _xlfn.LET(
  _xlpm.dates,
  _xlfn._xlws.FILTER(
    [1]SubmittalLog!$H$1:$H$4000,
    [1]SubmittalLog!$E$1:$E$4000=M238,
    ""
  ),
  _xlpm.min_date, IFERROR(MIN(_xlpm.dates), ""),
  IF(_xlpm.min_date=0, "", _xlpm.min_date)
))</f>
        <v>45966</v>
      </c>
      <c r="V238" s="63" t="str" cm="1">
        <f t="array" ref="V238">IF(OR(M238="", M238="Deleted"), "", IFERROR(
  _xlfn.TEXTJOIN(", ", TRUE,
    _xlfn.MAP(
      _xlfn.UNIQUE(
        _xlfn._xlws.FILTER(
          [1]SubmittalLog!$B$1:$B$4000,
          ([1]SubmittalLog!$E$1:$E$4000=M238) *
          ([1]SubmittalLog!$B$1:$B$4000&lt;&gt;""),
          ""
        )
      ),
      _xlfn.LAMBDA(_xlpm.val, TEXT(_xlpm.val, "000000"))
    )
  ),
""))</f>
        <v>001820</v>
      </c>
      <c r="W238" s="40" t="str" cm="1">
        <f t="array" ref="W238">IF(OR(M238="", M238="Deleted"), "", _xlfn.LET(
  _xlpm.doc_col, [1]SubmittalLog!$E$1:$E$4000,
  _xlpm.date_col, [1]SubmittalLog!$H$1:$H$4000,
  _xlpm.status_col, [1]SubmittalLog!$N$1:$N$4000,
  _xlpm.latest_date, _xlfn.MAXIFS(_xlpm.date_col, _xlpm.doc_col, M238),
  IF(_xlpm.latest_date=0, "NFS",
    _xlfn.LET(
      _xlpm.res, _xlfn.XLOOKUP(M238 &amp; "|" &amp; _xlpm.latest_date, _xlpm.doc_col &amp; "|" &amp; _xlpm.date_col, _xlpm.status_col, ""),
      IF(OR(_xlpm.res="", _xlpm.res=0), "", _xlpm.res)
    )
  )
))</f>
        <v>RTR</v>
      </c>
      <c r="X238" s="39">
        <f>IF(OR(M238="", M238="Deleted"), "", _xlfn.LET(
  _xlpm.doc_col, [1]SubmittalLog!$E$1:$E$4000,
  _xlpm.date_col, [1]SubmittalLog!$H$1:$H$4000,
  _xlpm.status_col, [1]SubmittalLog!$O$1:$O$4000,
  _xlpm.first_app_date, _xlfn.MINIFS(_xlpm.date_col, _xlpm.doc_col, M238, _xlpm.status_col, "APP"),
  _xlpm.first_awc_date, _xlfn.MINIFS(_xlpm.date_col, _xlpm.doc_col, M238, _xlpm.status_col, "AWC"),
  _xlpm.earliest_date, IF(
    AND(_xlpm.first_app_date=0, _xlpm.first_awc_date=0), 0,
    IF(_xlpm.first_app_date=0, _xlpm.first_awc_date,
    IF(_xlpm.first_awc_date=0, _xlpm.first_app_date,
    MIN(_xlpm.first_app_date, _xlpm.first_awc_date)))
  ),
  IF(_xlpm.earliest_date=0, "", _xlpm.earliest_date)
))</f>
        <v>45966</v>
      </c>
      <c r="Y238" s="40" t="str" cm="1">
        <f t="array" ref="Y238">IF(OR(M238="", M238="Deleted"), "", _xlfn.LET(
  _xlpm.doc_col, [1]SubmittalLog!$E$1:$E$4000,
  _xlpm.date_col, [1]SubmittalLog!$H$1:$H$4000,
  _xlpm.status_col, [1]SubmittalLog!$O$1:$O$4000,
  _xlpm.has_sub, COUNTIF(_xlpm.doc_col, M238),
  _xlpm.latest_reviewed_date, _xlfn.MAXIFS(_xlpm.date_col, _xlpm.doc_col, M238, _xlpm.status_col, "&lt;&gt;"),
  IF(_xlpm.has_sub=0, "",
    IF(_xlpm.latest_reviewed_date=0, "",
      _xlfn.LET(
        _xlpm.res, _xlfn.XLOOKUP(1, (_xlpm.doc_col=M238) * (_xlpm.date_col=_xlpm.latest_reviewed_date) * (_xlpm.status_col&lt;&gt;""), _xlpm.status_col, ""),
        IF(OR(_xlpm.res="", _xlpm.res=0), "", _xlpm.res)
      )
    )
  )
))</f>
        <v>AWC</v>
      </c>
    </row>
    <row r="239" spans="1:25" x14ac:dyDescent="0.35">
      <c r="A239" s="33">
        <f>IF($M239="","",MAX($A$1:A238)+1)</f>
        <v>224</v>
      </c>
      <c r="B239" s="23" t="s">
        <v>250</v>
      </c>
      <c r="C239" s="23" t="s">
        <v>234</v>
      </c>
      <c r="G239" s="33">
        <v>131236</v>
      </c>
      <c r="H239" s="33" t="s">
        <v>59</v>
      </c>
      <c r="I239" s="33" t="s">
        <v>309</v>
      </c>
      <c r="J239" s="33" t="s">
        <v>233</v>
      </c>
      <c r="K239" s="51">
        <v>5801</v>
      </c>
      <c r="M239" s="34" t="str">
        <f t="shared" si="3"/>
        <v>131236-WIL21-DS-M-5801</v>
      </c>
      <c r="N239" s="26" t="s">
        <v>3777</v>
      </c>
      <c r="P239" s="34" t="s">
        <v>3467</v>
      </c>
      <c r="S239" s="35">
        <v>45736</v>
      </c>
      <c r="T239" s="35">
        <v>45736</v>
      </c>
      <c r="U239" s="64" cm="1">
        <f t="array" ref="U239">IF(OR(M239="", M239="Deleted"), "", _xlfn.LET(
  _xlpm.dates,
  _xlfn._xlws.FILTER(
    [1]SubmittalLog!$H$1:$H$4000,
    [1]SubmittalLog!$E$1:$E$4000=M239,
    ""
  ),
  _xlpm.min_date, IFERROR(MIN(_xlpm.dates), ""),
  IF(_xlpm.min_date=0, "", _xlpm.min_date)
))</f>
        <v>45736</v>
      </c>
      <c r="V239" s="63" t="str" cm="1">
        <f t="array" ref="V239">IF(OR(M239="", M239="Deleted"), "", IFERROR(
  _xlfn.TEXTJOIN(", ", TRUE,
    _xlfn.MAP(
      _xlfn.UNIQUE(
        _xlfn._xlws.FILTER(
          [1]SubmittalLog!$B$1:$B$4000,
          ([1]SubmittalLog!$E$1:$E$4000=M239) *
          ([1]SubmittalLog!$B$1:$B$4000&lt;&gt;""),
          ""
        )
      ),
      _xlfn.LAMBDA(_xlpm.val, TEXT(_xlpm.val, "000000"))
    )
  ),
""))</f>
        <v>001135</v>
      </c>
      <c r="W239" s="40" t="str" cm="1">
        <f t="array" ref="W239">IF(OR(M239="", M239="Deleted"), "", _xlfn.LET(
  _xlpm.doc_col, [1]SubmittalLog!$E$1:$E$4000,
  _xlpm.date_col, [1]SubmittalLog!$H$1:$H$4000,
  _xlpm.status_col, [1]SubmittalLog!$N$1:$N$4000,
  _xlpm.latest_date, _xlfn.MAXIFS(_xlpm.date_col, _xlpm.doc_col, M239),
  IF(_xlpm.latest_date=0, "NFS",
    _xlfn.LET(
      _xlpm.res, _xlfn.XLOOKUP(M239 &amp; "|" &amp; _xlpm.latest_date, _xlpm.doc_col &amp; "|" &amp; _xlpm.date_col, _xlpm.status_col, ""),
      IF(OR(_xlpm.res="", _xlpm.res=0), "", _xlpm.res)
    )
  )
))</f>
        <v>RTR</v>
      </c>
      <c r="X239" s="39">
        <f>IF(OR(M239="", M239="Deleted"), "", _xlfn.LET(
  _xlpm.doc_col, [1]SubmittalLog!$E$1:$E$4000,
  _xlpm.date_col, [1]SubmittalLog!$H$1:$H$4000,
  _xlpm.status_col, [1]SubmittalLog!$O$1:$O$4000,
  _xlpm.first_app_date, _xlfn.MINIFS(_xlpm.date_col, _xlpm.doc_col, M239, _xlpm.status_col, "APP"),
  _xlpm.first_awc_date, _xlfn.MINIFS(_xlpm.date_col, _xlpm.doc_col, M239, _xlpm.status_col, "AWC"),
  _xlpm.earliest_date, IF(
    AND(_xlpm.first_app_date=0, _xlpm.first_awc_date=0), 0,
    IF(_xlpm.first_app_date=0, _xlpm.first_awc_date,
    IF(_xlpm.first_awc_date=0, _xlpm.first_app_date,
    MIN(_xlpm.first_app_date, _xlpm.first_awc_date)))
  ),
  IF(_xlpm.earliest_date=0, "", _xlpm.earliest_date)
))</f>
        <v>45736</v>
      </c>
      <c r="Y239" s="40" t="str" cm="1">
        <f t="array" ref="Y239">IF(OR(M239="", M239="Deleted"), "", _xlfn.LET(
  _xlpm.doc_col, [1]SubmittalLog!$E$1:$E$4000,
  _xlpm.date_col, [1]SubmittalLog!$H$1:$H$4000,
  _xlpm.status_col, [1]SubmittalLog!$O$1:$O$4000,
  _xlpm.has_sub, COUNTIF(_xlpm.doc_col, M239),
  _xlpm.latest_reviewed_date, _xlfn.MAXIFS(_xlpm.date_col, _xlpm.doc_col, M239, _xlpm.status_col, "&lt;&gt;"),
  IF(_xlpm.has_sub=0, "",
    IF(_xlpm.latest_reviewed_date=0, "",
      _xlfn.LET(
        _xlpm.res, _xlfn.XLOOKUP(1, (_xlpm.doc_col=M239) * (_xlpm.date_col=_xlpm.latest_reviewed_date) * (_xlpm.status_col&lt;&gt;""), _xlpm.status_col, ""),
        IF(OR(_xlpm.res="", _xlpm.res=0), "", _xlpm.res)
      )
    )
  )
))</f>
        <v>AWC</v>
      </c>
    </row>
    <row r="240" spans="1:25" x14ac:dyDescent="0.35">
      <c r="A240" s="33">
        <f>IF($M240="","",MAX($A$1:A239)+1)</f>
        <v>225</v>
      </c>
      <c r="B240" s="23" t="s">
        <v>250</v>
      </c>
      <c r="C240" s="23" t="s">
        <v>234</v>
      </c>
      <c r="G240" s="33">
        <v>131236</v>
      </c>
      <c r="H240" s="33" t="s">
        <v>59</v>
      </c>
      <c r="I240" s="33" t="s">
        <v>309</v>
      </c>
      <c r="J240" s="33" t="s">
        <v>233</v>
      </c>
      <c r="K240" s="51">
        <v>5753</v>
      </c>
      <c r="M240" s="34" t="str">
        <f t="shared" si="3"/>
        <v>131236-WIL21-DS-M-5753</v>
      </c>
      <c r="N240" s="26" t="s">
        <v>3778</v>
      </c>
      <c r="P240" s="34" t="s">
        <v>3467</v>
      </c>
      <c r="S240" s="35">
        <v>45823</v>
      </c>
      <c r="T240" s="35">
        <v>45915</v>
      </c>
      <c r="U240" s="64" cm="1">
        <f t="array" ref="U240">IF(OR(M240="", M240="Deleted"), "", _xlfn.LET(
  _xlpm.dates,
  _xlfn._xlws.FILTER(
    [1]SubmittalLog!$H$1:$H$4000,
    [1]SubmittalLog!$E$1:$E$4000=M240,
    ""
  ),
  _xlpm.min_date, IFERROR(MIN(_xlpm.dates), ""),
  IF(_xlpm.min_date=0, "", _xlpm.min_date)
))</f>
        <v>45930</v>
      </c>
      <c r="V240" s="63" t="str" cm="1">
        <f t="array" ref="V240">IF(OR(M240="", M240="Deleted"), "", IFERROR(
  _xlfn.TEXTJOIN(", ", TRUE,
    _xlfn.MAP(
      _xlfn.UNIQUE(
        _xlfn._xlws.FILTER(
          [1]SubmittalLog!$B$1:$B$4000,
          ([1]SubmittalLog!$E$1:$E$4000=M240) *
          ([1]SubmittalLog!$B$1:$B$4000&lt;&gt;""),
          ""
        )
      ),
      _xlfn.LAMBDA(_xlpm.val, TEXT(_xlpm.val, "000000"))
    )
  ),
""))</f>
        <v>001713</v>
      </c>
      <c r="W240" s="40" t="str" cm="1">
        <f t="array" ref="W240">IF(OR(M240="", M240="Deleted"), "", _xlfn.LET(
  _xlpm.doc_col, [1]SubmittalLog!$E$1:$E$4000,
  _xlpm.date_col, [1]SubmittalLog!$H$1:$H$4000,
  _xlpm.status_col, [1]SubmittalLog!$N$1:$N$4000,
  _xlpm.latest_date, _xlfn.MAXIFS(_xlpm.date_col, _xlpm.doc_col, M240),
  IF(_xlpm.latest_date=0, "NFS",
    _xlfn.LET(
      _xlpm.res, _xlfn.XLOOKUP(M240 &amp; "|" &amp; _xlpm.latest_date, _xlpm.doc_col &amp; "|" &amp; _xlpm.date_col, _xlpm.status_col, ""),
      IF(OR(_xlpm.res="", _xlpm.res=0), "", _xlpm.res)
    )
  )
))</f>
        <v>RTR</v>
      </c>
      <c r="X240" s="39">
        <f>IF(OR(M240="", M240="Deleted"), "", _xlfn.LET(
  _xlpm.doc_col, [1]SubmittalLog!$E$1:$E$4000,
  _xlpm.date_col, [1]SubmittalLog!$H$1:$H$4000,
  _xlpm.status_col, [1]SubmittalLog!$O$1:$O$4000,
  _xlpm.first_app_date, _xlfn.MINIFS(_xlpm.date_col, _xlpm.doc_col, M240, _xlpm.status_col, "APP"),
  _xlpm.first_awc_date, _xlfn.MINIFS(_xlpm.date_col, _xlpm.doc_col, M240, _xlpm.status_col, "AWC"),
  _xlpm.earliest_date, IF(
    AND(_xlpm.first_app_date=0, _xlpm.first_awc_date=0), 0,
    IF(_xlpm.first_app_date=0, _xlpm.first_awc_date,
    IF(_xlpm.first_awc_date=0, _xlpm.first_app_date,
    MIN(_xlpm.first_app_date, _xlpm.first_awc_date)))
  ),
  IF(_xlpm.earliest_date=0, "", _xlpm.earliest_date)
))</f>
        <v>45930</v>
      </c>
      <c r="Y240" s="40" t="str" cm="1">
        <f t="array" ref="Y240">IF(OR(M240="", M240="Deleted"), "", _xlfn.LET(
  _xlpm.doc_col, [1]SubmittalLog!$E$1:$E$4000,
  _xlpm.date_col, [1]SubmittalLog!$H$1:$H$4000,
  _xlpm.status_col, [1]SubmittalLog!$O$1:$O$4000,
  _xlpm.has_sub, COUNTIF(_xlpm.doc_col, M240),
  _xlpm.latest_reviewed_date, _xlfn.MAXIFS(_xlpm.date_col, _xlpm.doc_col, M240, _xlpm.status_col, "&lt;&gt;"),
  IF(_xlpm.has_sub=0, "",
    IF(_xlpm.latest_reviewed_date=0, "",
      _xlfn.LET(
        _xlpm.res, _xlfn.XLOOKUP(1, (_xlpm.doc_col=M240) * (_xlpm.date_col=_xlpm.latest_reviewed_date) * (_xlpm.status_col&lt;&gt;""), _xlpm.status_col, ""),
        IF(OR(_xlpm.res="", _xlpm.res=0), "", _xlpm.res)
      )
    )
  )
))</f>
        <v>AWC</v>
      </c>
    </row>
    <row r="241" spans="1:25" x14ac:dyDescent="0.35">
      <c r="A241" s="33">
        <f>IF($M241="","",MAX($A$1:A240)+1)</f>
        <v>226</v>
      </c>
      <c r="B241" s="23" t="s">
        <v>250</v>
      </c>
      <c r="C241" s="23" t="s">
        <v>234</v>
      </c>
      <c r="G241" s="33">
        <v>131236</v>
      </c>
      <c r="H241" s="33" t="s">
        <v>59</v>
      </c>
      <c r="I241" s="33" t="s">
        <v>309</v>
      </c>
      <c r="J241" s="33" t="s">
        <v>233</v>
      </c>
      <c r="K241" s="51" t="s">
        <v>3726</v>
      </c>
      <c r="M241" s="34" t="str">
        <f t="shared" si="3"/>
        <v>131236-WIL21-DS-M-5761</v>
      </c>
      <c r="N241" s="26" t="s">
        <v>3779</v>
      </c>
      <c r="P241" s="34" t="s">
        <v>3467</v>
      </c>
      <c r="S241" s="35">
        <v>45823</v>
      </c>
      <c r="T241" s="35">
        <v>45915</v>
      </c>
      <c r="U241" s="64" cm="1">
        <f t="array" ref="U241">IF(OR(M241="", M241="Deleted"), "", _xlfn.LET(
  _xlpm.dates,
  _xlfn._xlws.FILTER(
    [1]SubmittalLog!$H$1:$H$4000,
    [1]SubmittalLog!$E$1:$E$4000=M241,
    ""
  ),
  _xlpm.min_date, IFERROR(MIN(_xlpm.dates), ""),
  IF(_xlpm.min_date=0, "", _xlpm.min_date)
))</f>
        <v>45881</v>
      </c>
      <c r="V241" s="63" t="str" cm="1">
        <f t="array" ref="V241">IF(OR(M241="", M241="Deleted"), "", IFERROR(
  _xlfn.TEXTJOIN(", ", TRUE,
    _xlfn.MAP(
      _xlfn.UNIQUE(
        _xlfn._xlws.FILTER(
          [1]SubmittalLog!$B$1:$B$4000,
          ([1]SubmittalLog!$E$1:$E$4000=M241) *
          ([1]SubmittalLog!$B$1:$B$4000&lt;&gt;""),
          ""
        )
      ),
      _xlfn.LAMBDA(_xlpm.val, TEXT(_xlpm.val, "000000"))
    )
  ),
""))</f>
        <v>001578</v>
      </c>
      <c r="W241" s="40" t="str" cm="1">
        <f t="array" ref="W241">IF(OR(M241="", M241="Deleted"), "", _xlfn.LET(
  _xlpm.doc_col, [1]SubmittalLog!$E$1:$E$4000,
  _xlpm.date_col, [1]SubmittalLog!$H$1:$H$4000,
  _xlpm.status_col, [1]SubmittalLog!$N$1:$N$4000,
  _xlpm.latest_date, _xlfn.MAXIFS(_xlpm.date_col, _xlpm.doc_col, M241),
  IF(_xlpm.latest_date=0, "NFS",
    _xlfn.LET(
      _xlpm.res, _xlfn.XLOOKUP(M241 &amp; "|" &amp; _xlpm.latest_date, _xlpm.doc_col &amp; "|" &amp; _xlpm.date_col, _xlpm.status_col, ""),
      IF(OR(_xlpm.res="", _xlpm.res=0), "", _xlpm.res)
    )
  )
))</f>
        <v>RTR</v>
      </c>
      <c r="X241" s="39">
        <f>IF(OR(M241="", M241="Deleted"), "", _xlfn.LET(
  _xlpm.doc_col, [1]SubmittalLog!$E$1:$E$4000,
  _xlpm.date_col, [1]SubmittalLog!$H$1:$H$4000,
  _xlpm.status_col, [1]SubmittalLog!$O$1:$O$4000,
  _xlpm.first_app_date, _xlfn.MINIFS(_xlpm.date_col, _xlpm.doc_col, M241, _xlpm.status_col, "APP"),
  _xlpm.first_awc_date, _xlfn.MINIFS(_xlpm.date_col, _xlpm.doc_col, M241, _xlpm.status_col, "AWC"),
  _xlpm.earliest_date, IF(
    AND(_xlpm.first_app_date=0, _xlpm.first_awc_date=0), 0,
    IF(_xlpm.first_app_date=0, _xlpm.first_awc_date,
    IF(_xlpm.first_awc_date=0, _xlpm.first_app_date,
    MIN(_xlpm.first_app_date, _xlpm.first_awc_date)))
  ),
  IF(_xlpm.earliest_date=0, "", _xlpm.earliest_date)
))</f>
        <v>45881</v>
      </c>
      <c r="Y241" s="40" t="str" cm="1">
        <f t="array" ref="Y241">IF(OR(M241="", M241="Deleted"), "", _xlfn.LET(
  _xlpm.doc_col, [1]SubmittalLog!$E$1:$E$4000,
  _xlpm.date_col, [1]SubmittalLog!$H$1:$H$4000,
  _xlpm.status_col, [1]SubmittalLog!$O$1:$O$4000,
  _xlpm.has_sub, COUNTIF(_xlpm.doc_col, M241),
  _xlpm.latest_reviewed_date, _xlfn.MAXIFS(_xlpm.date_col, _xlpm.doc_col, M241, _xlpm.status_col, "&lt;&gt;"),
  IF(_xlpm.has_sub=0, "",
    IF(_xlpm.latest_reviewed_date=0, "",
      _xlfn.LET(
        _xlpm.res, _xlfn.XLOOKUP(1, (_xlpm.doc_col=M241) * (_xlpm.date_col=_xlpm.latest_reviewed_date) * (_xlpm.status_col&lt;&gt;""), _xlpm.status_col, ""),
        IF(OR(_xlpm.res="", _xlpm.res=0), "", _xlpm.res)
      )
    )
  )
))</f>
        <v>AWC</v>
      </c>
    </row>
    <row r="242" spans="1:25" x14ac:dyDescent="0.35">
      <c r="A242" s="33">
        <f>IF($M242="","",MAX($A$1:A241)+1)</f>
        <v>227</v>
      </c>
      <c r="B242" s="23" t="s">
        <v>250</v>
      </c>
      <c r="C242" s="23" t="s">
        <v>234</v>
      </c>
      <c r="G242" s="33">
        <v>131236</v>
      </c>
      <c r="H242" s="33" t="s">
        <v>59</v>
      </c>
      <c r="I242" s="33" t="s">
        <v>309</v>
      </c>
      <c r="J242" s="33" t="s">
        <v>233</v>
      </c>
      <c r="K242" s="51" t="s">
        <v>3780</v>
      </c>
      <c r="M242" s="34" t="str">
        <f t="shared" si="3"/>
        <v>131236-WIL21-DS-M-0020</v>
      </c>
      <c r="N242" s="26" t="s">
        <v>3781</v>
      </c>
      <c r="S242" s="35">
        <v>45875</v>
      </c>
      <c r="T242" s="35">
        <v>45875</v>
      </c>
      <c r="U242" s="64" cm="1">
        <f t="array" ref="U242">IF(OR(M242="", M242="Deleted"), "", _xlfn.LET(
  _xlpm.dates,
  _xlfn._xlws.FILTER(
    [1]SubmittalLog!$H$1:$H$4000,
    [1]SubmittalLog!$E$1:$E$4000=M242,
    ""
  ),
  _xlpm.min_date, IFERROR(MIN(_xlpm.dates), ""),
  IF(_xlpm.min_date=0, "", _xlpm.min_date)
))</f>
        <v>45891</v>
      </c>
      <c r="V242" s="63" t="str" cm="1">
        <f t="array" ref="V242">IF(OR(M242="", M242="Deleted"), "", IFERROR(
  _xlfn.TEXTJOIN(", ", TRUE,
    _xlfn.MAP(
      _xlfn.UNIQUE(
        _xlfn._xlws.FILTER(
          [1]SubmittalLog!$B$1:$B$4000,
          ([1]SubmittalLog!$E$1:$E$4000=M242) *
          ([1]SubmittalLog!$B$1:$B$4000&lt;&gt;""),
          ""
        )
      ),
      _xlfn.LAMBDA(_xlpm.val, TEXT(_xlpm.val, "000000"))
    )
  ),
""))</f>
        <v>000553</v>
      </c>
      <c r="W242" s="40" t="str" cm="1">
        <f t="array" ref="W242">IF(OR(M242="", M242="Deleted"), "", _xlfn.LET(
  _xlpm.doc_col, [1]SubmittalLog!$E$1:$E$4000,
  _xlpm.date_col, [1]SubmittalLog!$H$1:$H$4000,
  _xlpm.status_col, [1]SubmittalLog!$N$1:$N$4000,
  _xlpm.latest_date, _xlfn.MAXIFS(_xlpm.date_col, _xlpm.doc_col, M242),
  IF(_xlpm.latest_date=0, "NFS",
    _xlfn.LET(
      _xlpm.res, _xlfn.XLOOKUP(M242 &amp; "|" &amp; _xlpm.latest_date, _xlpm.doc_col &amp; "|" &amp; _xlpm.date_col, _xlpm.status_col, ""),
      IF(OR(_xlpm.res="", _xlpm.res=0), "", _xlpm.res)
    )
  )
))</f>
        <v>RTR</v>
      </c>
      <c r="X242" s="39">
        <f>IF(OR(M242="", M242="Deleted"), "", _xlfn.LET(
  _xlpm.doc_col, [1]SubmittalLog!$E$1:$E$4000,
  _xlpm.date_col, [1]SubmittalLog!$H$1:$H$4000,
  _xlpm.status_col, [1]SubmittalLog!$O$1:$O$4000,
  _xlpm.first_app_date, _xlfn.MINIFS(_xlpm.date_col, _xlpm.doc_col, M242, _xlpm.status_col, "APP"),
  _xlpm.first_awc_date, _xlfn.MINIFS(_xlpm.date_col, _xlpm.doc_col, M242, _xlpm.status_col, "AWC"),
  _xlpm.earliest_date, IF(
    AND(_xlpm.first_app_date=0, _xlpm.first_awc_date=0), 0,
    IF(_xlpm.first_app_date=0, _xlpm.first_awc_date,
    IF(_xlpm.first_awc_date=0, _xlpm.first_app_date,
    MIN(_xlpm.first_app_date, _xlpm.first_awc_date)))
  ),
  IF(_xlpm.earliest_date=0, "", _xlpm.earliest_date)
))</f>
        <v>45891</v>
      </c>
      <c r="Y242" s="40" t="str" cm="1">
        <f t="array" ref="Y242">IF(OR(M242="", M242="Deleted"), "", _xlfn.LET(
  _xlpm.doc_col, [1]SubmittalLog!$E$1:$E$4000,
  _xlpm.date_col, [1]SubmittalLog!$H$1:$H$4000,
  _xlpm.status_col, [1]SubmittalLog!$O$1:$O$4000,
  _xlpm.has_sub, COUNTIF(_xlpm.doc_col, M242),
  _xlpm.latest_reviewed_date, _xlfn.MAXIFS(_xlpm.date_col, _xlpm.doc_col, M242, _xlpm.status_col, "&lt;&gt;"),
  IF(_xlpm.has_sub=0, "",
    IF(_xlpm.latest_reviewed_date=0, "",
      _xlfn.LET(
        _xlpm.res, _xlfn.XLOOKUP(1, (_xlpm.doc_col=M242) * (_xlpm.date_col=_xlpm.latest_reviewed_date) * (_xlpm.status_col&lt;&gt;""), _xlpm.status_col, ""),
        IF(OR(_xlpm.res="", _xlpm.res=0), "", _xlpm.res)
      )
    )
  )
))</f>
        <v>AWC</v>
      </c>
    </row>
    <row r="243" spans="1:25" x14ac:dyDescent="0.35">
      <c r="A243" s="33" t="str">
        <f>IF($M243="","",MAX($A$1:A242)+1)</f>
        <v/>
      </c>
      <c r="M243" s="34" t="str">
        <f t="shared" si="3"/>
        <v/>
      </c>
      <c r="N243" s="26" t="s">
        <v>3488</v>
      </c>
      <c r="U243" s="64" t="str" cm="1">
        <f t="array" ref="U243">IF(OR(M243="", M243="Deleted"), "", _xlfn.LET(
  _xlpm.dates,
  _xlfn._xlws.FILTER(
    [1]SubmittalLog!$H$1:$H$4000,
    [1]SubmittalLog!$E$1:$E$4000=M243,
    ""
  ),
  _xlpm.min_date, IFERROR(MIN(_xlpm.dates), ""),
  IF(_xlpm.min_date=0, "", _xlpm.min_date)
))</f>
        <v/>
      </c>
      <c r="V243" s="63" t="str" cm="1">
        <f t="array" ref="V243">IF(OR(M243="", M243="Deleted"), "", IFERROR(
  _xlfn.TEXTJOIN(", ", TRUE,
    _xlfn.MAP(
      _xlfn.UNIQUE(
        _xlfn._xlws.FILTER(
          [1]SubmittalLog!$B$1:$B$4000,
          ([1]SubmittalLog!$E$1:$E$4000=M243) *
          ([1]SubmittalLog!$B$1:$B$4000&lt;&gt;""),
          ""
        )
      ),
      _xlfn.LAMBDA(_xlpm.val, TEXT(_xlpm.val, "000000"))
    )
  ),
""))</f>
        <v/>
      </c>
      <c r="W243" s="40" t="str" cm="1">
        <f t="array" ref="W243">IF(OR(M243="", M243="Deleted"), "", _xlfn.LET(
  _xlpm.doc_col, [1]SubmittalLog!$E$1:$E$4000,
  _xlpm.date_col, [1]SubmittalLog!$H$1:$H$4000,
  _xlpm.status_col, [1]SubmittalLog!$N$1:$N$4000,
  _xlpm.latest_date, _xlfn.MAXIFS(_xlpm.date_col, _xlpm.doc_col, M243),
  IF(_xlpm.latest_date=0, "NFS",
    _xlfn.LET(
      _xlpm.res, _xlfn.XLOOKUP(M243 &amp; "|" &amp; _xlpm.latest_date, _xlpm.doc_col &amp; "|" &amp; _xlpm.date_col, _xlpm.status_col, ""),
      IF(OR(_xlpm.res="", _xlpm.res=0), "", _xlpm.res)
    )
  )
))</f>
        <v/>
      </c>
      <c r="X243" s="39" t="str">
        <f>IF(OR(M243="", M243="Deleted"), "", _xlfn.LET(
  _xlpm.doc_col, [1]SubmittalLog!$E$1:$E$4000,
  _xlpm.date_col, [1]SubmittalLog!$H$1:$H$4000,
  _xlpm.status_col, [1]SubmittalLog!$O$1:$O$4000,
  _xlpm.first_app_date, _xlfn.MINIFS(_xlpm.date_col, _xlpm.doc_col, M243, _xlpm.status_col, "APP"),
  _xlpm.first_awc_date, _xlfn.MINIFS(_xlpm.date_col, _xlpm.doc_col, M243, _xlpm.status_col, "AWC"),
  _xlpm.earliest_date, IF(
    AND(_xlpm.first_app_date=0, _xlpm.first_awc_date=0), 0,
    IF(_xlpm.first_app_date=0, _xlpm.first_awc_date,
    IF(_xlpm.first_awc_date=0, _xlpm.first_app_date,
    MIN(_xlpm.first_app_date, _xlpm.first_awc_date)))
  ),
  IF(_xlpm.earliest_date=0, "", _xlpm.earliest_date)
))</f>
        <v/>
      </c>
      <c r="Y243" s="40" t="str" cm="1">
        <f t="array" ref="Y243">IF(OR(M243="", M243="Deleted"), "", _xlfn.LET(
  _xlpm.doc_col, [1]SubmittalLog!$E$1:$E$4000,
  _xlpm.date_col, [1]SubmittalLog!$H$1:$H$4000,
  _xlpm.status_col, [1]SubmittalLog!$O$1:$O$4000,
  _xlpm.has_sub, COUNTIF(_xlpm.doc_col, M243),
  _xlpm.latest_reviewed_date, _xlfn.MAXIFS(_xlpm.date_col, _xlpm.doc_col, M243, _xlpm.status_col, "&lt;&gt;"),
  IF(_xlpm.has_sub=0, "",
    IF(_xlpm.latest_reviewed_date=0, "",
      _xlfn.LET(
        _xlpm.res, _xlfn.XLOOKUP(1, (_xlpm.doc_col=M243) * (_xlpm.date_col=_xlpm.latest_reviewed_date) * (_xlpm.status_col&lt;&gt;""), _xlpm.status_col, ""),
        IF(OR(_xlpm.res="", _xlpm.res=0), "", _xlpm.res)
      )
    )
  )
))</f>
        <v/>
      </c>
    </row>
    <row r="244" spans="1:25" x14ac:dyDescent="0.35">
      <c r="A244" s="33">
        <f>IF($M244="","",MAX($A$1:A243)+1)</f>
        <v>228</v>
      </c>
      <c r="B244" s="23" t="s">
        <v>54</v>
      </c>
      <c r="C244" s="23" t="s">
        <v>257</v>
      </c>
      <c r="G244" s="33">
        <v>131236</v>
      </c>
      <c r="H244" s="33" t="s">
        <v>59</v>
      </c>
      <c r="I244" s="33" t="s">
        <v>397</v>
      </c>
      <c r="J244" s="33" t="s">
        <v>3496</v>
      </c>
      <c r="K244" s="51" t="s">
        <v>3469</v>
      </c>
      <c r="M244" s="34" t="str">
        <f t="shared" si="3"/>
        <v>Deleted</v>
      </c>
      <c r="N244" s="26" t="s">
        <v>3782</v>
      </c>
      <c r="P244" s="34" t="s">
        <v>3467</v>
      </c>
      <c r="U244" s="64" t="str" cm="1">
        <f t="array" ref="U244">IF(OR(M244="", M244="Deleted"), "", _xlfn.LET(
  _xlpm.dates,
  _xlfn._xlws.FILTER(
    [1]SubmittalLog!$H$1:$H$4000,
    [1]SubmittalLog!$E$1:$E$4000=M244,
    ""
  ),
  _xlpm.min_date, IFERROR(MIN(_xlpm.dates), ""),
  IF(_xlpm.min_date=0, "", _xlpm.min_date)
))</f>
        <v/>
      </c>
      <c r="V244" s="63" t="str" cm="1">
        <f t="array" ref="V244">IF(OR(M244="", M244="Deleted"), "", IFERROR(
  _xlfn.TEXTJOIN(", ", TRUE,
    _xlfn.MAP(
      _xlfn.UNIQUE(
        _xlfn._xlws.FILTER(
          [1]SubmittalLog!$B$1:$B$4000,
          ([1]SubmittalLog!$E$1:$E$4000=M244) *
          ([1]SubmittalLog!$B$1:$B$4000&lt;&gt;""),
          ""
        )
      ),
      _xlfn.LAMBDA(_xlpm.val, TEXT(_xlpm.val, "000000"))
    )
  ),
""))</f>
        <v/>
      </c>
      <c r="W244" s="40" t="str" cm="1">
        <f t="array" ref="W244">IF(OR(M244="", M244="Deleted"), "", _xlfn.LET(
  _xlpm.doc_col, [1]SubmittalLog!$E$1:$E$4000,
  _xlpm.date_col, [1]SubmittalLog!$H$1:$H$4000,
  _xlpm.status_col, [1]SubmittalLog!$N$1:$N$4000,
  _xlpm.latest_date, _xlfn.MAXIFS(_xlpm.date_col, _xlpm.doc_col, M244),
  IF(_xlpm.latest_date=0, "NFS",
    _xlfn.LET(
      _xlpm.res, _xlfn.XLOOKUP(M244 &amp; "|" &amp; _xlpm.latest_date, _xlpm.doc_col &amp; "|" &amp; _xlpm.date_col, _xlpm.status_col, ""),
      IF(OR(_xlpm.res="", _xlpm.res=0), "", _xlpm.res)
    )
  )
))</f>
        <v/>
      </c>
      <c r="X244" s="39" t="str">
        <f>IF(OR(M244="", M244="Deleted"), "", _xlfn.LET(
  _xlpm.doc_col, [1]SubmittalLog!$E$1:$E$4000,
  _xlpm.date_col, [1]SubmittalLog!$H$1:$H$4000,
  _xlpm.status_col, [1]SubmittalLog!$O$1:$O$4000,
  _xlpm.first_app_date, _xlfn.MINIFS(_xlpm.date_col, _xlpm.doc_col, M244, _xlpm.status_col, "APP"),
  _xlpm.first_awc_date, _xlfn.MINIFS(_xlpm.date_col, _xlpm.doc_col, M244, _xlpm.status_col, "AWC"),
  _xlpm.earliest_date, IF(
    AND(_xlpm.first_app_date=0, _xlpm.first_awc_date=0), 0,
    IF(_xlpm.first_app_date=0, _xlpm.first_awc_date,
    IF(_xlpm.first_awc_date=0, _xlpm.first_app_date,
    MIN(_xlpm.first_app_date, _xlpm.first_awc_date)))
  ),
  IF(_xlpm.earliest_date=0, "", _xlpm.earliest_date)
))</f>
        <v/>
      </c>
      <c r="Y244" s="40" t="str" cm="1">
        <f t="array" ref="Y244">IF(OR(M244="", M244="Deleted"), "", _xlfn.LET(
  _xlpm.doc_col, [1]SubmittalLog!$E$1:$E$4000,
  _xlpm.date_col, [1]SubmittalLog!$H$1:$H$4000,
  _xlpm.status_col, [1]SubmittalLog!$O$1:$O$4000,
  _xlpm.has_sub, COUNTIF(_xlpm.doc_col, M244),
  _xlpm.latest_reviewed_date, _xlfn.MAXIFS(_xlpm.date_col, _xlpm.doc_col, M244, _xlpm.status_col, "&lt;&gt;"),
  IF(_xlpm.has_sub=0, "",
    IF(_xlpm.latest_reviewed_date=0, "",
      _xlfn.LET(
        _xlpm.res, _xlfn.XLOOKUP(1, (_xlpm.doc_col=M244) * (_xlpm.date_col=_xlpm.latest_reviewed_date) * (_xlpm.status_col&lt;&gt;""), _xlpm.status_col, ""),
        IF(OR(_xlpm.res="", _xlpm.res=0), "", _xlpm.res)
      )
    )
  )
))</f>
        <v/>
      </c>
    </row>
    <row r="245" spans="1:25" x14ac:dyDescent="0.35">
      <c r="A245" s="33">
        <f>IF($M245="","",MAX($A$1:A244)+1)</f>
        <v>229</v>
      </c>
      <c r="B245" s="23" t="s">
        <v>54</v>
      </c>
      <c r="C245" s="23" t="s">
        <v>257</v>
      </c>
      <c r="G245" s="33">
        <v>131236</v>
      </c>
      <c r="H245" s="33" t="s">
        <v>59</v>
      </c>
      <c r="I245" s="33" t="s">
        <v>397</v>
      </c>
      <c r="J245" s="33" t="s">
        <v>3496</v>
      </c>
      <c r="K245" s="51" t="s">
        <v>3503</v>
      </c>
      <c r="M245" s="34" t="str">
        <f t="shared" si="3"/>
        <v>Deleted</v>
      </c>
      <c r="N245" s="26" t="s">
        <v>3783</v>
      </c>
      <c r="P245" s="34" t="s">
        <v>3467</v>
      </c>
      <c r="U245" s="64" t="str" cm="1">
        <f t="array" ref="U245">IF(OR(M245="", M245="Deleted"), "", _xlfn.LET(
  _xlpm.dates,
  _xlfn._xlws.FILTER(
    [1]SubmittalLog!$H$1:$H$4000,
    [1]SubmittalLog!$E$1:$E$4000=M245,
    ""
  ),
  _xlpm.min_date, IFERROR(MIN(_xlpm.dates), ""),
  IF(_xlpm.min_date=0, "", _xlpm.min_date)
))</f>
        <v/>
      </c>
      <c r="V245" s="63" t="str" cm="1">
        <f t="array" ref="V245">IF(OR(M245="", M245="Deleted"), "", IFERROR(
  _xlfn.TEXTJOIN(", ", TRUE,
    _xlfn.MAP(
      _xlfn.UNIQUE(
        _xlfn._xlws.FILTER(
          [1]SubmittalLog!$B$1:$B$4000,
          ([1]SubmittalLog!$E$1:$E$4000=M245) *
          ([1]SubmittalLog!$B$1:$B$4000&lt;&gt;""),
          ""
        )
      ),
      _xlfn.LAMBDA(_xlpm.val, TEXT(_xlpm.val, "000000"))
    )
  ),
""))</f>
        <v/>
      </c>
      <c r="W245" s="40" t="str" cm="1">
        <f t="array" ref="W245">IF(OR(M245="", M245="Deleted"), "", _xlfn.LET(
  _xlpm.doc_col, [1]SubmittalLog!$E$1:$E$4000,
  _xlpm.date_col, [1]SubmittalLog!$H$1:$H$4000,
  _xlpm.status_col, [1]SubmittalLog!$N$1:$N$4000,
  _xlpm.latest_date, _xlfn.MAXIFS(_xlpm.date_col, _xlpm.doc_col, M245),
  IF(_xlpm.latest_date=0, "NFS",
    _xlfn.LET(
      _xlpm.res, _xlfn.XLOOKUP(M245 &amp; "|" &amp; _xlpm.latest_date, _xlpm.doc_col &amp; "|" &amp; _xlpm.date_col, _xlpm.status_col, ""),
      IF(OR(_xlpm.res="", _xlpm.res=0), "", _xlpm.res)
    )
  )
))</f>
        <v/>
      </c>
      <c r="X245" s="39" t="str">
        <f>IF(OR(M245="", M245="Deleted"), "", _xlfn.LET(
  _xlpm.doc_col, [1]SubmittalLog!$E$1:$E$4000,
  _xlpm.date_col, [1]SubmittalLog!$H$1:$H$4000,
  _xlpm.status_col, [1]SubmittalLog!$O$1:$O$4000,
  _xlpm.first_app_date, _xlfn.MINIFS(_xlpm.date_col, _xlpm.doc_col, M245, _xlpm.status_col, "APP"),
  _xlpm.first_awc_date, _xlfn.MINIFS(_xlpm.date_col, _xlpm.doc_col, M245, _xlpm.status_col, "AWC"),
  _xlpm.earliest_date, IF(
    AND(_xlpm.first_app_date=0, _xlpm.first_awc_date=0), 0,
    IF(_xlpm.first_app_date=0, _xlpm.first_awc_date,
    IF(_xlpm.first_awc_date=0, _xlpm.first_app_date,
    MIN(_xlpm.first_app_date, _xlpm.first_awc_date)))
  ),
  IF(_xlpm.earliest_date=0, "", _xlpm.earliest_date)
))</f>
        <v/>
      </c>
      <c r="Y245" s="40" t="str" cm="1">
        <f t="array" ref="Y245">IF(OR(M245="", M245="Deleted"), "", _xlfn.LET(
  _xlpm.doc_col, [1]SubmittalLog!$E$1:$E$4000,
  _xlpm.date_col, [1]SubmittalLog!$H$1:$H$4000,
  _xlpm.status_col, [1]SubmittalLog!$O$1:$O$4000,
  _xlpm.has_sub, COUNTIF(_xlpm.doc_col, M245),
  _xlpm.latest_reviewed_date, _xlfn.MAXIFS(_xlpm.date_col, _xlpm.doc_col, M245, _xlpm.status_col, "&lt;&gt;"),
  IF(_xlpm.has_sub=0, "",
    IF(_xlpm.latest_reviewed_date=0, "",
      _xlfn.LET(
        _xlpm.res, _xlfn.XLOOKUP(1, (_xlpm.doc_col=M245) * (_xlpm.date_col=_xlpm.latest_reviewed_date) * (_xlpm.status_col&lt;&gt;""), _xlpm.status_col, ""),
        IF(OR(_xlpm.res="", _xlpm.res=0), "", _xlpm.res)
      )
    )
  )
))</f>
        <v/>
      </c>
    </row>
    <row r="246" spans="1:25" x14ac:dyDescent="0.35">
      <c r="A246" s="33">
        <f>IF($M246="","",MAX($A$1:A245)+1)</f>
        <v>230</v>
      </c>
      <c r="B246" s="23" t="s">
        <v>54</v>
      </c>
      <c r="C246" s="23" t="s">
        <v>257</v>
      </c>
      <c r="G246" s="33">
        <v>131236</v>
      </c>
      <c r="H246" s="33" t="s">
        <v>59</v>
      </c>
      <c r="I246" s="33" t="s">
        <v>397</v>
      </c>
      <c r="J246" s="33" t="s">
        <v>3496</v>
      </c>
      <c r="K246" s="51" t="s">
        <v>3505</v>
      </c>
      <c r="M246" s="34" t="str">
        <f t="shared" si="3"/>
        <v>Deleted</v>
      </c>
      <c r="N246" s="26" t="s">
        <v>3784</v>
      </c>
      <c r="P246" s="34" t="s">
        <v>3467</v>
      </c>
      <c r="U246" s="64" t="str" cm="1">
        <f t="array" ref="U246">IF(OR(M246="", M246="Deleted"), "", _xlfn.LET(
  _xlpm.dates,
  _xlfn._xlws.FILTER(
    [1]SubmittalLog!$H$1:$H$4000,
    [1]SubmittalLog!$E$1:$E$4000=M246,
    ""
  ),
  _xlpm.min_date, IFERROR(MIN(_xlpm.dates), ""),
  IF(_xlpm.min_date=0, "", _xlpm.min_date)
))</f>
        <v/>
      </c>
      <c r="V246" s="63" t="str" cm="1">
        <f t="array" ref="V246">IF(OR(M246="", M246="Deleted"), "", IFERROR(
  _xlfn.TEXTJOIN(", ", TRUE,
    _xlfn.MAP(
      _xlfn.UNIQUE(
        _xlfn._xlws.FILTER(
          [1]SubmittalLog!$B$1:$B$4000,
          ([1]SubmittalLog!$E$1:$E$4000=M246) *
          ([1]SubmittalLog!$B$1:$B$4000&lt;&gt;""),
          ""
        )
      ),
      _xlfn.LAMBDA(_xlpm.val, TEXT(_xlpm.val, "000000"))
    )
  ),
""))</f>
        <v/>
      </c>
      <c r="W246" s="40" t="str" cm="1">
        <f t="array" ref="W246">IF(OR(M246="", M246="Deleted"), "", _xlfn.LET(
  _xlpm.doc_col, [1]SubmittalLog!$E$1:$E$4000,
  _xlpm.date_col, [1]SubmittalLog!$H$1:$H$4000,
  _xlpm.status_col, [1]SubmittalLog!$N$1:$N$4000,
  _xlpm.latest_date, _xlfn.MAXIFS(_xlpm.date_col, _xlpm.doc_col, M246),
  IF(_xlpm.latest_date=0, "NFS",
    _xlfn.LET(
      _xlpm.res, _xlfn.XLOOKUP(M246 &amp; "|" &amp; _xlpm.latest_date, _xlpm.doc_col &amp; "|" &amp; _xlpm.date_col, _xlpm.status_col, ""),
      IF(OR(_xlpm.res="", _xlpm.res=0), "", _xlpm.res)
    )
  )
))</f>
        <v/>
      </c>
      <c r="X246" s="39" t="str">
        <f>IF(OR(M246="", M246="Deleted"), "", _xlfn.LET(
  _xlpm.doc_col, [1]SubmittalLog!$E$1:$E$4000,
  _xlpm.date_col, [1]SubmittalLog!$H$1:$H$4000,
  _xlpm.status_col, [1]SubmittalLog!$O$1:$O$4000,
  _xlpm.first_app_date, _xlfn.MINIFS(_xlpm.date_col, _xlpm.doc_col, M246, _xlpm.status_col, "APP"),
  _xlpm.first_awc_date, _xlfn.MINIFS(_xlpm.date_col, _xlpm.doc_col, M246, _xlpm.status_col, "AWC"),
  _xlpm.earliest_date, IF(
    AND(_xlpm.first_app_date=0, _xlpm.first_awc_date=0), 0,
    IF(_xlpm.first_app_date=0, _xlpm.first_awc_date,
    IF(_xlpm.first_awc_date=0, _xlpm.first_app_date,
    MIN(_xlpm.first_app_date, _xlpm.first_awc_date)))
  ),
  IF(_xlpm.earliest_date=0, "", _xlpm.earliest_date)
))</f>
        <v/>
      </c>
      <c r="Y246" s="40" t="str" cm="1">
        <f t="array" ref="Y246">IF(OR(M246="", M246="Deleted"), "", _xlfn.LET(
  _xlpm.doc_col, [1]SubmittalLog!$E$1:$E$4000,
  _xlpm.date_col, [1]SubmittalLog!$H$1:$H$4000,
  _xlpm.status_col, [1]SubmittalLog!$O$1:$O$4000,
  _xlpm.has_sub, COUNTIF(_xlpm.doc_col, M246),
  _xlpm.latest_reviewed_date, _xlfn.MAXIFS(_xlpm.date_col, _xlpm.doc_col, M246, _xlpm.status_col, "&lt;&gt;"),
  IF(_xlpm.has_sub=0, "",
    IF(_xlpm.latest_reviewed_date=0, "",
      _xlfn.LET(
        _xlpm.res, _xlfn.XLOOKUP(1, (_xlpm.doc_col=M246) * (_xlpm.date_col=_xlpm.latest_reviewed_date) * (_xlpm.status_col&lt;&gt;""), _xlpm.status_col, ""),
        IF(OR(_xlpm.res="", _xlpm.res=0), "", _xlpm.res)
      )
    )
  )
))</f>
        <v/>
      </c>
    </row>
    <row r="247" spans="1:25" x14ac:dyDescent="0.35">
      <c r="A247" s="33">
        <f>IF($M247="","",MAX($A$1:A246)+1)</f>
        <v>231</v>
      </c>
      <c r="B247" s="23" t="s">
        <v>54</v>
      </c>
      <c r="C247" s="23" t="s">
        <v>257</v>
      </c>
      <c r="G247" s="33">
        <v>131236</v>
      </c>
      <c r="H247" s="33" t="s">
        <v>59</v>
      </c>
      <c r="I247" s="33" t="s">
        <v>397</v>
      </c>
      <c r="J247" s="33" t="s">
        <v>3496</v>
      </c>
      <c r="K247" s="51" t="s">
        <v>3521</v>
      </c>
      <c r="M247" s="34" t="str">
        <f t="shared" si="3"/>
        <v>Deleted</v>
      </c>
      <c r="N247" s="26" t="s">
        <v>3785</v>
      </c>
      <c r="P247" s="34" t="s">
        <v>3467</v>
      </c>
      <c r="U247" s="64" t="str" cm="1">
        <f t="array" ref="U247">IF(OR(M247="", M247="Deleted"), "", _xlfn.LET(
  _xlpm.dates,
  _xlfn._xlws.FILTER(
    [1]SubmittalLog!$H$1:$H$4000,
    [1]SubmittalLog!$E$1:$E$4000=M247,
    ""
  ),
  _xlpm.min_date, IFERROR(MIN(_xlpm.dates), ""),
  IF(_xlpm.min_date=0, "", _xlpm.min_date)
))</f>
        <v/>
      </c>
      <c r="V247" s="63" t="str" cm="1">
        <f t="array" ref="V247">IF(OR(M247="", M247="Deleted"), "", IFERROR(
  _xlfn.TEXTJOIN(", ", TRUE,
    _xlfn.MAP(
      _xlfn.UNIQUE(
        _xlfn._xlws.FILTER(
          [1]SubmittalLog!$B$1:$B$4000,
          ([1]SubmittalLog!$E$1:$E$4000=M247) *
          ([1]SubmittalLog!$B$1:$B$4000&lt;&gt;""),
          ""
        )
      ),
      _xlfn.LAMBDA(_xlpm.val, TEXT(_xlpm.val, "000000"))
    )
  ),
""))</f>
        <v/>
      </c>
      <c r="W247" s="40" t="str" cm="1">
        <f t="array" ref="W247">IF(OR(M247="", M247="Deleted"), "", _xlfn.LET(
  _xlpm.doc_col, [1]SubmittalLog!$E$1:$E$4000,
  _xlpm.date_col, [1]SubmittalLog!$H$1:$H$4000,
  _xlpm.status_col, [1]SubmittalLog!$N$1:$N$4000,
  _xlpm.latest_date, _xlfn.MAXIFS(_xlpm.date_col, _xlpm.doc_col, M247),
  IF(_xlpm.latest_date=0, "NFS",
    _xlfn.LET(
      _xlpm.res, _xlfn.XLOOKUP(M247 &amp; "|" &amp; _xlpm.latest_date, _xlpm.doc_col &amp; "|" &amp; _xlpm.date_col, _xlpm.status_col, ""),
      IF(OR(_xlpm.res="", _xlpm.res=0), "", _xlpm.res)
    )
  )
))</f>
        <v/>
      </c>
      <c r="X247" s="39" t="str">
        <f>IF(OR(M247="", M247="Deleted"), "", _xlfn.LET(
  _xlpm.doc_col, [1]SubmittalLog!$E$1:$E$4000,
  _xlpm.date_col, [1]SubmittalLog!$H$1:$H$4000,
  _xlpm.status_col, [1]SubmittalLog!$O$1:$O$4000,
  _xlpm.first_app_date, _xlfn.MINIFS(_xlpm.date_col, _xlpm.doc_col, M247, _xlpm.status_col, "APP"),
  _xlpm.first_awc_date, _xlfn.MINIFS(_xlpm.date_col, _xlpm.doc_col, M247, _xlpm.status_col, "AWC"),
  _xlpm.earliest_date, IF(
    AND(_xlpm.first_app_date=0, _xlpm.first_awc_date=0), 0,
    IF(_xlpm.first_app_date=0, _xlpm.first_awc_date,
    IF(_xlpm.first_awc_date=0, _xlpm.first_app_date,
    MIN(_xlpm.first_app_date, _xlpm.first_awc_date)))
  ),
  IF(_xlpm.earliest_date=0, "", _xlpm.earliest_date)
))</f>
        <v/>
      </c>
      <c r="Y247" s="40" t="str" cm="1">
        <f t="array" ref="Y247">IF(OR(M247="", M247="Deleted"), "", _xlfn.LET(
  _xlpm.doc_col, [1]SubmittalLog!$E$1:$E$4000,
  _xlpm.date_col, [1]SubmittalLog!$H$1:$H$4000,
  _xlpm.status_col, [1]SubmittalLog!$O$1:$O$4000,
  _xlpm.has_sub, COUNTIF(_xlpm.doc_col, M247),
  _xlpm.latest_reviewed_date, _xlfn.MAXIFS(_xlpm.date_col, _xlpm.doc_col, M247, _xlpm.status_col, "&lt;&gt;"),
  IF(_xlpm.has_sub=0, "",
    IF(_xlpm.latest_reviewed_date=0, "",
      _xlfn.LET(
        _xlpm.res, _xlfn.XLOOKUP(1, (_xlpm.doc_col=M247) * (_xlpm.date_col=_xlpm.latest_reviewed_date) * (_xlpm.status_col&lt;&gt;""), _xlpm.status_col, ""),
        IF(OR(_xlpm.res="", _xlpm.res=0), "", _xlpm.res)
      )
    )
  )
))</f>
        <v/>
      </c>
    </row>
    <row r="248" spans="1:25" x14ac:dyDescent="0.35">
      <c r="A248" s="33">
        <f>IF($M248="","",MAX($A$1:A247)+1)</f>
        <v>232</v>
      </c>
      <c r="B248" s="23" t="s">
        <v>54</v>
      </c>
      <c r="C248" s="23" t="s">
        <v>257</v>
      </c>
      <c r="G248" s="33">
        <v>131236</v>
      </c>
      <c r="H248" s="33" t="s">
        <v>59</v>
      </c>
      <c r="I248" s="33" t="s">
        <v>397</v>
      </c>
      <c r="J248" s="33" t="s">
        <v>3496</v>
      </c>
      <c r="K248" s="51" t="s">
        <v>3523</v>
      </c>
      <c r="M248" s="34" t="str">
        <f t="shared" si="3"/>
        <v>Deleted</v>
      </c>
      <c r="N248" s="26" t="s">
        <v>3786</v>
      </c>
      <c r="P248" s="34" t="s">
        <v>3467</v>
      </c>
      <c r="U248" s="64" t="str" cm="1">
        <f t="array" ref="U248">IF(OR(M248="", M248="Deleted"), "", _xlfn.LET(
  _xlpm.dates,
  _xlfn._xlws.FILTER(
    [1]SubmittalLog!$H$1:$H$4000,
    [1]SubmittalLog!$E$1:$E$4000=M248,
    ""
  ),
  _xlpm.min_date, IFERROR(MIN(_xlpm.dates), ""),
  IF(_xlpm.min_date=0, "", _xlpm.min_date)
))</f>
        <v/>
      </c>
      <c r="V248" s="63" t="str" cm="1">
        <f t="array" ref="V248">IF(OR(M248="", M248="Deleted"), "", IFERROR(
  _xlfn.TEXTJOIN(", ", TRUE,
    _xlfn.MAP(
      _xlfn.UNIQUE(
        _xlfn._xlws.FILTER(
          [1]SubmittalLog!$B$1:$B$4000,
          ([1]SubmittalLog!$E$1:$E$4000=M248) *
          ([1]SubmittalLog!$B$1:$B$4000&lt;&gt;""),
          ""
        )
      ),
      _xlfn.LAMBDA(_xlpm.val, TEXT(_xlpm.val, "000000"))
    )
  ),
""))</f>
        <v/>
      </c>
      <c r="W248" s="40" t="str" cm="1">
        <f t="array" ref="W248">IF(OR(M248="", M248="Deleted"), "", _xlfn.LET(
  _xlpm.doc_col, [1]SubmittalLog!$E$1:$E$4000,
  _xlpm.date_col, [1]SubmittalLog!$H$1:$H$4000,
  _xlpm.status_col, [1]SubmittalLog!$N$1:$N$4000,
  _xlpm.latest_date, _xlfn.MAXIFS(_xlpm.date_col, _xlpm.doc_col, M248),
  IF(_xlpm.latest_date=0, "NFS",
    _xlfn.LET(
      _xlpm.res, _xlfn.XLOOKUP(M248 &amp; "|" &amp; _xlpm.latest_date, _xlpm.doc_col &amp; "|" &amp; _xlpm.date_col, _xlpm.status_col, ""),
      IF(OR(_xlpm.res="", _xlpm.res=0), "", _xlpm.res)
    )
  )
))</f>
        <v/>
      </c>
      <c r="X248" s="39" t="str">
        <f>IF(OR(M248="", M248="Deleted"), "", _xlfn.LET(
  _xlpm.doc_col, [1]SubmittalLog!$E$1:$E$4000,
  _xlpm.date_col, [1]SubmittalLog!$H$1:$H$4000,
  _xlpm.status_col, [1]SubmittalLog!$O$1:$O$4000,
  _xlpm.first_app_date, _xlfn.MINIFS(_xlpm.date_col, _xlpm.doc_col, M248, _xlpm.status_col, "APP"),
  _xlpm.first_awc_date, _xlfn.MINIFS(_xlpm.date_col, _xlpm.doc_col, M248, _xlpm.status_col, "AWC"),
  _xlpm.earliest_date, IF(
    AND(_xlpm.first_app_date=0, _xlpm.first_awc_date=0), 0,
    IF(_xlpm.first_app_date=0, _xlpm.first_awc_date,
    IF(_xlpm.first_awc_date=0, _xlpm.first_app_date,
    MIN(_xlpm.first_app_date, _xlpm.first_awc_date)))
  ),
  IF(_xlpm.earliest_date=0, "", _xlpm.earliest_date)
))</f>
        <v/>
      </c>
      <c r="Y248" s="40" t="str" cm="1">
        <f t="array" ref="Y248">IF(OR(M248="", M248="Deleted"), "", _xlfn.LET(
  _xlpm.doc_col, [1]SubmittalLog!$E$1:$E$4000,
  _xlpm.date_col, [1]SubmittalLog!$H$1:$H$4000,
  _xlpm.status_col, [1]SubmittalLog!$O$1:$O$4000,
  _xlpm.has_sub, COUNTIF(_xlpm.doc_col, M248),
  _xlpm.latest_reviewed_date, _xlfn.MAXIFS(_xlpm.date_col, _xlpm.doc_col, M248, _xlpm.status_col, "&lt;&gt;"),
  IF(_xlpm.has_sub=0, "",
    IF(_xlpm.latest_reviewed_date=0, "",
      _xlfn.LET(
        _xlpm.res, _xlfn.XLOOKUP(1, (_xlpm.doc_col=M248) * (_xlpm.date_col=_xlpm.latest_reviewed_date) * (_xlpm.status_col&lt;&gt;""), _xlpm.status_col, ""),
        IF(OR(_xlpm.res="", _xlpm.res=0), "", _xlpm.res)
      )
    )
  )
))</f>
        <v/>
      </c>
    </row>
    <row r="249" spans="1:25" x14ac:dyDescent="0.35">
      <c r="A249" s="33" t="str">
        <f>IF($M249="","",MAX($A$1:A248)+1)</f>
        <v/>
      </c>
      <c r="M249" s="34" t="str">
        <f t="shared" si="3"/>
        <v/>
      </c>
      <c r="N249" s="26"/>
      <c r="U249" s="64" t="str" cm="1">
        <f t="array" ref="U249">IF(OR(M249="", M249="Deleted"), "", _xlfn.LET(
  _xlpm.dates,
  _xlfn._xlws.FILTER(
    [1]SubmittalLog!$H$1:$H$4000,
    [1]SubmittalLog!$E$1:$E$4000=M249,
    ""
  ),
  _xlpm.min_date, IFERROR(MIN(_xlpm.dates), ""),
  IF(_xlpm.min_date=0, "", _xlpm.min_date)
))</f>
        <v/>
      </c>
      <c r="V249" s="63" t="str" cm="1">
        <f t="array" ref="V249">IF(OR(M249="", M249="Deleted"), "", IFERROR(
  _xlfn.TEXTJOIN(", ", TRUE,
    _xlfn.MAP(
      _xlfn.UNIQUE(
        _xlfn._xlws.FILTER(
          [1]SubmittalLog!$B$1:$B$4000,
          ([1]SubmittalLog!$E$1:$E$4000=M249) *
          ([1]SubmittalLog!$B$1:$B$4000&lt;&gt;""),
          ""
        )
      ),
      _xlfn.LAMBDA(_xlpm.val, TEXT(_xlpm.val, "000000"))
    )
  ),
""))</f>
        <v/>
      </c>
      <c r="W249" s="40" t="str" cm="1">
        <f t="array" ref="W249">IF(OR(M249="", M249="Deleted"), "", _xlfn.LET(
  _xlpm.doc_col, [1]SubmittalLog!$E$1:$E$4000,
  _xlpm.date_col, [1]SubmittalLog!$H$1:$H$4000,
  _xlpm.status_col, [1]SubmittalLog!$N$1:$N$4000,
  _xlpm.latest_date, _xlfn.MAXIFS(_xlpm.date_col, _xlpm.doc_col, M249),
  IF(_xlpm.latest_date=0, "NFS",
    _xlfn.LET(
      _xlpm.res, _xlfn.XLOOKUP(M249 &amp; "|" &amp; _xlpm.latest_date, _xlpm.doc_col &amp; "|" &amp; _xlpm.date_col, _xlpm.status_col, ""),
      IF(OR(_xlpm.res="", _xlpm.res=0), "", _xlpm.res)
    )
  )
))</f>
        <v/>
      </c>
      <c r="X249" s="39" t="str">
        <f>IF(OR(M249="", M249="Deleted"), "", _xlfn.LET(
  _xlpm.doc_col, [1]SubmittalLog!$E$1:$E$4000,
  _xlpm.date_col, [1]SubmittalLog!$H$1:$H$4000,
  _xlpm.status_col, [1]SubmittalLog!$O$1:$O$4000,
  _xlpm.first_app_date, _xlfn.MINIFS(_xlpm.date_col, _xlpm.doc_col, M249, _xlpm.status_col, "APP"),
  _xlpm.first_awc_date, _xlfn.MINIFS(_xlpm.date_col, _xlpm.doc_col, M249, _xlpm.status_col, "AWC"),
  _xlpm.earliest_date, IF(
    AND(_xlpm.first_app_date=0, _xlpm.first_awc_date=0), 0,
    IF(_xlpm.first_app_date=0, _xlpm.first_awc_date,
    IF(_xlpm.first_awc_date=0, _xlpm.first_app_date,
    MIN(_xlpm.first_app_date, _xlpm.first_awc_date)))
  ),
  IF(_xlpm.earliest_date=0, "", _xlpm.earliest_date)
))</f>
        <v/>
      </c>
      <c r="Y249" s="40" t="str" cm="1">
        <f t="array" ref="Y249">IF(OR(M249="", M249="Deleted"), "", _xlfn.LET(
  _xlpm.doc_col, [1]SubmittalLog!$E$1:$E$4000,
  _xlpm.date_col, [1]SubmittalLog!$H$1:$H$4000,
  _xlpm.status_col, [1]SubmittalLog!$O$1:$O$4000,
  _xlpm.has_sub, COUNTIF(_xlpm.doc_col, M249),
  _xlpm.latest_reviewed_date, _xlfn.MAXIFS(_xlpm.date_col, _xlpm.doc_col, M249, _xlpm.status_col, "&lt;&gt;"),
  IF(_xlpm.has_sub=0, "",
    IF(_xlpm.latest_reviewed_date=0, "",
      _xlfn.LET(
        _xlpm.res, _xlfn.XLOOKUP(1, (_xlpm.doc_col=M249) * (_xlpm.date_col=_xlpm.latest_reviewed_date) * (_xlpm.status_col&lt;&gt;""), _xlpm.status_col, ""),
        IF(OR(_xlpm.res="", _xlpm.res=0), "", _xlpm.res)
      )
    )
  )
))</f>
        <v/>
      </c>
    </row>
    <row r="250" spans="1:25" x14ac:dyDescent="0.35">
      <c r="A250" s="33" t="str">
        <f>IF($M250="","",MAX($A$1:A249)+1)</f>
        <v/>
      </c>
      <c r="M250" s="34" t="str">
        <f t="shared" si="3"/>
        <v/>
      </c>
      <c r="N250" s="26"/>
      <c r="U250" s="64" t="str" cm="1">
        <f t="array" ref="U250">IF(OR(M250="", M250="Deleted"), "", _xlfn.LET(
  _xlpm.dates,
  _xlfn._xlws.FILTER(
    [1]SubmittalLog!$H$1:$H$4000,
    [1]SubmittalLog!$E$1:$E$4000=M250,
    ""
  ),
  _xlpm.min_date, IFERROR(MIN(_xlpm.dates), ""),
  IF(_xlpm.min_date=0, "", _xlpm.min_date)
))</f>
        <v/>
      </c>
      <c r="V250" s="63" t="str" cm="1">
        <f t="array" ref="V250">IF(OR(M250="", M250="Deleted"), "", IFERROR(
  _xlfn.TEXTJOIN(", ", TRUE,
    _xlfn.MAP(
      _xlfn.UNIQUE(
        _xlfn._xlws.FILTER(
          [1]SubmittalLog!$B$1:$B$4000,
          ([1]SubmittalLog!$E$1:$E$4000=M250) *
          ([1]SubmittalLog!$B$1:$B$4000&lt;&gt;""),
          ""
        )
      ),
      _xlfn.LAMBDA(_xlpm.val, TEXT(_xlpm.val, "000000"))
    )
  ),
""))</f>
        <v/>
      </c>
      <c r="W250" s="40" t="str" cm="1">
        <f t="array" ref="W250">IF(OR(M250="", M250="Deleted"), "", _xlfn.LET(
  _xlpm.doc_col, [1]SubmittalLog!$E$1:$E$4000,
  _xlpm.date_col, [1]SubmittalLog!$H$1:$H$4000,
  _xlpm.status_col, [1]SubmittalLog!$N$1:$N$4000,
  _xlpm.latest_date, _xlfn.MAXIFS(_xlpm.date_col, _xlpm.doc_col, M250),
  IF(_xlpm.latest_date=0, "NFS",
    _xlfn.LET(
      _xlpm.res, _xlfn.XLOOKUP(M250 &amp; "|" &amp; _xlpm.latest_date, _xlpm.doc_col &amp; "|" &amp; _xlpm.date_col, _xlpm.status_col, ""),
      IF(OR(_xlpm.res="", _xlpm.res=0), "", _xlpm.res)
    )
  )
))</f>
        <v/>
      </c>
      <c r="X250" s="39" t="str">
        <f>IF(OR(M250="", M250="Deleted"), "", _xlfn.LET(
  _xlpm.doc_col, [1]SubmittalLog!$E$1:$E$4000,
  _xlpm.date_col, [1]SubmittalLog!$H$1:$H$4000,
  _xlpm.status_col, [1]SubmittalLog!$O$1:$O$4000,
  _xlpm.first_app_date, _xlfn.MINIFS(_xlpm.date_col, _xlpm.doc_col, M250, _xlpm.status_col, "APP"),
  _xlpm.first_awc_date, _xlfn.MINIFS(_xlpm.date_col, _xlpm.doc_col, M250, _xlpm.status_col, "AWC"),
  _xlpm.earliest_date, IF(
    AND(_xlpm.first_app_date=0, _xlpm.first_awc_date=0), 0,
    IF(_xlpm.first_app_date=0, _xlpm.first_awc_date,
    IF(_xlpm.first_awc_date=0, _xlpm.first_app_date,
    MIN(_xlpm.first_app_date, _xlpm.first_awc_date)))
  ),
  IF(_xlpm.earliest_date=0, "", _xlpm.earliest_date)
))</f>
        <v/>
      </c>
      <c r="Y250" s="40" t="str" cm="1">
        <f t="array" ref="Y250">IF(OR(M250="", M250="Deleted"), "", _xlfn.LET(
  _xlpm.doc_col, [1]SubmittalLog!$E$1:$E$4000,
  _xlpm.date_col, [1]SubmittalLog!$H$1:$H$4000,
  _xlpm.status_col, [1]SubmittalLog!$O$1:$O$4000,
  _xlpm.has_sub, COUNTIF(_xlpm.doc_col, M250),
  _xlpm.latest_reviewed_date, _xlfn.MAXIFS(_xlpm.date_col, _xlpm.doc_col, M250, _xlpm.status_col, "&lt;&gt;"),
  IF(_xlpm.has_sub=0, "",
    IF(_xlpm.latest_reviewed_date=0, "",
      _xlfn.LET(
        _xlpm.res, _xlfn.XLOOKUP(1, (_xlpm.doc_col=M250) * (_xlpm.date_col=_xlpm.latest_reviewed_date) * (_xlpm.status_col&lt;&gt;""), _xlpm.status_col, ""),
        IF(OR(_xlpm.res="", _xlpm.res=0), "", _xlpm.res)
      )
    )
  )
))</f>
        <v/>
      </c>
    </row>
    <row r="251" spans="1:25" x14ac:dyDescent="0.35">
      <c r="A251" s="33" t="str">
        <f>IF($M251="","",MAX($A$1:A250)+1)</f>
        <v/>
      </c>
      <c r="M251" s="34" t="str">
        <f t="shared" si="3"/>
        <v/>
      </c>
      <c r="N251" s="26" t="s">
        <v>3468</v>
      </c>
      <c r="U251" s="64" t="str" cm="1">
        <f t="array" ref="U251">IF(OR(M251="", M251="Deleted"), "", _xlfn.LET(
  _xlpm.dates,
  _xlfn._xlws.FILTER(
    [1]SubmittalLog!$H$1:$H$4000,
    [1]SubmittalLog!$E$1:$E$4000=M251,
    ""
  ),
  _xlpm.min_date, IFERROR(MIN(_xlpm.dates), ""),
  IF(_xlpm.min_date=0, "", _xlpm.min_date)
))</f>
        <v/>
      </c>
      <c r="V251" s="63" t="str" cm="1">
        <f t="array" ref="V251">IF(OR(M251="", M251="Deleted"), "", IFERROR(
  _xlfn.TEXTJOIN(", ", TRUE,
    _xlfn.MAP(
      _xlfn.UNIQUE(
        _xlfn._xlws.FILTER(
          [1]SubmittalLog!$B$1:$B$4000,
          ([1]SubmittalLog!$E$1:$E$4000=M251) *
          ([1]SubmittalLog!$B$1:$B$4000&lt;&gt;""),
          ""
        )
      ),
      _xlfn.LAMBDA(_xlpm.val, TEXT(_xlpm.val, "000000"))
    )
  ),
""))</f>
        <v/>
      </c>
      <c r="W251" s="40" t="str" cm="1">
        <f t="array" ref="W251">IF(OR(M251="", M251="Deleted"), "", _xlfn.LET(
  _xlpm.doc_col, [1]SubmittalLog!$E$1:$E$4000,
  _xlpm.date_col, [1]SubmittalLog!$H$1:$H$4000,
  _xlpm.status_col, [1]SubmittalLog!$N$1:$N$4000,
  _xlpm.latest_date, _xlfn.MAXIFS(_xlpm.date_col, _xlpm.doc_col, M251),
  IF(_xlpm.latest_date=0, "NFS",
    _xlfn.LET(
      _xlpm.res, _xlfn.XLOOKUP(M251 &amp; "|" &amp; _xlpm.latest_date, _xlpm.doc_col &amp; "|" &amp; _xlpm.date_col, _xlpm.status_col, ""),
      IF(OR(_xlpm.res="", _xlpm.res=0), "", _xlpm.res)
    )
  )
))</f>
        <v/>
      </c>
      <c r="X251" s="39" t="str">
        <f>IF(OR(M251="", M251="Deleted"), "", _xlfn.LET(
  _xlpm.doc_col, [1]SubmittalLog!$E$1:$E$4000,
  _xlpm.date_col, [1]SubmittalLog!$H$1:$H$4000,
  _xlpm.status_col, [1]SubmittalLog!$O$1:$O$4000,
  _xlpm.first_app_date, _xlfn.MINIFS(_xlpm.date_col, _xlpm.doc_col, M251, _xlpm.status_col, "APP"),
  _xlpm.first_awc_date, _xlfn.MINIFS(_xlpm.date_col, _xlpm.doc_col, M251, _xlpm.status_col, "AWC"),
  _xlpm.earliest_date, IF(
    AND(_xlpm.first_app_date=0, _xlpm.first_awc_date=0), 0,
    IF(_xlpm.first_app_date=0, _xlpm.first_awc_date,
    IF(_xlpm.first_awc_date=0, _xlpm.first_app_date,
    MIN(_xlpm.first_app_date, _xlpm.first_awc_date)))
  ),
  IF(_xlpm.earliest_date=0, "", _xlpm.earliest_date)
))</f>
        <v/>
      </c>
      <c r="Y251" s="40" t="str" cm="1">
        <f t="array" ref="Y251">IF(OR(M251="", M251="Deleted"), "", _xlfn.LET(
  _xlpm.doc_col, [1]SubmittalLog!$E$1:$E$4000,
  _xlpm.date_col, [1]SubmittalLog!$H$1:$H$4000,
  _xlpm.status_col, [1]SubmittalLog!$O$1:$O$4000,
  _xlpm.has_sub, COUNTIF(_xlpm.doc_col, M251),
  _xlpm.latest_reviewed_date, _xlfn.MAXIFS(_xlpm.date_col, _xlpm.doc_col, M251, _xlpm.status_col, "&lt;&gt;"),
  IF(_xlpm.has_sub=0, "",
    IF(_xlpm.latest_reviewed_date=0, "",
      _xlfn.LET(
        _xlpm.res, _xlfn.XLOOKUP(1, (_xlpm.doc_col=M251) * (_xlpm.date_col=_xlpm.latest_reviewed_date) * (_xlpm.status_col&lt;&gt;""), _xlpm.status_col, ""),
        IF(OR(_xlpm.res="", _xlpm.res=0), "", _xlpm.res)
      )
    )
  )
))</f>
        <v/>
      </c>
    </row>
    <row r="252" spans="1:25" x14ac:dyDescent="0.35">
      <c r="A252" s="33">
        <f>IF($M252="","",MAX($A$1:A251)+1)</f>
        <v>233</v>
      </c>
      <c r="B252" s="23" t="s">
        <v>239</v>
      </c>
      <c r="C252" s="23" t="s">
        <v>234</v>
      </c>
      <c r="G252" s="33">
        <v>131236</v>
      </c>
      <c r="H252" s="33" t="s">
        <v>59</v>
      </c>
      <c r="I252" s="33" t="s">
        <v>456</v>
      </c>
      <c r="J252" s="33" t="s">
        <v>233</v>
      </c>
      <c r="K252" s="51" t="s">
        <v>3469</v>
      </c>
      <c r="M252" s="34" t="str">
        <f t="shared" si="3"/>
        <v>131236-WIL21-VI-M-0001</v>
      </c>
      <c r="N252" s="26" t="s">
        <v>3787</v>
      </c>
      <c r="P252" s="34" t="s">
        <v>3467</v>
      </c>
      <c r="S252" s="35">
        <v>45091</v>
      </c>
      <c r="T252" s="35">
        <v>45091</v>
      </c>
      <c r="U252" s="64" cm="1">
        <f t="array" ref="U252">IF(OR(M252="", M252="Deleted"), "", _xlfn.LET(
  _xlpm.dates,
  _xlfn._xlws.FILTER(
    [1]SubmittalLog!$H$1:$H$4000,
    [1]SubmittalLog!$E$1:$E$4000=M252,
    ""
  ),
  _xlpm.min_date, IFERROR(MIN(_xlpm.dates), ""),
  IF(_xlpm.min_date=0, "", _xlpm.min_date)
))</f>
        <v>45091</v>
      </c>
      <c r="V252" s="63" t="str" cm="1">
        <f t="array" ref="V252">IF(OR(M252="", M252="Deleted"), "", IFERROR(
  _xlfn.TEXTJOIN(", ", TRUE,
    _xlfn.MAP(
      _xlfn.UNIQUE(
        _xlfn._xlws.FILTER(
          [1]SubmittalLog!$B$1:$B$4000,
          ([1]SubmittalLog!$E$1:$E$4000=M252) *
          ([1]SubmittalLog!$B$1:$B$4000&lt;&gt;""),
          ""
        )
      ),
      _xlfn.LAMBDA(_xlpm.val, TEXT(_xlpm.val, "000000"))
    )
  ),
""))</f>
        <v>000088, 000028</v>
      </c>
      <c r="W252" s="40" t="str" cm="1">
        <f t="array" ref="W252">IF(OR(M252="", M252="Deleted"), "", _xlfn.LET(
  _xlpm.doc_col, [1]SubmittalLog!$E$1:$E$4000,
  _xlpm.date_col, [1]SubmittalLog!$H$1:$H$4000,
  _xlpm.status_col, [1]SubmittalLog!$N$1:$N$4000,
  _xlpm.latest_date, _xlfn.MAXIFS(_xlpm.date_col, _xlpm.doc_col, M252),
  IF(_xlpm.latest_date=0, "NFS",
    _xlfn.LET(
      _xlpm.res, _xlfn.XLOOKUP(M252 &amp; "|" &amp; _xlpm.latest_date, _xlpm.doc_col &amp; "|" &amp; _xlpm.date_col, _xlpm.status_col, ""),
      IF(OR(_xlpm.res="", _xlpm.res=0), "", _xlpm.res)
    )
  )
))</f>
        <v>RTR</v>
      </c>
      <c r="X252" s="39">
        <f>IF(OR(M252="", M252="Deleted"), "", _xlfn.LET(
  _xlpm.doc_col, [1]SubmittalLog!$E$1:$E$4000,
  _xlpm.date_col, [1]SubmittalLog!$H$1:$H$4000,
  _xlpm.status_col, [1]SubmittalLog!$O$1:$O$4000,
  _xlpm.first_app_date, _xlfn.MINIFS(_xlpm.date_col, _xlpm.doc_col, M252, _xlpm.status_col, "APP"),
  _xlpm.first_awc_date, _xlfn.MINIFS(_xlpm.date_col, _xlpm.doc_col, M252, _xlpm.status_col, "AWC"),
  _xlpm.earliest_date, IF(
    AND(_xlpm.first_app_date=0, _xlpm.first_awc_date=0), 0,
    IF(_xlpm.first_app_date=0, _xlpm.first_awc_date,
    IF(_xlpm.first_awc_date=0, _xlpm.first_app_date,
    MIN(_xlpm.first_app_date, _xlpm.first_awc_date)))
  ),
  IF(_xlpm.earliest_date=0, "", _xlpm.earliest_date)
))</f>
        <v>45091</v>
      </c>
      <c r="Y252" s="40" t="str" cm="1">
        <f t="array" ref="Y252">IF(OR(M252="", M252="Deleted"), "", _xlfn.LET(
  _xlpm.doc_col, [1]SubmittalLog!$E$1:$E$4000,
  _xlpm.date_col, [1]SubmittalLog!$H$1:$H$4000,
  _xlpm.status_col, [1]SubmittalLog!$O$1:$O$4000,
  _xlpm.has_sub, COUNTIF(_xlpm.doc_col, M252),
  _xlpm.latest_reviewed_date, _xlfn.MAXIFS(_xlpm.date_col, _xlpm.doc_col, M252, _xlpm.status_col, "&lt;&gt;"),
  IF(_xlpm.has_sub=0, "",
    IF(_xlpm.latest_reviewed_date=0, "",
      _xlfn.LET(
        _xlpm.res, _xlfn.XLOOKUP(1, (_xlpm.doc_col=M252) * (_xlpm.date_col=_xlpm.latest_reviewed_date) * (_xlpm.status_col&lt;&gt;""), _xlpm.status_col, ""),
        IF(OR(_xlpm.res="", _xlpm.res=0), "", _xlpm.res)
      )
    )
  )
))</f>
        <v>AWC</v>
      </c>
    </row>
    <row r="253" spans="1:25" ht="29" x14ac:dyDescent="0.35">
      <c r="A253" s="33">
        <f>IF($M253="","",MAX($A$1:A252)+1)</f>
        <v>234</v>
      </c>
      <c r="B253" s="23" t="s">
        <v>239</v>
      </c>
      <c r="C253" s="23" t="s">
        <v>234</v>
      </c>
      <c r="G253" s="33">
        <v>131236</v>
      </c>
      <c r="H253" s="33" t="s">
        <v>59</v>
      </c>
      <c r="I253" s="33" t="s">
        <v>456</v>
      </c>
      <c r="J253" s="33" t="s">
        <v>233</v>
      </c>
      <c r="K253" s="51" t="s">
        <v>3503</v>
      </c>
      <c r="M253" s="34" t="str">
        <f t="shared" si="3"/>
        <v>131236-WIL21-VI-M-0002</v>
      </c>
      <c r="N253" s="26" t="s">
        <v>3788</v>
      </c>
      <c r="P253" s="34" t="s">
        <v>3467</v>
      </c>
      <c r="S253" s="35">
        <v>45442</v>
      </c>
      <c r="T253" s="35">
        <v>45442</v>
      </c>
      <c r="U253" s="64" cm="1">
        <f t="array" ref="U253">IF(OR(M253="", M253="Deleted"), "", _xlfn.LET(
  _xlpm.dates,
  _xlfn._xlws.FILTER(
    [1]SubmittalLog!$H$1:$H$4000,
    [1]SubmittalLog!$E$1:$E$4000=M253,
    ""
  ),
  _xlpm.min_date, IFERROR(MIN(_xlpm.dates), ""),
  IF(_xlpm.min_date=0, "", _xlpm.min_date)
))</f>
        <v>45442</v>
      </c>
      <c r="V253" s="63" t="str" cm="1">
        <f t="array" ref="V253">IF(OR(M253="", M253="Deleted"), "", IFERROR(
  _xlfn.TEXTJOIN(", ", TRUE,
    _xlfn.MAP(
      _xlfn.UNIQUE(
        _xlfn._xlws.FILTER(
          [1]SubmittalLog!$B$1:$B$4000,
          ([1]SubmittalLog!$E$1:$E$4000=M253) *
          ([1]SubmittalLog!$B$1:$B$4000&lt;&gt;""),
          ""
        )
      ),
      _xlfn.LAMBDA(_xlpm.val, TEXT(_xlpm.val, "000000"))
    )
  ),
""))</f>
        <v>000499</v>
      </c>
      <c r="W253" s="40" t="str" cm="1">
        <f t="array" ref="W253">IF(OR(M253="", M253="Deleted"), "", _xlfn.LET(
  _xlpm.doc_col, [1]SubmittalLog!$E$1:$E$4000,
  _xlpm.date_col, [1]SubmittalLog!$H$1:$H$4000,
  _xlpm.status_col, [1]SubmittalLog!$N$1:$N$4000,
  _xlpm.latest_date, _xlfn.MAXIFS(_xlpm.date_col, _xlpm.doc_col, M253),
  IF(_xlpm.latest_date=0, "NFS",
    _xlfn.LET(
      _xlpm.res, _xlfn.XLOOKUP(M253 &amp; "|" &amp; _xlpm.latest_date, _xlpm.doc_col &amp; "|" &amp; _xlpm.date_col, _xlpm.status_col, ""),
      IF(OR(_xlpm.res="", _xlpm.res=0), "", _xlpm.res)
    )
  )
))</f>
        <v>RTR</v>
      </c>
      <c r="X253" s="39">
        <f>IF(OR(M253="", M253="Deleted"), "", _xlfn.LET(
  _xlpm.doc_col, [1]SubmittalLog!$E$1:$E$4000,
  _xlpm.date_col, [1]SubmittalLog!$H$1:$H$4000,
  _xlpm.status_col, [1]SubmittalLog!$O$1:$O$4000,
  _xlpm.first_app_date, _xlfn.MINIFS(_xlpm.date_col, _xlpm.doc_col, M253, _xlpm.status_col, "APP"),
  _xlpm.first_awc_date, _xlfn.MINIFS(_xlpm.date_col, _xlpm.doc_col, M253, _xlpm.status_col, "AWC"),
  _xlpm.earliest_date, IF(
    AND(_xlpm.first_app_date=0, _xlpm.first_awc_date=0), 0,
    IF(_xlpm.first_app_date=0, _xlpm.first_awc_date,
    IF(_xlpm.first_awc_date=0, _xlpm.first_app_date,
    MIN(_xlpm.first_app_date, _xlpm.first_awc_date)))
  ),
  IF(_xlpm.earliest_date=0, "", _xlpm.earliest_date)
))</f>
        <v>45442</v>
      </c>
      <c r="Y253" s="40" t="str" cm="1">
        <f t="array" ref="Y253">IF(OR(M253="", M253="Deleted"), "", _xlfn.LET(
  _xlpm.doc_col, [1]SubmittalLog!$E$1:$E$4000,
  _xlpm.date_col, [1]SubmittalLog!$H$1:$H$4000,
  _xlpm.status_col, [1]SubmittalLog!$O$1:$O$4000,
  _xlpm.has_sub, COUNTIF(_xlpm.doc_col, M253),
  _xlpm.latest_reviewed_date, _xlfn.MAXIFS(_xlpm.date_col, _xlpm.doc_col, M253, _xlpm.status_col, "&lt;&gt;"),
  IF(_xlpm.has_sub=0, "",
    IF(_xlpm.latest_reviewed_date=0, "",
      _xlfn.LET(
        _xlpm.res, _xlfn.XLOOKUP(1, (_xlpm.doc_col=M253) * (_xlpm.date_col=_xlpm.latest_reviewed_date) * (_xlpm.status_col&lt;&gt;""), _xlpm.status_col, ""),
        IF(OR(_xlpm.res="", _xlpm.res=0), "", _xlpm.res)
      )
    )
  )
))</f>
        <v>AWC</v>
      </c>
    </row>
    <row r="254" spans="1:25" ht="29" x14ac:dyDescent="0.35">
      <c r="A254" s="33">
        <f>IF($M254="","",MAX($A$1:A253)+1)</f>
        <v>235</v>
      </c>
      <c r="B254" s="23" t="s">
        <v>239</v>
      </c>
      <c r="C254" s="23" t="s">
        <v>234</v>
      </c>
      <c r="G254" s="33">
        <v>131236</v>
      </c>
      <c r="H254" s="33" t="s">
        <v>59</v>
      </c>
      <c r="I254" s="33" t="s">
        <v>456</v>
      </c>
      <c r="J254" s="33" t="s">
        <v>233</v>
      </c>
      <c r="K254" s="51" t="s">
        <v>3505</v>
      </c>
      <c r="M254" s="34" t="str">
        <f t="shared" si="3"/>
        <v>131236-WIL21-VI-M-0003</v>
      </c>
      <c r="N254" s="26" t="s">
        <v>3789</v>
      </c>
      <c r="P254" s="34" t="s">
        <v>3467</v>
      </c>
      <c r="S254" s="35">
        <v>45719</v>
      </c>
      <c r="T254" s="35">
        <v>45719</v>
      </c>
      <c r="U254" s="64" cm="1">
        <f t="array" ref="U254">IF(OR(M254="", M254="Deleted"), "", _xlfn.LET(
  _xlpm.dates,
  _xlfn._xlws.FILTER(
    [1]SubmittalLog!$H$1:$H$4000,
    [1]SubmittalLog!$E$1:$E$4000=M254,
    ""
  ),
  _xlpm.min_date, IFERROR(MIN(_xlpm.dates), ""),
  IF(_xlpm.min_date=0, "", _xlpm.min_date)
))</f>
        <v>45719</v>
      </c>
      <c r="V254" s="63" t="str" cm="1">
        <f t="array" ref="V254">IF(OR(M254="", M254="Deleted"), "", IFERROR(
  _xlfn.TEXTJOIN(", ", TRUE,
    _xlfn.MAP(
      _xlfn.UNIQUE(
        _xlfn._xlws.FILTER(
          [1]SubmittalLog!$B$1:$B$4000,
          ([1]SubmittalLog!$E$1:$E$4000=M254) *
          ([1]SubmittalLog!$B$1:$B$4000&lt;&gt;""),
          ""
        )
      ),
      _xlfn.LAMBDA(_xlpm.val, TEXT(_xlpm.val, "000000"))
    )
  ),
""))</f>
        <v>001081</v>
      </c>
      <c r="W254" s="40" t="str" cm="1">
        <f t="array" ref="W254">IF(OR(M254="", M254="Deleted"), "", _xlfn.LET(
  _xlpm.doc_col, [1]SubmittalLog!$E$1:$E$4000,
  _xlpm.date_col, [1]SubmittalLog!$H$1:$H$4000,
  _xlpm.status_col, [1]SubmittalLog!$N$1:$N$4000,
  _xlpm.latest_date, _xlfn.MAXIFS(_xlpm.date_col, _xlpm.doc_col, M254),
  IF(_xlpm.latest_date=0, "NFS",
    _xlfn.LET(
      _xlpm.res, _xlfn.XLOOKUP(M254 &amp; "|" &amp; _xlpm.latest_date, _xlpm.doc_col &amp; "|" &amp; _xlpm.date_col, _xlpm.status_col, ""),
      IF(OR(_xlpm.res="", _xlpm.res=0), "", _xlpm.res)
    )
  )
))</f>
        <v>RTR</v>
      </c>
      <c r="X254" s="39">
        <f>IF(OR(M254="", M254="Deleted"), "", _xlfn.LET(
  _xlpm.doc_col, [1]SubmittalLog!$E$1:$E$4000,
  _xlpm.date_col, [1]SubmittalLog!$H$1:$H$4000,
  _xlpm.status_col, [1]SubmittalLog!$O$1:$O$4000,
  _xlpm.first_app_date, _xlfn.MINIFS(_xlpm.date_col, _xlpm.doc_col, M254, _xlpm.status_col, "APP"),
  _xlpm.first_awc_date, _xlfn.MINIFS(_xlpm.date_col, _xlpm.doc_col, M254, _xlpm.status_col, "AWC"),
  _xlpm.earliest_date, IF(
    AND(_xlpm.first_app_date=0, _xlpm.first_awc_date=0), 0,
    IF(_xlpm.first_app_date=0, _xlpm.first_awc_date,
    IF(_xlpm.first_awc_date=0, _xlpm.first_app_date,
    MIN(_xlpm.first_app_date, _xlpm.first_awc_date)))
  ),
  IF(_xlpm.earliest_date=0, "", _xlpm.earliest_date)
))</f>
        <v>45719</v>
      </c>
      <c r="Y254" s="40" t="str" cm="1">
        <f t="array" ref="Y254">IF(OR(M254="", M254="Deleted"), "", _xlfn.LET(
  _xlpm.doc_col, [1]SubmittalLog!$E$1:$E$4000,
  _xlpm.date_col, [1]SubmittalLog!$H$1:$H$4000,
  _xlpm.status_col, [1]SubmittalLog!$O$1:$O$4000,
  _xlpm.has_sub, COUNTIF(_xlpm.doc_col, M254),
  _xlpm.latest_reviewed_date, _xlfn.MAXIFS(_xlpm.date_col, _xlpm.doc_col, M254, _xlpm.status_col, "&lt;&gt;"),
  IF(_xlpm.has_sub=0, "",
    IF(_xlpm.latest_reviewed_date=0, "",
      _xlfn.LET(
        _xlpm.res, _xlfn.XLOOKUP(1, (_xlpm.doc_col=M254) * (_xlpm.date_col=_xlpm.latest_reviewed_date) * (_xlpm.status_col&lt;&gt;""), _xlpm.status_col, ""),
        IF(OR(_xlpm.res="", _xlpm.res=0), "", _xlpm.res)
      )
    )
  )
))</f>
        <v>AWC</v>
      </c>
    </row>
    <row r="255" spans="1:25" ht="29" x14ac:dyDescent="0.35">
      <c r="A255" s="33">
        <f>IF($M255="","",MAX($A$1:A254)+1)</f>
        <v>236</v>
      </c>
      <c r="B255" s="23" t="s">
        <v>239</v>
      </c>
      <c r="C255" s="23" t="s">
        <v>234</v>
      </c>
      <c r="G255" s="33">
        <v>131236</v>
      </c>
      <c r="H255" s="33" t="s">
        <v>59</v>
      </c>
      <c r="I255" s="33" t="s">
        <v>456</v>
      </c>
      <c r="J255" s="33" t="s">
        <v>233</v>
      </c>
      <c r="K255" s="51" t="s">
        <v>3521</v>
      </c>
      <c r="M255" s="34" t="str">
        <f t="shared" si="3"/>
        <v>131236-WIL21-VI-M-0004</v>
      </c>
      <c r="N255" s="26" t="s">
        <v>3790</v>
      </c>
      <c r="P255" s="34" t="s">
        <v>3467</v>
      </c>
      <c r="S255" s="35">
        <v>45787</v>
      </c>
      <c r="T255" s="35">
        <v>45787</v>
      </c>
      <c r="U255" s="64" cm="1">
        <f t="array" ref="U255">IF(OR(M255="", M255="Deleted"), "", _xlfn.LET(
  _xlpm.dates,
  _xlfn._xlws.FILTER(
    [1]SubmittalLog!$H$1:$H$4000,
    [1]SubmittalLog!$E$1:$E$4000=M255,
    ""
  ),
  _xlpm.min_date, IFERROR(MIN(_xlpm.dates), ""),
  IF(_xlpm.min_date=0, "", _xlpm.min_date)
))</f>
        <v>45787</v>
      </c>
      <c r="V255" s="63" t="str" cm="1">
        <f t="array" ref="V255">IF(OR(M255="", M255="Deleted"), "", IFERROR(
  _xlfn.TEXTJOIN(", ", TRUE,
    _xlfn.MAP(
      _xlfn.UNIQUE(
        _xlfn._xlws.FILTER(
          [1]SubmittalLog!$B$1:$B$4000,
          ([1]SubmittalLog!$E$1:$E$4000=M255) *
          ([1]SubmittalLog!$B$1:$B$4000&lt;&gt;""),
          ""
        )
      ),
      _xlfn.LAMBDA(_xlpm.val, TEXT(_xlpm.val, "000000"))
    )
  ),
""))</f>
        <v>001274</v>
      </c>
      <c r="W255" s="40" t="str" cm="1">
        <f t="array" ref="W255">IF(OR(M255="", M255="Deleted"), "", _xlfn.LET(
  _xlpm.doc_col, [1]SubmittalLog!$E$1:$E$4000,
  _xlpm.date_col, [1]SubmittalLog!$H$1:$H$4000,
  _xlpm.status_col, [1]SubmittalLog!$N$1:$N$4000,
  _xlpm.latest_date, _xlfn.MAXIFS(_xlpm.date_col, _xlpm.doc_col, M255),
  IF(_xlpm.latest_date=0, "NFS",
    _xlfn.LET(
      _xlpm.res, _xlfn.XLOOKUP(M255 &amp; "|" &amp; _xlpm.latest_date, _xlpm.doc_col &amp; "|" &amp; _xlpm.date_col, _xlpm.status_col, ""),
      IF(OR(_xlpm.res="", _xlpm.res=0), "", _xlpm.res)
    )
  )
))</f>
        <v>RTR</v>
      </c>
      <c r="X255" s="39">
        <f>IF(OR(M255="", M255="Deleted"), "", _xlfn.LET(
  _xlpm.doc_col, [1]SubmittalLog!$E$1:$E$4000,
  _xlpm.date_col, [1]SubmittalLog!$H$1:$H$4000,
  _xlpm.status_col, [1]SubmittalLog!$O$1:$O$4000,
  _xlpm.first_app_date, _xlfn.MINIFS(_xlpm.date_col, _xlpm.doc_col, M255, _xlpm.status_col, "APP"),
  _xlpm.first_awc_date, _xlfn.MINIFS(_xlpm.date_col, _xlpm.doc_col, M255, _xlpm.status_col, "AWC"),
  _xlpm.earliest_date, IF(
    AND(_xlpm.first_app_date=0, _xlpm.first_awc_date=0), 0,
    IF(_xlpm.first_app_date=0, _xlpm.first_awc_date,
    IF(_xlpm.first_awc_date=0, _xlpm.first_app_date,
    MIN(_xlpm.first_app_date, _xlpm.first_awc_date)))
  ),
  IF(_xlpm.earliest_date=0, "", _xlpm.earliest_date)
))</f>
        <v>45787</v>
      </c>
      <c r="Y255" s="40" t="str" cm="1">
        <f t="array" ref="Y255">IF(OR(M255="", M255="Deleted"), "", _xlfn.LET(
  _xlpm.doc_col, [1]SubmittalLog!$E$1:$E$4000,
  _xlpm.date_col, [1]SubmittalLog!$H$1:$H$4000,
  _xlpm.status_col, [1]SubmittalLog!$O$1:$O$4000,
  _xlpm.has_sub, COUNTIF(_xlpm.doc_col, M255),
  _xlpm.latest_reviewed_date, _xlfn.MAXIFS(_xlpm.date_col, _xlpm.doc_col, M255, _xlpm.status_col, "&lt;&gt;"),
  IF(_xlpm.has_sub=0, "",
    IF(_xlpm.latest_reviewed_date=0, "",
      _xlfn.LET(
        _xlpm.res, _xlfn.XLOOKUP(1, (_xlpm.doc_col=M255) * (_xlpm.date_col=_xlpm.latest_reviewed_date) * (_xlpm.status_col&lt;&gt;""), _xlpm.status_col, ""),
        IF(OR(_xlpm.res="", _xlpm.res=0), "", _xlpm.res)
      )
    )
  )
))</f>
        <v>AWC</v>
      </c>
    </row>
    <row r="256" spans="1:25" x14ac:dyDescent="0.35">
      <c r="A256" s="33" t="str">
        <f>IF($M256="","",MAX($A$1:A255)+1)</f>
        <v/>
      </c>
      <c r="M256" s="34" t="str">
        <f t="shared" si="3"/>
        <v/>
      </c>
      <c r="N256" s="26" t="s">
        <v>3501</v>
      </c>
      <c r="U256" s="64" t="str" cm="1">
        <f t="array" ref="U256">IF(OR(M256="", M256="Deleted"), "", _xlfn.LET(
  _xlpm.dates,
  _xlfn._xlws.FILTER(
    [1]SubmittalLog!$H$1:$H$4000,
    [1]SubmittalLog!$E$1:$E$4000=M256,
    ""
  ),
  _xlpm.min_date, IFERROR(MIN(_xlpm.dates), ""),
  IF(_xlpm.min_date=0, "", _xlpm.min_date)
))</f>
        <v/>
      </c>
      <c r="V256" s="63" t="str" cm="1">
        <f t="array" ref="V256">IF(OR(M256="", M256="Deleted"), "", IFERROR(
  _xlfn.TEXTJOIN(", ", TRUE,
    _xlfn.MAP(
      _xlfn.UNIQUE(
        _xlfn._xlws.FILTER(
          [1]SubmittalLog!$B$1:$B$4000,
          ([1]SubmittalLog!$E$1:$E$4000=M256) *
          ([1]SubmittalLog!$B$1:$B$4000&lt;&gt;""),
          ""
        )
      ),
      _xlfn.LAMBDA(_xlpm.val, TEXT(_xlpm.val, "000000"))
    )
  ),
""))</f>
        <v/>
      </c>
      <c r="W256" s="40" t="str" cm="1">
        <f t="array" ref="W256">IF(OR(M256="", M256="Deleted"), "", _xlfn.LET(
  _xlpm.doc_col, [1]SubmittalLog!$E$1:$E$4000,
  _xlpm.date_col, [1]SubmittalLog!$H$1:$H$4000,
  _xlpm.status_col, [1]SubmittalLog!$N$1:$N$4000,
  _xlpm.latest_date, _xlfn.MAXIFS(_xlpm.date_col, _xlpm.doc_col, M256),
  IF(_xlpm.latest_date=0, "NFS",
    _xlfn.LET(
      _xlpm.res, _xlfn.XLOOKUP(M256 &amp; "|" &amp; _xlpm.latest_date, _xlpm.doc_col &amp; "|" &amp; _xlpm.date_col, _xlpm.status_col, ""),
      IF(OR(_xlpm.res="", _xlpm.res=0), "", _xlpm.res)
    )
  )
))</f>
        <v/>
      </c>
      <c r="X256" s="39" t="str">
        <f>IF(OR(M256="", M256="Deleted"), "", _xlfn.LET(
  _xlpm.doc_col, [1]SubmittalLog!$E$1:$E$4000,
  _xlpm.date_col, [1]SubmittalLog!$H$1:$H$4000,
  _xlpm.status_col, [1]SubmittalLog!$O$1:$O$4000,
  _xlpm.first_app_date, _xlfn.MINIFS(_xlpm.date_col, _xlpm.doc_col, M256, _xlpm.status_col, "APP"),
  _xlpm.first_awc_date, _xlfn.MINIFS(_xlpm.date_col, _xlpm.doc_col, M256, _xlpm.status_col, "AWC"),
  _xlpm.earliest_date, IF(
    AND(_xlpm.first_app_date=0, _xlpm.first_awc_date=0), 0,
    IF(_xlpm.first_app_date=0, _xlpm.first_awc_date,
    IF(_xlpm.first_awc_date=0, _xlpm.first_app_date,
    MIN(_xlpm.first_app_date, _xlpm.first_awc_date)))
  ),
  IF(_xlpm.earliest_date=0, "", _xlpm.earliest_date)
))</f>
        <v/>
      </c>
      <c r="Y256" s="40" t="str" cm="1">
        <f t="array" ref="Y256">IF(OR(M256="", M256="Deleted"), "", _xlfn.LET(
  _xlpm.doc_col, [1]SubmittalLog!$E$1:$E$4000,
  _xlpm.date_col, [1]SubmittalLog!$H$1:$H$4000,
  _xlpm.status_col, [1]SubmittalLog!$O$1:$O$4000,
  _xlpm.has_sub, COUNTIF(_xlpm.doc_col, M256),
  _xlpm.latest_reviewed_date, _xlfn.MAXIFS(_xlpm.date_col, _xlpm.doc_col, M256, _xlpm.status_col, "&lt;&gt;"),
  IF(_xlpm.has_sub=0, "",
    IF(_xlpm.latest_reviewed_date=0, "",
      _xlfn.LET(
        _xlpm.res, _xlfn.XLOOKUP(1, (_xlpm.doc_col=M256) * (_xlpm.date_col=_xlpm.latest_reviewed_date) * (_xlpm.status_col&lt;&gt;""), _xlpm.status_col, ""),
        IF(OR(_xlpm.res="", _xlpm.res=0), "", _xlpm.res)
      )
    )
  )
))</f>
        <v/>
      </c>
    </row>
    <row r="257" spans="1:25" x14ac:dyDescent="0.35">
      <c r="A257" s="33">
        <f>IF($M257="","",MAX($A$1:A256)+1)</f>
        <v>237</v>
      </c>
      <c r="B257" s="23" t="s">
        <v>213</v>
      </c>
      <c r="C257" s="23" t="s">
        <v>257</v>
      </c>
      <c r="G257" s="33">
        <v>131236</v>
      </c>
      <c r="H257" s="33" t="s">
        <v>59</v>
      </c>
      <c r="I257" s="33" t="s">
        <v>432</v>
      </c>
      <c r="J257" s="33" t="s">
        <v>3496</v>
      </c>
      <c r="K257" s="51" t="s">
        <v>3469</v>
      </c>
      <c r="M257" s="34" t="str">
        <f t="shared" si="3"/>
        <v>131236-WIL21-RT-P-0001</v>
      </c>
      <c r="N257" s="26" t="s">
        <v>3791</v>
      </c>
      <c r="P257" s="34" t="s">
        <v>3467</v>
      </c>
      <c r="S257" s="35">
        <v>45270</v>
      </c>
      <c r="T257" s="35">
        <v>45320</v>
      </c>
      <c r="U257" s="64" cm="1">
        <f t="array" ref="U257">IF(OR(M257="", M257="Deleted"), "", _xlfn.LET(
  _xlpm.dates,
  _xlfn._xlws.FILTER(
    [1]SubmittalLog!$H$1:$H$4000,
    [1]SubmittalLog!$E$1:$E$4000=M257,
    ""
  ),
  _xlpm.min_date, IFERROR(MIN(_xlpm.dates), ""),
  IF(_xlpm.min_date=0, "", _xlpm.min_date)
))</f>
        <v>45308</v>
      </c>
      <c r="V257" s="63" t="str" cm="1">
        <f t="array" ref="V257">IF(OR(M257="", M257="Deleted"), "", IFERROR(
  _xlfn.TEXTJOIN(", ", TRUE,
    _xlfn.MAP(
      _xlfn.UNIQUE(
        _xlfn._xlws.FILTER(
          [1]SubmittalLog!$B$1:$B$4000,
          ([1]SubmittalLog!$E$1:$E$4000=M257) *
          ([1]SubmittalLog!$B$1:$B$4000&lt;&gt;""),
          ""
        )
      ),
      _xlfn.LAMBDA(_xlpm.val, TEXT(_xlpm.val, "000000"))
    )
  ),
""))</f>
        <v>000407, 000278</v>
      </c>
      <c r="W257" s="40" t="str" cm="1">
        <f t="array" ref="W257">IF(OR(M257="", M257="Deleted"), "", _xlfn.LET(
  _xlpm.doc_col, [1]SubmittalLog!$E$1:$E$4000,
  _xlpm.date_col, [1]SubmittalLog!$H$1:$H$4000,
  _xlpm.status_col, [1]SubmittalLog!$N$1:$N$4000,
  _xlpm.latest_date, _xlfn.MAXIFS(_xlpm.date_col, _xlpm.doc_col, M257),
  IF(_xlpm.latest_date=0, "NFS",
    _xlfn.LET(
      _xlpm.res, _xlfn.XLOOKUP(M257 &amp; "|" &amp; _xlpm.latest_date, _xlpm.doc_col &amp; "|" &amp; _xlpm.date_col, _xlpm.status_col, ""),
      IF(OR(_xlpm.res="", _xlpm.res=0), "", _xlpm.res)
    )
  )
))</f>
        <v>RTR</v>
      </c>
      <c r="X257" s="39">
        <f>IF(OR(M257="", M257="Deleted"), "", _xlfn.LET(
  _xlpm.doc_col, [1]SubmittalLog!$E$1:$E$4000,
  _xlpm.date_col, [1]SubmittalLog!$H$1:$H$4000,
  _xlpm.status_col, [1]SubmittalLog!$O$1:$O$4000,
  _xlpm.first_app_date, _xlfn.MINIFS(_xlpm.date_col, _xlpm.doc_col, M257, _xlpm.status_col, "APP"),
  _xlpm.first_awc_date, _xlfn.MINIFS(_xlpm.date_col, _xlpm.doc_col, M257, _xlpm.status_col, "AWC"),
  _xlpm.earliest_date, IF(
    AND(_xlpm.first_app_date=0, _xlpm.first_awc_date=0), 0,
    IF(_xlpm.first_app_date=0, _xlpm.first_awc_date,
    IF(_xlpm.first_awc_date=0, _xlpm.first_app_date,
    MIN(_xlpm.first_app_date, _xlpm.first_awc_date)))
  ),
  IF(_xlpm.earliest_date=0, "", _xlpm.earliest_date)
))</f>
        <v>45308</v>
      </c>
      <c r="Y257" s="40" t="str" cm="1">
        <f t="array" ref="Y257">IF(OR(M257="", M257="Deleted"), "", _xlfn.LET(
  _xlpm.doc_col, [1]SubmittalLog!$E$1:$E$4000,
  _xlpm.date_col, [1]SubmittalLog!$H$1:$H$4000,
  _xlpm.status_col, [1]SubmittalLog!$O$1:$O$4000,
  _xlpm.has_sub, COUNTIF(_xlpm.doc_col, M257),
  _xlpm.latest_reviewed_date, _xlfn.MAXIFS(_xlpm.date_col, _xlpm.doc_col, M257, _xlpm.status_col, "&lt;&gt;"),
  IF(_xlpm.has_sub=0, "",
    IF(_xlpm.latest_reviewed_date=0, "",
      _xlfn.LET(
        _xlpm.res, _xlfn.XLOOKUP(1, (_xlpm.doc_col=M257) * (_xlpm.date_col=_xlpm.latest_reviewed_date) * (_xlpm.status_col&lt;&gt;""), _xlpm.status_col, ""),
        IF(OR(_xlpm.res="", _xlpm.res=0), "", _xlpm.res)
      )
    )
  )
))</f>
        <v>AWC</v>
      </c>
    </row>
    <row r="258" spans="1:25" x14ac:dyDescent="0.35">
      <c r="A258" s="33">
        <f>IF($M258="","",MAX($A$1:A257)+1)</f>
        <v>238</v>
      </c>
      <c r="B258" s="23" t="s">
        <v>213</v>
      </c>
      <c r="C258" s="23" t="s">
        <v>257</v>
      </c>
      <c r="G258" s="33">
        <v>131236</v>
      </c>
      <c r="H258" s="33" t="s">
        <v>59</v>
      </c>
      <c r="I258" s="33" t="s">
        <v>432</v>
      </c>
      <c r="J258" s="33" t="s">
        <v>3496</v>
      </c>
      <c r="K258" s="51" t="s">
        <v>3503</v>
      </c>
      <c r="M258" s="34" t="str">
        <f t="shared" si="3"/>
        <v>131236-WIL21-RT-P-0002</v>
      </c>
      <c r="N258" s="26" t="s">
        <v>3792</v>
      </c>
      <c r="P258" s="34" t="s">
        <v>3467</v>
      </c>
      <c r="S258" s="35">
        <v>45270</v>
      </c>
      <c r="T258" s="35">
        <v>45320</v>
      </c>
      <c r="U258" s="64" cm="1">
        <f t="array" ref="U258">IF(OR(M258="", M258="Deleted"), "", _xlfn.LET(
  _xlpm.dates,
  _xlfn._xlws.FILTER(
    [1]SubmittalLog!$H$1:$H$4000,
    [1]SubmittalLog!$E$1:$E$4000=M258,
    ""
  ),
  _xlpm.min_date, IFERROR(MIN(_xlpm.dates), ""),
  IF(_xlpm.min_date=0, "", _xlpm.min_date)
))</f>
        <v>45379</v>
      </c>
      <c r="V258" s="63" t="str" cm="1">
        <f t="array" ref="V258">IF(OR(M258="", M258="Deleted"), "", IFERROR(
  _xlfn.TEXTJOIN(", ", TRUE,
    _xlfn.MAP(
      _xlfn.UNIQUE(
        _xlfn._xlws.FILTER(
          [1]SubmittalLog!$B$1:$B$4000,
          ([1]SubmittalLog!$E$1:$E$4000=M258) *
          ([1]SubmittalLog!$B$1:$B$4000&lt;&gt;""),
          ""
        )
      ),
      _xlfn.LAMBDA(_xlpm.val, TEXT(_xlpm.val, "000000"))
    )
  ),
""))</f>
        <v>000723, 000405</v>
      </c>
      <c r="W258" s="40" t="str" cm="1">
        <f t="array" ref="W258">IF(OR(M258="", M258="Deleted"), "", _xlfn.LET(
  _xlpm.doc_col, [1]SubmittalLog!$E$1:$E$4000,
  _xlpm.date_col, [1]SubmittalLog!$H$1:$H$4000,
  _xlpm.status_col, [1]SubmittalLog!$N$1:$N$4000,
  _xlpm.latest_date, _xlfn.MAXIFS(_xlpm.date_col, _xlpm.doc_col, M258),
  IF(_xlpm.latest_date=0, "NFS",
    _xlfn.LET(
      _xlpm.res, _xlfn.XLOOKUP(M258 &amp; "|" &amp; _xlpm.latest_date, _xlpm.doc_col &amp; "|" &amp; _xlpm.date_col, _xlpm.status_col, ""),
      IF(OR(_xlpm.res="", _xlpm.res=0), "", _xlpm.res)
    )
  )
))</f>
        <v>RTR</v>
      </c>
      <c r="X258" s="39">
        <f>IF(OR(M258="", M258="Deleted"), "", _xlfn.LET(
  _xlpm.doc_col, [1]SubmittalLog!$E$1:$E$4000,
  _xlpm.date_col, [1]SubmittalLog!$H$1:$H$4000,
  _xlpm.status_col, [1]SubmittalLog!$O$1:$O$4000,
  _xlpm.first_app_date, _xlfn.MINIFS(_xlpm.date_col, _xlpm.doc_col, M258, _xlpm.status_col, "APP"),
  _xlpm.first_awc_date, _xlfn.MINIFS(_xlpm.date_col, _xlpm.doc_col, M258, _xlpm.status_col, "AWC"),
  _xlpm.earliest_date, IF(
    AND(_xlpm.first_app_date=0, _xlpm.first_awc_date=0), 0,
    IF(_xlpm.first_app_date=0, _xlpm.first_awc_date,
    IF(_xlpm.first_awc_date=0, _xlpm.first_app_date,
    MIN(_xlpm.first_app_date, _xlpm.first_awc_date)))
  ),
  IF(_xlpm.earliest_date=0, "", _xlpm.earliest_date)
))</f>
        <v>45379</v>
      </c>
      <c r="Y258" s="40" t="str" cm="1">
        <f t="array" ref="Y258">IF(OR(M258="", M258="Deleted"), "", _xlfn.LET(
  _xlpm.doc_col, [1]SubmittalLog!$E$1:$E$4000,
  _xlpm.date_col, [1]SubmittalLog!$H$1:$H$4000,
  _xlpm.status_col, [1]SubmittalLog!$O$1:$O$4000,
  _xlpm.has_sub, COUNTIF(_xlpm.doc_col, M258),
  _xlpm.latest_reviewed_date, _xlfn.MAXIFS(_xlpm.date_col, _xlpm.doc_col, M258, _xlpm.status_col, "&lt;&gt;"),
  IF(_xlpm.has_sub=0, "",
    IF(_xlpm.latest_reviewed_date=0, "",
      _xlfn.LET(
        _xlpm.res, _xlfn.XLOOKUP(1, (_xlpm.doc_col=M258) * (_xlpm.date_col=_xlpm.latest_reviewed_date) * (_xlpm.status_col&lt;&gt;""), _xlpm.status_col, ""),
        IF(OR(_xlpm.res="", _xlpm.res=0), "", _xlpm.res)
      )
    )
  )
))</f>
        <v>AWC</v>
      </c>
    </row>
    <row r="259" spans="1:25" x14ac:dyDescent="0.35">
      <c r="A259" s="33">
        <f>IF($M259="","",MAX($A$1:A258)+1)</f>
        <v>239</v>
      </c>
      <c r="B259" s="23" t="s">
        <v>213</v>
      </c>
      <c r="C259" s="23" t="s">
        <v>257</v>
      </c>
      <c r="G259" s="33">
        <v>131236</v>
      </c>
      <c r="H259" s="33" t="s">
        <v>59</v>
      </c>
      <c r="I259" s="33" t="s">
        <v>416</v>
      </c>
      <c r="J259" s="33" t="s">
        <v>3496</v>
      </c>
      <c r="K259" s="51" t="s">
        <v>3469</v>
      </c>
      <c r="M259" s="34" t="str">
        <f t="shared" ref="M259:M322" si="4">IF(B259="Deleted","Deleted",_xlfn.TEXTJOIN("-",TRUE,G259,H259,I259,J259,IF(K259="","",TEXT(K259,"0000"))))</f>
        <v>131236-WIL21-PS-P-0001</v>
      </c>
      <c r="N259" s="26" t="s">
        <v>3793</v>
      </c>
      <c r="P259" s="34" t="s">
        <v>3467</v>
      </c>
      <c r="S259" s="35">
        <v>45222</v>
      </c>
      <c r="T259" s="35">
        <v>45224</v>
      </c>
      <c r="U259" s="64" cm="1">
        <f t="array" ref="U259">IF(OR(M259="", M259="Deleted"), "", _xlfn.LET(
  _xlpm.dates,
  _xlfn._xlws.FILTER(
    [1]SubmittalLog!$H$1:$H$4000,
    [1]SubmittalLog!$E$1:$E$4000=M259,
    ""
  ),
  _xlpm.min_date, IFERROR(MIN(_xlpm.dates), ""),
  IF(_xlpm.min_date=0, "", _xlpm.min_date)
))</f>
        <v>45224</v>
      </c>
      <c r="V259" s="63" t="str" cm="1">
        <f t="array" ref="V259">IF(OR(M259="", M259="Deleted"), "", IFERROR(
  _xlfn.TEXTJOIN(", ", TRUE,
    _xlfn.MAP(
      _xlfn.UNIQUE(
        _xlfn._xlws.FILTER(
          [1]SubmittalLog!$B$1:$B$4000,
          ([1]SubmittalLog!$E$1:$E$4000=M259) *
          ([1]SubmittalLog!$B$1:$B$4000&lt;&gt;""),
          ""
        )
      ),
      _xlfn.LAMBDA(_xlpm.val, TEXT(_xlpm.val, "000000"))
    )
  ),
""))</f>
        <v>001778, 000140</v>
      </c>
      <c r="W259" s="40" t="str" cm="1">
        <f t="array" ref="W259">IF(OR(M259="", M259="Deleted"), "", _xlfn.LET(
  _xlpm.doc_col, [1]SubmittalLog!$E$1:$E$4000,
  _xlpm.date_col, [1]SubmittalLog!$H$1:$H$4000,
  _xlpm.status_col, [1]SubmittalLog!$N$1:$N$4000,
  _xlpm.latest_date, _xlfn.MAXIFS(_xlpm.date_col, _xlpm.doc_col, M259),
  IF(_xlpm.latest_date=0, "NFS",
    _xlfn.LET(
      _xlpm.res, _xlfn.XLOOKUP(M259 &amp; "|" &amp; _xlpm.latest_date, _xlpm.doc_col &amp; "|" &amp; _xlpm.date_col, _xlpm.status_col, ""),
      IF(OR(_xlpm.res="", _xlpm.res=0), "", _xlpm.res)
    )
  )
))</f>
        <v>RTR</v>
      </c>
      <c r="X259" s="39">
        <f>IF(OR(M259="", M259="Deleted"), "", _xlfn.LET(
  _xlpm.doc_col, [1]SubmittalLog!$E$1:$E$4000,
  _xlpm.date_col, [1]SubmittalLog!$H$1:$H$4000,
  _xlpm.status_col, [1]SubmittalLog!$O$1:$O$4000,
  _xlpm.first_app_date, _xlfn.MINIFS(_xlpm.date_col, _xlpm.doc_col, M259, _xlpm.status_col, "APP"),
  _xlpm.first_awc_date, _xlfn.MINIFS(_xlpm.date_col, _xlpm.doc_col, M259, _xlpm.status_col, "AWC"),
  _xlpm.earliest_date, IF(
    AND(_xlpm.first_app_date=0, _xlpm.first_awc_date=0), 0,
    IF(_xlpm.first_app_date=0, _xlpm.first_awc_date,
    IF(_xlpm.first_awc_date=0, _xlpm.first_app_date,
    MIN(_xlpm.first_app_date, _xlpm.first_awc_date)))
  ),
  IF(_xlpm.earliest_date=0, "", _xlpm.earliest_date)
))</f>
        <v>45224</v>
      </c>
      <c r="Y259" s="40" t="str" cm="1">
        <f t="array" ref="Y259">IF(OR(M259="", M259="Deleted"), "", _xlfn.LET(
  _xlpm.doc_col, [1]SubmittalLog!$E$1:$E$4000,
  _xlpm.date_col, [1]SubmittalLog!$H$1:$H$4000,
  _xlpm.status_col, [1]SubmittalLog!$O$1:$O$4000,
  _xlpm.has_sub, COUNTIF(_xlpm.doc_col, M259),
  _xlpm.latest_reviewed_date, _xlfn.MAXIFS(_xlpm.date_col, _xlpm.doc_col, M259, _xlpm.status_col, "&lt;&gt;"),
  IF(_xlpm.has_sub=0, "",
    IF(_xlpm.latest_reviewed_date=0, "",
      _xlfn.LET(
        _xlpm.res, _xlfn.XLOOKUP(1, (_xlpm.doc_col=M259) * (_xlpm.date_col=_xlpm.latest_reviewed_date) * (_xlpm.status_col&lt;&gt;""), _xlpm.status_col, ""),
        IF(OR(_xlpm.res="", _xlpm.res=0), "", _xlpm.res)
      )
    )
  )
))</f>
        <v>APP</v>
      </c>
    </row>
    <row r="260" spans="1:25" x14ac:dyDescent="0.35">
      <c r="A260" s="33">
        <f>IF($M260="","",MAX($A$1:A259)+1)</f>
        <v>240</v>
      </c>
      <c r="B260" s="23" t="s">
        <v>213</v>
      </c>
      <c r="C260" s="23" t="s">
        <v>56</v>
      </c>
      <c r="G260" s="33">
        <v>131236</v>
      </c>
      <c r="H260" s="33" t="s">
        <v>59</v>
      </c>
      <c r="I260" s="33" t="s">
        <v>432</v>
      </c>
      <c r="J260" s="33" t="s">
        <v>3496</v>
      </c>
      <c r="K260" s="51" t="s">
        <v>3505</v>
      </c>
      <c r="M260" s="34" t="str">
        <f t="shared" si="4"/>
        <v>131236-WIL21-RT-P-0003</v>
      </c>
      <c r="N260" s="26" t="s">
        <v>3794</v>
      </c>
      <c r="P260" s="34" t="s">
        <v>3467</v>
      </c>
      <c r="S260" s="35">
        <v>45499</v>
      </c>
      <c r="T260" s="35">
        <v>45530</v>
      </c>
      <c r="U260" s="64" cm="1">
        <f t="array" ref="U260">IF(OR(M260="", M260="Deleted"), "", _xlfn.LET(
  _xlpm.dates,
  _xlfn._xlws.FILTER(
    [1]SubmittalLog!$H$1:$H$4000,
    [1]SubmittalLog!$E$1:$E$4000=M260,
    ""
  ),
  _xlpm.min_date, IFERROR(MIN(_xlpm.dates), ""),
  IF(_xlpm.min_date=0, "", _xlpm.min_date)
))</f>
        <v>45530</v>
      </c>
      <c r="V260" s="63" t="str" cm="1">
        <f t="array" ref="V260">IF(OR(M260="", M260="Deleted"), "", IFERROR(
  _xlfn.TEXTJOIN(", ", TRUE,
    _xlfn.MAP(
      _xlfn.UNIQUE(
        _xlfn._xlws.FILTER(
          [1]SubmittalLog!$B$1:$B$4000,
          ([1]SubmittalLog!$E$1:$E$4000=M260) *
          ([1]SubmittalLog!$B$1:$B$4000&lt;&gt;""),
          ""
        )
      ),
      _xlfn.LAMBDA(_xlpm.val, TEXT(_xlpm.val, "000000"))
    )
  ),
""))</f>
        <v>000752, 000678</v>
      </c>
      <c r="W260" s="40" t="str" cm="1">
        <f t="array" ref="W260">IF(OR(M260="", M260="Deleted"), "", _xlfn.LET(
  _xlpm.doc_col, [1]SubmittalLog!$E$1:$E$4000,
  _xlpm.date_col, [1]SubmittalLog!$H$1:$H$4000,
  _xlpm.status_col, [1]SubmittalLog!$N$1:$N$4000,
  _xlpm.latest_date, _xlfn.MAXIFS(_xlpm.date_col, _xlpm.doc_col, M260),
  IF(_xlpm.latest_date=0, "NFS",
    _xlfn.LET(
      _xlpm.res, _xlfn.XLOOKUP(M260 &amp; "|" &amp; _xlpm.latest_date, _xlpm.doc_col &amp; "|" &amp; _xlpm.date_col, _xlpm.status_col, ""),
      IF(OR(_xlpm.res="", _xlpm.res=0), "", _xlpm.res)
    )
  )
))</f>
        <v>RTR</v>
      </c>
      <c r="X260" s="39">
        <f>IF(OR(M260="", M260="Deleted"), "", _xlfn.LET(
  _xlpm.doc_col, [1]SubmittalLog!$E$1:$E$4000,
  _xlpm.date_col, [1]SubmittalLog!$H$1:$H$4000,
  _xlpm.status_col, [1]SubmittalLog!$O$1:$O$4000,
  _xlpm.first_app_date, _xlfn.MINIFS(_xlpm.date_col, _xlpm.doc_col, M260, _xlpm.status_col, "APP"),
  _xlpm.first_awc_date, _xlfn.MINIFS(_xlpm.date_col, _xlpm.doc_col, M260, _xlpm.status_col, "AWC"),
  _xlpm.earliest_date, IF(
    AND(_xlpm.first_app_date=0, _xlpm.first_awc_date=0), 0,
    IF(_xlpm.first_app_date=0, _xlpm.first_awc_date,
    IF(_xlpm.first_awc_date=0, _xlpm.first_app_date,
    MIN(_xlpm.first_app_date, _xlpm.first_awc_date)))
  ),
  IF(_xlpm.earliest_date=0, "", _xlpm.earliest_date)
))</f>
        <v>45530</v>
      </c>
      <c r="Y260" s="40" t="str" cm="1">
        <f t="array" ref="Y260">IF(OR(M260="", M260="Deleted"), "", _xlfn.LET(
  _xlpm.doc_col, [1]SubmittalLog!$E$1:$E$4000,
  _xlpm.date_col, [1]SubmittalLog!$H$1:$H$4000,
  _xlpm.status_col, [1]SubmittalLog!$O$1:$O$4000,
  _xlpm.has_sub, COUNTIF(_xlpm.doc_col, M260),
  _xlpm.latest_reviewed_date, _xlfn.MAXIFS(_xlpm.date_col, _xlpm.doc_col, M260, _xlpm.status_col, "&lt;&gt;"),
  IF(_xlpm.has_sub=0, "",
    IF(_xlpm.latest_reviewed_date=0, "",
      _xlfn.LET(
        _xlpm.res, _xlfn.XLOOKUP(1, (_xlpm.doc_col=M260) * (_xlpm.date_col=_xlpm.latest_reviewed_date) * (_xlpm.status_col&lt;&gt;""), _xlpm.status_col, ""),
        IF(OR(_xlpm.res="", _xlpm.res=0), "", _xlpm.res)
      )
    )
  )
))</f>
        <v>AWC</v>
      </c>
    </row>
    <row r="261" spans="1:25" x14ac:dyDescent="0.35">
      <c r="A261" s="33">
        <f>IF($M261="","",MAX($A$1:A260)+1)</f>
        <v>241</v>
      </c>
      <c r="B261" s="23" t="s">
        <v>213</v>
      </c>
      <c r="C261" s="23" t="s">
        <v>56</v>
      </c>
      <c r="G261" s="33">
        <v>131236</v>
      </c>
      <c r="H261" s="33" t="s">
        <v>59</v>
      </c>
      <c r="I261" s="33" t="s">
        <v>432</v>
      </c>
      <c r="J261" s="33" t="s">
        <v>323</v>
      </c>
      <c r="K261" s="51" t="s">
        <v>3469</v>
      </c>
      <c r="M261" s="34" t="str">
        <f t="shared" si="4"/>
        <v>131236-WIL21-RT-Z-0001</v>
      </c>
      <c r="N261" s="26" t="s">
        <v>3795</v>
      </c>
      <c r="P261" s="34" t="s">
        <v>3467</v>
      </c>
      <c r="S261" s="35">
        <v>45574</v>
      </c>
      <c r="T261" s="35">
        <v>45574</v>
      </c>
      <c r="U261" s="64" cm="1">
        <f t="array" ref="U261">IF(OR(M261="", M261="Deleted"), "", _xlfn.LET(
  _xlpm.dates,
  _xlfn._xlws.FILTER(
    [1]SubmittalLog!$H$1:$H$4000,
    [1]SubmittalLog!$E$1:$E$4000=M261,
    ""
  ),
  _xlpm.min_date, IFERROR(MIN(_xlpm.dates), ""),
  IF(_xlpm.min_date=0, "", _xlpm.min_date)
))</f>
        <v>45527</v>
      </c>
      <c r="V261" s="63" t="str" cm="1">
        <f t="array" ref="V261">IF(OR(M261="", M261="Deleted"), "", IFERROR(
  _xlfn.TEXTJOIN(", ", TRUE,
    _xlfn.MAP(
      _xlfn.UNIQUE(
        _xlfn._xlws.FILTER(
          [1]SubmittalLog!$B$1:$B$4000,
          ([1]SubmittalLog!$E$1:$E$4000=M261) *
          ([1]SubmittalLog!$B$1:$B$4000&lt;&gt;""),
          ""
        )
      ),
      _xlfn.LAMBDA(_xlpm.val, TEXT(_xlpm.val, "000000"))
    )
  ),
""))</f>
        <v>000673, 000687</v>
      </c>
      <c r="W261" s="40" t="str" cm="1">
        <f t="array" ref="W261">IF(OR(M261="", M261="Deleted"), "", _xlfn.LET(
  _xlpm.doc_col, [1]SubmittalLog!$E$1:$E$4000,
  _xlpm.date_col, [1]SubmittalLog!$H$1:$H$4000,
  _xlpm.status_col, [1]SubmittalLog!$N$1:$N$4000,
  _xlpm.latest_date, _xlfn.MAXIFS(_xlpm.date_col, _xlpm.doc_col, M261),
  IF(_xlpm.latest_date=0, "NFS",
    _xlfn.LET(
      _xlpm.res, _xlfn.XLOOKUP(M261 &amp; "|" &amp; _xlpm.latest_date, _xlpm.doc_col &amp; "|" &amp; _xlpm.date_col, _xlpm.status_col, ""),
      IF(OR(_xlpm.res="", _xlpm.res=0), "", _xlpm.res)
    )
  )
))</f>
        <v>RTR</v>
      </c>
      <c r="X261" s="39">
        <f>IF(OR(M261="", M261="Deleted"), "", _xlfn.LET(
  _xlpm.doc_col, [1]SubmittalLog!$E$1:$E$4000,
  _xlpm.date_col, [1]SubmittalLog!$H$1:$H$4000,
  _xlpm.status_col, [1]SubmittalLog!$O$1:$O$4000,
  _xlpm.first_app_date, _xlfn.MINIFS(_xlpm.date_col, _xlpm.doc_col, M261, _xlpm.status_col, "APP"),
  _xlpm.first_awc_date, _xlfn.MINIFS(_xlpm.date_col, _xlpm.doc_col, M261, _xlpm.status_col, "AWC"),
  _xlpm.earliest_date, IF(
    AND(_xlpm.first_app_date=0, _xlpm.first_awc_date=0), 0,
    IF(_xlpm.first_app_date=0, _xlpm.first_awc_date,
    IF(_xlpm.first_awc_date=0, _xlpm.first_app_date,
    MIN(_xlpm.first_app_date, _xlpm.first_awc_date)))
  ),
  IF(_xlpm.earliest_date=0, "", _xlpm.earliest_date)
))</f>
        <v>45527</v>
      </c>
      <c r="Y261" s="40" t="str" cm="1">
        <f t="array" ref="Y261">IF(OR(M261="", M261="Deleted"), "", _xlfn.LET(
  _xlpm.doc_col, [1]SubmittalLog!$E$1:$E$4000,
  _xlpm.date_col, [1]SubmittalLog!$H$1:$H$4000,
  _xlpm.status_col, [1]SubmittalLog!$O$1:$O$4000,
  _xlpm.has_sub, COUNTIF(_xlpm.doc_col, M261),
  _xlpm.latest_reviewed_date, _xlfn.MAXIFS(_xlpm.date_col, _xlpm.doc_col, M261, _xlpm.status_col, "&lt;&gt;"),
  IF(_xlpm.has_sub=0, "",
    IF(_xlpm.latest_reviewed_date=0, "",
      _xlfn.LET(
        _xlpm.res, _xlfn.XLOOKUP(1, (_xlpm.doc_col=M261) * (_xlpm.date_col=_xlpm.latest_reviewed_date) * (_xlpm.status_col&lt;&gt;""), _xlpm.status_col, ""),
        IF(OR(_xlpm.res="", _xlpm.res=0), "", _xlpm.res)
      )
    )
  )
))</f>
        <v>AWC</v>
      </c>
    </row>
    <row r="262" spans="1:25" x14ac:dyDescent="0.35">
      <c r="A262" s="33" t="str">
        <f>IF($M262="","",MAX($A$1:A261)+1)</f>
        <v/>
      </c>
      <c r="M262" s="34" t="str">
        <f t="shared" si="4"/>
        <v/>
      </c>
      <c r="N262" s="26" t="s">
        <v>3509</v>
      </c>
      <c r="U262" s="64" t="str" cm="1">
        <f t="array" ref="U262">IF(OR(M262="", M262="Deleted"), "", _xlfn.LET(
  _xlpm.dates,
  _xlfn._xlws.FILTER(
    [1]SubmittalLog!$H$1:$H$4000,
    [1]SubmittalLog!$E$1:$E$4000=M262,
    ""
  ),
  _xlpm.min_date, IFERROR(MIN(_xlpm.dates), ""),
  IF(_xlpm.min_date=0, "", _xlpm.min_date)
))</f>
        <v/>
      </c>
      <c r="V262" s="63" t="str" cm="1">
        <f t="array" ref="V262">IF(OR(M262="", M262="Deleted"), "", IFERROR(
  _xlfn.TEXTJOIN(", ", TRUE,
    _xlfn.MAP(
      _xlfn.UNIQUE(
        _xlfn._xlws.FILTER(
          [1]SubmittalLog!$B$1:$B$4000,
          ([1]SubmittalLog!$E$1:$E$4000=M262) *
          ([1]SubmittalLog!$B$1:$B$4000&lt;&gt;""),
          ""
        )
      ),
      _xlfn.LAMBDA(_xlpm.val, TEXT(_xlpm.val, "000000"))
    )
  ),
""))</f>
        <v/>
      </c>
      <c r="W262" s="40" t="str" cm="1">
        <f t="array" ref="W262">IF(OR(M262="", M262="Deleted"), "", _xlfn.LET(
  _xlpm.doc_col, [1]SubmittalLog!$E$1:$E$4000,
  _xlpm.date_col, [1]SubmittalLog!$H$1:$H$4000,
  _xlpm.status_col, [1]SubmittalLog!$N$1:$N$4000,
  _xlpm.latest_date, _xlfn.MAXIFS(_xlpm.date_col, _xlpm.doc_col, M262),
  IF(_xlpm.latest_date=0, "NFS",
    _xlfn.LET(
      _xlpm.res, _xlfn.XLOOKUP(M262 &amp; "|" &amp; _xlpm.latest_date, _xlpm.doc_col &amp; "|" &amp; _xlpm.date_col, _xlpm.status_col, ""),
      IF(OR(_xlpm.res="", _xlpm.res=0), "", _xlpm.res)
    )
  )
))</f>
        <v/>
      </c>
      <c r="X262" s="39" t="str">
        <f>IF(OR(M262="", M262="Deleted"), "", _xlfn.LET(
  _xlpm.doc_col, [1]SubmittalLog!$E$1:$E$4000,
  _xlpm.date_col, [1]SubmittalLog!$H$1:$H$4000,
  _xlpm.status_col, [1]SubmittalLog!$O$1:$O$4000,
  _xlpm.first_app_date, _xlfn.MINIFS(_xlpm.date_col, _xlpm.doc_col, M262, _xlpm.status_col, "APP"),
  _xlpm.first_awc_date, _xlfn.MINIFS(_xlpm.date_col, _xlpm.doc_col, M262, _xlpm.status_col, "AWC"),
  _xlpm.earliest_date, IF(
    AND(_xlpm.first_app_date=0, _xlpm.first_awc_date=0), 0,
    IF(_xlpm.first_app_date=0, _xlpm.first_awc_date,
    IF(_xlpm.first_awc_date=0, _xlpm.first_app_date,
    MIN(_xlpm.first_app_date, _xlpm.first_awc_date)))
  ),
  IF(_xlpm.earliest_date=0, "", _xlpm.earliest_date)
))</f>
        <v/>
      </c>
      <c r="Y262" s="40" t="str" cm="1">
        <f t="array" ref="Y262">IF(OR(M262="", M262="Deleted"), "", _xlfn.LET(
  _xlpm.doc_col, [1]SubmittalLog!$E$1:$E$4000,
  _xlpm.date_col, [1]SubmittalLog!$H$1:$H$4000,
  _xlpm.status_col, [1]SubmittalLog!$O$1:$O$4000,
  _xlpm.has_sub, COUNTIF(_xlpm.doc_col, M262),
  _xlpm.latest_reviewed_date, _xlfn.MAXIFS(_xlpm.date_col, _xlpm.doc_col, M262, _xlpm.status_col, "&lt;&gt;"),
  IF(_xlpm.has_sub=0, "",
    IF(_xlpm.latest_reviewed_date=0, "",
      _xlfn.LET(
        _xlpm.res, _xlfn.XLOOKUP(1, (_xlpm.doc_col=M262) * (_xlpm.date_col=_xlpm.latest_reviewed_date) * (_xlpm.status_col&lt;&gt;""), _xlpm.status_col, ""),
        IF(OR(_xlpm.res="", _xlpm.res=0), "", _xlpm.res)
      )
    )
  )
))</f>
        <v/>
      </c>
    </row>
    <row r="263" spans="1:25" x14ac:dyDescent="0.35">
      <c r="A263" s="33">
        <f>IF($M263="","",MAX($A$1:A262)+1)</f>
        <v>242</v>
      </c>
      <c r="B263" s="23" t="s">
        <v>250</v>
      </c>
      <c r="C263" s="23" t="s">
        <v>257</v>
      </c>
      <c r="G263" s="33">
        <v>131236</v>
      </c>
      <c r="H263" s="33" t="s">
        <v>59</v>
      </c>
      <c r="I263" s="33" t="s">
        <v>204</v>
      </c>
      <c r="J263" s="33" t="s">
        <v>3496</v>
      </c>
      <c r="K263" s="51" t="s">
        <v>3503</v>
      </c>
      <c r="M263" s="34" t="str">
        <f t="shared" si="4"/>
        <v>131236-WIL21-CH-P-0002</v>
      </c>
      <c r="N263" s="26" t="s">
        <v>3510</v>
      </c>
      <c r="P263" s="34" t="s">
        <v>3467</v>
      </c>
      <c r="S263" s="35">
        <v>45225</v>
      </c>
      <c r="T263" s="35">
        <v>45224</v>
      </c>
      <c r="U263" s="64" cm="1">
        <f t="array" ref="U263">IF(OR(M263="", M263="Deleted"), "", _xlfn.LET(
  _xlpm.dates,
  _xlfn._xlws.FILTER(
    [1]SubmittalLog!$H$1:$H$4000,
    [1]SubmittalLog!$E$1:$E$4000=M263,
    ""
  ),
  _xlpm.min_date, IFERROR(MIN(_xlpm.dates), ""),
  IF(_xlpm.min_date=0, "", _xlpm.min_date)
))</f>
        <v>45224</v>
      </c>
      <c r="V263" s="63" t="str" cm="1">
        <f t="array" ref="V263">IF(OR(M263="", M263="Deleted"), "", IFERROR(
  _xlfn.TEXTJOIN(", ", TRUE,
    _xlfn.MAP(
      _xlfn.UNIQUE(
        _xlfn._xlws.FILTER(
          [1]SubmittalLog!$B$1:$B$4000,
          ([1]SubmittalLog!$E$1:$E$4000=M263) *
          ([1]SubmittalLog!$B$1:$B$4000&lt;&gt;""),
          ""
        )
      ),
      _xlfn.LAMBDA(_xlpm.val, TEXT(_xlpm.val, "000000"))
    )
  ),
""))</f>
        <v>000322, 000142</v>
      </c>
      <c r="W263" s="40" t="str" cm="1">
        <f t="array" ref="W263">IF(OR(M263="", M263="Deleted"), "", _xlfn.LET(
  _xlpm.doc_col, [1]SubmittalLog!$E$1:$E$4000,
  _xlpm.date_col, [1]SubmittalLog!$H$1:$H$4000,
  _xlpm.status_col, [1]SubmittalLog!$N$1:$N$4000,
  _xlpm.latest_date, _xlfn.MAXIFS(_xlpm.date_col, _xlpm.doc_col, M263),
  IF(_xlpm.latest_date=0, "NFS",
    _xlfn.LET(
      _xlpm.res, _xlfn.XLOOKUP(M263 &amp; "|" &amp; _xlpm.latest_date, _xlpm.doc_col &amp; "|" &amp; _xlpm.date_col, _xlpm.status_col, ""),
      IF(OR(_xlpm.res="", _xlpm.res=0), "", _xlpm.res)
    )
  )
))</f>
        <v>RTR</v>
      </c>
      <c r="X263" s="39">
        <f>IF(OR(M263="", M263="Deleted"), "", _xlfn.LET(
  _xlpm.doc_col, [1]SubmittalLog!$E$1:$E$4000,
  _xlpm.date_col, [1]SubmittalLog!$H$1:$H$4000,
  _xlpm.status_col, [1]SubmittalLog!$O$1:$O$4000,
  _xlpm.first_app_date, _xlfn.MINIFS(_xlpm.date_col, _xlpm.doc_col, M263, _xlpm.status_col, "APP"),
  _xlpm.first_awc_date, _xlfn.MINIFS(_xlpm.date_col, _xlpm.doc_col, M263, _xlpm.status_col, "AWC"),
  _xlpm.earliest_date, IF(
    AND(_xlpm.first_app_date=0, _xlpm.first_awc_date=0), 0,
    IF(_xlpm.first_app_date=0, _xlpm.first_awc_date,
    IF(_xlpm.first_awc_date=0, _xlpm.first_app_date,
    MIN(_xlpm.first_app_date, _xlpm.first_awc_date)))
  ),
  IF(_xlpm.earliest_date=0, "", _xlpm.earliest_date)
))</f>
        <v>45224</v>
      </c>
      <c r="Y263" s="40" t="str" cm="1">
        <f t="array" ref="Y263">IF(OR(M263="", M263="Deleted"), "", _xlfn.LET(
  _xlpm.doc_col, [1]SubmittalLog!$E$1:$E$4000,
  _xlpm.date_col, [1]SubmittalLog!$H$1:$H$4000,
  _xlpm.status_col, [1]SubmittalLog!$O$1:$O$4000,
  _xlpm.has_sub, COUNTIF(_xlpm.doc_col, M263),
  _xlpm.latest_reviewed_date, _xlfn.MAXIFS(_xlpm.date_col, _xlpm.doc_col, M263, _xlpm.status_col, "&lt;&gt;"),
  IF(_xlpm.has_sub=0, "",
    IF(_xlpm.latest_reviewed_date=0, "",
      _xlfn.LET(
        _xlpm.res, _xlfn.XLOOKUP(1, (_xlpm.doc_col=M263) * (_xlpm.date_col=_xlpm.latest_reviewed_date) * (_xlpm.status_col&lt;&gt;""), _xlpm.status_col, ""),
        IF(OR(_xlpm.res="", _xlpm.res=0), "", _xlpm.res)
      )
    )
  )
))</f>
        <v>AWC</v>
      </c>
    </row>
    <row r="264" spans="1:25" x14ac:dyDescent="0.35">
      <c r="A264" s="33">
        <f>IF($M264="","",MAX($A$1:A263)+1)</f>
        <v>243</v>
      </c>
      <c r="B264" s="23" t="s">
        <v>250</v>
      </c>
      <c r="C264" s="23" t="s">
        <v>257</v>
      </c>
      <c r="G264" s="33">
        <v>131236</v>
      </c>
      <c r="H264" s="33" t="s">
        <v>59</v>
      </c>
      <c r="I264" s="33" t="s">
        <v>444</v>
      </c>
      <c r="J264" s="33" t="s">
        <v>3496</v>
      </c>
      <c r="K264" s="51" t="s">
        <v>3469</v>
      </c>
      <c r="M264" s="34" t="str">
        <f t="shared" si="4"/>
        <v>131236-WIL21-SP-P-0001</v>
      </c>
      <c r="N264" s="26" t="s">
        <v>3796</v>
      </c>
      <c r="P264" s="34" t="s">
        <v>3467</v>
      </c>
      <c r="S264" s="35">
        <v>45240</v>
      </c>
      <c r="T264" s="35">
        <v>45261</v>
      </c>
      <c r="U264" s="64" cm="1">
        <f t="array" ref="U264">IF(OR(M264="", M264="Deleted"), "", _xlfn.LET(
  _xlpm.dates,
  _xlfn._xlws.FILTER(
    [1]SubmittalLog!$H$1:$H$4000,
    [1]SubmittalLog!$E$1:$E$4000=M264,
    ""
  ),
  _xlpm.min_date, IFERROR(MIN(_xlpm.dates), ""),
  IF(_xlpm.min_date=0, "", _xlpm.min_date)
))</f>
        <v>45261</v>
      </c>
      <c r="V264" s="63" t="str" cm="1">
        <f t="array" ref="V264">IF(OR(M264="", M264="Deleted"), "", IFERROR(
  _xlfn.TEXTJOIN(", ", TRUE,
    _xlfn.MAP(
      _xlfn.UNIQUE(
        _xlfn._xlws.FILTER(
          [1]SubmittalLog!$B$1:$B$4000,
          ([1]SubmittalLog!$E$1:$E$4000=M264) *
          ([1]SubmittalLog!$B$1:$B$4000&lt;&gt;""),
          ""
        )
      ),
      _xlfn.LAMBDA(_xlpm.val, TEXT(_xlpm.val, "000000"))
    )
  ),
""))</f>
        <v>000403, 000224</v>
      </c>
      <c r="W264" s="40" t="str" cm="1">
        <f t="array" ref="W264">IF(OR(M264="", M264="Deleted"), "", _xlfn.LET(
  _xlpm.doc_col, [1]SubmittalLog!$E$1:$E$4000,
  _xlpm.date_col, [1]SubmittalLog!$H$1:$H$4000,
  _xlpm.status_col, [1]SubmittalLog!$N$1:$N$4000,
  _xlpm.latest_date, _xlfn.MAXIFS(_xlpm.date_col, _xlpm.doc_col, M264),
  IF(_xlpm.latest_date=0, "NFS",
    _xlfn.LET(
      _xlpm.res, _xlfn.XLOOKUP(M264 &amp; "|" &amp; _xlpm.latest_date, _xlpm.doc_col &amp; "|" &amp; _xlpm.date_col, _xlpm.status_col, ""),
      IF(OR(_xlpm.res="", _xlpm.res=0), "", _xlpm.res)
    )
  )
))</f>
        <v>RTR</v>
      </c>
      <c r="X264" s="39">
        <f>IF(OR(M264="", M264="Deleted"), "", _xlfn.LET(
  _xlpm.doc_col, [1]SubmittalLog!$E$1:$E$4000,
  _xlpm.date_col, [1]SubmittalLog!$H$1:$H$4000,
  _xlpm.status_col, [1]SubmittalLog!$O$1:$O$4000,
  _xlpm.first_app_date, _xlfn.MINIFS(_xlpm.date_col, _xlpm.doc_col, M264, _xlpm.status_col, "APP"),
  _xlpm.first_awc_date, _xlfn.MINIFS(_xlpm.date_col, _xlpm.doc_col, M264, _xlpm.status_col, "AWC"),
  _xlpm.earliest_date, IF(
    AND(_xlpm.first_app_date=0, _xlpm.first_awc_date=0), 0,
    IF(_xlpm.first_app_date=0, _xlpm.first_awc_date,
    IF(_xlpm.first_awc_date=0, _xlpm.first_app_date,
    MIN(_xlpm.first_app_date, _xlpm.first_awc_date)))
  ),
  IF(_xlpm.earliest_date=0, "", _xlpm.earliest_date)
))</f>
        <v>45261</v>
      </c>
      <c r="Y264" s="40" t="str" cm="1">
        <f t="array" ref="Y264">IF(OR(M264="", M264="Deleted"), "", _xlfn.LET(
  _xlpm.doc_col, [1]SubmittalLog!$E$1:$E$4000,
  _xlpm.date_col, [1]SubmittalLog!$H$1:$H$4000,
  _xlpm.status_col, [1]SubmittalLog!$O$1:$O$4000,
  _xlpm.has_sub, COUNTIF(_xlpm.doc_col, M264),
  _xlpm.latest_reviewed_date, _xlfn.MAXIFS(_xlpm.date_col, _xlpm.doc_col, M264, _xlpm.status_col, "&lt;&gt;"),
  IF(_xlpm.has_sub=0, "",
    IF(_xlpm.latest_reviewed_date=0, "",
      _xlfn.LET(
        _xlpm.res, _xlfn.XLOOKUP(1, (_xlpm.doc_col=M264) * (_xlpm.date_col=_xlpm.latest_reviewed_date) * (_xlpm.status_col&lt;&gt;""), _xlpm.status_col, ""),
        IF(OR(_xlpm.res="", _xlpm.res=0), "", _xlpm.res)
      )
    )
  )
))</f>
        <v>AWC</v>
      </c>
    </row>
    <row r="265" spans="1:25" x14ac:dyDescent="0.35">
      <c r="A265" s="33">
        <f>IF($M265="","",MAX($A$1:A264)+1)</f>
        <v>244</v>
      </c>
      <c r="B265" s="23" t="s">
        <v>250</v>
      </c>
      <c r="C265" s="23" t="s">
        <v>257</v>
      </c>
      <c r="G265" s="33">
        <v>131236</v>
      </c>
      <c r="H265" s="33" t="s">
        <v>59</v>
      </c>
      <c r="I265" s="33" t="s">
        <v>204</v>
      </c>
      <c r="J265" s="33" t="s">
        <v>3496</v>
      </c>
      <c r="K265" s="51" t="s">
        <v>3469</v>
      </c>
      <c r="M265" s="34" t="str">
        <f t="shared" si="4"/>
        <v>131236-WIL21-CH-P-0001</v>
      </c>
      <c r="N265" s="26" t="s">
        <v>3511</v>
      </c>
      <c r="P265" s="34" t="s">
        <v>3467</v>
      </c>
      <c r="S265" s="35">
        <v>45225</v>
      </c>
      <c r="T265" s="35">
        <v>45224</v>
      </c>
      <c r="U265" s="64" cm="1">
        <f t="array" ref="U265">IF(OR(M265="", M265="Deleted"), "", _xlfn.LET(
  _xlpm.dates,
  _xlfn._xlws.FILTER(
    [1]SubmittalLog!$H$1:$H$4000,
    [1]SubmittalLog!$E$1:$E$4000=M265,
    ""
  ),
  _xlpm.min_date, IFERROR(MIN(_xlpm.dates), ""),
  IF(_xlpm.min_date=0, "", _xlpm.min_date)
))</f>
        <v>45224</v>
      </c>
      <c r="V265" s="63" t="str" cm="1">
        <f t="array" ref="V265">IF(OR(M265="", M265="Deleted"), "", IFERROR(
  _xlfn.TEXTJOIN(", ", TRUE,
    _xlfn.MAP(
      _xlfn.UNIQUE(
        _xlfn._xlws.FILTER(
          [1]SubmittalLog!$B$1:$B$4000,
          ([1]SubmittalLog!$E$1:$E$4000=M265) *
          ([1]SubmittalLog!$B$1:$B$4000&lt;&gt;""),
          ""
        )
      ),
      _xlfn.LAMBDA(_xlpm.val, TEXT(_xlpm.val, "000000"))
    )
  ),
""))</f>
        <v>000385, 000141</v>
      </c>
      <c r="W265" s="40" t="str" cm="1">
        <f t="array" ref="W265">IF(OR(M265="", M265="Deleted"), "", _xlfn.LET(
  _xlpm.doc_col, [1]SubmittalLog!$E$1:$E$4000,
  _xlpm.date_col, [1]SubmittalLog!$H$1:$H$4000,
  _xlpm.status_col, [1]SubmittalLog!$N$1:$N$4000,
  _xlpm.latest_date, _xlfn.MAXIFS(_xlpm.date_col, _xlpm.doc_col, M265),
  IF(_xlpm.latest_date=0, "NFS",
    _xlfn.LET(
      _xlpm.res, _xlfn.XLOOKUP(M265 &amp; "|" &amp; _xlpm.latest_date, _xlpm.doc_col &amp; "|" &amp; _xlpm.date_col, _xlpm.status_col, ""),
      IF(OR(_xlpm.res="", _xlpm.res=0), "", _xlpm.res)
    )
  )
))</f>
        <v>RTR</v>
      </c>
      <c r="X265" s="39">
        <f>IF(OR(M265="", M265="Deleted"), "", _xlfn.LET(
  _xlpm.doc_col, [1]SubmittalLog!$E$1:$E$4000,
  _xlpm.date_col, [1]SubmittalLog!$H$1:$H$4000,
  _xlpm.status_col, [1]SubmittalLog!$O$1:$O$4000,
  _xlpm.first_app_date, _xlfn.MINIFS(_xlpm.date_col, _xlpm.doc_col, M265, _xlpm.status_col, "APP"),
  _xlpm.first_awc_date, _xlfn.MINIFS(_xlpm.date_col, _xlpm.doc_col, M265, _xlpm.status_col, "AWC"),
  _xlpm.earliest_date, IF(
    AND(_xlpm.first_app_date=0, _xlpm.first_awc_date=0), 0,
    IF(_xlpm.first_app_date=0, _xlpm.first_awc_date,
    IF(_xlpm.first_awc_date=0, _xlpm.first_app_date,
    MIN(_xlpm.first_app_date, _xlpm.first_awc_date)))
  ),
  IF(_xlpm.earliest_date=0, "", _xlpm.earliest_date)
))</f>
        <v>45224</v>
      </c>
      <c r="Y265" s="40" t="str" cm="1">
        <f t="array" ref="Y265">IF(OR(M265="", M265="Deleted"), "", _xlfn.LET(
  _xlpm.doc_col, [1]SubmittalLog!$E$1:$E$4000,
  _xlpm.date_col, [1]SubmittalLog!$H$1:$H$4000,
  _xlpm.status_col, [1]SubmittalLog!$O$1:$O$4000,
  _xlpm.has_sub, COUNTIF(_xlpm.doc_col, M265),
  _xlpm.latest_reviewed_date, _xlfn.MAXIFS(_xlpm.date_col, _xlpm.doc_col, M265, _xlpm.status_col, "&lt;&gt;"),
  IF(_xlpm.has_sub=0, "",
    IF(_xlpm.latest_reviewed_date=0, "",
      _xlfn.LET(
        _xlpm.res, _xlfn.XLOOKUP(1, (_xlpm.doc_col=M265) * (_xlpm.date_col=_xlpm.latest_reviewed_date) * (_xlpm.status_col&lt;&gt;""), _xlpm.status_col, ""),
        IF(OR(_xlpm.res="", _xlpm.res=0), "", _xlpm.res)
      )
    )
  )
))</f>
        <v>AWC</v>
      </c>
    </row>
    <row r="266" spans="1:25" x14ac:dyDescent="0.35">
      <c r="A266" s="33">
        <f>IF($M266="","",MAX($A$1:A265)+1)</f>
        <v>245</v>
      </c>
      <c r="B266" s="23" t="s">
        <v>250</v>
      </c>
      <c r="C266" s="23" t="s">
        <v>257</v>
      </c>
      <c r="G266" s="33">
        <v>131236</v>
      </c>
      <c r="H266" s="33" t="s">
        <v>59</v>
      </c>
      <c r="I266" s="33" t="s">
        <v>217</v>
      </c>
      <c r="J266" s="33" t="s">
        <v>3496</v>
      </c>
      <c r="K266" s="51" t="s">
        <v>3469</v>
      </c>
      <c r="M266" s="34" t="str">
        <f t="shared" si="4"/>
        <v>131236-WIL21-CL-P-0001</v>
      </c>
      <c r="N266" s="26" t="s">
        <v>3797</v>
      </c>
      <c r="P266" s="34" t="s">
        <v>3467</v>
      </c>
      <c r="S266" s="35">
        <v>45236</v>
      </c>
      <c r="T266" s="35">
        <v>45238</v>
      </c>
      <c r="U266" s="64" cm="1">
        <f t="array" ref="U266">IF(OR(M266="", M266="Deleted"), "", _xlfn.LET(
  _xlpm.dates,
  _xlfn._xlws.FILTER(
    [1]SubmittalLog!$H$1:$H$4000,
    [1]SubmittalLog!$E$1:$E$4000=M266,
    ""
  ),
  _xlpm.min_date, IFERROR(MIN(_xlpm.dates), ""),
  IF(_xlpm.min_date=0, "", _xlpm.min_date)
))</f>
        <v>45238</v>
      </c>
      <c r="V266" s="63" t="str" cm="1">
        <f t="array" ref="V266">IF(OR(M266="", M266="Deleted"), "", IFERROR(
  _xlfn.TEXTJOIN(", ", TRUE,
    _xlfn.MAP(
      _xlfn.UNIQUE(
        _xlfn._xlws.FILTER(
          [1]SubmittalLog!$B$1:$B$4000,
          ([1]SubmittalLog!$E$1:$E$4000=M266) *
          ([1]SubmittalLog!$B$1:$B$4000&lt;&gt;""),
          ""
        )
      ),
      _xlfn.LAMBDA(_xlpm.val, TEXT(_xlpm.val, "000000"))
    )
  ),
""))</f>
        <v>000173, 000172</v>
      </c>
      <c r="W266" s="40" t="str" cm="1">
        <f t="array" ref="W266">IF(OR(M266="", M266="Deleted"), "", _xlfn.LET(
  _xlpm.doc_col, [1]SubmittalLog!$E$1:$E$4000,
  _xlpm.date_col, [1]SubmittalLog!$H$1:$H$4000,
  _xlpm.status_col, [1]SubmittalLog!$N$1:$N$4000,
  _xlpm.latest_date, _xlfn.MAXIFS(_xlpm.date_col, _xlpm.doc_col, M266),
  IF(_xlpm.latest_date=0, "NFS",
    _xlfn.LET(
      _xlpm.res, _xlfn.XLOOKUP(M266 &amp; "|" &amp; _xlpm.latest_date, _xlpm.doc_col &amp; "|" &amp; _xlpm.date_col, _xlpm.status_col, ""),
      IF(OR(_xlpm.res="", _xlpm.res=0), "", _xlpm.res)
    )
  )
))</f>
        <v>RTR</v>
      </c>
      <c r="X266" s="39">
        <f>IF(OR(M266="", M266="Deleted"), "", _xlfn.LET(
  _xlpm.doc_col, [1]SubmittalLog!$E$1:$E$4000,
  _xlpm.date_col, [1]SubmittalLog!$H$1:$H$4000,
  _xlpm.status_col, [1]SubmittalLog!$O$1:$O$4000,
  _xlpm.first_app_date, _xlfn.MINIFS(_xlpm.date_col, _xlpm.doc_col, M266, _xlpm.status_col, "APP"),
  _xlpm.first_awc_date, _xlfn.MINIFS(_xlpm.date_col, _xlpm.doc_col, M266, _xlpm.status_col, "AWC"),
  _xlpm.earliest_date, IF(
    AND(_xlpm.first_app_date=0, _xlpm.first_awc_date=0), 0,
    IF(_xlpm.first_app_date=0, _xlpm.first_awc_date,
    IF(_xlpm.first_awc_date=0, _xlpm.first_app_date,
    MIN(_xlpm.first_app_date, _xlpm.first_awc_date)))
  ),
  IF(_xlpm.earliest_date=0, "", _xlpm.earliest_date)
))</f>
        <v>45238</v>
      </c>
      <c r="Y266" s="40" t="str" cm="1">
        <f t="array" ref="Y266">IF(OR(M266="", M266="Deleted"), "", _xlfn.LET(
  _xlpm.doc_col, [1]SubmittalLog!$E$1:$E$4000,
  _xlpm.date_col, [1]SubmittalLog!$H$1:$H$4000,
  _xlpm.status_col, [1]SubmittalLog!$O$1:$O$4000,
  _xlpm.has_sub, COUNTIF(_xlpm.doc_col, M266),
  _xlpm.latest_reviewed_date, _xlfn.MAXIFS(_xlpm.date_col, _xlpm.doc_col, M266, _xlpm.status_col, "&lt;&gt;"),
  IF(_xlpm.has_sub=0, "",
    IF(_xlpm.latest_reviewed_date=0, "",
      _xlfn.LET(
        _xlpm.res, _xlfn.XLOOKUP(1, (_xlpm.doc_col=M266) * (_xlpm.date_col=_xlpm.latest_reviewed_date) * (_xlpm.status_col&lt;&gt;""), _xlpm.status_col, ""),
        IF(OR(_xlpm.res="", _xlpm.res=0), "", _xlpm.res)
      )
    )
  )
))</f>
        <v>APP</v>
      </c>
    </row>
    <row r="267" spans="1:25" x14ac:dyDescent="0.35">
      <c r="A267" s="33">
        <f>IF($M267="","",MAX($A$1:A266)+1)</f>
        <v>246</v>
      </c>
      <c r="B267" s="23" t="s">
        <v>250</v>
      </c>
      <c r="C267" s="23" t="s">
        <v>257</v>
      </c>
      <c r="G267" s="33">
        <v>131236</v>
      </c>
      <c r="H267" s="33" t="s">
        <v>59</v>
      </c>
      <c r="I267" s="33" t="s">
        <v>217</v>
      </c>
      <c r="J267" s="33" t="s">
        <v>3496</v>
      </c>
      <c r="K267" s="51" t="s">
        <v>3527</v>
      </c>
      <c r="M267" s="34" t="str">
        <f t="shared" si="4"/>
        <v>131236-WIL21-CL-P-0007</v>
      </c>
      <c r="N267" s="26" t="s">
        <v>3798</v>
      </c>
      <c r="P267" s="34" t="s">
        <v>3467</v>
      </c>
      <c r="S267" s="35">
        <v>45524</v>
      </c>
      <c r="T267" s="35">
        <v>45524</v>
      </c>
      <c r="U267" s="64" cm="1">
        <f t="array" ref="U267">IF(OR(M267="", M267="Deleted"), "", _xlfn.LET(
  _xlpm.dates,
  _xlfn._xlws.FILTER(
    [1]SubmittalLog!$H$1:$H$4000,
    [1]SubmittalLog!$E$1:$E$4000=M267,
    ""
  ),
  _xlpm.min_date, IFERROR(MIN(_xlpm.dates), ""),
  IF(_xlpm.min_date=0, "", _xlpm.min_date)
))</f>
        <v>45482</v>
      </c>
      <c r="V267" s="63" t="str" cm="1">
        <f t="array" ref="V267">IF(OR(M267="", M267="Deleted"), "", IFERROR(
  _xlfn.TEXTJOIN(", ", TRUE,
    _xlfn.MAP(
      _xlfn.UNIQUE(
        _xlfn._xlws.FILTER(
          [1]SubmittalLog!$B$1:$B$4000,
          ([1]SubmittalLog!$E$1:$E$4000=M267) *
          ([1]SubmittalLog!$B$1:$B$4000&lt;&gt;""),
          ""
        )
      ),
      _xlfn.LAMBDA(_xlpm.val, TEXT(_xlpm.val, "000000"))
    )
  ),
""))</f>
        <v>000553, 000664</v>
      </c>
      <c r="W267" s="40" t="str" cm="1">
        <f t="array" ref="W267">IF(OR(M267="", M267="Deleted"), "", _xlfn.LET(
  _xlpm.doc_col, [1]SubmittalLog!$E$1:$E$4000,
  _xlpm.date_col, [1]SubmittalLog!$H$1:$H$4000,
  _xlpm.status_col, [1]SubmittalLog!$N$1:$N$4000,
  _xlpm.latest_date, _xlfn.MAXIFS(_xlpm.date_col, _xlpm.doc_col, M267),
  IF(_xlpm.latest_date=0, "NFS",
    _xlfn.LET(
      _xlpm.res, _xlfn.XLOOKUP(M267 &amp; "|" &amp; _xlpm.latest_date, _xlpm.doc_col &amp; "|" &amp; _xlpm.date_col, _xlpm.status_col, ""),
      IF(OR(_xlpm.res="", _xlpm.res=0), "", _xlpm.res)
    )
  )
))</f>
        <v>RTR</v>
      </c>
      <c r="X267" s="39">
        <f>IF(OR(M267="", M267="Deleted"), "", _xlfn.LET(
  _xlpm.doc_col, [1]SubmittalLog!$E$1:$E$4000,
  _xlpm.date_col, [1]SubmittalLog!$H$1:$H$4000,
  _xlpm.status_col, [1]SubmittalLog!$O$1:$O$4000,
  _xlpm.first_app_date, _xlfn.MINIFS(_xlpm.date_col, _xlpm.doc_col, M267, _xlpm.status_col, "APP"),
  _xlpm.first_awc_date, _xlfn.MINIFS(_xlpm.date_col, _xlpm.doc_col, M267, _xlpm.status_col, "AWC"),
  _xlpm.earliest_date, IF(
    AND(_xlpm.first_app_date=0, _xlpm.first_awc_date=0), 0,
    IF(_xlpm.first_app_date=0, _xlpm.first_awc_date,
    IF(_xlpm.first_awc_date=0, _xlpm.first_app_date,
    MIN(_xlpm.first_app_date, _xlpm.first_awc_date)))
  ),
  IF(_xlpm.earliest_date=0, "", _xlpm.earliest_date)
))</f>
        <v>45482</v>
      </c>
      <c r="Y267" s="40" t="str" cm="1">
        <f t="array" ref="Y267">IF(OR(M267="", M267="Deleted"), "", _xlfn.LET(
  _xlpm.doc_col, [1]SubmittalLog!$E$1:$E$4000,
  _xlpm.date_col, [1]SubmittalLog!$H$1:$H$4000,
  _xlpm.status_col, [1]SubmittalLog!$O$1:$O$4000,
  _xlpm.has_sub, COUNTIF(_xlpm.doc_col, M267),
  _xlpm.latest_reviewed_date, _xlfn.MAXIFS(_xlpm.date_col, _xlpm.doc_col, M267, _xlpm.status_col, "&lt;&gt;"),
  IF(_xlpm.has_sub=0, "",
    IF(_xlpm.latest_reviewed_date=0, "",
      _xlfn.LET(
        _xlpm.res, _xlfn.XLOOKUP(1, (_xlpm.doc_col=M267) * (_xlpm.date_col=_xlpm.latest_reviewed_date) * (_xlpm.status_col&lt;&gt;""), _xlpm.status_col, ""),
        IF(OR(_xlpm.res="", _xlpm.res=0), "", _xlpm.res)
      )
    )
  )
))</f>
        <v>APP</v>
      </c>
    </row>
    <row r="268" spans="1:25" x14ac:dyDescent="0.35">
      <c r="A268" s="33">
        <f>IF($M268="","",MAX($A$1:A267)+1)</f>
        <v>247</v>
      </c>
      <c r="B268" s="23" t="s">
        <v>250</v>
      </c>
      <c r="C268" s="23" t="s">
        <v>257</v>
      </c>
      <c r="G268" s="33">
        <v>131236</v>
      </c>
      <c r="H268" s="33" t="s">
        <v>59</v>
      </c>
      <c r="I268" s="33" t="s">
        <v>217</v>
      </c>
      <c r="J268" s="33" t="s">
        <v>3496</v>
      </c>
      <c r="K268" s="51" t="s">
        <v>3799</v>
      </c>
      <c r="M268" s="34" t="str">
        <f t="shared" si="4"/>
        <v>131236-WIL21-CL-P-0014</v>
      </c>
      <c r="N268" s="26" t="s">
        <v>3800</v>
      </c>
      <c r="P268" s="34" t="s">
        <v>3467</v>
      </c>
      <c r="S268" s="35">
        <v>45524</v>
      </c>
      <c r="T268" s="35">
        <v>45524</v>
      </c>
      <c r="U268" s="64" cm="1">
        <f t="array" ref="U268">IF(OR(M268="", M268="Deleted"), "", _xlfn.LET(
  _xlpm.dates,
  _xlfn._xlws.FILTER(
    [1]SubmittalLog!$H$1:$H$4000,
    [1]SubmittalLog!$E$1:$E$4000=M268,
    ""
  ),
  _xlpm.min_date, IFERROR(MIN(_xlpm.dates), ""),
  IF(_xlpm.min_date=0, "", _xlpm.min_date)
))</f>
        <v>45677</v>
      </c>
      <c r="V268" s="63" t="str" cm="1">
        <f t="array" ref="V268">IF(OR(M268="", M268="Deleted"), "", IFERROR(
  _xlfn.TEXTJOIN(", ", TRUE,
    _xlfn.MAP(
      _xlfn.UNIQUE(
        _xlfn._xlws.FILTER(
          [1]SubmittalLog!$B$1:$B$4000,
          ([1]SubmittalLog!$E$1:$E$4000=M268) *
          ([1]SubmittalLog!$B$1:$B$4000&lt;&gt;""),
          ""
        )
      ),
      _xlfn.LAMBDA(_xlpm.val, TEXT(_xlpm.val, "000000"))
    )
  ),
""))</f>
        <v>000990</v>
      </c>
      <c r="W268" s="40" t="str" cm="1">
        <f t="array" ref="W268">IF(OR(M268="", M268="Deleted"), "", _xlfn.LET(
  _xlpm.doc_col, [1]SubmittalLog!$E$1:$E$4000,
  _xlpm.date_col, [1]SubmittalLog!$H$1:$H$4000,
  _xlpm.status_col, [1]SubmittalLog!$N$1:$N$4000,
  _xlpm.latest_date, _xlfn.MAXIFS(_xlpm.date_col, _xlpm.doc_col, M268),
  IF(_xlpm.latest_date=0, "NFS",
    _xlfn.LET(
      _xlpm.res, _xlfn.XLOOKUP(M268 &amp; "|" &amp; _xlpm.latest_date, _xlpm.doc_col &amp; "|" &amp; _xlpm.date_col, _xlpm.status_col, ""),
      IF(OR(_xlpm.res="", _xlpm.res=0), "", _xlpm.res)
    )
  )
))</f>
        <v>RTR</v>
      </c>
      <c r="X268" s="39">
        <f>IF(OR(M268="", M268="Deleted"), "", _xlfn.LET(
  _xlpm.doc_col, [1]SubmittalLog!$E$1:$E$4000,
  _xlpm.date_col, [1]SubmittalLog!$H$1:$H$4000,
  _xlpm.status_col, [1]SubmittalLog!$O$1:$O$4000,
  _xlpm.first_app_date, _xlfn.MINIFS(_xlpm.date_col, _xlpm.doc_col, M268, _xlpm.status_col, "APP"),
  _xlpm.first_awc_date, _xlfn.MINIFS(_xlpm.date_col, _xlpm.doc_col, M268, _xlpm.status_col, "AWC"),
  _xlpm.earliest_date, IF(
    AND(_xlpm.first_app_date=0, _xlpm.first_awc_date=0), 0,
    IF(_xlpm.first_app_date=0, _xlpm.first_awc_date,
    IF(_xlpm.first_awc_date=0, _xlpm.first_app_date,
    MIN(_xlpm.first_app_date, _xlpm.first_awc_date)))
  ),
  IF(_xlpm.earliest_date=0, "", _xlpm.earliest_date)
))</f>
        <v>45677</v>
      </c>
      <c r="Y268" s="40" t="str" cm="1">
        <f t="array" ref="Y268">IF(OR(M268="", M268="Deleted"), "", _xlfn.LET(
  _xlpm.doc_col, [1]SubmittalLog!$E$1:$E$4000,
  _xlpm.date_col, [1]SubmittalLog!$H$1:$H$4000,
  _xlpm.status_col, [1]SubmittalLog!$O$1:$O$4000,
  _xlpm.has_sub, COUNTIF(_xlpm.doc_col, M268),
  _xlpm.latest_reviewed_date, _xlfn.MAXIFS(_xlpm.date_col, _xlpm.doc_col, M268, _xlpm.status_col, "&lt;&gt;"),
  IF(_xlpm.has_sub=0, "",
    IF(_xlpm.latest_reviewed_date=0, "",
      _xlfn.LET(
        _xlpm.res, _xlfn.XLOOKUP(1, (_xlpm.doc_col=M268) * (_xlpm.date_col=_xlpm.latest_reviewed_date) * (_xlpm.status_col&lt;&gt;""), _xlpm.status_col, ""),
        IF(OR(_xlpm.res="", _xlpm.res=0), "", _xlpm.res)
      )
    )
  )
))</f>
        <v>APP</v>
      </c>
    </row>
    <row r="269" spans="1:25" x14ac:dyDescent="0.35">
      <c r="A269" s="33">
        <f>IF($M269="","",MAX($A$1:A268)+1)</f>
        <v>248</v>
      </c>
      <c r="B269" s="23" t="s">
        <v>250</v>
      </c>
      <c r="C269" s="23" t="s">
        <v>257</v>
      </c>
      <c r="G269" s="33">
        <v>131236</v>
      </c>
      <c r="H269" s="33" t="s">
        <v>59</v>
      </c>
      <c r="I269" s="33" t="s">
        <v>217</v>
      </c>
      <c r="J269" s="33" t="s">
        <v>3496</v>
      </c>
      <c r="K269" s="51" t="s">
        <v>3503</v>
      </c>
      <c r="M269" s="34" t="str">
        <f t="shared" si="4"/>
        <v>131236-WIL21-CL-P-0002</v>
      </c>
      <c r="N269" s="26" t="s">
        <v>3801</v>
      </c>
      <c r="P269" s="34" t="s">
        <v>3467</v>
      </c>
      <c r="S269" s="35">
        <v>45231</v>
      </c>
      <c r="T269" s="35">
        <v>45252</v>
      </c>
      <c r="U269" s="64" cm="1">
        <f t="array" ref="U269">IF(OR(M269="", M269="Deleted"), "", _xlfn.LET(
  _xlpm.dates,
  _xlfn._xlws.FILTER(
    [1]SubmittalLog!$H$1:$H$4000,
    [1]SubmittalLog!$E$1:$E$4000=M269,
    ""
  ),
  _xlpm.min_date, IFERROR(MIN(_xlpm.dates), ""),
  IF(_xlpm.min_date=0, "", _xlpm.min_date)
))</f>
        <v>45252</v>
      </c>
      <c r="V269" s="63" t="str" cm="1">
        <f t="array" ref="V269">IF(OR(M269="", M269="Deleted"), "", IFERROR(
  _xlfn.TEXTJOIN(", ", TRUE,
    _xlfn.MAP(
      _xlfn.UNIQUE(
        _xlfn._xlws.FILTER(
          [1]SubmittalLog!$B$1:$B$4000,
          ([1]SubmittalLog!$E$1:$E$4000=M269) *
          ([1]SubmittalLog!$B$1:$B$4000&lt;&gt;""),
          ""
        )
      ),
      _xlfn.LAMBDA(_xlpm.val, TEXT(_xlpm.val, "000000"))
    )
  ),
""))</f>
        <v>000206, 000207</v>
      </c>
      <c r="W269" s="40" t="str" cm="1">
        <f t="array" ref="W269">IF(OR(M269="", M269="Deleted"), "", _xlfn.LET(
  _xlpm.doc_col, [1]SubmittalLog!$E$1:$E$4000,
  _xlpm.date_col, [1]SubmittalLog!$H$1:$H$4000,
  _xlpm.status_col, [1]SubmittalLog!$N$1:$N$4000,
  _xlpm.latest_date, _xlfn.MAXIFS(_xlpm.date_col, _xlpm.doc_col, M269),
  IF(_xlpm.latest_date=0, "NFS",
    _xlfn.LET(
      _xlpm.res, _xlfn.XLOOKUP(M269 &amp; "|" &amp; _xlpm.latest_date, _xlpm.doc_col &amp; "|" &amp; _xlpm.date_col, _xlpm.status_col, ""),
      IF(OR(_xlpm.res="", _xlpm.res=0), "", _xlpm.res)
    )
  )
))</f>
        <v>RTR</v>
      </c>
      <c r="X269" s="39">
        <f>IF(OR(M269="", M269="Deleted"), "", _xlfn.LET(
  _xlpm.doc_col, [1]SubmittalLog!$E$1:$E$4000,
  _xlpm.date_col, [1]SubmittalLog!$H$1:$H$4000,
  _xlpm.status_col, [1]SubmittalLog!$O$1:$O$4000,
  _xlpm.first_app_date, _xlfn.MINIFS(_xlpm.date_col, _xlpm.doc_col, M269, _xlpm.status_col, "APP"),
  _xlpm.first_awc_date, _xlfn.MINIFS(_xlpm.date_col, _xlpm.doc_col, M269, _xlpm.status_col, "AWC"),
  _xlpm.earliest_date, IF(
    AND(_xlpm.first_app_date=0, _xlpm.first_awc_date=0), 0,
    IF(_xlpm.first_app_date=0, _xlpm.first_awc_date,
    IF(_xlpm.first_awc_date=0, _xlpm.first_app_date,
    MIN(_xlpm.first_app_date, _xlpm.first_awc_date)))
  ),
  IF(_xlpm.earliest_date=0, "", _xlpm.earliest_date)
))</f>
        <v>45252</v>
      </c>
      <c r="Y269" s="40" t="str" cm="1">
        <f t="array" ref="Y269">IF(OR(M269="", M269="Deleted"), "", _xlfn.LET(
  _xlpm.doc_col, [1]SubmittalLog!$E$1:$E$4000,
  _xlpm.date_col, [1]SubmittalLog!$H$1:$H$4000,
  _xlpm.status_col, [1]SubmittalLog!$O$1:$O$4000,
  _xlpm.has_sub, COUNTIF(_xlpm.doc_col, M269),
  _xlpm.latest_reviewed_date, _xlfn.MAXIFS(_xlpm.date_col, _xlpm.doc_col, M269, _xlpm.status_col, "&lt;&gt;"),
  IF(_xlpm.has_sub=0, "",
    IF(_xlpm.latest_reviewed_date=0, "",
      _xlfn.LET(
        _xlpm.res, _xlfn.XLOOKUP(1, (_xlpm.doc_col=M269) * (_xlpm.date_col=_xlpm.latest_reviewed_date) * (_xlpm.status_col&lt;&gt;""), _xlpm.status_col, ""),
        IF(OR(_xlpm.res="", _xlpm.res=0), "", _xlpm.res)
      )
    )
  )
))</f>
        <v>APP</v>
      </c>
    </row>
    <row r="270" spans="1:25" x14ac:dyDescent="0.35">
      <c r="A270" s="33">
        <f>IF($M270="","",MAX($A$1:A269)+1)</f>
        <v>249</v>
      </c>
      <c r="B270" s="23" t="s">
        <v>250</v>
      </c>
      <c r="C270" s="23" t="s">
        <v>257</v>
      </c>
      <c r="G270" s="33">
        <v>131236</v>
      </c>
      <c r="H270" s="33" t="s">
        <v>59</v>
      </c>
      <c r="I270" s="33" t="s">
        <v>217</v>
      </c>
      <c r="J270" s="33" t="s">
        <v>3496</v>
      </c>
      <c r="K270" s="51" t="s">
        <v>3505</v>
      </c>
      <c r="M270" s="34" t="str">
        <f t="shared" si="4"/>
        <v>131236-WIL21-CL-P-0003</v>
      </c>
      <c r="N270" s="26" t="s">
        <v>3802</v>
      </c>
      <c r="P270" s="34" t="s">
        <v>3467</v>
      </c>
      <c r="S270" s="35">
        <v>45501</v>
      </c>
      <c r="T270" s="35">
        <v>45502</v>
      </c>
      <c r="U270" s="64" cm="1">
        <f t="array" ref="U270">IF(OR(M270="", M270="Deleted"), "", _xlfn.LET(
  _xlpm.dates,
  _xlfn._xlws.FILTER(
    [1]SubmittalLog!$H$1:$H$4000,
    [1]SubmittalLog!$E$1:$E$4000=M270,
    ""
  ),
  _xlpm.min_date, IFERROR(MIN(_xlpm.dates), ""),
  IF(_xlpm.min_date=0, "", _xlpm.min_date)
))</f>
        <v>45371</v>
      </c>
      <c r="V270" s="63" t="str" cm="1">
        <f t="array" ref="V270">IF(OR(M270="", M270="Deleted"), "", IFERROR(
  _xlfn.TEXTJOIN(", ", TRUE,
    _xlfn.MAP(
      _xlfn.UNIQUE(
        _xlfn._xlws.FILTER(
          [1]SubmittalLog!$B$1:$B$4000,
          ([1]SubmittalLog!$E$1:$E$4000=M270) *
          ([1]SubmittalLog!$B$1:$B$4000&lt;&gt;""),
          ""
        )
      ),
      _xlfn.LAMBDA(_xlpm.val, TEXT(_xlpm.val, "000000"))
    )
  ),
""))</f>
        <v>000384, 000591</v>
      </c>
      <c r="W270" s="40" t="str" cm="1">
        <f t="array" ref="W270">IF(OR(M270="", M270="Deleted"), "", _xlfn.LET(
  _xlpm.doc_col, [1]SubmittalLog!$E$1:$E$4000,
  _xlpm.date_col, [1]SubmittalLog!$H$1:$H$4000,
  _xlpm.status_col, [1]SubmittalLog!$N$1:$N$4000,
  _xlpm.latest_date, _xlfn.MAXIFS(_xlpm.date_col, _xlpm.doc_col, M270),
  IF(_xlpm.latest_date=0, "NFS",
    _xlfn.LET(
      _xlpm.res, _xlfn.XLOOKUP(M270 &amp; "|" &amp; _xlpm.latest_date, _xlpm.doc_col &amp; "|" &amp; _xlpm.date_col, _xlpm.status_col, ""),
      IF(OR(_xlpm.res="", _xlpm.res=0), "", _xlpm.res)
    )
  )
))</f>
        <v>RTR</v>
      </c>
      <c r="X270" s="39">
        <f>IF(OR(M270="", M270="Deleted"), "", _xlfn.LET(
  _xlpm.doc_col, [1]SubmittalLog!$E$1:$E$4000,
  _xlpm.date_col, [1]SubmittalLog!$H$1:$H$4000,
  _xlpm.status_col, [1]SubmittalLog!$O$1:$O$4000,
  _xlpm.first_app_date, _xlfn.MINIFS(_xlpm.date_col, _xlpm.doc_col, M270, _xlpm.status_col, "APP"),
  _xlpm.first_awc_date, _xlfn.MINIFS(_xlpm.date_col, _xlpm.doc_col, M270, _xlpm.status_col, "AWC"),
  _xlpm.earliest_date, IF(
    AND(_xlpm.first_app_date=0, _xlpm.first_awc_date=0), 0,
    IF(_xlpm.first_app_date=0, _xlpm.first_awc_date,
    IF(_xlpm.first_awc_date=0, _xlpm.first_app_date,
    MIN(_xlpm.first_app_date, _xlpm.first_awc_date)))
  ),
  IF(_xlpm.earliest_date=0, "", _xlpm.earliest_date)
))</f>
        <v>45371</v>
      </c>
      <c r="Y270" s="40" t="str" cm="1">
        <f t="array" ref="Y270">IF(OR(M270="", M270="Deleted"), "", _xlfn.LET(
  _xlpm.doc_col, [1]SubmittalLog!$E$1:$E$4000,
  _xlpm.date_col, [1]SubmittalLog!$H$1:$H$4000,
  _xlpm.status_col, [1]SubmittalLog!$O$1:$O$4000,
  _xlpm.has_sub, COUNTIF(_xlpm.doc_col, M270),
  _xlpm.latest_reviewed_date, _xlfn.MAXIFS(_xlpm.date_col, _xlpm.doc_col, M270, _xlpm.status_col, "&lt;&gt;"),
  IF(_xlpm.has_sub=0, "",
    IF(_xlpm.latest_reviewed_date=0, "",
      _xlfn.LET(
        _xlpm.res, _xlfn.XLOOKUP(1, (_xlpm.doc_col=M270) * (_xlpm.date_col=_xlpm.latest_reviewed_date) * (_xlpm.status_col&lt;&gt;""), _xlpm.status_col, ""),
        IF(OR(_xlpm.res="", _xlpm.res=0), "", _xlpm.res)
      )
    )
  )
))</f>
        <v>APP</v>
      </c>
    </row>
    <row r="271" spans="1:25" x14ac:dyDescent="0.35">
      <c r="A271" s="33">
        <f>IF($M271="","",MAX($A$1:A270)+1)</f>
        <v>250</v>
      </c>
      <c r="B271" s="23" t="s">
        <v>250</v>
      </c>
      <c r="C271" s="23" t="s">
        <v>257</v>
      </c>
      <c r="G271" s="33">
        <v>131236</v>
      </c>
      <c r="H271" s="33" t="s">
        <v>59</v>
      </c>
      <c r="I271" s="33" t="s">
        <v>217</v>
      </c>
      <c r="J271" s="33" t="s">
        <v>3496</v>
      </c>
      <c r="K271" s="51" t="s">
        <v>3521</v>
      </c>
      <c r="M271" s="34" t="str">
        <f t="shared" si="4"/>
        <v>131236-WIL21-CL-P-0004</v>
      </c>
      <c r="N271" s="26" t="s">
        <v>3803</v>
      </c>
      <c r="P271" s="34" t="s">
        <v>3467</v>
      </c>
      <c r="S271" s="35">
        <v>45519</v>
      </c>
      <c r="T271" s="35">
        <v>45519</v>
      </c>
      <c r="U271" s="64" cm="1">
        <f t="array" ref="U271">IF(OR(M271="", M271="Deleted"), "", _xlfn.LET(
  _xlpm.dates,
  _xlfn._xlws.FILTER(
    [1]SubmittalLog!$H$1:$H$4000,
    [1]SubmittalLog!$E$1:$E$4000=M271,
    ""
  ),
  _xlpm.min_date, IFERROR(MIN(_xlpm.dates), ""),
  IF(_xlpm.min_date=0, "", _xlpm.min_date)
))</f>
        <v>45379</v>
      </c>
      <c r="V271" s="63" t="str" cm="1">
        <f t="array" ref="V271">IF(OR(M271="", M271="Deleted"), "", IFERROR(
  _xlfn.TEXTJOIN(", ", TRUE,
    _xlfn.MAP(
      _xlfn.UNIQUE(
        _xlfn._xlws.FILTER(
          [1]SubmittalLog!$B$1:$B$4000,
          ([1]SubmittalLog!$E$1:$E$4000=M271) *
          ([1]SubmittalLog!$B$1:$B$4000&lt;&gt;""),
          ""
        )
      ),
      _xlfn.LAMBDA(_xlpm.val, TEXT(_xlpm.val, "000000"))
    )
  ),
""))</f>
        <v>000404, 000649</v>
      </c>
      <c r="W271" s="40" t="str" cm="1">
        <f t="array" ref="W271">IF(OR(M271="", M271="Deleted"), "", _xlfn.LET(
  _xlpm.doc_col, [1]SubmittalLog!$E$1:$E$4000,
  _xlpm.date_col, [1]SubmittalLog!$H$1:$H$4000,
  _xlpm.status_col, [1]SubmittalLog!$N$1:$N$4000,
  _xlpm.latest_date, _xlfn.MAXIFS(_xlpm.date_col, _xlpm.doc_col, M271),
  IF(_xlpm.latest_date=0, "NFS",
    _xlfn.LET(
      _xlpm.res, _xlfn.XLOOKUP(M271 &amp; "|" &amp; _xlpm.latest_date, _xlpm.doc_col &amp; "|" &amp; _xlpm.date_col, _xlpm.status_col, ""),
      IF(OR(_xlpm.res="", _xlpm.res=0), "", _xlpm.res)
    )
  )
))</f>
        <v>RTR</v>
      </c>
      <c r="X271" s="39">
        <f>IF(OR(M271="", M271="Deleted"), "", _xlfn.LET(
  _xlpm.doc_col, [1]SubmittalLog!$E$1:$E$4000,
  _xlpm.date_col, [1]SubmittalLog!$H$1:$H$4000,
  _xlpm.status_col, [1]SubmittalLog!$O$1:$O$4000,
  _xlpm.first_app_date, _xlfn.MINIFS(_xlpm.date_col, _xlpm.doc_col, M271, _xlpm.status_col, "APP"),
  _xlpm.first_awc_date, _xlfn.MINIFS(_xlpm.date_col, _xlpm.doc_col, M271, _xlpm.status_col, "AWC"),
  _xlpm.earliest_date, IF(
    AND(_xlpm.first_app_date=0, _xlpm.first_awc_date=0), 0,
    IF(_xlpm.first_app_date=0, _xlpm.first_awc_date,
    IF(_xlpm.first_awc_date=0, _xlpm.first_app_date,
    MIN(_xlpm.first_app_date, _xlpm.first_awc_date)))
  ),
  IF(_xlpm.earliest_date=0, "", _xlpm.earliest_date)
))</f>
        <v>45379</v>
      </c>
      <c r="Y271" s="40" t="str" cm="1">
        <f t="array" ref="Y271">IF(OR(M271="", M271="Deleted"), "", _xlfn.LET(
  _xlpm.doc_col, [1]SubmittalLog!$E$1:$E$4000,
  _xlpm.date_col, [1]SubmittalLog!$H$1:$H$4000,
  _xlpm.status_col, [1]SubmittalLog!$O$1:$O$4000,
  _xlpm.has_sub, COUNTIF(_xlpm.doc_col, M271),
  _xlpm.latest_reviewed_date, _xlfn.MAXIFS(_xlpm.date_col, _xlpm.doc_col, M271, _xlpm.status_col, "&lt;&gt;"),
  IF(_xlpm.has_sub=0, "",
    IF(_xlpm.latest_reviewed_date=0, "",
      _xlfn.LET(
        _xlpm.res, _xlfn.XLOOKUP(1, (_xlpm.doc_col=M271) * (_xlpm.date_col=_xlpm.latest_reviewed_date) * (_xlpm.status_col&lt;&gt;""), _xlpm.status_col, ""),
        IF(OR(_xlpm.res="", _xlpm.res=0), "", _xlpm.res)
      )
    )
  )
))</f>
        <v>AWC</v>
      </c>
    </row>
    <row r="272" spans="1:25" x14ac:dyDescent="0.35">
      <c r="A272" s="33">
        <f>IF($M272="","",MAX($A$1:A271)+1)</f>
        <v>251</v>
      </c>
      <c r="B272" s="23" t="s">
        <v>250</v>
      </c>
      <c r="C272" s="23" t="s">
        <v>257</v>
      </c>
      <c r="G272" s="33">
        <v>131236</v>
      </c>
      <c r="H272" s="33" t="s">
        <v>59</v>
      </c>
      <c r="I272" s="33" t="s">
        <v>217</v>
      </c>
      <c r="J272" s="33" t="s">
        <v>3496</v>
      </c>
      <c r="K272" s="51" t="s">
        <v>3525</v>
      </c>
      <c r="M272" s="34" t="str">
        <f t="shared" si="4"/>
        <v>131236-WIL21-CL-P-0006</v>
      </c>
      <c r="N272" s="26" t="s">
        <v>3804</v>
      </c>
      <c r="P272" s="34" t="s">
        <v>3467</v>
      </c>
      <c r="S272" s="35">
        <v>45501</v>
      </c>
      <c r="T272" s="35">
        <v>45504</v>
      </c>
      <c r="U272" s="64" cm="1">
        <f t="array" ref="U272">IF(OR(M272="", M272="Deleted"), "", _xlfn.LET(
  _xlpm.dates,
  _xlfn._xlws.FILTER(
    [1]SubmittalLog!$H$1:$H$4000,
    [1]SubmittalLog!$E$1:$E$4000=M272,
    ""
  ),
  _xlpm.min_date, IFERROR(MIN(_xlpm.dates), ""),
  IF(_xlpm.min_date=0, "", _xlpm.min_date)
))</f>
        <v>45385</v>
      </c>
      <c r="V272" s="63" t="str" cm="1">
        <f t="array" ref="V272">IF(OR(M272="", M272="Deleted"), "", IFERROR(
  _xlfn.TEXTJOIN(", ", TRUE,
    _xlfn.MAP(
      _xlfn.UNIQUE(
        _xlfn._xlws.FILTER(
          [1]SubmittalLog!$B$1:$B$4000,
          ([1]SubmittalLog!$E$1:$E$4000=M272) *
          ([1]SubmittalLog!$B$1:$B$4000&lt;&gt;""),
          ""
        )
      ),
      _xlfn.LAMBDA(_xlpm.val, TEXT(_xlpm.val, "000000"))
    )
  ),
""))</f>
        <v>000415, 000597</v>
      </c>
      <c r="W272" s="40" t="str" cm="1">
        <f t="array" ref="W272">IF(OR(M272="", M272="Deleted"), "", _xlfn.LET(
  _xlpm.doc_col, [1]SubmittalLog!$E$1:$E$4000,
  _xlpm.date_col, [1]SubmittalLog!$H$1:$H$4000,
  _xlpm.status_col, [1]SubmittalLog!$N$1:$N$4000,
  _xlpm.latest_date, _xlfn.MAXIFS(_xlpm.date_col, _xlpm.doc_col, M272),
  IF(_xlpm.latest_date=0, "NFS",
    _xlfn.LET(
      _xlpm.res, _xlfn.XLOOKUP(M272 &amp; "|" &amp; _xlpm.latest_date, _xlpm.doc_col &amp; "|" &amp; _xlpm.date_col, _xlpm.status_col, ""),
      IF(OR(_xlpm.res="", _xlpm.res=0), "", _xlpm.res)
    )
  )
))</f>
        <v>RTR</v>
      </c>
      <c r="X272" s="39">
        <f>IF(OR(M272="", M272="Deleted"), "", _xlfn.LET(
  _xlpm.doc_col, [1]SubmittalLog!$E$1:$E$4000,
  _xlpm.date_col, [1]SubmittalLog!$H$1:$H$4000,
  _xlpm.status_col, [1]SubmittalLog!$O$1:$O$4000,
  _xlpm.first_app_date, _xlfn.MINIFS(_xlpm.date_col, _xlpm.doc_col, M272, _xlpm.status_col, "APP"),
  _xlpm.first_awc_date, _xlfn.MINIFS(_xlpm.date_col, _xlpm.doc_col, M272, _xlpm.status_col, "AWC"),
  _xlpm.earliest_date, IF(
    AND(_xlpm.first_app_date=0, _xlpm.first_awc_date=0), 0,
    IF(_xlpm.first_app_date=0, _xlpm.first_awc_date,
    IF(_xlpm.first_awc_date=0, _xlpm.first_app_date,
    MIN(_xlpm.first_app_date, _xlpm.first_awc_date)))
  ),
  IF(_xlpm.earliest_date=0, "", _xlpm.earliest_date)
))</f>
        <v>45385</v>
      </c>
      <c r="Y272" s="40" t="str" cm="1">
        <f t="array" ref="Y272">IF(OR(M272="", M272="Deleted"), "", _xlfn.LET(
  _xlpm.doc_col, [1]SubmittalLog!$E$1:$E$4000,
  _xlpm.date_col, [1]SubmittalLog!$H$1:$H$4000,
  _xlpm.status_col, [1]SubmittalLog!$O$1:$O$4000,
  _xlpm.has_sub, COUNTIF(_xlpm.doc_col, M272),
  _xlpm.latest_reviewed_date, _xlfn.MAXIFS(_xlpm.date_col, _xlpm.doc_col, M272, _xlpm.status_col, "&lt;&gt;"),
  IF(_xlpm.has_sub=0, "",
    IF(_xlpm.latest_reviewed_date=0, "",
      _xlfn.LET(
        _xlpm.res, _xlfn.XLOOKUP(1, (_xlpm.doc_col=M272) * (_xlpm.date_col=_xlpm.latest_reviewed_date) * (_xlpm.status_col&lt;&gt;""), _xlpm.status_col, ""),
        IF(OR(_xlpm.res="", _xlpm.res=0), "", _xlpm.res)
      )
    )
  )
))</f>
        <v>AWC</v>
      </c>
    </row>
    <row r="273" spans="1:25" x14ac:dyDescent="0.35">
      <c r="A273" s="33">
        <f>IF($M273="","",MAX($A$1:A272)+1)</f>
        <v>252</v>
      </c>
      <c r="B273" s="23" t="s">
        <v>250</v>
      </c>
      <c r="C273" s="23" t="s">
        <v>257</v>
      </c>
      <c r="G273" s="33">
        <v>131236</v>
      </c>
      <c r="H273" s="33" t="s">
        <v>59</v>
      </c>
      <c r="I273" s="33" t="s">
        <v>217</v>
      </c>
      <c r="J273" s="33" t="s">
        <v>3496</v>
      </c>
      <c r="K273" s="51" t="s">
        <v>3529</v>
      </c>
      <c r="M273" s="34" t="str">
        <f t="shared" si="4"/>
        <v>131236-WIL21-CL-P-0008</v>
      </c>
      <c r="N273" s="26" t="s">
        <v>3805</v>
      </c>
      <c r="P273" s="34" t="s">
        <v>3467</v>
      </c>
      <c r="S273" s="35">
        <v>45517</v>
      </c>
      <c r="T273" s="35">
        <v>45519</v>
      </c>
      <c r="U273" s="64" cm="1">
        <f t="array" ref="U273">IF(OR(M273="", M273="Deleted"), "", _xlfn.LET(
  _xlpm.dates,
  _xlfn._xlws.FILTER(
    [1]SubmittalLog!$H$1:$H$4000,
    [1]SubmittalLog!$E$1:$E$4000=M273,
    ""
  ),
  _xlpm.min_date, IFERROR(MIN(_xlpm.dates), ""),
  IF(_xlpm.min_date=0, "", _xlpm.min_date)
))</f>
        <v>45519</v>
      </c>
      <c r="V273" s="63" t="str" cm="1">
        <f t="array" ref="V273">IF(OR(M273="", M273="Deleted"), "", IFERROR(
  _xlfn.TEXTJOIN(", ", TRUE,
    _xlfn.MAP(
      _xlfn.UNIQUE(
        _xlfn._xlws.FILTER(
          [1]SubmittalLog!$B$1:$B$4000,
          ([1]SubmittalLog!$E$1:$E$4000=M273) *
          ([1]SubmittalLog!$B$1:$B$4000&lt;&gt;""),
          ""
        )
      ),
      _xlfn.LAMBDA(_xlpm.val, TEXT(_xlpm.val, "000000"))
    )
  ),
""))</f>
        <v>000553, 000650</v>
      </c>
      <c r="W273" s="40" t="str" cm="1">
        <f t="array" ref="W273">IF(OR(M273="", M273="Deleted"), "", _xlfn.LET(
  _xlpm.doc_col, [1]SubmittalLog!$E$1:$E$4000,
  _xlpm.date_col, [1]SubmittalLog!$H$1:$H$4000,
  _xlpm.status_col, [1]SubmittalLog!$N$1:$N$4000,
  _xlpm.latest_date, _xlfn.MAXIFS(_xlpm.date_col, _xlpm.doc_col, M273),
  IF(_xlpm.latest_date=0, "NFS",
    _xlfn.LET(
      _xlpm.res, _xlfn.XLOOKUP(M273 &amp; "|" &amp; _xlpm.latest_date, _xlpm.doc_col &amp; "|" &amp; _xlpm.date_col, _xlpm.status_col, ""),
      IF(OR(_xlpm.res="", _xlpm.res=0), "", _xlpm.res)
    )
  )
))</f>
        <v>RTR</v>
      </c>
      <c r="X273" s="39">
        <f>IF(OR(M273="", M273="Deleted"), "", _xlfn.LET(
  _xlpm.doc_col, [1]SubmittalLog!$E$1:$E$4000,
  _xlpm.date_col, [1]SubmittalLog!$H$1:$H$4000,
  _xlpm.status_col, [1]SubmittalLog!$O$1:$O$4000,
  _xlpm.first_app_date, _xlfn.MINIFS(_xlpm.date_col, _xlpm.doc_col, M273, _xlpm.status_col, "APP"),
  _xlpm.first_awc_date, _xlfn.MINIFS(_xlpm.date_col, _xlpm.doc_col, M273, _xlpm.status_col, "AWC"),
  _xlpm.earliest_date, IF(
    AND(_xlpm.first_app_date=0, _xlpm.first_awc_date=0), 0,
    IF(_xlpm.first_app_date=0, _xlpm.first_awc_date,
    IF(_xlpm.first_awc_date=0, _xlpm.first_app_date,
    MIN(_xlpm.first_app_date, _xlpm.first_awc_date)))
  ),
  IF(_xlpm.earliest_date=0, "", _xlpm.earliest_date)
))</f>
        <v>45519</v>
      </c>
      <c r="Y273" s="40" t="str" cm="1">
        <f t="array" ref="Y273">IF(OR(M273="", M273="Deleted"), "", _xlfn.LET(
  _xlpm.doc_col, [1]SubmittalLog!$E$1:$E$4000,
  _xlpm.date_col, [1]SubmittalLog!$H$1:$H$4000,
  _xlpm.status_col, [1]SubmittalLog!$O$1:$O$4000,
  _xlpm.has_sub, COUNTIF(_xlpm.doc_col, M273),
  _xlpm.latest_reviewed_date, _xlfn.MAXIFS(_xlpm.date_col, _xlpm.doc_col, M273, _xlpm.status_col, "&lt;&gt;"),
  IF(_xlpm.has_sub=0, "",
    IF(_xlpm.latest_reviewed_date=0, "",
      _xlfn.LET(
        _xlpm.res, _xlfn.XLOOKUP(1, (_xlpm.doc_col=M273) * (_xlpm.date_col=_xlpm.latest_reviewed_date) * (_xlpm.status_col&lt;&gt;""), _xlpm.status_col, ""),
        IF(OR(_xlpm.res="", _xlpm.res=0), "", _xlpm.res)
      )
    )
  )
))</f>
        <v>AWC</v>
      </c>
    </row>
    <row r="274" spans="1:25" x14ac:dyDescent="0.35">
      <c r="A274" s="33">
        <f>IF($M274="","",MAX($A$1:A273)+1)</f>
        <v>253</v>
      </c>
      <c r="B274" s="23" t="s">
        <v>250</v>
      </c>
      <c r="C274" s="23" t="s">
        <v>257</v>
      </c>
      <c r="G274" s="33">
        <v>131236</v>
      </c>
      <c r="H274" s="33" t="s">
        <v>59</v>
      </c>
      <c r="I274" s="33" t="s">
        <v>217</v>
      </c>
      <c r="J274" s="33" t="s">
        <v>3496</v>
      </c>
      <c r="K274" s="51" t="s">
        <v>3531</v>
      </c>
      <c r="M274" s="34" t="str">
        <f t="shared" si="4"/>
        <v>131236-WIL21-CL-P-0009</v>
      </c>
      <c r="N274" s="26" t="s">
        <v>3806</v>
      </c>
      <c r="P274" s="34" t="s">
        <v>3467</v>
      </c>
      <c r="S274" s="35">
        <v>45524</v>
      </c>
      <c r="T274" s="35">
        <v>45524</v>
      </c>
      <c r="U274" s="64" cm="1">
        <f t="array" ref="U274">IF(OR(M274="", M274="Deleted"), "", _xlfn.LET(
  _xlpm.dates,
  _xlfn._xlws.FILTER(
    [1]SubmittalLog!$H$1:$H$4000,
    [1]SubmittalLog!$E$1:$E$4000=M274,
    ""
  ),
  _xlpm.min_date, IFERROR(MIN(_xlpm.dates), ""),
  IF(_xlpm.min_date=0, "", _xlpm.min_date)
))</f>
        <v>45524</v>
      </c>
      <c r="V274" s="63" t="str" cm="1">
        <f t="array" ref="V274">IF(OR(M274="", M274="Deleted"), "", IFERROR(
  _xlfn.TEXTJOIN(", ", TRUE,
    _xlfn.MAP(
      _xlfn.UNIQUE(
        _xlfn._xlws.FILTER(
          [1]SubmittalLog!$B$1:$B$4000,
          ([1]SubmittalLog!$E$1:$E$4000=M274) *
          ([1]SubmittalLog!$B$1:$B$4000&lt;&gt;""),
          ""
        )
      ),
      _xlfn.LAMBDA(_xlpm.val, TEXT(_xlpm.val, "000000"))
    )
  ),
""))</f>
        <v>001031, 000662</v>
      </c>
      <c r="W274" s="40" t="str" cm="1">
        <f t="array" ref="W274">IF(OR(M274="", M274="Deleted"), "", _xlfn.LET(
  _xlpm.doc_col, [1]SubmittalLog!$E$1:$E$4000,
  _xlpm.date_col, [1]SubmittalLog!$H$1:$H$4000,
  _xlpm.status_col, [1]SubmittalLog!$N$1:$N$4000,
  _xlpm.latest_date, _xlfn.MAXIFS(_xlpm.date_col, _xlpm.doc_col, M274),
  IF(_xlpm.latest_date=0, "NFS",
    _xlfn.LET(
      _xlpm.res, _xlfn.XLOOKUP(M274 &amp; "|" &amp; _xlpm.latest_date, _xlpm.doc_col &amp; "|" &amp; _xlpm.date_col, _xlpm.status_col, ""),
      IF(OR(_xlpm.res="", _xlpm.res=0), "", _xlpm.res)
    )
  )
))</f>
        <v>RTR</v>
      </c>
      <c r="X274" s="39">
        <f>IF(OR(M274="", M274="Deleted"), "", _xlfn.LET(
  _xlpm.doc_col, [1]SubmittalLog!$E$1:$E$4000,
  _xlpm.date_col, [1]SubmittalLog!$H$1:$H$4000,
  _xlpm.status_col, [1]SubmittalLog!$O$1:$O$4000,
  _xlpm.first_app_date, _xlfn.MINIFS(_xlpm.date_col, _xlpm.doc_col, M274, _xlpm.status_col, "APP"),
  _xlpm.first_awc_date, _xlfn.MINIFS(_xlpm.date_col, _xlpm.doc_col, M274, _xlpm.status_col, "AWC"),
  _xlpm.earliest_date, IF(
    AND(_xlpm.first_app_date=0, _xlpm.first_awc_date=0), 0,
    IF(_xlpm.first_app_date=0, _xlpm.first_awc_date,
    IF(_xlpm.first_awc_date=0, _xlpm.first_app_date,
    MIN(_xlpm.first_app_date, _xlpm.first_awc_date)))
  ),
  IF(_xlpm.earliest_date=0, "", _xlpm.earliest_date)
))</f>
        <v>45524</v>
      </c>
      <c r="Y274" s="40" t="str" cm="1">
        <f t="array" ref="Y274">IF(OR(M274="", M274="Deleted"), "", _xlfn.LET(
  _xlpm.doc_col, [1]SubmittalLog!$E$1:$E$4000,
  _xlpm.date_col, [1]SubmittalLog!$H$1:$H$4000,
  _xlpm.status_col, [1]SubmittalLog!$O$1:$O$4000,
  _xlpm.has_sub, COUNTIF(_xlpm.doc_col, M274),
  _xlpm.latest_reviewed_date, _xlfn.MAXIFS(_xlpm.date_col, _xlpm.doc_col, M274, _xlpm.status_col, "&lt;&gt;"),
  IF(_xlpm.has_sub=0, "",
    IF(_xlpm.latest_reviewed_date=0, "",
      _xlfn.LET(
        _xlpm.res, _xlfn.XLOOKUP(1, (_xlpm.doc_col=M274) * (_xlpm.date_col=_xlpm.latest_reviewed_date) * (_xlpm.status_col&lt;&gt;""), _xlpm.status_col, ""),
        IF(OR(_xlpm.res="", _xlpm.res=0), "", _xlpm.res)
      )
    )
  )
))</f>
        <v>APP</v>
      </c>
    </row>
    <row r="275" spans="1:25" x14ac:dyDescent="0.35">
      <c r="A275" s="33">
        <f>IF($M275="","",MAX($A$1:A274)+1)</f>
        <v>254</v>
      </c>
      <c r="B275" s="23" t="s">
        <v>250</v>
      </c>
      <c r="C275" s="23" t="s">
        <v>257</v>
      </c>
      <c r="G275" s="33">
        <v>131236</v>
      </c>
      <c r="H275" s="33" t="s">
        <v>59</v>
      </c>
      <c r="I275" s="33" t="s">
        <v>217</v>
      </c>
      <c r="J275" s="33" t="s">
        <v>3496</v>
      </c>
      <c r="K275" s="51" t="s">
        <v>3471</v>
      </c>
      <c r="M275" s="34" t="str">
        <f t="shared" si="4"/>
        <v>131236-WIL21-CL-P-0010</v>
      </c>
      <c r="N275" s="26" t="s">
        <v>3807</v>
      </c>
      <c r="P275" s="34" t="s">
        <v>3467</v>
      </c>
      <c r="S275" s="35">
        <v>45524</v>
      </c>
      <c r="T275" s="35">
        <v>45524</v>
      </c>
      <c r="U275" s="64" cm="1">
        <f t="array" ref="U275">IF(OR(M275="", M275="Deleted"), "", _xlfn.LET(
  _xlpm.dates,
  _xlfn._xlws.FILTER(
    [1]SubmittalLog!$H$1:$H$4000,
    [1]SubmittalLog!$E$1:$E$4000=M275,
    ""
  ),
  _xlpm.min_date, IFERROR(MIN(_xlpm.dates), ""),
  IF(_xlpm.min_date=0, "", _xlpm.min_date)
))</f>
        <v>45446</v>
      </c>
      <c r="V275" s="63" t="str" cm="1">
        <f t="array" ref="V275">IF(OR(M275="", M275="Deleted"), "", IFERROR(
  _xlfn.TEXTJOIN(", ", TRUE,
    _xlfn.MAP(
      _xlfn.UNIQUE(
        _xlfn._xlws.FILTER(
          [1]SubmittalLog!$B$1:$B$4000,
          ([1]SubmittalLog!$E$1:$E$4000=M275) *
          ([1]SubmittalLog!$B$1:$B$4000&lt;&gt;""),
          ""
        )
      ),
      _xlfn.LAMBDA(_xlpm.val, TEXT(_xlpm.val, "000000"))
    )
  ),
""))</f>
        <v>000507, 000663</v>
      </c>
      <c r="W275" s="40" t="str" cm="1">
        <f t="array" ref="W275">IF(OR(M275="", M275="Deleted"), "", _xlfn.LET(
  _xlpm.doc_col, [1]SubmittalLog!$E$1:$E$4000,
  _xlpm.date_col, [1]SubmittalLog!$H$1:$H$4000,
  _xlpm.status_col, [1]SubmittalLog!$N$1:$N$4000,
  _xlpm.latest_date, _xlfn.MAXIFS(_xlpm.date_col, _xlpm.doc_col, M275),
  IF(_xlpm.latest_date=0, "NFS",
    _xlfn.LET(
      _xlpm.res, _xlfn.XLOOKUP(M275 &amp; "|" &amp; _xlpm.latest_date, _xlpm.doc_col &amp; "|" &amp; _xlpm.date_col, _xlpm.status_col, ""),
      IF(OR(_xlpm.res="", _xlpm.res=0), "", _xlpm.res)
    )
  )
))</f>
        <v>RTR</v>
      </c>
      <c r="X275" s="39">
        <f>IF(OR(M275="", M275="Deleted"), "", _xlfn.LET(
  _xlpm.doc_col, [1]SubmittalLog!$E$1:$E$4000,
  _xlpm.date_col, [1]SubmittalLog!$H$1:$H$4000,
  _xlpm.status_col, [1]SubmittalLog!$O$1:$O$4000,
  _xlpm.first_app_date, _xlfn.MINIFS(_xlpm.date_col, _xlpm.doc_col, M275, _xlpm.status_col, "APP"),
  _xlpm.first_awc_date, _xlfn.MINIFS(_xlpm.date_col, _xlpm.doc_col, M275, _xlpm.status_col, "AWC"),
  _xlpm.earliest_date, IF(
    AND(_xlpm.first_app_date=0, _xlpm.first_awc_date=0), 0,
    IF(_xlpm.first_app_date=0, _xlpm.first_awc_date,
    IF(_xlpm.first_awc_date=0, _xlpm.first_app_date,
    MIN(_xlpm.first_app_date, _xlpm.first_awc_date)))
  ),
  IF(_xlpm.earliest_date=0, "", _xlpm.earliest_date)
))</f>
        <v>45446</v>
      </c>
      <c r="Y275" s="40" t="str" cm="1">
        <f t="array" ref="Y275">IF(OR(M275="", M275="Deleted"), "", _xlfn.LET(
  _xlpm.doc_col, [1]SubmittalLog!$E$1:$E$4000,
  _xlpm.date_col, [1]SubmittalLog!$H$1:$H$4000,
  _xlpm.status_col, [1]SubmittalLog!$O$1:$O$4000,
  _xlpm.has_sub, COUNTIF(_xlpm.doc_col, M275),
  _xlpm.latest_reviewed_date, _xlfn.MAXIFS(_xlpm.date_col, _xlpm.doc_col, M275, _xlpm.status_col, "&lt;&gt;"),
  IF(_xlpm.has_sub=0, "",
    IF(_xlpm.latest_reviewed_date=0, "",
      _xlfn.LET(
        _xlpm.res, _xlfn.XLOOKUP(1, (_xlpm.doc_col=M275) * (_xlpm.date_col=_xlpm.latest_reviewed_date) * (_xlpm.status_col&lt;&gt;""), _xlpm.status_col, ""),
        IF(OR(_xlpm.res="", _xlpm.res=0), "", _xlpm.res)
      )
    )
  )
))</f>
        <v>AWC</v>
      </c>
    </row>
    <row r="276" spans="1:25" x14ac:dyDescent="0.35">
      <c r="A276" s="33">
        <f>IF($M276="","",MAX($A$1:A275)+1)</f>
        <v>255</v>
      </c>
      <c r="B276" s="23" t="s">
        <v>54</v>
      </c>
      <c r="C276" s="23" t="s">
        <v>257</v>
      </c>
      <c r="G276" s="33">
        <v>131236</v>
      </c>
      <c r="H276" s="33" t="s">
        <v>59</v>
      </c>
      <c r="I276" s="33" t="s">
        <v>217</v>
      </c>
      <c r="J276" s="33" t="s">
        <v>3496</v>
      </c>
      <c r="K276" s="51" t="s">
        <v>3534</v>
      </c>
      <c r="M276" s="34" t="str">
        <f t="shared" si="4"/>
        <v>Deleted</v>
      </c>
      <c r="N276" s="26" t="s">
        <v>3808</v>
      </c>
      <c r="P276" s="34" t="s">
        <v>3467</v>
      </c>
      <c r="S276" s="35">
        <v>45534</v>
      </c>
      <c r="T276" s="35">
        <v>45534</v>
      </c>
      <c r="U276" s="64" t="str" cm="1">
        <f t="array" ref="U276">IF(OR(M276="", M276="Deleted"), "", _xlfn.LET(
  _xlpm.dates,
  _xlfn._xlws.FILTER(
    [1]SubmittalLog!$H$1:$H$4000,
    [1]SubmittalLog!$E$1:$E$4000=M276,
    ""
  ),
  _xlpm.min_date, IFERROR(MIN(_xlpm.dates), ""),
  IF(_xlpm.min_date=0, "", _xlpm.min_date)
))</f>
        <v/>
      </c>
      <c r="V276" s="63" t="str" cm="1">
        <f t="array" ref="V276">IF(OR(M276="", M276="Deleted"), "", IFERROR(
  _xlfn.TEXTJOIN(", ", TRUE,
    _xlfn.MAP(
      _xlfn.UNIQUE(
        _xlfn._xlws.FILTER(
          [1]SubmittalLog!$B$1:$B$4000,
          ([1]SubmittalLog!$E$1:$E$4000=M276) *
          ([1]SubmittalLog!$B$1:$B$4000&lt;&gt;""),
          ""
        )
      ),
      _xlfn.LAMBDA(_xlpm.val, TEXT(_xlpm.val, "000000"))
    )
  ),
""))</f>
        <v/>
      </c>
      <c r="W276" s="40" t="str" cm="1">
        <f t="array" ref="W276">IF(OR(M276="", M276="Deleted"), "", _xlfn.LET(
  _xlpm.doc_col, [1]SubmittalLog!$E$1:$E$4000,
  _xlpm.date_col, [1]SubmittalLog!$H$1:$H$4000,
  _xlpm.status_col, [1]SubmittalLog!$N$1:$N$4000,
  _xlpm.latest_date, _xlfn.MAXIFS(_xlpm.date_col, _xlpm.doc_col, M276),
  IF(_xlpm.latest_date=0, "NFS",
    _xlfn.LET(
      _xlpm.res, _xlfn.XLOOKUP(M276 &amp; "|" &amp; _xlpm.latest_date, _xlpm.doc_col &amp; "|" &amp; _xlpm.date_col, _xlpm.status_col, ""),
      IF(OR(_xlpm.res="", _xlpm.res=0), "", _xlpm.res)
    )
  )
))</f>
        <v/>
      </c>
      <c r="X276" s="39" t="str">
        <f>IF(OR(M276="", M276="Deleted"), "", _xlfn.LET(
  _xlpm.doc_col, [1]SubmittalLog!$E$1:$E$4000,
  _xlpm.date_col, [1]SubmittalLog!$H$1:$H$4000,
  _xlpm.status_col, [1]SubmittalLog!$O$1:$O$4000,
  _xlpm.first_app_date, _xlfn.MINIFS(_xlpm.date_col, _xlpm.doc_col, M276, _xlpm.status_col, "APP"),
  _xlpm.first_awc_date, _xlfn.MINIFS(_xlpm.date_col, _xlpm.doc_col, M276, _xlpm.status_col, "AWC"),
  _xlpm.earliest_date, IF(
    AND(_xlpm.first_app_date=0, _xlpm.first_awc_date=0), 0,
    IF(_xlpm.first_app_date=0, _xlpm.first_awc_date,
    IF(_xlpm.first_awc_date=0, _xlpm.first_app_date,
    MIN(_xlpm.first_app_date, _xlpm.first_awc_date)))
  ),
  IF(_xlpm.earliest_date=0, "", _xlpm.earliest_date)
))</f>
        <v/>
      </c>
      <c r="Y276" s="40" t="str" cm="1">
        <f t="array" ref="Y276">IF(OR(M276="", M276="Deleted"), "", _xlfn.LET(
  _xlpm.doc_col, [1]SubmittalLog!$E$1:$E$4000,
  _xlpm.date_col, [1]SubmittalLog!$H$1:$H$4000,
  _xlpm.status_col, [1]SubmittalLog!$O$1:$O$4000,
  _xlpm.has_sub, COUNTIF(_xlpm.doc_col, M276),
  _xlpm.latest_reviewed_date, _xlfn.MAXIFS(_xlpm.date_col, _xlpm.doc_col, M276, _xlpm.status_col, "&lt;&gt;"),
  IF(_xlpm.has_sub=0, "",
    IF(_xlpm.latest_reviewed_date=0, "",
      _xlfn.LET(
        _xlpm.res, _xlfn.XLOOKUP(1, (_xlpm.doc_col=M276) * (_xlpm.date_col=_xlpm.latest_reviewed_date) * (_xlpm.status_col&lt;&gt;""), _xlpm.status_col, ""),
        IF(OR(_xlpm.res="", _xlpm.res=0), "", _xlpm.res)
      )
    )
  )
))</f>
        <v/>
      </c>
    </row>
    <row r="277" spans="1:25" x14ac:dyDescent="0.35">
      <c r="A277" s="33">
        <f>IF($M277="","",MAX($A$1:A276)+1)</f>
        <v>256</v>
      </c>
      <c r="B277" s="23" t="s">
        <v>54</v>
      </c>
      <c r="C277" s="23" t="s">
        <v>257</v>
      </c>
      <c r="G277" s="33">
        <v>131236</v>
      </c>
      <c r="H277" s="33" t="s">
        <v>59</v>
      </c>
      <c r="I277" s="33" t="s">
        <v>217</v>
      </c>
      <c r="J277" s="33" t="s">
        <v>3496</v>
      </c>
      <c r="K277" s="51" t="s">
        <v>3536</v>
      </c>
      <c r="M277" s="34" t="str">
        <f t="shared" si="4"/>
        <v>Deleted</v>
      </c>
      <c r="N277" s="26" t="s">
        <v>3809</v>
      </c>
      <c r="P277" s="34" t="s">
        <v>3467</v>
      </c>
      <c r="S277" s="35">
        <v>45607</v>
      </c>
      <c r="T277" s="35">
        <v>46042</v>
      </c>
      <c r="U277" s="64" t="str" cm="1">
        <f t="array" ref="U277">IF(OR(M277="", M277="Deleted"), "", _xlfn.LET(
  _xlpm.dates,
  _xlfn._xlws.FILTER(
    [1]SubmittalLog!$H$1:$H$4000,
    [1]SubmittalLog!$E$1:$E$4000=M277,
    ""
  ),
  _xlpm.min_date, IFERROR(MIN(_xlpm.dates), ""),
  IF(_xlpm.min_date=0, "", _xlpm.min_date)
))</f>
        <v/>
      </c>
      <c r="V277" s="63" t="str" cm="1">
        <f t="array" ref="V277">IF(OR(M277="", M277="Deleted"), "", IFERROR(
  _xlfn.TEXTJOIN(", ", TRUE,
    _xlfn.MAP(
      _xlfn.UNIQUE(
        _xlfn._xlws.FILTER(
          [1]SubmittalLog!$B$1:$B$4000,
          ([1]SubmittalLog!$E$1:$E$4000=M277) *
          ([1]SubmittalLog!$B$1:$B$4000&lt;&gt;""),
          ""
        )
      ),
      _xlfn.LAMBDA(_xlpm.val, TEXT(_xlpm.val, "000000"))
    )
  ),
""))</f>
        <v/>
      </c>
      <c r="W277" s="40" t="str" cm="1">
        <f t="array" ref="W277">IF(OR(M277="", M277="Deleted"), "", _xlfn.LET(
  _xlpm.doc_col, [1]SubmittalLog!$E$1:$E$4000,
  _xlpm.date_col, [1]SubmittalLog!$H$1:$H$4000,
  _xlpm.status_col, [1]SubmittalLog!$N$1:$N$4000,
  _xlpm.latest_date, _xlfn.MAXIFS(_xlpm.date_col, _xlpm.doc_col, M277),
  IF(_xlpm.latest_date=0, "NFS",
    _xlfn.LET(
      _xlpm.res, _xlfn.XLOOKUP(M277 &amp; "|" &amp; _xlpm.latest_date, _xlpm.doc_col &amp; "|" &amp; _xlpm.date_col, _xlpm.status_col, ""),
      IF(OR(_xlpm.res="", _xlpm.res=0), "", _xlpm.res)
    )
  )
))</f>
        <v/>
      </c>
      <c r="X277" s="39" t="str">
        <f>IF(OR(M277="", M277="Deleted"), "", _xlfn.LET(
  _xlpm.doc_col, [1]SubmittalLog!$E$1:$E$4000,
  _xlpm.date_col, [1]SubmittalLog!$H$1:$H$4000,
  _xlpm.status_col, [1]SubmittalLog!$O$1:$O$4000,
  _xlpm.first_app_date, _xlfn.MINIFS(_xlpm.date_col, _xlpm.doc_col, M277, _xlpm.status_col, "APP"),
  _xlpm.first_awc_date, _xlfn.MINIFS(_xlpm.date_col, _xlpm.doc_col, M277, _xlpm.status_col, "AWC"),
  _xlpm.earliest_date, IF(
    AND(_xlpm.first_app_date=0, _xlpm.first_awc_date=0), 0,
    IF(_xlpm.first_app_date=0, _xlpm.first_awc_date,
    IF(_xlpm.first_awc_date=0, _xlpm.first_app_date,
    MIN(_xlpm.first_app_date, _xlpm.first_awc_date)))
  ),
  IF(_xlpm.earliest_date=0, "", _xlpm.earliest_date)
))</f>
        <v/>
      </c>
      <c r="Y277" s="40" t="str" cm="1">
        <f t="array" ref="Y277">IF(OR(M277="", M277="Deleted"), "", _xlfn.LET(
  _xlpm.doc_col, [1]SubmittalLog!$E$1:$E$4000,
  _xlpm.date_col, [1]SubmittalLog!$H$1:$H$4000,
  _xlpm.status_col, [1]SubmittalLog!$O$1:$O$4000,
  _xlpm.has_sub, COUNTIF(_xlpm.doc_col, M277),
  _xlpm.latest_reviewed_date, _xlfn.MAXIFS(_xlpm.date_col, _xlpm.doc_col, M277, _xlpm.status_col, "&lt;&gt;"),
  IF(_xlpm.has_sub=0, "",
    IF(_xlpm.latest_reviewed_date=0, "",
      _xlfn.LET(
        _xlpm.res, _xlfn.XLOOKUP(1, (_xlpm.doc_col=M277) * (_xlpm.date_col=_xlpm.latest_reviewed_date) * (_xlpm.status_col&lt;&gt;""), _xlpm.status_col, ""),
        IF(OR(_xlpm.res="", _xlpm.res=0), "", _xlpm.res)
      )
    )
  )
))</f>
        <v/>
      </c>
    </row>
    <row r="278" spans="1:25" x14ac:dyDescent="0.35">
      <c r="A278" s="33">
        <f>IF($M278="","",MAX($A$1:A277)+1)</f>
        <v>257</v>
      </c>
      <c r="B278" s="23" t="s">
        <v>250</v>
      </c>
      <c r="C278" s="23" t="s">
        <v>257</v>
      </c>
      <c r="G278" s="33">
        <v>131236</v>
      </c>
      <c r="H278" s="33" t="s">
        <v>59</v>
      </c>
      <c r="I278" s="33" t="s">
        <v>217</v>
      </c>
      <c r="J278" s="33" t="s">
        <v>3496</v>
      </c>
      <c r="K278" s="51" t="s">
        <v>3810</v>
      </c>
      <c r="M278" s="34" t="str">
        <f t="shared" si="4"/>
        <v>131236-WIL21-CL-P-0013</v>
      </c>
      <c r="N278" s="26" t="s">
        <v>3811</v>
      </c>
      <c r="P278" s="34" t="s">
        <v>3467</v>
      </c>
      <c r="S278" s="35">
        <v>45644</v>
      </c>
      <c r="T278" s="35">
        <v>45644</v>
      </c>
      <c r="U278" s="64" cm="1">
        <f t="array" ref="U278">IF(OR(M278="", M278="Deleted"), "", _xlfn.LET(
  _xlpm.dates,
  _xlfn._xlws.FILTER(
    [1]SubmittalLog!$H$1:$H$4000,
    [1]SubmittalLog!$E$1:$E$4000=M278,
    ""
  ),
  _xlpm.min_date, IFERROR(MIN(_xlpm.dates), ""),
  IF(_xlpm.min_date=0, "", _xlpm.min_date)
))</f>
        <v>45644</v>
      </c>
      <c r="V278" s="63" t="str" cm="1">
        <f t="array" ref="V278">IF(OR(M278="", M278="Deleted"), "", IFERROR(
  _xlfn.TEXTJOIN(", ", TRUE,
    _xlfn.MAP(
      _xlfn.UNIQUE(
        _xlfn._xlws.FILTER(
          [1]SubmittalLog!$B$1:$B$4000,
          ([1]SubmittalLog!$E$1:$E$4000=M278) *
          ([1]SubmittalLog!$B$1:$B$4000&lt;&gt;""),
          ""
        )
      ),
      _xlfn.LAMBDA(_xlpm.val, TEXT(_xlpm.val, "000000"))
    )
  ),
""))</f>
        <v>000916</v>
      </c>
      <c r="W278" s="40" t="str" cm="1">
        <f t="array" ref="W278">IF(OR(M278="", M278="Deleted"), "", _xlfn.LET(
  _xlpm.doc_col, [1]SubmittalLog!$E$1:$E$4000,
  _xlpm.date_col, [1]SubmittalLog!$H$1:$H$4000,
  _xlpm.status_col, [1]SubmittalLog!$N$1:$N$4000,
  _xlpm.latest_date, _xlfn.MAXIFS(_xlpm.date_col, _xlpm.doc_col, M278),
  IF(_xlpm.latest_date=0, "NFS",
    _xlfn.LET(
      _xlpm.res, _xlfn.XLOOKUP(M278 &amp; "|" &amp; _xlpm.latest_date, _xlpm.doc_col &amp; "|" &amp; _xlpm.date_col, _xlpm.status_col, ""),
      IF(OR(_xlpm.res="", _xlpm.res=0), "", _xlpm.res)
    )
  )
))</f>
        <v>RTR</v>
      </c>
      <c r="X278" s="39">
        <f>IF(OR(M278="", M278="Deleted"), "", _xlfn.LET(
  _xlpm.doc_col, [1]SubmittalLog!$E$1:$E$4000,
  _xlpm.date_col, [1]SubmittalLog!$H$1:$H$4000,
  _xlpm.status_col, [1]SubmittalLog!$O$1:$O$4000,
  _xlpm.first_app_date, _xlfn.MINIFS(_xlpm.date_col, _xlpm.doc_col, M278, _xlpm.status_col, "APP"),
  _xlpm.first_awc_date, _xlfn.MINIFS(_xlpm.date_col, _xlpm.doc_col, M278, _xlpm.status_col, "AWC"),
  _xlpm.earliest_date, IF(
    AND(_xlpm.first_app_date=0, _xlpm.first_awc_date=0), 0,
    IF(_xlpm.first_app_date=0, _xlpm.first_awc_date,
    IF(_xlpm.first_awc_date=0, _xlpm.first_app_date,
    MIN(_xlpm.first_app_date, _xlpm.first_awc_date)))
  ),
  IF(_xlpm.earliest_date=0, "", _xlpm.earliest_date)
))</f>
        <v>45644</v>
      </c>
      <c r="Y278" s="40" t="str" cm="1">
        <f t="array" ref="Y278">IF(OR(M278="", M278="Deleted"), "", _xlfn.LET(
  _xlpm.doc_col, [1]SubmittalLog!$E$1:$E$4000,
  _xlpm.date_col, [1]SubmittalLog!$H$1:$H$4000,
  _xlpm.status_col, [1]SubmittalLog!$O$1:$O$4000,
  _xlpm.has_sub, COUNTIF(_xlpm.doc_col, M278),
  _xlpm.latest_reviewed_date, _xlfn.MAXIFS(_xlpm.date_col, _xlpm.doc_col, M278, _xlpm.status_col, "&lt;&gt;"),
  IF(_xlpm.has_sub=0, "",
    IF(_xlpm.latest_reviewed_date=0, "",
      _xlfn.LET(
        _xlpm.res, _xlfn.XLOOKUP(1, (_xlpm.doc_col=M278) * (_xlpm.date_col=_xlpm.latest_reviewed_date) * (_xlpm.status_col&lt;&gt;""), _xlpm.status_col, ""),
        IF(OR(_xlpm.res="", _xlpm.res=0), "", _xlpm.res)
      )
    )
  )
))</f>
        <v>AWC</v>
      </c>
    </row>
    <row r="279" spans="1:25" x14ac:dyDescent="0.35">
      <c r="A279" s="33">
        <f>IF($M279="","",MAX($A$1:A278)+1)</f>
        <v>258</v>
      </c>
      <c r="B279" s="23" t="s">
        <v>250</v>
      </c>
      <c r="C279" s="23" t="s">
        <v>257</v>
      </c>
      <c r="G279" s="33">
        <v>131236</v>
      </c>
      <c r="H279" s="33" t="s">
        <v>59</v>
      </c>
      <c r="I279" s="33" t="s">
        <v>217</v>
      </c>
      <c r="J279" s="33" t="s">
        <v>3496</v>
      </c>
      <c r="K279" s="51" t="s">
        <v>3733</v>
      </c>
      <c r="M279" s="34" t="str">
        <f t="shared" si="4"/>
        <v>131236-WIL21-CL-P-0016</v>
      </c>
      <c r="N279" s="26" t="s">
        <v>3812</v>
      </c>
      <c r="P279" s="34" t="s">
        <v>3467</v>
      </c>
      <c r="S279" s="35">
        <v>45787</v>
      </c>
      <c r="T279" s="35">
        <v>45787</v>
      </c>
      <c r="U279" s="64" cm="1">
        <f t="array" ref="U279">IF(OR(M279="", M279="Deleted"), "", _xlfn.LET(
  _xlpm.dates,
  _xlfn._xlws.FILTER(
    [1]SubmittalLog!$H$1:$H$4000,
    [1]SubmittalLog!$E$1:$E$4000=M279,
    ""
  ),
  _xlpm.min_date, IFERROR(MIN(_xlpm.dates), ""),
  IF(_xlpm.min_date=0, "", _xlpm.min_date)
))</f>
        <v>45787</v>
      </c>
      <c r="V279" s="63" t="str" cm="1">
        <f t="array" ref="V279">IF(OR(M279="", M279="Deleted"), "", IFERROR(
  _xlfn.TEXTJOIN(", ", TRUE,
    _xlfn.MAP(
      _xlfn.UNIQUE(
        _xlfn._xlws.FILTER(
          [1]SubmittalLog!$B$1:$B$4000,
          ([1]SubmittalLog!$E$1:$E$4000=M279) *
          ([1]SubmittalLog!$B$1:$B$4000&lt;&gt;""),
          ""
        )
      ),
      _xlfn.LAMBDA(_xlpm.val, TEXT(_xlpm.val, "000000"))
    )
  ),
""))</f>
        <v>001275</v>
      </c>
      <c r="W279" s="40" t="str" cm="1">
        <f t="array" ref="W279">IF(OR(M279="", M279="Deleted"), "", _xlfn.LET(
  _xlpm.doc_col, [1]SubmittalLog!$E$1:$E$4000,
  _xlpm.date_col, [1]SubmittalLog!$H$1:$H$4000,
  _xlpm.status_col, [1]SubmittalLog!$N$1:$N$4000,
  _xlpm.latest_date, _xlfn.MAXIFS(_xlpm.date_col, _xlpm.doc_col, M279),
  IF(_xlpm.latest_date=0, "NFS",
    _xlfn.LET(
      _xlpm.res, _xlfn.XLOOKUP(M279 &amp; "|" &amp; _xlpm.latest_date, _xlpm.doc_col &amp; "|" &amp; _xlpm.date_col, _xlpm.status_col, ""),
      IF(OR(_xlpm.res="", _xlpm.res=0), "", _xlpm.res)
    )
  )
))</f>
        <v>RTR</v>
      </c>
      <c r="X279" s="39">
        <f>IF(OR(M279="", M279="Deleted"), "", _xlfn.LET(
  _xlpm.doc_col, [1]SubmittalLog!$E$1:$E$4000,
  _xlpm.date_col, [1]SubmittalLog!$H$1:$H$4000,
  _xlpm.status_col, [1]SubmittalLog!$O$1:$O$4000,
  _xlpm.first_app_date, _xlfn.MINIFS(_xlpm.date_col, _xlpm.doc_col, M279, _xlpm.status_col, "APP"),
  _xlpm.first_awc_date, _xlfn.MINIFS(_xlpm.date_col, _xlpm.doc_col, M279, _xlpm.status_col, "AWC"),
  _xlpm.earliest_date, IF(
    AND(_xlpm.first_app_date=0, _xlpm.first_awc_date=0), 0,
    IF(_xlpm.first_app_date=0, _xlpm.first_awc_date,
    IF(_xlpm.first_awc_date=0, _xlpm.first_app_date,
    MIN(_xlpm.first_app_date, _xlpm.first_awc_date)))
  ),
  IF(_xlpm.earliest_date=0, "", _xlpm.earliest_date)
))</f>
        <v>45787</v>
      </c>
      <c r="Y279" s="40" t="str" cm="1">
        <f t="array" ref="Y279">IF(OR(M279="", M279="Deleted"), "", _xlfn.LET(
  _xlpm.doc_col, [1]SubmittalLog!$E$1:$E$4000,
  _xlpm.date_col, [1]SubmittalLog!$H$1:$H$4000,
  _xlpm.status_col, [1]SubmittalLog!$O$1:$O$4000,
  _xlpm.has_sub, COUNTIF(_xlpm.doc_col, M279),
  _xlpm.latest_reviewed_date, _xlfn.MAXIFS(_xlpm.date_col, _xlpm.doc_col, M279, _xlpm.status_col, "&lt;&gt;"),
  IF(_xlpm.has_sub=0, "",
    IF(_xlpm.latest_reviewed_date=0, "",
      _xlfn.LET(
        _xlpm.res, _xlfn.XLOOKUP(1, (_xlpm.doc_col=M279) * (_xlpm.date_col=_xlpm.latest_reviewed_date) * (_xlpm.status_col&lt;&gt;""), _xlpm.status_col, ""),
        IF(OR(_xlpm.res="", _xlpm.res=0), "", _xlpm.res)
      )
    )
  )
))</f>
        <v>APP</v>
      </c>
    </row>
    <row r="280" spans="1:25" x14ac:dyDescent="0.35">
      <c r="A280" s="33">
        <f>IF($M280="","",MAX($A$1:A279)+1)</f>
        <v>259</v>
      </c>
      <c r="B280" s="23" t="s">
        <v>250</v>
      </c>
      <c r="C280" s="23" t="s">
        <v>257</v>
      </c>
      <c r="G280" s="33">
        <v>131236</v>
      </c>
      <c r="H280" s="33" t="s">
        <v>59</v>
      </c>
      <c r="I280" s="33" t="s">
        <v>217</v>
      </c>
      <c r="J280" s="33" t="s">
        <v>3496</v>
      </c>
      <c r="K280" s="51" t="s">
        <v>3734</v>
      </c>
      <c r="M280" s="34" t="str">
        <f t="shared" si="4"/>
        <v>131236-WIL21-CL-P-0017</v>
      </c>
      <c r="N280" s="26" t="s">
        <v>3813</v>
      </c>
      <c r="P280" s="34" t="s">
        <v>3467</v>
      </c>
      <c r="S280" s="35">
        <v>45796</v>
      </c>
      <c r="T280" s="35">
        <v>45796</v>
      </c>
      <c r="U280" s="64" cm="1">
        <f t="array" ref="U280">IF(OR(M280="", M280="Deleted"), "", _xlfn.LET(
  _xlpm.dates,
  _xlfn._xlws.FILTER(
    [1]SubmittalLog!$H$1:$H$4000,
    [1]SubmittalLog!$E$1:$E$4000=M280,
    ""
  ),
  _xlpm.min_date, IFERROR(MIN(_xlpm.dates), ""),
  IF(_xlpm.min_date=0, "", _xlpm.min_date)
))</f>
        <v>45796</v>
      </c>
      <c r="V280" s="63" t="str" cm="1">
        <f t="array" ref="V280">IF(OR(M280="", M280="Deleted"), "", IFERROR(
  _xlfn.TEXTJOIN(", ", TRUE,
    _xlfn.MAP(
      _xlfn.UNIQUE(
        _xlfn._xlws.FILTER(
          [1]SubmittalLog!$B$1:$B$4000,
          ([1]SubmittalLog!$E$1:$E$4000=M280) *
          ([1]SubmittalLog!$B$1:$B$4000&lt;&gt;""),
          ""
        )
      ),
      _xlfn.LAMBDA(_xlpm.val, TEXT(_xlpm.val, "000000"))
    )
  ),
""))</f>
        <v>001308</v>
      </c>
      <c r="W280" s="40" t="str" cm="1">
        <f t="array" ref="W280">IF(OR(M280="", M280="Deleted"), "", _xlfn.LET(
  _xlpm.doc_col, [1]SubmittalLog!$E$1:$E$4000,
  _xlpm.date_col, [1]SubmittalLog!$H$1:$H$4000,
  _xlpm.status_col, [1]SubmittalLog!$N$1:$N$4000,
  _xlpm.latest_date, _xlfn.MAXIFS(_xlpm.date_col, _xlpm.doc_col, M280),
  IF(_xlpm.latest_date=0, "NFS",
    _xlfn.LET(
      _xlpm.res, _xlfn.XLOOKUP(M280 &amp; "|" &amp; _xlpm.latest_date, _xlpm.doc_col &amp; "|" &amp; _xlpm.date_col, _xlpm.status_col, ""),
      IF(OR(_xlpm.res="", _xlpm.res=0), "", _xlpm.res)
    )
  )
))</f>
        <v>RTR</v>
      </c>
      <c r="X280" s="39">
        <f>IF(OR(M280="", M280="Deleted"), "", _xlfn.LET(
  _xlpm.doc_col, [1]SubmittalLog!$E$1:$E$4000,
  _xlpm.date_col, [1]SubmittalLog!$H$1:$H$4000,
  _xlpm.status_col, [1]SubmittalLog!$O$1:$O$4000,
  _xlpm.first_app_date, _xlfn.MINIFS(_xlpm.date_col, _xlpm.doc_col, M280, _xlpm.status_col, "APP"),
  _xlpm.first_awc_date, _xlfn.MINIFS(_xlpm.date_col, _xlpm.doc_col, M280, _xlpm.status_col, "AWC"),
  _xlpm.earliest_date, IF(
    AND(_xlpm.first_app_date=0, _xlpm.first_awc_date=0), 0,
    IF(_xlpm.first_app_date=0, _xlpm.first_awc_date,
    IF(_xlpm.first_awc_date=0, _xlpm.first_app_date,
    MIN(_xlpm.first_app_date, _xlpm.first_awc_date)))
  ),
  IF(_xlpm.earliest_date=0, "", _xlpm.earliest_date)
))</f>
        <v>45796</v>
      </c>
      <c r="Y280" s="40" t="str" cm="1">
        <f t="array" ref="Y280">IF(OR(M280="", M280="Deleted"), "", _xlfn.LET(
  _xlpm.doc_col, [1]SubmittalLog!$E$1:$E$4000,
  _xlpm.date_col, [1]SubmittalLog!$H$1:$H$4000,
  _xlpm.status_col, [1]SubmittalLog!$O$1:$O$4000,
  _xlpm.has_sub, COUNTIF(_xlpm.doc_col, M280),
  _xlpm.latest_reviewed_date, _xlfn.MAXIFS(_xlpm.date_col, _xlpm.doc_col, M280, _xlpm.status_col, "&lt;&gt;"),
  IF(_xlpm.has_sub=0, "",
    IF(_xlpm.latest_reviewed_date=0, "",
      _xlfn.LET(
        _xlpm.res, _xlfn.XLOOKUP(1, (_xlpm.doc_col=M280) * (_xlpm.date_col=_xlpm.latest_reviewed_date) * (_xlpm.status_col&lt;&gt;""), _xlpm.status_col, ""),
        IF(OR(_xlpm.res="", _xlpm.res=0), "", _xlpm.res)
      )
    )
  )
))</f>
        <v>AWC</v>
      </c>
    </row>
    <row r="281" spans="1:25" x14ac:dyDescent="0.35">
      <c r="A281" s="33">
        <f>IF($M281="","",MAX($A$1:A280)+1)</f>
        <v>260</v>
      </c>
      <c r="B281" s="23" t="s">
        <v>250</v>
      </c>
      <c r="C281" s="23" t="s">
        <v>257</v>
      </c>
      <c r="G281" s="33">
        <v>131236</v>
      </c>
      <c r="H281" s="33" t="s">
        <v>59</v>
      </c>
      <c r="I281" s="33" t="s">
        <v>217</v>
      </c>
      <c r="J281" s="33" t="s">
        <v>3496</v>
      </c>
      <c r="K281" s="51" t="s">
        <v>3735</v>
      </c>
      <c r="M281" s="34" t="str">
        <f t="shared" si="4"/>
        <v>131236-WIL21-CL-P-0018</v>
      </c>
      <c r="N281" s="26" t="s">
        <v>3814</v>
      </c>
      <c r="P281" s="34" t="s">
        <v>3467</v>
      </c>
      <c r="S281" s="35">
        <v>45796</v>
      </c>
      <c r="T281" s="35">
        <v>45796</v>
      </c>
      <c r="U281" s="64" cm="1">
        <f t="array" ref="U281">IF(OR(M281="", M281="Deleted"), "", _xlfn.LET(
  _xlpm.dates,
  _xlfn._xlws.FILTER(
    [1]SubmittalLog!$H$1:$H$4000,
    [1]SubmittalLog!$E$1:$E$4000=M281,
    ""
  ),
  _xlpm.min_date, IFERROR(MIN(_xlpm.dates), ""),
  IF(_xlpm.min_date=0, "", _xlpm.min_date)
))</f>
        <v>45796</v>
      </c>
      <c r="V281" s="63" t="str" cm="1">
        <f t="array" ref="V281">IF(OR(M281="", M281="Deleted"), "", IFERROR(
  _xlfn.TEXTJOIN(", ", TRUE,
    _xlfn.MAP(
      _xlfn.UNIQUE(
        _xlfn._xlws.FILTER(
          [1]SubmittalLog!$B$1:$B$4000,
          ([1]SubmittalLog!$E$1:$E$4000=M281) *
          ([1]SubmittalLog!$B$1:$B$4000&lt;&gt;""),
          ""
        )
      ),
      _xlfn.LAMBDA(_xlpm.val, TEXT(_xlpm.val, "000000"))
    )
  ),
""))</f>
        <v>001309</v>
      </c>
      <c r="W281" s="40" t="str" cm="1">
        <f t="array" ref="W281">IF(OR(M281="", M281="Deleted"), "", _xlfn.LET(
  _xlpm.doc_col, [1]SubmittalLog!$E$1:$E$4000,
  _xlpm.date_col, [1]SubmittalLog!$H$1:$H$4000,
  _xlpm.status_col, [1]SubmittalLog!$N$1:$N$4000,
  _xlpm.latest_date, _xlfn.MAXIFS(_xlpm.date_col, _xlpm.doc_col, M281),
  IF(_xlpm.latest_date=0, "NFS",
    _xlfn.LET(
      _xlpm.res, _xlfn.XLOOKUP(M281 &amp; "|" &amp; _xlpm.latest_date, _xlpm.doc_col &amp; "|" &amp; _xlpm.date_col, _xlpm.status_col, ""),
      IF(OR(_xlpm.res="", _xlpm.res=0), "", _xlpm.res)
    )
  )
))</f>
        <v>RTR</v>
      </c>
      <c r="X281" s="39">
        <f>IF(OR(M281="", M281="Deleted"), "", _xlfn.LET(
  _xlpm.doc_col, [1]SubmittalLog!$E$1:$E$4000,
  _xlpm.date_col, [1]SubmittalLog!$H$1:$H$4000,
  _xlpm.status_col, [1]SubmittalLog!$O$1:$O$4000,
  _xlpm.first_app_date, _xlfn.MINIFS(_xlpm.date_col, _xlpm.doc_col, M281, _xlpm.status_col, "APP"),
  _xlpm.first_awc_date, _xlfn.MINIFS(_xlpm.date_col, _xlpm.doc_col, M281, _xlpm.status_col, "AWC"),
  _xlpm.earliest_date, IF(
    AND(_xlpm.first_app_date=0, _xlpm.first_awc_date=0), 0,
    IF(_xlpm.first_app_date=0, _xlpm.first_awc_date,
    IF(_xlpm.first_awc_date=0, _xlpm.first_app_date,
    MIN(_xlpm.first_app_date, _xlpm.first_awc_date)))
  ),
  IF(_xlpm.earliest_date=0, "", _xlpm.earliest_date)
))</f>
        <v>45796</v>
      </c>
      <c r="Y281" s="40" t="str" cm="1">
        <f t="array" ref="Y281">IF(OR(M281="", M281="Deleted"), "", _xlfn.LET(
  _xlpm.doc_col, [1]SubmittalLog!$E$1:$E$4000,
  _xlpm.date_col, [1]SubmittalLog!$H$1:$H$4000,
  _xlpm.status_col, [1]SubmittalLog!$O$1:$O$4000,
  _xlpm.has_sub, COUNTIF(_xlpm.doc_col, M281),
  _xlpm.latest_reviewed_date, _xlfn.MAXIFS(_xlpm.date_col, _xlpm.doc_col, M281, _xlpm.status_col, "&lt;&gt;"),
  IF(_xlpm.has_sub=0, "",
    IF(_xlpm.latest_reviewed_date=0, "",
      _xlfn.LET(
        _xlpm.res, _xlfn.XLOOKUP(1, (_xlpm.doc_col=M281) * (_xlpm.date_col=_xlpm.latest_reviewed_date) * (_xlpm.status_col&lt;&gt;""), _xlpm.status_col, ""),
        IF(OR(_xlpm.res="", _xlpm.res=0), "", _xlpm.res)
      )
    )
  )
))</f>
        <v>AWC</v>
      </c>
    </row>
    <row r="282" spans="1:25" x14ac:dyDescent="0.35">
      <c r="A282" s="33">
        <f>IF($M282="","",MAX($A$1:A281)+1)</f>
        <v>261</v>
      </c>
      <c r="B282" s="23" t="s">
        <v>250</v>
      </c>
      <c r="C282" s="23" t="s">
        <v>257</v>
      </c>
      <c r="G282" s="33">
        <v>131236</v>
      </c>
      <c r="H282" s="33" t="s">
        <v>59</v>
      </c>
      <c r="I282" s="33" t="s">
        <v>217</v>
      </c>
      <c r="J282" s="33" t="s">
        <v>3496</v>
      </c>
      <c r="K282" s="51" t="s">
        <v>3815</v>
      </c>
      <c r="M282" s="34" t="str">
        <f t="shared" si="4"/>
        <v>131236-WIL21-CL-P-0028</v>
      </c>
      <c r="N282" s="26" t="s">
        <v>3816</v>
      </c>
      <c r="P282" s="34" t="s">
        <v>3467</v>
      </c>
      <c r="S282" s="35">
        <v>45720</v>
      </c>
      <c r="T282" s="35">
        <v>45720</v>
      </c>
      <c r="U282" s="64" cm="1">
        <f t="array" ref="U282">IF(OR(M282="", M282="Deleted"), "", _xlfn.LET(
  _xlpm.dates,
  _xlfn._xlws.FILTER(
    [1]SubmittalLog!$H$1:$H$4000,
    [1]SubmittalLog!$E$1:$E$4000=M282,
    ""
  ),
  _xlpm.min_date, IFERROR(MIN(_xlpm.dates), ""),
  IF(_xlpm.min_date=0, "", _xlpm.min_date)
))</f>
        <v>45720</v>
      </c>
      <c r="V282" s="63" t="str" cm="1">
        <f t="array" ref="V282">IF(OR(M282="", M282="Deleted"), "", IFERROR(
  _xlfn.TEXTJOIN(", ", TRUE,
    _xlfn.MAP(
      _xlfn.UNIQUE(
        _xlfn._xlws.FILTER(
          [1]SubmittalLog!$B$1:$B$4000,
          ([1]SubmittalLog!$E$1:$E$4000=M282) *
          ([1]SubmittalLog!$B$1:$B$4000&lt;&gt;""),
          ""
        )
      ),
      _xlfn.LAMBDA(_xlpm.val, TEXT(_xlpm.val, "000000"))
    )
  ),
""))</f>
        <v>001084</v>
      </c>
      <c r="W282" s="40" t="str" cm="1">
        <f t="array" ref="W282">IF(OR(M282="", M282="Deleted"), "", _xlfn.LET(
  _xlpm.doc_col, [1]SubmittalLog!$E$1:$E$4000,
  _xlpm.date_col, [1]SubmittalLog!$H$1:$H$4000,
  _xlpm.status_col, [1]SubmittalLog!$N$1:$N$4000,
  _xlpm.latest_date, _xlfn.MAXIFS(_xlpm.date_col, _xlpm.doc_col, M282),
  IF(_xlpm.latest_date=0, "NFS",
    _xlfn.LET(
      _xlpm.res, _xlfn.XLOOKUP(M282 &amp; "|" &amp; _xlpm.latest_date, _xlpm.doc_col &amp; "|" &amp; _xlpm.date_col, _xlpm.status_col, ""),
      IF(OR(_xlpm.res="", _xlpm.res=0), "", _xlpm.res)
    )
  )
))</f>
        <v>RTR</v>
      </c>
      <c r="X282" s="39">
        <f>IF(OR(M282="", M282="Deleted"), "", _xlfn.LET(
  _xlpm.doc_col, [1]SubmittalLog!$E$1:$E$4000,
  _xlpm.date_col, [1]SubmittalLog!$H$1:$H$4000,
  _xlpm.status_col, [1]SubmittalLog!$O$1:$O$4000,
  _xlpm.first_app_date, _xlfn.MINIFS(_xlpm.date_col, _xlpm.doc_col, M282, _xlpm.status_col, "APP"),
  _xlpm.first_awc_date, _xlfn.MINIFS(_xlpm.date_col, _xlpm.doc_col, M282, _xlpm.status_col, "AWC"),
  _xlpm.earliest_date, IF(
    AND(_xlpm.first_app_date=0, _xlpm.first_awc_date=0), 0,
    IF(_xlpm.first_app_date=0, _xlpm.first_awc_date,
    IF(_xlpm.first_awc_date=0, _xlpm.first_app_date,
    MIN(_xlpm.first_app_date, _xlpm.first_awc_date)))
  ),
  IF(_xlpm.earliest_date=0, "", _xlpm.earliest_date)
))</f>
        <v>45720</v>
      </c>
      <c r="Y282" s="40" t="str" cm="1">
        <f t="array" ref="Y282">IF(OR(M282="", M282="Deleted"), "", _xlfn.LET(
  _xlpm.doc_col, [1]SubmittalLog!$E$1:$E$4000,
  _xlpm.date_col, [1]SubmittalLog!$H$1:$H$4000,
  _xlpm.status_col, [1]SubmittalLog!$O$1:$O$4000,
  _xlpm.has_sub, COUNTIF(_xlpm.doc_col, M282),
  _xlpm.latest_reviewed_date, _xlfn.MAXIFS(_xlpm.date_col, _xlpm.doc_col, M282, _xlpm.status_col, "&lt;&gt;"),
  IF(_xlpm.has_sub=0, "",
    IF(_xlpm.latest_reviewed_date=0, "",
      _xlfn.LET(
        _xlpm.res, _xlfn.XLOOKUP(1, (_xlpm.doc_col=M282) * (_xlpm.date_col=_xlpm.latest_reviewed_date) * (_xlpm.status_col&lt;&gt;""), _xlpm.status_col, ""),
        IF(OR(_xlpm.res="", _xlpm.res=0), "", _xlpm.res)
      )
    )
  )
))</f>
        <v>AWC</v>
      </c>
    </row>
    <row r="283" spans="1:25" x14ac:dyDescent="0.35">
      <c r="A283" s="33">
        <f>IF($M283="","",MAX($A$1:A282)+1)</f>
        <v>262</v>
      </c>
      <c r="B283" s="23" t="s">
        <v>54</v>
      </c>
      <c r="C283" s="23" t="s">
        <v>257</v>
      </c>
      <c r="G283" s="33">
        <v>131236</v>
      </c>
      <c r="H283" s="33" t="s">
        <v>59</v>
      </c>
      <c r="I283" s="33" t="s">
        <v>217</v>
      </c>
      <c r="J283" s="33" t="s">
        <v>3496</v>
      </c>
      <c r="K283" s="51" t="s">
        <v>3534</v>
      </c>
      <c r="M283" s="34" t="str">
        <f t="shared" si="4"/>
        <v>Deleted</v>
      </c>
      <c r="N283" s="26" t="s">
        <v>3817</v>
      </c>
      <c r="P283" s="34" t="s">
        <v>3467</v>
      </c>
      <c r="S283" s="35">
        <v>45534</v>
      </c>
      <c r="T283" s="35">
        <v>45534</v>
      </c>
      <c r="U283" s="64" t="str" cm="1">
        <f t="array" ref="U283">IF(OR(M283="", M283="Deleted"), "", _xlfn.LET(
  _xlpm.dates,
  _xlfn._xlws.FILTER(
    [1]SubmittalLog!$H$1:$H$4000,
    [1]SubmittalLog!$E$1:$E$4000=M283,
    ""
  ),
  _xlpm.min_date, IFERROR(MIN(_xlpm.dates), ""),
  IF(_xlpm.min_date=0, "", _xlpm.min_date)
))</f>
        <v/>
      </c>
      <c r="V283" s="63" t="str" cm="1">
        <f t="array" ref="V283">IF(OR(M283="", M283="Deleted"), "", IFERROR(
  _xlfn.TEXTJOIN(", ", TRUE,
    _xlfn.MAP(
      _xlfn.UNIQUE(
        _xlfn._xlws.FILTER(
          [1]SubmittalLog!$B$1:$B$4000,
          ([1]SubmittalLog!$E$1:$E$4000=M283) *
          ([1]SubmittalLog!$B$1:$B$4000&lt;&gt;""),
          ""
        )
      ),
      _xlfn.LAMBDA(_xlpm.val, TEXT(_xlpm.val, "000000"))
    )
  ),
""))</f>
        <v/>
      </c>
      <c r="W283" s="40" t="str" cm="1">
        <f t="array" ref="W283">IF(OR(M283="", M283="Deleted"), "", _xlfn.LET(
  _xlpm.doc_col, [1]SubmittalLog!$E$1:$E$4000,
  _xlpm.date_col, [1]SubmittalLog!$H$1:$H$4000,
  _xlpm.status_col, [1]SubmittalLog!$N$1:$N$4000,
  _xlpm.latest_date, _xlfn.MAXIFS(_xlpm.date_col, _xlpm.doc_col, M283),
  IF(_xlpm.latest_date=0, "NFS",
    _xlfn.LET(
      _xlpm.res, _xlfn.XLOOKUP(M283 &amp; "|" &amp; _xlpm.latest_date, _xlpm.doc_col &amp; "|" &amp; _xlpm.date_col, _xlpm.status_col, ""),
      IF(OR(_xlpm.res="", _xlpm.res=0), "", _xlpm.res)
    )
  )
))</f>
        <v/>
      </c>
      <c r="X283" s="39" t="str">
        <f>IF(OR(M283="", M283="Deleted"), "", _xlfn.LET(
  _xlpm.doc_col, [1]SubmittalLog!$E$1:$E$4000,
  _xlpm.date_col, [1]SubmittalLog!$H$1:$H$4000,
  _xlpm.status_col, [1]SubmittalLog!$O$1:$O$4000,
  _xlpm.first_app_date, _xlfn.MINIFS(_xlpm.date_col, _xlpm.doc_col, M283, _xlpm.status_col, "APP"),
  _xlpm.first_awc_date, _xlfn.MINIFS(_xlpm.date_col, _xlpm.doc_col, M283, _xlpm.status_col, "AWC"),
  _xlpm.earliest_date, IF(
    AND(_xlpm.first_app_date=0, _xlpm.first_awc_date=0), 0,
    IF(_xlpm.first_app_date=0, _xlpm.first_awc_date,
    IF(_xlpm.first_awc_date=0, _xlpm.first_app_date,
    MIN(_xlpm.first_app_date, _xlpm.first_awc_date)))
  ),
  IF(_xlpm.earliest_date=0, "", _xlpm.earliest_date)
))</f>
        <v/>
      </c>
      <c r="Y283" s="40" t="str" cm="1">
        <f t="array" ref="Y283">IF(OR(M283="", M283="Deleted"), "", _xlfn.LET(
  _xlpm.doc_col, [1]SubmittalLog!$E$1:$E$4000,
  _xlpm.date_col, [1]SubmittalLog!$H$1:$H$4000,
  _xlpm.status_col, [1]SubmittalLog!$O$1:$O$4000,
  _xlpm.has_sub, COUNTIF(_xlpm.doc_col, M283),
  _xlpm.latest_reviewed_date, _xlfn.MAXIFS(_xlpm.date_col, _xlpm.doc_col, M283, _xlpm.status_col, "&lt;&gt;"),
  IF(_xlpm.has_sub=0, "",
    IF(_xlpm.latest_reviewed_date=0, "",
      _xlfn.LET(
        _xlpm.res, _xlfn.XLOOKUP(1, (_xlpm.doc_col=M283) * (_xlpm.date_col=_xlpm.latest_reviewed_date) * (_xlpm.status_col&lt;&gt;""), _xlpm.status_col, ""),
        IF(OR(_xlpm.res="", _xlpm.res=0), "", _xlpm.res)
      )
    )
  )
))</f>
        <v/>
      </c>
    </row>
    <row r="284" spans="1:25" x14ac:dyDescent="0.35">
      <c r="A284" s="33">
        <f>IF($M284="","",MAX($A$1:A283)+1)</f>
        <v>263</v>
      </c>
      <c r="B284" s="23" t="s">
        <v>54</v>
      </c>
      <c r="C284" s="23" t="s">
        <v>257</v>
      </c>
      <c r="G284" s="33">
        <v>131236</v>
      </c>
      <c r="H284" s="33" t="s">
        <v>59</v>
      </c>
      <c r="I284" s="33" t="s">
        <v>444</v>
      </c>
      <c r="J284" s="33" t="s">
        <v>3496</v>
      </c>
      <c r="K284" s="51" t="s">
        <v>3503</v>
      </c>
      <c r="M284" s="34" t="str">
        <f t="shared" si="4"/>
        <v>Deleted</v>
      </c>
      <c r="N284" s="26" t="s">
        <v>3818</v>
      </c>
      <c r="P284" s="34" t="s">
        <v>3467</v>
      </c>
      <c r="U284" s="64" t="str" cm="1">
        <f t="array" ref="U284">IF(OR(M284="", M284="Deleted"), "", _xlfn.LET(
  _xlpm.dates,
  _xlfn._xlws.FILTER(
    [1]SubmittalLog!$H$1:$H$4000,
    [1]SubmittalLog!$E$1:$E$4000=M284,
    ""
  ),
  _xlpm.min_date, IFERROR(MIN(_xlpm.dates), ""),
  IF(_xlpm.min_date=0, "", _xlpm.min_date)
))</f>
        <v/>
      </c>
      <c r="V284" s="63" t="str" cm="1">
        <f t="array" ref="V284">IF(OR(M284="", M284="Deleted"), "", IFERROR(
  _xlfn.TEXTJOIN(", ", TRUE,
    _xlfn.MAP(
      _xlfn.UNIQUE(
        _xlfn._xlws.FILTER(
          [1]SubmittalLog!$B$1:$B$4000,
          ([1]SubmittalLog!$E$1:$E$4000=M284) *
          ([1]SubmittalLog!$B$1:$B$4000&lt;&gt;""),
          ""
        )
      ),
      _xlfn.LAMBDA(_xlpm.val, TEXT(_xlpm.val, "000000"))
    )
  ),
""))</f>
        <v/>
      </c>
      <c r="W284" s="40" t="str" cm="1">
        <f t="array" ref="W284">IF(OR(M284="", M284="Deleted"), "", _xlfn.LET(
  _xlpm.doc_col, [1]SubmittalLog!$E$1:$E$4000,
  _xlpm.date_col, [1]SubmittalLog!$H$1:$H$4000,
  _xlpm.status_col, [1]SubmittalLog!$N$1:$N$4000,
  _xlpm.latest_date, _xlfn.MAXIFS(_xlpm.date_col, _xlpm.doc_col, M284),
  IF(_xlpm.latest_date=0, "NFS",
    _xlfn.LET(
      _xlpm.res, _xlfn.XLOOKUP(M284 &amp; "|" &amp; _xlpm.latest_date, _xlpm.doc_col &amp; "|" &amp; _xlpm.date_col, _xlpm.status_col, ""),
      IF(OR(_xlpm.res="", _xlpm.res=0), "", _xlpm.res)
    )
  )
))</f>
        <v/>
      </c>
      <c r="X284" s="39" t="str">
        <f>IF(OR(M284="", M284="Deleted"), "", _xlfn.LET(
  _xlpm.doc_col, [1]SubmittalLog!$E$1:$E$4000,
  _xlpm.date_col, [1]SubmittalLog!$H$1:$H$4000,
  _xlpm.status_col, [1]SubmittalLog!$O$1:$O$4000,
  _xlpm.first_app_date, _xlfn.MINIFS(_xlpm.date_col, _xlpm.doc_col, M284, _xlpm.status_col, "APP"),
  _xlpm.first_awc_date, _xlfn.MINIFS(_xlpm.date_col, _xlpm.doc_col, M284, _xlpm.status_col, "AWC"),
  _xlpm.earliest_date, IF(
    AND(_xlpm.first_app_date=0, _xlpm.first_awc_date=0), 0,
    IF(_xlpm.first_app_date=0, _xlpm.first_awc_date,
    IF(_xlpm.first_awc_date=0, _xlpm.first_app_date,
    MIN(_xlpm.first_app_date, _xlpm.first_awc_date)))
  ),
  IF(_xlpm.earliest_date=0, "", _xlpm.earliest_date)
))</f>
        <v/>
      </c>
      <c r="Y284" s="40" t="str" cm="1">
        <f t="array" ref="Y284">IF(OR(M284="", M284="Deleted"), "", _xlfn.LET(
  _xlpm.doc_col, [1]SubmittalLog!$E$1:$E$4000,
  _xlpm.date_col, [1]SubmittalLog!$H$1:$H$4000,
  _xlpm.status_col, [1]SubmittalLog!$O$1:$O$4000,
  _xlpm.has_sub, COUNTIF(_xlpm.doc_col, M284),
  _xlpm.latest_reviewed_date, _xlfn.MAXIFS(_xlpm.date_col, _xlpm.doc_col, M284, _xlpm.status_col, "&lt;&gt;"),
  IF(_xlpm.has_sub=0, "",
    IF(_xlpm.latest_reviewed_date=0, "",
      _xlfn.LET(
        _xlpm.res, _xlfn.XLOOKUP(1, (_xlpm.doc_col=M284) * (_xlpm.date_col=_xlpm.latest_reviewed_date) * (_xlpm.status_col&lt;&gt;""), _xlpm.status_col, ""),
        IF(OR(_xlpm.res="", _xlpm.res=0), "", _xlpm.res)
      )
    )
  )
))</f>
        <v/>
      </c>
    </row>
    <row r="285" spans="1:25" x14ac:dyDescent="0.35">
      <c r="A285" s="33">
        <f>IF($M285="","",MAX($A$1:A284)+1)</f>
        <v>264</v>
      </c>
      <c r="B285" s="23" t="s">
        <v>54</v>
      </c>
      <c r="C285" s="23" t="s">
        <v>257</v>
      </c>
      <c r="G285" s="33">
        <v>131236</v>
      </c>
      <c r="H285" s="33" t="s">
        <v>59</v>
      </c>
      <c r="I285" s="33" t="s">
        <v>436</v>
      </c>
      <c r="J285" s="33" t="s">
        <v>3496</v>
      </c>
      <c r="K285" s="51" t="s">
        <v>3503</v>
      </c>
      <c r="M285" s="34" t="str">
        <f t="shared" si="4"/>
        <v>Deleted</v>
      </c>
      <c r="N285" s="26" t="s">
        <v>3577</v>
      </c>
      <c r="P285" s="34" t="s">
        <v>3467</v>
      </c>
      <c r="U285" s="64" t="str" cm="1">
        <f t="array" ref="U285">IF(OR(M285="", M285="Deleted"), "", _xlfn.LET(
  _xlpm.dates,
  _xlfn._xlws.FILTER(
    [1]SubmittalLog!$H$1:$H$4000,
    [1]SubmittalLog!$E$1:$E$4000=M285,
    ""
  ),
  _xlpm.min_date, IFERROR(MIN(_xlpm.dates), ""),
  IF(_xlpm.min_date=0, "", _xlpm.min_date)
))</f>
        <v/>
      </c>
      <c r="V285" s="63" t="str" cm="1">
        <f t="array" ref="V285">IF(OR(M285="", M285="Deleted"), "", IFERROR(
  _xlfn.TEXTJOIN(", ", TRUE,
    _xlfn.MAP(
      _xlfn.UNIQUE(
        _xlfn._xlws.FILTER(
          [1]SubmittalLog!$B$1:$B$4000,
          ([1]SubmittalLog!$E$1:$E$4000=M285) *
          ([1]SubmittalLog!$B$1:$B$4000&lt;&gt;""),
          ""
        )
      ),
      _xlfn.LAMBDA(_xlpm.val, TEXT(_xlpm.val, "000000"))
    )
  ),
""))</f>
        <v/>
      </c>
      <c r="W285" s="40" t="str" cm="1">
        <f t="array" ref="W285">IF(OR(M285="", M285="Deleted"), "", _xlfn.LET(
  _xlpm.doc_col, [1]SubmittalLog!$E$1:$E$4000,
  _xlpm.date_col, [1]SubmittalLog!$H$1:$H$4000,
  _xlpm.status_col, [1]SubmittalLog!$N$1:$N$4000,
  _xlpm.latest_date, _xlfn.MAXIFS(_xlpm.date_col, _xlpm.doc_col, M285),
  IF(_xlpm.latest_date=0, "NFS",
    _xlfn.LET(
      _xlpm.res, _xlfn.XLOOKUP(M285 &amp; "|" &amp; _xlpm.latest_date, _xlpm.doc_col &amp; "|" &amp; _xlpm.date_col, _xlpm.status_col, ""),
      IF(OR(_xlpm.res="", _xlpm.res=0), "", _xlpm.res)
    )
  )
))</f>
        <v/>
      </c>
      <c r="X285" s="39" t="str">
        <f>IF(OR(M285="", M285="Deleted"), "", _xlfn.LET(
  _xlpm.doc_col, [1]SubmittalLog!$E$1:$E$4000,
  _xlpm.date_col, [1]SubmittalLog!$H$1:$H$4000,
  _xlpm.status_col, [1]SubmittalLog!$O$1:$O$4000,
  _xlpm.first_app_date, _xlfn.MINIFS(_xlpm.date_col, _xlpm.doc_col, M285, _xlpm.status_col, "APP"),
  _xlpm.first_awc_date, _xlfn.MINIFS(_xlpm.date_col, _xlpm.doc_col, M285, _xlpm.status_col, "AWC"),
  _xlpm.earliest_date, IF(
    AND(_xlpm.first_app_date=0, _xlpm.first_awc_date=0), 0,
    IF(_xlpm.first_app_date=0, _xlpm.first_awc_date,
    IF(_xlpm.first_awc_date=0, _xlpm.first_app_date,
    MIN(_xlpm.first_app_date, _xlpm.first_awc_date)))
  ),
  IF(_xlpm.earliest_date=0, "", _xlpm.earliest_date)
))</f>
        <v/>
      </c>
      <c r="Y285" s="40" t="str" cm="1">
        <f t="array" ref="Y285">IF(OR(M285="", M285="Deleted"), "", _xlfn.LET(
  _xlpm.doc_col, [1]SubmittalLog!$E$1:$E$4000,
  _xlpm.date_col, [1]SubmittalLog!$H$1:$H$4000,
  _xlpm.status_col, [1]SubmittalLog!$O$1:$O$4000,
  _xlpm.has_sub, COUNTIF(_xlpm.doc_col, M285),
  _xlpm.latest_reviewed_date, _xlfn.MAXIFS(_xlpm.date_col, _xlpm.doc_col, M285, _xlpm.status_col, "&lt;&gt;"),
  IF(_xlpm.has_sub=0, "",
    IF(_xlpm.latest_reviewed_date=0, "",
      _xlfn.LET(
        _xlpm.res, _xlfn.XLOOKUP(1, (_xlpm.doc_col=M285) * (_xlpm.date_col=_xlpm.latest_reviewed_date) * (_xlpm.status_col&lt;&gt;""), _xlpm.status_col, ""),
        IF(OR(_xlpm.res="", _xlpm.res=0), "", _xlpm.res)
      )
    )
  )
))</f>
        <v/>
      </c>
    </row>
    <row r="286" spans="1:25" x14ac:dyDescent="0.35">
      <c r="A286" s="33">
        <f>IF($M286="","",MAX($A$1:A285)+1)</f>
        <v>265</v>
      </c>
      <c r="B286" s="23" t="s">
        <v>54</v>
      </c>
      <c r="C286" s="23" t="s">
        <v>257</v>
      </c>
      <c r="G286" s="33">
        <v>131236</v>
      </c>
      <c r="H286" s="33" t="s">
        <v>59</v>
      </c>
      <c r="I286" s="33" t="s">
        <v>217</v>
      </c>
      <c r="J286" s="33" t="s">
        <v>3496</v>
      </c>
      <c r="K286" s="51" t="s">
        <v>3505</v>
      </c>
      <c r="M286" s="34" t="str">
        <f t="shared" si="4"/>
        <v>Deleted</v>
      </c>
      <c r="N286" s="26" t="s">
        <v>3819</v>
      </c>
      <c r="P286" s="34" t="s">
        <v>3467</v>
      </c>
      <c r="U286" s="64" t="str" cm="1">
        <f t="array" ref="U286">IF(OR(M286="", M286="Deleted"), "", _xlfn.LET(
  _xlpm.dates,
  _xlfn._xlws.FILTER(
    [1]SubmittalLog!$H$1:$H$4000,
    [1]SubmittalLog!$E$1:$E$4000=M286,
    ""
  ),
  _xlpm.min_date, IFERROR(MIN(_xlpm.dates), ""),
  IF(_xlpm.min_date=0, "", _xlpm.min_date)
))</f>
        <v/>
      </c>
      <c r="V286" s="63" t="str" cm="1">
        <f t="array" ref="V286">IF(OR(M286="", M286="Deleted"), "", IFERROR(
  _xlfn.TEXTJOIN(", ", TRUE,
    _xlfn.MAP(
      _xlfn.UNIQUE(
        _xlfn._xlws.FILTER(
          [1]SubmittalLog!$B$1:$B$4000,
          ([1]SubmittalLog!$E$1:$E$4000=M286) *
          ([1]SubmittalLog!$B$1:$B$4000&lt;&gt;""),
          ""
        )
      ),
      _xlfn.LAMBDA(_xlpm.val, TEXT(_xlpm.val, "000000"))
    )
  ),
""))</f>
        <v/>
      </c>
      <c r="W286" s="40" t="str" cm="1">
        <f t="array" ref="W286">IF(OR(M286="", M286="Deleted"), "", _xlfn.LET(
  _xlpm.doc_col, [1]SubmittalLog!$E$1:$E$4000,
  _xlpm.date_col, [1]SubmittalLog!$H$1:$H$4000,
  _xlpm.status_col, [1]SubmittalLog!$N$1:$N$4000,
  _xlpm.latest_date, _xlfn.MAXIFS(_xlpm.date_col, _xlpm.doc_col, M286),
  IF(_xlpm.latest_date=0, "NFS",
    _xlfn.LET(
      _xlpm.res, _xlfn.XLOOKUP(M286 &amp; "|" &amp; _xlpm.latest_date, _xlpm.doc_col &amp; "|" &amp; _xlpm.date_col, _xlpm.status_col, ""),
      IF(OR(_xlpm.res="", _xlpm.res=0), "", _xlpm.res)
    )
  )
))</f>
        <v/>
      </c>
      <c r="X286" s="39" t="str">
        <f>IF(OR(M286="", M286="Deleted"), "", _xlfn.LET(
  _xlpm.doc_col, [1]SubmittalLog!$E$1:$E$4000,
  _xlpm.date_col, [1]SubmittalLog!$H$1:$H$4000,
  _xlpm.status_col, [1]SubmittalLog!$O$1:$O$4000,
  _xlpm.first_app_date, _xlfn.MINIFS(_xlpm.date_col, _xlpm.doc_col, M286, _xlpm.status_col, "APP"),
  _xlpm.first_awc_date, _xlfn.MINIFS(_xlpm.date_col, _xlpm.doc_col, M286, _xlpm.status_col, "AWC"),
  _xlpm.earliest_date, IF(
    AND(_xlpm.first_app_date=0, _xlpm.first_awc_date=0), 0,
    IF(_xlpm.first_app_date=0, _xlpm.first_awc_date,
    IF(_xlpm.first_awc_date=0, _xlpm.first_app_date,
    MIN(_xlpm.first_app_date, _xlpm.first_awc_date)))
  ),
  IF(_xlpm.earliest_date=0, "", _xlpm.earliest_date)
))</f>
        <v/>
      </c>
      <c r="Y286" s="40" t="str" cm="1">
        <f t="array" ref="Y286">IF(OR(M286="", M286="Deleted"), "", _xlfn.LET(
  _xlpm.doc_col, [1]SubmittalLog!$E$1:$E$4000,
  _xlpm.date_col, [1]SubmittalLog!$H$1:$H$4000,
  _xlpm.status_col, [1]SubmittalLog!$O$1:$O$4000,
  _xlpm.has_sub, COUNTIF(_xlpm.doc_col, M286),
  _xlpm.latest_reviewed_date, _xlfn.MAXIFS(_xlpm.date_col, _xlpm.doc_col, M286, _xlpm.status_col, "&lt;&gt;"),
  IF(_xlpm.has_sub=0, "",
    IF(_xlpm.latest_reviewed_date=0, "",
      _xlfn.LET(
        _xlpm.res, _xlfn.XLOOKUP(1, (_xlpm.doc_col=M286) * (_xlpm.date_col=_xlpm.latest_reviewed_date) * (_xlpm.status_col&lt;&gt;""), _xlpm.status_col, ""),
        IF(OR(_xlpm.res="", _xlpm.res=0), "", _xlpm.res)
      )
    )
  )
))</f>
        <v/>
      </c>
    </row>
    <row r="287" spans="1:25" x14ac:dyDescent="0.35">
      <c r="A287" s="33">
        <f>IF($M287="","",MAX($A$1:A286)+1)</f>
        <v>266</v>
      </c>
      <c r="B287" s="23" t="s">
        <v>54</v>
      </c>
      <c r="C287" s="23" t="s">
        <v>257</v>
      </c>
      <c r="G287" s="33">
        <v>131236</v>
      </c>
      <c r="H287" s="33" t="s">
        <v>59</v>
      </c>
      <c r="I287" s="33" t="s">
        <v>217</v>
      </c>
      <c r="J287" s="33" t="s">
        <v>3496</v>
      </c>
      <c r="K287" s="51" t="s">
        <v>3521</v>
      </c>
      <c r="M287" s="34" t="str">
        <f t="shared" si="4"/>
        <v>Deleted</v>
      </c>
      <c r="N287" s="26" t="s">
        <v>3820</v>
      </c>
      <c r="P287" s="34" t="s">
        <v>3467</v>
      </c>
      <c r="U287" s="64" t="str" cm="1">
        <f t="array" ref="U287">IF(OR(M287="", M287="Deleted"), "", _xlfn.LET(
  _xlpm.dates,
  _xlfn._xlws.FILTER(
    [1]SubmittalLog!$H$1:$H$4000,
    [1]SubmittalLog!$E$1:$E$4000=M287,
    ""
  ),
  _xlpm.min_date, IFERROR(MIN(_xlpm.dates), ""),
  IF(_xlpm.min_date=0, "", _xlpm.min_date)
))</f>
        <v/>
      </c>
      <c r="V287" s="63" t="str" cm="1">
        <f t="array" ref="V287">IF(OR(M287="", M287="Deleted"), "", IFERROR(
  _xlfn.TEXTJOIN(", ", TRUE,
    _xlfn.MAP(
      _xlfn.UNIQUE(
        _xlfn._xlws.FILTER(
          [1]SubmittalLog!$B$1:$B$4000,
          ([1]SubmittalLog!$E$1:$E$4000=M287) *
          ([1]SubmittalLog!$B$1:$B$4000&lt;&gt;""),
          ""
        )
      ),
      _xlfn.LAMBDA(_xlpm.val, TEXT(_xlpm.val, "000000"))
    )
  ),
""))</f>
        <v/>
      </c>
      <c r="W287" s="40" t="str" cm="1">
        <f t="array" ref="W287">IF(OR(M287="", M287="Deleted"), "", _xlfn.LET(
  _xlpm.doc_col, [1]SubmittalLog!$E$1:$E$4000,
  _xlpm.date_col, [1]SubmittalLog!$H$1:$H$4000,
  _xlpm.status_col, [1]SubmittalLog!$N$1:$N$4000,
  _xlpm.latest_date, _xlfn.MAXIFS(_xlpm.date_col, _xlpm.doc_col, M287),
  IF(_xlpm.latest_date=0, "NFS",
    _xlfn.LET(
      _xlpm.res, _xlfn.XLOOKUP(M287 &amp; "|" &amp; _xlpm.latest_date, _xlpm.doc_col &amp; "|" &amp; _xlpm.date_col, _xlpm.status_col, ""),
      IF(OR(_xlpm.res="", _xlpm.res=0), "", _xlpm.res)
    )
  )
))</f>
        <v/>
      </c>
      <c r="X287" s="39" t="str">
        <f>IF(OR(M287="", M287="Deleted"), "", _xlfn.LET(
  _xlpm.doc_col, [1]SubmittalLog!$E$1:$E$4000,
  _xlpm.date_col, [1]SubmittalLog!$H$1:$H$4000,
  _xlpm.status_col, [1]SubmittalLog!$O$1:$O$4000,
  _xlpm.first_app_date, _xlfn.MINIFS(_xlpm.date_col, _xlpm.doc_col, M287, _xlpm.status_col, "APP"),
  _xlpm.first_awc_date, _xlfn.MINIFS(_xlpm.date_col, _xlpm.doc_col, M287, _xlpm.status_col, "AWC"),
  _xlpm.earliest_date, IF(
    AND(_xlpm.first_app_date=0, _xlpm.first_awc_date=0), 0,
    IF(_xlpm.first_app_date=0, _xlpm.first_awc_date,
    IF(_xlpm.first_awc_date=0, _xlpm.first_app_date,
    MIN(_xlpm.first_app_date, _xlpm.first_awc_date)))
  ),
  IF(_xlpm.earliest_date=0, "", _xlpm.earliest_date)
))</f>
        <v/>
      </c>
      <c r="Y287" s="40" t="str" cm="1">
        <f t="array" ref="Y287">IF(OR(M287="", M287="Deleted"), "", _xlfn.LET(
  _xlpm.doc_col, [1]SubmittalLog!$E$1:$E$4000,
  _xlpm.date_col, [1]SubmittalLog!$H$1:$H$4000,
  _xlpm.status_col, [1]SubmittalLog!$O$1:$O$4000,
  _xlpm.has_sub, COUNTIF(_xlpm.doc_col, M287),
  _xlpm.latest_reviewed_date, _xlfn.MAXIFS(_xlpm.date_col, _xlpm.doc_col, M287, _xlpm.status_col, "&lt;&gt;"),
  IF(_xlpm.has_sub=0, "",
    IF(_xlpm.latest_reviewed_date=0, "",
      _xlfn.LET(
        _xlpm.res, _xlfn.XLOOKUP(1, (_xlpm.doc_col=M287) * (_xlpm.date_col=_xlpm.latest_reviewed_date) * (_xlpm.status_col&lt;&gt;""), _xlpm.status_col, ""),
        IF(OR(_xlpm.res="", _xlpm.res=0), "", _xlpm.res)
      )
    )
  )
))</f>
        <v/>
      </c>
    </row>
    <row r="288" spans="1:25" x14ac:dyDescent="0.35">
      <c r="A288" s="33">
        <f>IF($M288="","",MAX($A$1:A287)+1)</f>
        <v>267</v>
      </c>
      <c r="B288" s="23" t="s">
        <v>54</v>
      </c>
      <c r="C288" s="23" t="s">
        <v>257</v>
      </c>
      <c r="G288" s="33">
        <v>131236</v>
      </c>
      <c r="H288" s="33" t="s">
        <v>59</v>
      </c>
      <c r="I288" s="33" t="s">
        <v>217</v>
      </c>
      <c r="J288" s="33" t="s">
        <v>3496</v>
      </c>
      <c r="M288" s="34" t="str">
        <f t="shared" si="4"/>
        <v>Deleted</v>
      </c>
      <c r="N288" s="26" t="s">
        <v>3821</v>
      </c>
      <c r="P288" s="34" t="s">
        <v>3467</v>
      </c>
      <c r="U288" s="64" t="str" cm="1">
        <f t="array" ref="U288">IF(OR(M288="", M288="Deleted"), "", _xlfn.LET(
  _xlpm.dates,
  _xlfn._xlws.FILTER(
    [1]SubmittalLog!$H$1:$H$4000,
    [1]SubmittalLog!$E$1:$E$4000=M288,
    ""
  ),
  _xlpm.min_date, IFERROR(MIN(_xlpm.dates), ""),
  IF(_xlpm.min_date=0, "", _xlpm.min_date)
))</f>
        <v/>
      </c>
      <c r="V288" s="63" t="str" cm="1">
        <f t="array" ref="V288">IF(OR(M288="", M288="Deleted"), "", IFERROR(
  _xlfn.TEXTJOIN(", ", TRUE,
    _xlfn.MAP(
      _xlfn.UNIQUE(
        _xlfn._xlws.FILTER(
          [1]SubmittalLog!$B$1:$B$4000,
          ([1]SubmittalLog!$E$1:$E$4000=M288) *
          ([1]SubmittalLog!$B$1:$B$4000&lt;&gt;""),
          ""
        )
      ),
      _xlfn.LAMBDA(_xlpm.val, TEXT(_xlpm.val, "000000"))
    )
  ),
""))</f>
        <v/>
      </c>
      <c r="W288" s="40" t="str" cm="1">
        <f t="array" ref="W288">IF(OR(M288="", M288="Deleted"), "", _xlfn.LET(
  _xlpm.doc_col, [1]SubmittalLog!$E$1:$E$4000,
  _xlpm.date_col, [1]SubmittalLog!$H$1:$H$4000,
  _xlpm.status_col, [1]SubmittalLog!$N$1:$N$4000,
  _xlpm.latest_date, _xlfn.MAXIFS(_xlpm.date_col, _xlpm.doc_col, M288),
  IF(_xlpm.latest_date=0, "NFS",
    _xlfn.LET(
      _xlpm.res, _xlfn.XLOOKUP(M288 &amp; "|" &amp; _xlpm.latest_date, _xlpm.doc_col &amp; "|" &amp; _xlpm.date_col, _xlpm.status_col, ""),
      IF(OR(_xlpm.res="", _xlpm.res=0), "", _xlpm.res)
    )
  )
))</f>
        <v/>
      </c>
      <c r="X288" s="39" t="str">
        <f>IF(OR(M288="", M288="Deleted"), "", _xlfn.LET(
  _xlpm.doc_col, [1]SubmittalLog!$E$1:$E$4000,
  _xlpm.date_col, [1]SubmittalLog!$H$1:$H$4000,
  _xlpm.status_col, [1]SubmittalLog!$O$1:$O$4000,
  _xlpm.first_app_date, _xlfn.MINIFS(_xlpm.date_col, _xlpm.doc_col, M288, _xlpm.status_col, "APP"),
  _xlpm.first_awc_date, _xlfn.MINIFS(_xlpm.date_col, _xlpm.doc_col, M288, _xlpm.status_col, "AWC"),
  _xlpm.earliest_date, IF(
    AND(_xlpm.first_app_date=0, _xlpm.first_awc_date=0), 0,
    IF(_xlpm.first_app_date=0, _xlpm.first_awc_date,
    IF(_xlpm.first_awc_date=0, _xlpm.first_app_date,
    MIN(_xlpm.first_app_date, _xlpm.first_awc_date)))
  ),
  IF(_xlpm.earliest_date=0, "", _xlpm.earliest_date)
))</f>
        <v/>
      </c>
      <c r="Y288" s="40" t="str" cm="1">
        <f t="array" ref="Y288">IF(OR(M288="", M288="Deleted"), "", _xlfn.LET(
  _xlpm.doc_col, [1]SubmittalLog!$E$1:$E$4000,
  _xlpm.date_col, [1]SubmittalLog!$H$1:$H$4000,
  _xlpm.status_col, [1]SubmittalLog!$O$1:$O$4000,
  _xlpm.has_sub, COUNTIF(_xlpm.doc_col, M288),
  _xlpm.latest_reviewed_date, _xlfn.MAXIFS(_xlpm.date_col, _xlpm.doc_col, M288, _xlpm.status_col, "&lt;&gt;"),
  IF(_xlpm.has_sub=0, "",
    IF(_xlpm.latest_reviewed_date=0, "",
      _xlfn.LET(
        _xlpm.res, _xlfn.XLOOKUP(1, (_xlpm.doc_col=M288) * (_xlpm.date_col=_xlpm.latest_reviewed_date) * (_xlpm.status_col&lt;&gt;""), _xlpm.status_col, ""),
        IF(OR(_xlpm.res="", _xlpm.res=0), "", _xlpm.res)
      )
    )
  )
))</f>
        <v/>
      </c>
    </row>
    <row r="289" spans="1:25" x14ac:dyDescent="0.35">
      <c r="A289" s="33">
        <f>IF($M289="","",MAX($A$1:A288)+1)</f>
        <v>268</v>
      </c>
      <c r="B289" s="23" t="s">
        <v>54</v>
      </c>
      <c r="C289" s="23" t="s">
        <v>257</v>
      </c>
      <c r="G289" s="33">
        <v>131236</v>
      </c>
      <c r="H289" s="33" t="s">
        <v>59</v>
      </c>
      <c r="I289" s="33" t="s">
        <v>217</v>
      </c>
      <c r="J289" s="33" t="s">
        <v>3496</v>
      </c>
      <c r="M289" s="34" t="str">
        <f t="shared" si="4"/>
        <v>Deleted</v>
      </c>
      <c r="N289" s="26" t="s">
        <v>3822</v>
      </c>
      <c r="P289" s="34" t="s">
        <v>3467</v>
      </c>
      <c r="U289" s="64" t="str" cm="1">
        <f t="array" ref="U289">IF(OR(M289="", M289="Deleted"), "", _xlfn.LET(
  _xlpm.dates,
  _xlfn._xlws.FILTER(
    [1]SubmittalLog!$H$1:$H$4000,
    [1]SubmittalLog!$E$1:$E$4000=M289,
    ""
  ),
  _xlpm.min_date, IFERROR(MIN(_xlpm.dates), ""),
  IF(_xlpm.min_date=0, "", _xlpm.min_date)
))</f>
        <v/>
      </c>
      <c r="V289" s="63" t="str" cm="1">
        <f t="array" ref="V289">IF(OR(M289="", M289="Deleted"), "", IFERROR(
  _xlfn.TEXTJOIN(", ", TRUE,
    _xlfn.MAP(
      _xlfn.UNIQUE(
        _xlfn._xlws.FILTER(
          [1]SubmittalLog!$B$1:$B$4000,
          ([1]SubmittalLog!$E$1:$E$4000=M289) *
          ([1]SubmittalLog!$B$1:$B$4000&lt;&gt;""),
          ""
        )
      ),
      _xlfn.LAMBDA(_xlpm.val, TEXT(_xlpm.val, "000000"))
    )
  ),
""))</f>
        <v/>
      </c>
      <c r="W289" s="40" t="str" cm="1">
        <f t="array" ref="W289">IF(OR(M289="", M289="Deleted"), "", _xlfn.LET(
  _xlpm.doc_col, [1]SubmittalLog!$E$1:$E$4000,
  _xlpm.date_col, [1]SubmittalLog!$H$1:$H$4000,
  _xlpm.status_col, [1]SubmittalLog!$N$1:$N$4000,
  _xlpm.latest_date, _xlfn.MAXIFS(_xlpm.date_col, _xlpm.doc_col, M289),
  IF(_xlpm.latest_date=0, "NFS",
    _xlfn.LET(
      _xlpm.res, _xlfn.XLOOKUP(M289 &amp; "|" &amp; _xlpm.latest_date, _xlpm.doc_col &amp; "|" &amp; _xlpm.date_col, _xlpm.status_col, ""),
      IF(OR(_xlpm.res="", _xlpm.res=0), "", _xlpm.res)
    )
  )
))</f>
        <v/>
      </c>
      <c r="X289" s="39" t="str">
        <f>IF(OR(M289="", M289="Deleted"), "", _xlfn.LET(
  _xlpm.doc_col, [1]SubmittalLog!$E$1:$E$4000,
  _xlpm.date_col, [1]SubmittalLog!$H$1:$H$4000,
  _xlpm.status_col, [1]SubmittalLog!$O$1:$O$4000,
  _xlpm.first_app_date, _xlfn.MINIFS(_xlpm.date_col, _xlpm.doc_col, M289, _xlpm.status_col, "APP"),
  _xlpm.first_awc_date, _xlfn.MINIFS(_xlpm.date_col, _xlpm.doc_col, M289, _xlpm.status_col, "AWC"),
  _xlpm.earliest_date, IF(
    AND(_xlpm.first_app_date=0, _xlpm.first_awc_date=0), 0,
    IF(_xlpm.first_app_date=0, _xlpm.first_awc_date,
    IF(_xlpm.first_awc_date=0, _xlpm.first_app_date,
    MIN(_xlpm.first_app_date, _xlpm.first_awc_date)))
  ),
  IF(_xlpm.earliest_date=0, "", _xlpm.earliest_date)
))</f>
        <v/>
      </c>
      <c r="Y289" s="40" t="str" cm="1">
        <f t="array" ref="Y289">IF(OR(M289="", M289="Deleted"), "", _xlfn.LET(
  _xlpm.doc_col, [1]SubmittalLog!$E$1:$E$4000,
  _xlpm.date_col, [1]SubmittalLog!$H$1:$H$4000,
  _xlpm.status_col, [1]SubmittalLog!$O$1:$O$4000,
  _xlpm.has_sub, COUNTIF(_xlpm.doc_col, M289),
  _xlpm.latest_reviewed_date, _xlfn.MAXIFS(_xlpm.date_col, _xlpm.doc_col, M289, _xlpm.status_col, "&lt;&gt;"),
  IF(_xlpm.has_sub=0, "",
    IF(_xlpm.latest_reviewed_date=0, "",
      _xlfn.LET(
        _xlpm.res, _xlfn.XLOOKUP(1, (_xlpm.doc_col=M289) * (_xlpm.date_col=_xlpm.latest_reviewed_date) * (_xlpm.status_col&lt;&gt;""), _xlpm.status_col, ""),
        IF(OR(_xlpm.res="", _xlpm.res=0), "", _xlpm.res)
      )
    )
  )
))</f>
        <v/>
      </c>
    </row>
    <row r="290" spans="1:25" x14ac:dyDescent="0.35">
      <c r="A290" s="33">
        <f>IF($M290="","",MAX($A$1:A289)+1)</f>
        <v>269</v>
      </c>
      <c r="B290" s="23" t="s">
        <v>54</v>
      </c>
      <c r="C290" s="23" t="s">
        <v>257</v>
      </c>
      <c r="G290" s="33">
        <v>131236</v>
      </c>
      <c r="H290" s="33" t="s">
        <v>59</v>
      </c>
      <c r="I290" s="33" t="s">
        <v>217</v>
      </c>
      <c r="J290" s="33" t="s">
        <v>3496</v>
      </c>
      <c r="M290" s="34" t="str">
        <f t="shared" si="4"/>
        <v>Deleted</v>
      </c>
      <c r="N290" s="26" t="s">
        <v>3823</v>
      </c>
      <c r="P290" s="34" t="s">
        <v>3467</v>
      </c>
      <c r="U290" s="64" t="str" cm="1">
        <f t="array" ref="U290">IF(OR(M290="", M290="Deleted"), "", _xlfn.LET(
  _xlpm.dates,
  _xlfn._xlws.FILTER(
    [1]SubmittalLog!$H$1:$H$4000,
    [1]SubmittalLog!$E$1:$E$4000=M290,
    ""
  ),
  _xlpm.min_date, IFERROR(MIN(_xlpm.dates), ""),
  IF(_xlpm.min_date=0, "", _xlpm.min_date)
))</f>
        <v/>
      </c>
      <c r="V290" s="63" t="str" cm="1">
        <f t="array" ref="V290">IF(OR(M290="", M290="Deleted"), "", IFERROR(
  _xlfn.TEXTJOIN(", ", TRUE,
    _xlfn.MAP(
      _xlfn.UNIQUE(
        _xlfn._xlws.FILTER(
          [1]SubmittalLog!$B$1:$B$4000,
          ([1]SubmittalLog!$E$1:$E$4000=M290) *
          ([1]SubmittalLog!$B$1:$B$4000&lt;&gt;""),
          ""
        )
      ),
      _xlfn.LAMBDA(_xlpm.val, TEXT(_xlpm.val, "000000"))
    )
  ),
""))</f>
        <v/>
      </c>
      <c r="W290" s="40" t="str" cm="1">
        <f t="array" ref="W290">IF(OR(M290="", M290="Deleted"), "", _xlfn.LET(
  _xlpm.doc_col, [1]SubmittalLog!$E$1:$E$4000,
  _xlpm.date_col, [1]SubmittalLog!$H$1:$H$4000,
  _xlpm.status_col, [1]SubmittalLog!$N$1:$N$4000,
  _xlpm.latest_date, _xlfn.MAXIFS(_xlpm.date_col, _xlpm.doc_col, M290),
  IF(_xlpm.latest_date=0, "NFS",
    _xlfn.LET(
      _xlpm.res, _xlfn.XLOOKUP(M290 &amp; "|" &amp; _xlpm.latest_date, _xlpm.doc_col &amp; "|" &amp; _xlpm.date_col, _xlpm.status_col, ""),
      IF(OR(_xlpm.res="", _xlpm.res=0), "", _xlpm.res)
    )
  )
))</f>
        <v/>
      </c>
      <c r="X290" s="39" t="str">
        <f>IF(OR(M290="", M290="Deleted"), "", _xlfn.LET(
  _xlpm.doc_col, [1]SubmittalLog!$E$1:$E$4000,
  _xlpm.date_col, [1]SubmittalLog!$H$1:$H$4000,
  _xlpm.status_col, [1]SubmittalLog!$O$1:$O$4000,
  _xlpm.first_app_date, _xlfn.MINIFS(_xlpm.date_col, _xlpm.doc_col, M290, _xlpm.status_col, "APP"),
  _xlpm.first_awc_date, _xlfn.MINIFS(_xlpm.date_col, _xlpm.doc_col, M290, _xlpm.status_col, "AWC"),
  _xlpm.earliest_date, IF(
    AND(_xlpm.first_app_date=0, _xlpm.first_awc_date=0), 0,
    IF(_xlpm.first_app_date=0, _xlpm.first_awc_date,
    IF(_xlpm.first_awc_date=0, _xlpm.first_app_date,
    MIN(_xlpm.first_app_date, _xlpm.first_awc_date)))
  ),
  IF(_xlpm.earliest_date=0, "", _xlpm.earliest_date)
))</f>
        <v/>
      </c>
      <c r="Y290" s="40" t="str" cm="1">
        <f t="array" ref="Y290">IF(OR(M290="", M290="Deleted"), "", _xlfn.LET(
  _xlpm.doc_col, [1]SubmittalLog!$E$1:$E$4000,
  _xlpm.date_col, [1]SubmittalLog!$H$1:$H$4000,
  _xlpm.status_col, [1]SubmittalLog!$O$1:$O$4000,
  _xlpm.has_sub, COUNTIF(_xlpm.doc_col, M290),
  _xlpm.latest_reviewed_date, _xlfn.MAXIFS(_xlpm.date_col, _xlpm.doc_col, M290, _xlpm.status_col, "&lt;&gt;"),
  IF(_xlpm.has_sub=0, "",
    IF(_xlpm.latest_reviewed_date=0, "",
      _xlfn.LET(
        _xlpm.res, _xlfn.XLOOKUP(1, (_xlpm.doc_col=M290) * (_xlpm.date_col=_xlpm.latest_reviewed_date) * (_xlpm.status_col&lt;&gt;""), _xlpm.status_col, ""),
        IF(OR(_xlpm.res="", _xlpm.res=0), "", _xlpm.res)
      )
    )
  )
))</f>
        <v/>
      </c>
    </row>
    <row r="291" spans="1:25" x14ac:dyDescent="0.35">
      <c r="A291" s="33">
        <f>IF($M291="","",MAX($A$1:A290)+1)</f>
        <v>270</v>
      </c>
      <c r="B291" s="23" t="s">
        <v>54</v>
      </c>
      <c r="C291" s="23" t="s">
        <v>257</v>
      </c>
      <c r="G291" s="33">
        <v>131236</v>
      </c>
      <c r="H291" s="33" t="s">
        <v>59</v>
      </c>
      <c r="I291" s="33" t="s">
        <v>217</v>
      </c>
      <c r="J291" s="33" t="s">
        <v>3496</v>
      </c>
      <c r="M291" s="34" t="str">
        <f t="shared" si="4"/>
        <v>Deleted</v>
      </c>
      <c r="N291" s="26" t="s">
        <v>3824</v>
      </c>
      <c r="P291" s="34" t="s">
        <v>3467</v>
      </c>
      <c r="U291" s="64" t="str" cm="1">
        <f t="array" ref="U291">IF(OR(M291="", M291="Deleted"), "", _xlfn.LET(
  _xlpm.dates,
  _xlfn._xlws.FILTER(
    [1]SubmittalLog!$H$1:$H$4000,
    [1]SubmittalLog!$E$1:$E$4000=M291,
    ""
  ),
  _xlpm.min_date, IFERROR(MIN(_xlpm.dates), ""),
  IF(_xlpm.min_date=0, "", _xlpm.min_date)
))</f>
        <v/>
      </c>
      <c r="V291" s="63" t="str" cm="1">
        <f t="array" ref="V291">IF(OR(M291="", M291="Deleted"), "", IFERROR(
  _xlfn.TEXTJOIN(", ", TRUE,
    _xlfn.MAP(
      _xlfn.UNIQUE(
        _xlfn._xlws.FILTER(
          [1]SubmittalLog!$B$1:$B$4000,
          ([1]SubmittalLog!$E$1:$E$4000=M291) *
          ([1]SubmittalLog!$B$1:$B$4000&lt;&gt;""),
          ""
        )
      ),
      _xlfn.LAMBDA(_xlpm.val, TEXT(_xlpm.val, "000000"))
    )
  ),
""))</f>
        <v/>
      </c>
      <c r="W291" s="40" t="str" cm="1">
        <f t="array" ref="W291">IF(OR(M291="", M291="Deleted"), "", _xlfn.LET(
  _xlpm.doc_col, [1]SubmittalLog!$E$1:$E$4000,
  _xlpm.date_col, [1]SubmittalLog!$H$1:$H$4000,
  _xlpm.status_col, [1]SubmittalLog!$N$1:$N$4000,
  _xlpm.latest_date, _xlfn.MAXIFS(_xlpm.date_col, _xlpm.doc_col, M291),
  IF(_xlpm.latest_date=0, "NFS",
    _xlfn.LET(
      _xlpm.res, _xlfn.XLOOKUP(M291 &amp; "|" &amp; _xlpm.latest_date, _xlpm.doc_col &amp; "|" &amp; _xlpm.date_col, _xlpm.status_col, ""),
      IF(OR(_xlpm.res="", _xlpm.res=0), "", _xlpm.res)
    )
  )
))</f>
        <v/>
      </c>
      <c r="X291" s="39" t="str">
        <f>IF(OR(M291="", M291="Deleted"), "", _xlfn.LET(
  _xlpm.doc_col, [1]SubmittalLog!$E$1:$E$4000,
  _xlpm.date_col, [1]SubmittalLog!$H$1:$H$4000,
  _xlpm.status_col, [1]SubmittalLog!$O$1:$O$4000,
  _xlpm.first_app_date, _xlfn.MINIFS(_xlpm.date_col, _xlpm.doc_col, M291, _xlpm.status_col, "APP"),
  _xlpm.first_awc_date, _xlfn.MINIFS(_xlpm.date_col, _xlpm.doc_col, M291, _xlpm.status_col, "AWC"),
  _xlpm.earliest_date, IF(
    AND(_xlpm.first_app_date=0, _xlpm.first_awc_date=0), 0,
    IF(_xlpm.first_app_date=0, _xlpm.first_awc_date,
    IF(_xlpm.first_awc_date=0, _xlpm.first_app_date,
    MIN(_xlpm.first_app_date, _xlpm.first_awc_date)))
  ),
  IF(_xlpm.earliest_date=0, "", _xlpm.earliest_date)
))</f>
        <v/>
      </c>
      <c r="Y291" s="40" t="str" cm="1">
        <f t="array" ref="Y291">IF(OR(M291="", M291="Deleted"), "", _xlfn.LET(
  _xlpm.doc_col, [1]SubmittalLog!$E$1:$E$4000,
  _xlpm.date_col, [1]SubmittalLog!$H$1:$H$4000,
  _xlpm.status_col, [1]SubmittalLog!$O$1:$O$4000,
  _xlpm.has_sub, COUNTIF(_xlpm.doc_col, M291),
  _xlpm.latest_reviewed_date, _xlfn.MAXIFS(_xlpm.date_col, _xlpm.doc_col, M291, _xlpm.status_col, "&lt;&gt;"),
  IF(_xlpm.has_sub=0, "",
    IF(_xlpm.latest_reviewed_date=0, "",
      _xlfn.LET(
        _xlpm.res, _xlfn.XLOOKUP(1, (_xlpm.doc_col=M291) * (_xlpm.date_col=_xlpm.latest_reviewed_date) * (_xlpm.status_col&lt;&gt;""), _xlpm.status_col, ""),
        IF(OR(_xlpm.res="", _xlpm.res=0), "", _xlpm.res)
      )
    )
  )
))</f>
        <v/>
      </c>
    </row>
    <row r="292" spans="1:25" x14ac:dyDescent="0.35">
      <c r="A292" s="33">
        <f>IF($M292="","",MAX($A$1:A291)+1)</f>
        <v>271</v>
      </c>
      <c r="B292" s="23" t="s">
        <v>54</v>
      </c>
      <c r="C292" s="23" t="s">
        <v>257</v>
      </c>
      <c r="G292" s="33">
        <v>131236</v>
      </c>
      <c r="H292" s="33" t="s">
        <v>59</v>
      </c>
      <c r="I292" s="33" t="s">
        <v>217</v>
      </c>
      <c r="J292" s="33" t="s">
        <v>3496</v>
      </c>
      <c r="M292" s="34" t="str">
        <f t="shared" si="4"/>
        <v>Deleted</v>
      </c>
      <c r="N292" s="26" t="s">
        <v>3825</v>
      </c>
      <c r="P292" s="34" t="s">
        <v>3467</v>
      </c>
      <c r="U292" s="64" t="str" cm="1">
        <f t="array" ref="U292">IF(OR(M292="", M292="Deleted"), "", _xlfn.LET(
  _xlpm.dates,
  _xlfn._xlws.FILTER(
    [1]SubmittalLog!$H$1:$H$4000,
    [1]SubmittalLog!$E$1:$E$4000=M292,
    ""
  ),
  _xlpm.min_date, IFERROR(MIN(_xlpm.dates), ""),
  IF(_xlpm.min_date=0, "", _xlpm.min_date)
))</f>
        <v/>
      </c>
      <c r="V292" s="63" t="str" cm="1">
        <f t="array" ref="V292">IF(OR(M292="", M292="Deleted"), "", IFERROR(
  _xlfn.TEXTJOIN(", ", TRUE,
    _xlfn.MAP(
      _xlfn.UNIQUE(
        _xlfn._xlws.FILTER(
          [1]SubmittalLog!$B$1:$B$4000,
          ([1]SubmittalLog!$E$1:$E$4000=M292) *
          ([1]SubmittalLog!$B$1:$B$4000&lt;&gt;""),
          ""
        )
      ),
      _xlfn.LAMBDA(_xlpm.val, TEXT(_xlpm.val, "000000"))
    )
  ),
""))</f>
        <v/>
      </c>
      <c r="W292" s="40" t="str" cm="1">
        <f t="array" ref="W292">IF(OR(M292="", M292="Deleted"), "", _xlfn.LET(
  _xlpm.doc_col, [1]SubmittalLog!$E$1:$E$4000,
  _xlpm.date_col, [1]SubmittalLog!$H$1:$H$4000,
  _xlpm.status_col, [1]SubmittalLog!$N$1:$N$4000,
  _xlpm.latest_date, _xlfn.MAXIFS(_xlpm.date_col, _xlpm.doc_col, M292),
  IF(_xlpm.latest_date=0, "NFS",
    _xlfn.LET(
      _xlpm.res, _xlfn.XLOOKUP(M292 &amp; "|" &amp; _xlpm.latest_date, _xlpm.doc_col &amp; "|" &amp; _xlpm.date_col, _xlpm.status_col, ""),
      IF(OR(_xlpm.res="", _xlpm.res=0), "", _xlpm.res)
    )
  )
))</f>
        <v/>
      </c>
      <c r="X292" s="39" t="str">
        <f>IF(OR(M292="", M292="Deleted"), "", _xlfn.LET(
  _xlpm.doc_col, [1]SubmittalLog!$E$1:$E$4000,
  _xlpm.date_col, [1]SubmittalLog!$H$1:$H$4000,
  _xlpm.status_col, [1]SubmittalLog!$O$1:$O$4000,
  _xlpm.first_app_date, _xlfn.MINIFS(_xlpm.date_col, _xlpm.doc_col, M292, _xlpm.status_col, "APP"),
  _xlpm.first_awc_date, _xlfn.MINIFS(_xlpm.date_col, _xlpm.doc_col, M292, _xlpm.status_col, "AWC"),
  _xlpm.earliest_date, IF(
    AND(_xlpm.first_app_date=0, _xlpm.first_awc_date=0), 0,
    IF(_xlpm.first_app_date=0, _xlpm.first_awc_date,
    IF(_xlpm.first_awc_date=0, _xlpm.first_app_date,
    MIN(_xlpm.first_app_date, _xlpm.first_awc_date)))
  ),
  IF(_xlpm.earliest_date=0, "", _xlpm.earliest_date)
))</f>
        <v/>
      </c>
      <c r="Y292" s="40" t="str" cm="1">
        <f t="array" ref="Y292">IF(OR(M292="", M292="Deleted"), "", _xlfn.LET(
  _xlpm.doc_col, [1]SubmittalLog!$E$1:$E$4000,
  _xlpm.date_col, [1]SubmittalLog!$H$1:$H$4000,
  _xlpm.status_col, [1]SubmittalLog!$O$1:$O$4000,
  _xlpm.has_sub, COUNTIF(_xlpm.doc_col, M292),
  _xlpm.latest_reviewed_date, _xlfn.MAXIFS(_xlpm.date_col, _xlpm.doc_col, M292, _xlpm.status_col, "&lt;&gt;"),
  IF(_xlpm.has_sub=0, "",
    IF(_xlpm.latest_reviewed_date=0, "",
      _xlfn.LET(
        _xlpm.res, _xlfn.XLOOKUP(1, (_xlpm.doc_col=M292) * (_xlpm.date_col=_xlpm.latest_reviewed_date) * (_xlpm.status_col&lt;&gt;""), _xlpm.status_col, ""),
        IF(OR(_xlpm.res="", _xlpm.res=0), "", _xlpm.res)
      )
    )
  )
))</f>
        <v/>
      </c>
    </row>
    <row r="293" spans="1:25" x14ac:dyDescent="0.35">
      <c r="A293" s="33">
        <f>IF($M293="","",MAX($A$1:A292)+1)</f>
        <v>272</v>
      </c>
      <c r="B293" s="23" t="s">
        <v>54</v>
      </c>
      <c r="C293" s="23" t="s">
        <v>257</v>
      </c>
      <c r="G293" s="33">
        <v>131236</v>
      </c>
      <c r="H293" s="33" t="s">
        <v>59</v>
      </c>
      <c r="I293" s="33" t="s">
        <v>217</v>
      </c>
      <c r="J293" s="33" t="s">
        <v>3496</v>
      </c>
      <c r="M293" s="34" t="str">
        <f t="shared" si="4"/>
        <v>Deleted</v>
      </c>
      <c r="N293" s="26" t="s">
        <v>3826</v>
      </c>
      <c r="P293" s="34" t="s">
        <v>3467</v>
      </c>
      <c r="U293" s="64" t="str" cm="1">
        <f t="array" ref="U293">IF(OR(M293="", M293="Deleted"), "", _xlfn.LET(
  _xlpm.dates,
  _xlfn._xlws.FILTER(
    [1]SubmittalLog!$H$1:$H$4000,
    [1]SubmittalLog!$E$1:$E$4000=M293,
    ""
  ),
  _xlpm.min_date, IFERROR(MIN(_xlpm.dates), ""),
  IF(_xlpm.min_date=0, "", _xlpm.min_date)
))</f>
        <v/>
      </c>
      <c r="V293" s="63" t="str" cm="1">
        <f t="array" ref="V293">IF(OR(M293="", M293="Deleted"), "", IFERROR(
  _xlfn.TEXTJOIN(", ", TRUE,
    _xlfn.MAP(
      _xlfn.UNIQUE(
        _xlfn._xlws.FILTER(
          [1]SubmittalLog!$B$1:$B$4000,
          ([1]SubmittalLog!$E$1:$E$4000=M293) *
          ([1]SubmittalLog!$B$1:$B$4000&lt;&gt;""),
          ""
        )
      ),
      _xlfn.LAMBDA(_xlpm.val, TEXT(_xlpm.val, "000000"))
    )
  ),
""))</f>
        <v/>
      </c>
      <c r="W293" s="40" t="str" cm="1">
        <f t="array" ref="W293">IF(OR(M293="", M293="Deleted"), "", _xlfn.LET(
  _xlpm.doc_col, [1]SubmittalLog!$E$1:$E$4000,
  _xlpm.date_col, [1]SubmittalLog!$H$1:$H$4000,
  _xlpm.status_col, [1]SubmittalLog!$N$1:$N$4000,
  _xlpm.latest_date, _xlfn.MAXIFS(_xlpm.date_col, _xlpm.doc_col, M293),
  IF(_xlpm.latest_date=0, "NFS",
    _xlfn.LET(
      _xlpm.res, _xlfn.XLOOKUP(M293 &amp; "|" &amp; _xlpm.latest_date, _xlpm.doc_col &amp; "|" &amp; _xlpm.date_col, _xlpm.status_col, ""),
      IF(OR(_xlpm.res="", _xlpm.res=0), "", _xlpm.res)
    )
  )
))</f>
        <v/>
      </c>
      <c r="X293" s="39" t="str">
        <f>IF(OR(M293="", M293="Deleted"), "", _xlfn.LET(
  _xlpm.doc_col, [1]SubmittalLog!$E$1:$E$4000,
  _xlpm.date_col, [1]SubmittalLog!$H$1:$H$4000,
  _xlpm.status_col, [1]SubmittalLog!$O$1:$O$4000,
  _xlpm.first_app_date, _xlfn.MINIFS(_xlpm.date_col, _xlpm.doc_col, M293, _xlpm.status_col, "APP"),
  _xlpm.first_awc_date, _xlfn.MINIFS(_xlpm.date_col, _xlpm.doc_col, M293, _xlpm.status_col, "AWC"),
  _xlpm.earliest_date, IF(
    AND(_xlpm.first_app_date=0, _xlpm.first_awc_date=0), 0,
    IF(_xlpm.first_app_date=0, _xlpm.first_awc_date,
    IF(_xlpm.first_awc_date=0, _xlpm.first_app_date,
    MIN(_xlpm.first_app_date, _xlpm.first_awc_date)))
  ),
  IF(_xlpm.earliest_date=0, "", _xlpm.earliest_date)
))</f>
        <v/>
      </c>
      <c r="Y293" s="40" t="str" cm="1">
        <f t="array" ref="Y293">IF(OR(M293="", M293="Deleted"), "", _xlfn.LET(
  _xlpm.doc_col, [1]SubmittalLog!$E$1:$E$4000,
  _xlpm.date_col, [1]SubmittalLog!$H$1:$H$4000,
  _xlpm.status_col, [1]SubmittalLog!$O$1:$O$4000,
  _xlpm.has_sub, COUNTIF(_xlpm.doc_col, M293),
  _xlpm.latest_reviewed_date, _xlfn.MAXIFS(_xlpm.date_col, _xlpm.doc_col, M293, _xlpm.status_col, "&lt;&gt;"),
  IF(_xlpm.has_sub=0, "",
    IF(_xlpm.latest_reviewed_date=0, "",
      _xlfn.LET(
        _xlpm.res, _xlfn.XLOOKUP(1, (_xlpm.doc_col=M293) * (_xlpm.date_col=_xlpm.latest_reviewed_date) * (_xlpm.status_col&lt;&gt;""), _xlpm.status_col, ""),
        IF(OR(_xlpm.res="", _xlpm.res=0), "", _xlpm.res)
      )
    )
  )
))</f>
        <v/>
      </c>
    </row>
    <row r="294" spans="1:25" x14ac:dyDescent="0.35">
      <c r="A294" s="33">
        <f>IF($M294="","",MAX($A$1:A293)+1)</f>
        <v>273</v>
      </c>
      <c r="B294" s="23" t="s">
        <v>54</v>
      </c>
      <c r="C294" s="23" t="s">
        <v>257</v>
      </c>
      <c r="G294" s="33">
        <v>131236</v>
      </c>
      <c r="H294" s="33" t="s">
        <v>59</v>
      </c>
      <c r="I294" s="33" t="s">
        <v>217</v>
      </c>
      <c r="J294" s="33" t="s">
        <v>3496</v>
      </c>
      <c r="M294" s="34" t="str">
        <f t="shared" si="4"/>
        <v>Deleted</v>
      </c>
      <c r="N294" s="26" t="s">
        <v>3827</v>
      </c>
      <c r="P294" s="34" t="s">
        <v>3467</v>
      </c>
      <c r="U294" s="64" t="str" cm="1">
        <f t="array" ref="U294">IF(OR(M294="", M294="Deleted"), "", _xlfn.LET(
  _xlpm.dates,
  _xlfn._xlws.FILTER(
    [1]SubmittalLog!$H$1:$H$4000,
    [1]SubmittalLog!$E$1:$E$4000=M294,
    ""
  ),
  _xlpm.min_date, IFERROR(MIN(_xlpm.dates), ""),
  IF(_xlpm.min_date=0, "", _xlpm.min_date)
))</f>
        <v/>
      </c>
      <c r="V294" s="63" t="str" cm="1">
        <f t="array" ref="V294">IF(OR(M294="", M294="Deleted"), "", IFERROR(
  _xlfn.TEXTJOIN(", ", TRUE,
    _xlfn.MAP(
      _xlfn.UNIQUE(
        _xlfn._xlws.FILTER(
          [1]SubmittalLog!$B$1:$B$4000,
          ([1]SubmittalLog!$E$1:$E$4000=M294) *
          ([1]SubmittalLog!$B$1:$B$4000&lt;&gt;""),
          ""
        )
      ),
      _xlfn.LAMBDA(_xlpm.val, TEXT(_xlpm.val, "000000"))
    )
  ),
""))</f>
        <v/>
      </c>
      <c r="W294" s="40" t="str" cm="1">
        <f t="array" ref="W294">IF(OR(M294="", M294="Deleted"), "", _xlfn.LET(
  _xlpm.doc_col, [1]SubmittalLog!$E$1:$E$4000,
  _xlpm.date_col, [1]SubmittalLog!$H$1:$H$4000,
  _xlpm.status_col, [1]SubmittalLog!$N$1:$N$4000,
  _xlpm.latest_date, _xlfn.MAXIFS(_xlpm.date_col, _xlpm.doc_col, M294),
  IF(_xlpm.latest_date=0, "NFS",
    _xlfn.LET(
      _xlpm.res, _xlfn.XLOOKUP(M294 &amp; "|" &amp; _xlpm.latest_date, _xlpm.doc_col &amp; "|" &amp; _xlpm.date_col, _xlpm.status_col, ""),
      IF(OR(_xlpm.res="", _xlpm.res=0), "", _xlpm.res)
    )
  )
))</f>
        <v/>
      </c>
      <c r="X294" s="39" t="str">
        <f>IF(OR(M294="", M294="Deleted"), "", _xlfn.LET(
  _xlpm.doc_col, [1]SubmittalLog!$E$1:$E$4000,
  _xlpm.date_col, [1]SubmittalLog!$H$1:$H$4000,
  _xlpm.status_col, [1]SubmittalLog!$O$1:$O$4000,
  _xlpm.first_app_date, _xlfn.MINIFS(_xlpm.date_col, _xlpm.doc_col, M294, _xlpm.status_col, "APP"),
  _xlpm.first_awc_date, _xlfn.MINIFS(_xlpm.date_col, _xlpm.doc_col, M294, _xlpm.status_col, "AWC"),
  _xlpm.earliest_date, IF(
    AND(_xlpm.first_app_date=0, _xlpm.first_awc_date=0), 0,
    IF(_xlpm.first_app_date=0, _xlpm.first_awc_date,
    IF(_xlpm.first_awc_date=0, _xlpm.first_app_date,
    MIN(_xlpm.first_app_date, _xlpm.first_awc_date)))
  ),
  IF(_xlpm.earliest_date=0, "", _xlpm.earliest_date)
))</f>
        <v/>
      </c>
      <c r="Y294" s="40" t="str" cm="1">
        <f t="array" ref="Y294">IF(OR(M294="", M294="Deleted"), "", _xlfn.LET(
  _xlpm.doc_col, [1]SubmittalLog!$E$1:$E$4000,
  _xlpm.date_col, [1]SubmittalLog!$H$1:$H$4000,
  _xlpm.status_col, [1]SubmittalLog!$O$1:$O$4000,
  _xlpm.has_sub, COUNTIF(_xlpm.doc_col, M294),
  _xlpm.latest_reviewed_date, _xlfn.MAXIFS(_xlpm.date_col, _xlpm.doc_col, M294, _xlpm.status_col, "&lt;&gt;"),
  IF(_xlpm.has_sub=0, "",
    IF(_xlpm.latest_reviewed_date=0, "",
      _xlfn.LET(
        _xlpm.res, _xlfn.XLOOKUP(1, (_xlpm.doc_col=M294) * (_xlpm.date_col=_xlpm.latest_reviewed_date) * (_xlpm.status_col&lt;&gt;""), _xlpm.status_col, ""),
        IF(OR(_xlpm.res="", _xlpm.res=0), "", _xlpm.res)
      )
    )
  )
))</f>
        <v/>
      </c>
    </row>
    <row r="295" spans="1:25" x14ac:dyDescent="0.35">
      <c r="A295" s="33">
        <f>IF($M295="","",MAX($A$1:A294)+1)</f>
        <v>274</v>
      </c>
      <c r="B295" s="23" t="s">
        <v>54</v>
      </c>
      <c r="C295" s="23" t="s">
        <v>257</v>
      </c>
      <c r="G295" s="33">
        <v>131236</v>
      </c>
      <c r="H295" s="33" t="s">
        <v>59</v>
      </c>
      <c r="I295" s="33" t="s">
        <v>217</v>
      </c>
      <c r="J295" s="33" t="s">
        <v>3496</v>
      </c>
      <c r="M295" s="34" t="str">
        <f t="shared" si="4"/>
        <v>Deleted</v>
      </c>
      <c r="N295" s="26" t="s">
        <v>3828</v>
      </c>
      <c r="P295" s="34" t="s">
        <v>3467</v>
      </c>
      <c r="U295" s="64" t="str" cm="1">
        <f t="array" ref="U295">IF(OR(M295="", M295="Deleted"), "", _xlfn.LET(
  _xlpm.dates,
  _xlfn._xlws.FILTER(
    [1]SubmittalLog!$H$1:$H$4000,
    [1]SubmittalLog!$E$1:$E$4000=M295,
    ""
  ),
  _xlpm.min_date, IFERROR(MIN(_xlpm.dates), ""),
  IF(_xlpm.min_date=0, "", _xlpm.min_date)
))</f>
        <v/>
      </c>
      <c r="V295" s="63" t="str" cm="1">
        <f t="array" ref="V295">IF(OR(M295="", M295="Deleted"), "", IFERROR(
  _xlfn.TEXTJOIN(", ", TRUE,
    _xlfn.MAP(
      _xlfn.UNIQUE(
        _xlfn._xlws.FILTER(
          [1]SubmittalLog!$B$1:$B$4000,
          ([1]SubmittalLog!$E$1:$E$4000=M295) *
          ([1]SubmittalLog!$B$1:$B$4000&lt;&gt;""),
          ""
        )
      ),
      _xlfn.LAMBDA(_xlpm.val, TEXT(_xlpm.val, "000000"))
    )
  ),
""))</f>
        <v/>
      </c>
      <c r="W295" s="40" t="str" cm="1">
        <f t="array" ref="W295">IF(OR(M295="", M295="Deleted"), "", _xlfn.LET(
  _xlpm.doc_col, [1]SubmittalLog!$E$1:$E$4000,
  _xlpm.date_col, [1]SubmittalLog!$H$1:$H$4000,
  _xlpm.status_col, [1]SubmittalLog!$N$1:$N$4000,
  _xlpm.latest_date, _xlfn.MAXIFS(_xlpm.date_col, _xlpm.doc_col, M295),
  IF(_xlpm.latest_date=0, "NFS",
    _xlfn.LET(
      _xlpm.res, _xlfn.XLOOKUP(M295 &amp; "|" &amp; _xlpm.latest_date, _xlpm.doc_col &amp; "|" &amp; _xlpm.date_col, _xlpm.status_col, ""),
      IF(OR(_xlpm.res="", _xlpm.res=0), "", _xlpm.res)
    )
  )
))</f>
        <v/>
      </c>
      <c r="X295" s="39" t="str">
        <f>IF(OR(M295="", M295="Deleted"), "", _xlfn.LET(
  _xlpm.doc_col, [1]SubmittalLog!$E$1:$E$4000,
  _xlpm.date_col, [1]SubmittalLog!$H$1:$H$4000,
  _xlpm.status_col, [1]SubmittalLog!$O$1:$O$4000,
  _xlpm.first_app_date, _xlfn.MINIFS(_xlpm.date_col, _xlpm.doc_col, M295, _xlpm.status_col, "APP"),
  _xlpm.first_awc_date, _xlfn.MINIFS(_xlpm.date_col, _xlpm.doc_col, M295, _xlpm.status_col, "AWC"),
  _xlpm.earliest_date, IF(
    AND(_xlpm.first_app_date=0, _xlpm.first_awc_date=0), 0,
    IF(_xlpm.first_app_date=0, _xlpm.first_awc_date,
    IF(_xlpm.first_awc_date=0, _xlpm.first_app_date,
    MIN(_xlpm.first_app_date, _xlpm.first_awc_date)))
  ),
  IF(_xlpm.earliest_date=0, "", _xlpm.earliest_date)
))</f>
        <v/>
      </c>
      <c r="Y295" s="40" t="str" cm="1">
        <f t="array" ref="Y295">IF(OR(M295="", M295="Deleted"), "", _xlfn.LET(
  _xlpm.doc_col, [1]SubmittalLog!$E$1:$E$4000,
  _xlpm.date_col, [1]SubmittalLog!$H$1:$H$4000,
  _xlpm.status_col, [1]SubmittalLog!$O$1:$O$4000,
  _xlpm.has_sub, COUNTIF(_xlpm.doc_col, M295),
  _xlpm.latest_reviewed_date, _xlfn.MAXIFS(_xlpm.date_col, _xlpm.doc_col, M295, _xlpm.status_col, "&lt;&gt;"),
  IF(_xlpm.has_sub=0, "",
    IF(_xlpm.latest_reviewed_date=0, "",
      _xlfn.LET(
        _xlpm.res, _xlfn.XLOOKUP(1, (_xlpm.doc_col=M295) * (_xlpm.date_col=_xlpm.latest_reviewed_date) * (_xlpm.status_col&lt;&gt;""), _xlpm.status_col, ""),
        IF(OR(_xlpm.res="", _xlpm.res=0), "", _xlpm.res)
      )
    )
  )
))</f>
        <v/>
      </c>
    </row>
    <row r="296" spans="1:25" x14ac:dyDescent="0.35">
      <c r="A296" s="33">
        <f>IF($M296="","",MAX($A$1:A295)+1)</f>
        <v>275</v>
      </c>
      <c r="B296" s="23" t="s">
        <v>54</v>
      </c>
      <c r="C296" s="23" t="s">
        <v>257</v>
      </c>
      <c r="G296" s="33">
        <v>131236</v>
      </c>
      <c r="H296" s="33" t="s">
        <v>59</v>
      </c>
      <c r="I296" s="33" t="s">
        <v>217</v>
      </c>
      <c r="J296" s="33" t="s">
        <v>3496</v>
      </c>
      <c r="M296" s="34" t="str">
        <f t="shared" si="4"/>
        <v>Deleted</v>
      </c>
      <c r="N296" s="26" t="s">
        <v>3829</v>
      </c>
      <c r="P296" s="34" t="s">
        <v>3467</v>
      </c>
      <c r="U296" s="64" t="str" cm="1">
        <f t="array" ref="U296">IF(OR(M296="", M296="Deleted"), "", _xlfn.LET(
  _xlpm.dates,
  _xlfn._xlws.FILTER(
    [1]SubmittalLog!$H$1:$H$4000,
    [1]SubmittalLog!$E$1:$E$4000=M296,
    ""
  ),
  _xlpm.min_date, IFERROR(MIN(_xlpm.dates), ""),
  IF(_xlpm.min_date=0, "", _xlpm.min_date)
))</f>
        <v/>
      </c>
      <c r="V296" s="63" t="str" cm="1">
        <f t="array" ref="V296">IF(OR(M296="", M296="Deleted"), "", IFERROR(
  _xlfn.TEXTJOIN(", ", TRUE,
    _xlfn.MAP(
      _xlfn.UNIQUE(
        _xlfn._xlws.FILTER(
          [1]SubmittalLog!$B$1:$B$4000,
          ([1]SubmittalLog!$E$1:$E$4000=M296) *
          ([1]SubmittalLog!$B$1:$B$4000&lt;&gt;""),
          ""
        )
      ),
      _xlfn.LAMBDA(_xlpm.val, TEXT(_xlpm.val, "000000"))
    )
  ),
""))</f>
        <v/>
      </c>
      <c r="W296" s="40" t="str" cm="1">
        <f t="array" ref="W296">IF(OR(M296="", M296="Deleted"), "", _xlfn.LET(
  _xlpm.doc_col, [1]SubmittalLog!$E$1:$E$4000,
  _xlpm.date_col, [1]SubmittalLog!$H$1:$H$4000,
  _xlpm.status_col, [1]SubmittalLog!$N$1:$N$4000,
  _xlpm.latest_date, _xlfn.MAXIFS(_xlpm.date_col, _xlpm.doc_col, M296),
  IF(_xlpm.latest_date=0, "NFS",
    _xlfn.LET(
      _xlpm.res, _xlfn.XLOOKUP(M296 &amp; "|" &amp; _xlpm.latest_date, _xlpm.doc_col &amp; "|" &amp; _xlpm.date_col, _xlpm.status_col, ""),
      IF(OR(_xlpm.res="", _xlpm.res=0), "", _xlpm.res)
    )
  )
))</f>
        <v/>
      </c>
      <c r="X296" s="39" t="str">
        <f>IF(OR(M296="", M296="Deleted"), "", _xlfn.LET(
  _xlpm.doc_col, [1]SubmittalLog!$E$1:$E$4000,
  _xlpm.date_col, [1]SubmittalLog!$H$1:$H$4000,
  _xlpm.status_col, [1]SubmittalLog!$O$1:$O$4000,
  _xlpm.first_app_date, _xlfn.MINIFS(_xlpm.date_col, _xlpm.doc_col, M296, _xlpm.status_col, "APP"),
  _xlpm.first_awc_date, _xlfn.MINIFS(_xlpm.date_col, _xlpm.doc_col, M296, _xlpm.status_col, "AWC"),
  _xlpm.earliest_date, IF(
    AND(_xlpm.first_app_date=0, _xlpm.first_awc_date=0), 0,
    IF(_xlpm.first_app_date=0, _xlpm.first_awc_date,
    IF(_xlpm.first_awc_date=0, _xlpm.first_app_date,
    MIN(_xlpm.first_app_date, _xlpm.first_awc_date)))
  ),
  IF(_xlpm.earliest_date=0, "", _xlpm.earliest_date)
))</f>
        <v/>
      </c>
      <c r="Y296" s="40" t="str" cm="1">
        <f t="array" ref="Y296">IF(OR(M296="", M296="Deleted"), "", _xlfn.LET(
  _xlpm.doc_col, [1]SubmittalLog!$E$1:$E$4000,
  _xlpm.date_col, [1]SubmittalLog!$H$1:$H$4000,
  _xlpm.status_col, [1]SubmittalLog!$O$1:$O$4000,
  _xlpm.has_sub, COUNTIF(_xlpm.doc_col, M296),
  _xlpm.latest_reviewed_date, _xlfn.MAXIFS(_xlpm.date_col, _xlpm.doc_col, M296, _xlpm.status_col, "&lt;&gt;"),
  IF(_xlpm.has_sub=0, "",
    IF(_xlpm.latest_reviewed_date=0, "",
      _xlfn.LET(
        _xlpm.res, _xlfn.XLOOKUP(1, (_xlpm.doc_col=M296) * (_xlpm.date_col=_xlpm.latest_reviewed_date) * (_xlpm.status_col&lt;&gt;""), _xlpm.status_col, ""),
        IF(OR(_xlpm.res="", _xlpm.res=0), "", _xlpm.res)
      )
    )
  )
))</f>
        <v/>
      </c>
    </row>
    <row r="297" spans="1:25" x14ac:dyDescent="0.35">
      <c r="A297" s="33">
        <f>IF($M297="","",MAX($A$1:A296)+1)</f>
        <v>276</v>
      </c>
      <c r="B297" s="23" t="s">
        <v>54</v>
      </c>
      <c r="C297" s="23" t="s">
        <v>257</v>
      </c>
      <c r="G297" s="33">
        <v>131236</v>
      </c>
      <c r="H297" s="33" t="s">
        <v>59</v>
      </c>
      <c r="I297" s="33" t="s">
        <v>217</v>
      </c>
      <c r="J297" s="33" t="s">
        <v>3496</v>
      </c>
      <c r="M297" s="34" t="str">
        <f t="shared" si="4"/>
        <v>Deleted</v>
      </c>
      <c r="N297" s="26" t="s">
        <v>3830</v>
      </c>
      <c r="P297" s="34" t="s">
        <v>3467</v>
      </c>
      <c r="U297" s="64" t="str" cm="1">
        <f t="array" ref="U297">IF(OR(M297="", M297="Deleted"), "", _xlfn.LET(
  _xlpm.dates,
  _xlfn._xlws.FILTER(
    [1]SubmittalLog!$H$1:$H$4000,
    [1]SubmittalLog!$E$1:$E$4000=M297,
    ""
  ),
  _xlpm.min_date, IFERROR(MIN(_xlpm.dates), ""),
  IF(_xlpm.min_date=0, "", _xlpm.min_date)
))</f>
        <v/>
      </c>
      <c r="V297" s="63" t="str" cm="1">
        <f t="array" ref="V297">IF(OR(M297="", M297="Deleted"), "", IFERROR(
  _xlfn.TEXTJOIN(", ", TRUE,
    _xlfn.MAP(
      _xlfn.UNIQUE(
        _xlfn._xlws.FILTER(
          [1]SubmittalLog!$B$1:$B$4000,
          ([1]SubmittalLog!$E$1:$E$4000=M297) *
          ([1]SubmittalLog!$B$1:$B$4000&lt;&gt;""),
          ""
        )
      ),
      _xlfn.LAMBDA(_xlpm.val, TEXT(_xlpm.val, "000000"))
    )
  ),
""))</f>
        <v/>
      </c>
      <c r="W297" s="40" t="str" cm="1">
        <f t="array" ref="W297">IF(OR(M297="", M297="Deleted"), "", _xlfn.LET(
  _xlpm.doc_col, [1]SubmittalLog!$E$1:$E$4000,
  _xlpm.date_col, [1]SubmittalLog!$H$1:$H$4000,
  _xlpm.status_col, [1]SubmittalLog!$N$1:$N$4000,
  _xlpm.latest_date, _xlfn.MAXIFS(_xlpm.date_col, _xlpm.doc_col, M297),
  IF(_xlpm.latest_date=0, "NFS",
    _xlfn.LET(
      _xlpm.res, _xlfn.XLOOKUP(M297 &amp; "|" &amp; _xlpm.latest_date, _xlpm.doc_col &amp; "|" &amp; _xlpm.date_col, _xlpm.status_col, ""),
      IF(OR(_xlpm.res="", _xlpm.res=0), "", _xlpm.res)
    )
  )
))</f>
        <v/>
      </c>
      <c r="X297" s="39" t="str">
        <f>IF(OR(M297="", M297="Deleted"), "", _xlfn.LET(
  _xlpm.doc_col, [1]SubmittalLog!$E$1:$E$4000,
  _xlpm.date_col, [1]SubmittalLog!$H$1:$H$4000,
  _xlpm.status_col, [1]SubmittalLog!$O$1:$O$4000,
  _xlpm.first_app_date, _xlfn.MINIFS(_xlpm.date_col, _xlpm.doc_col, M297, _xlpm.status_col, "APP"),
  _xlpm.first_awc_date, _xlfn.MINIFS(_xlpm.date_col, _xlpm.doc_col, M297, _xlpm.status_col, "AWC"),
  _xlpm.earliest_date, IF(
    AND(_xlpm.first_app_date=0, _xlpm.first_awc_date=0), 0,
    IF(_xlpm.first_app_date=0, _xlpm.first_awc_date,
    IF(_xlpm.first_awc_date=0, _xlpm.first_app_date,
    MIN(_xlpm.first_app_date, _xlpm.first_awc_date)))
  ),
  IF(_xlpm.earliest_date=0, "", _xlpm.earliest_date)
))</f>
        <v/>
      </c>
      <c r="Y297" s="40" t="str" cm="1">
        <f t="array" ref="Y297">IF(OR(M297="", M297="Deleted"), "", _xlfn.LET(
  _xlpm.doc_col, [1]SubmittalLog!$E$1:$E$4000,
  _xlpm.date_col, [1]SubmittalLog!$H$1:$H$4000,
  _xlpm.status_col, [1]SubmittalLog!$O$1:$O$4000,
  _xlpm.has_sub, COUNTIF(_xlpm.doc_col, M297),
  _xlpm.latest_reviewed_date, _xlfn.MAXIFS(_xlpm.date_col, _xlpm.doc_col, M297, _xlpm.status_col, "&lt;&gt;"),
  IF(_xlpm.has_sub=0, "",
    IF(_xlpm.latest_reviewed_date=0, "",
      _xlfn.LET(
        _xlpm.res, _xlfn.XLOOKUP(1, (_xlpm.doc_col=M297) * (_xlpm.date_col=_xlpm.latest_reviewed_date) * (_xlpm.status_col&lt;&gt;""), _xlpm.status_col, ""),
        IF(OR(_xlpm.res="", _xlpm.res=0), "", _xlpm.res)
      )
    )
  )
))</f>
        <v/>
      </c>
    </row>
    <row r="298" spans="1:25" x14ac:dyDescent="0.35">
      <c r="A298" s="33">
        <f>IF($M298="","",MAX($A$1:A297)+1)</f>
        <v>277</v>
      </c>
      <c r="B298" s="23" t="s">
        <v>54</v>
      </c>
      <c r="C298" s="23" t="s">
        <v>257</v>
      </c>
      <c r="G298" s="33">
        <v>131236</v>
      </c>
      <c r="H298" s="33" t="s">
        <v>59</v>
      </c>
      <c r="I298" s="33" t="s">
        <v>217</v>
      </c>
      <c r="J298" s="33" t="s">
        <v>3496</v>
      </c>
      <c r="M298" s="34" t="str">
        <f t="shared" si="4"/>
        <v>Deleted</v>
      </c>
      <c r="N298" s="26" t="s">
        <v>3831</v>
      </c>
      <c r="P298" s="34" t="s">
        <v>3467</v>
      </c>
      <c r="U298" s="64" t="str" cm="1">
        <f t="array" ref="U298">IF(OR(M298="", M298="Deleted"), "", _xlfn.LET(
  _xlpm.dates,
  _xlfn._xlws.FILTER(
    [1]SubmittalLog!$H$1:$H$4000,
    [1]SubmittalLog!$E$1:$E$4000=M298,
    ""
  ),
  _xlpm.min_date, IFERROR(MIN(_xlpm.dates), ""),
  IF(_xlpm.min_date=0, "", _xlpm.min_date)
))</f>
        <v/>
      </c>
      <c r="V298" s="63" t="str" cm="1">
        <f t="array" ref="V298">IF(OR(M298="", M298="Deleted"), "", IFERROR(
  _xlfn.TEXTJOIN(", ", TRUE,
    _xlfn.MAP(
      _xlfn.UNIQUE(
        _xlfn._xlws.FILTER(
          [1]SubmittalLog!$B$1:$B$4000,
          ([1]SubmittalLog!$E$1:$E$4000=M298) *
          ([1]SubmittalLog!$B$1:$B$4000&lt;&gt;""),
          ""
        )
      ),
      _xlfn.LAMBDA(_xlpm.val, TEXT(_xlpm.val, "000000"))
    )
  ),
""))</f>
        <v/>
      </c>
      <c r="W298" s="40" t="str" cm="1">
        <f t="array" ref="W298">IF(OR(M298="", M298="Deleted"), "", _xlfn.LET(
  _xlpm.doc_col, [1]SubmittalLog!$E$1:$E$4000,
  _xlpm.date_col, [1]SubmittalLog!$H$1:$H$4000,
  _xlpm.status_col, [1]SubmittalLog!$N$1:$N$4000,
  _xlpm.latest_date, _xlfn.MAXIFS(_xlpm.date_col, _xlpm.doc_col, M298),
  IF(_xlpm.latest_date=0, "NFS",
    _xlfn.LET(
      _xlpm.res, _xlfn.XLOOKUP(M298 &amp; "|" &amp; _xlpm.latest_date, _xlpm.doc_col &amp; "|" &amp; _xlpm.date_col, _xlpm.status_col, ""),
      IF(OR(_xlpm.res="", _xlpm.res=0), "", _xlpm.res)
    )
  )
))</f>
        <v/>
      </c>
      <c r="X298" s="39" t="str">
        <f>IF(OR(M298="", M298="Deleted"), "", _xlfn.LET(
  _xlpm.doc_col, [1]SubmittalLog!$E$1:$E$4000,
  _xlpm.date_col, [1]SubmittalLog!$H$1:$H$4000,
  _xlpm.status_col, [1]SubmittalLog!$O$1:$O$4000,
  _xlpm.first_app_date, _xlfn.MINIFS(_xlpm.date_col, _xlpm.doc_col, M298, _xlpm.status_col, "APP"),
  _xlpm.first_awc_date, _xlfn.MINIFS(_xlpm.date_col, _xlpm.doc_col, M298, _xlpm.status_col, "AWC"),
  _xlpm.earliest_date, IF(
    AND(_xlpm.first_app_date=0, _xlpm.first_awc_date=0), 0,
    IF(_xlpm.first_app_date=0, _xlpm.first_awc_date,
    IF(_xlpm.first_awc_date=0, _xlpm.first_app_date,
    MIN(_xlpm.first_app_date, _xlpm.first_awc_date)))
  ),
  IF(_xlpm.earliest_date=0, "", _xlpm.earliest_date)
))</f>
        <v/>
      </c>
      <c r="Y298" s="40" t="str" cm="1">
        <f t="array" ref="Y298">IF(OR(M298="", M298="Deleted"), "", _xlfn.LET(
  _xlpm.doc_col, [1]SubmittalLog!$E$1:$E$4000,
  _xlpm.date_col, [1]SubmittalLog!$H$1:$H$4000,
  _xlpm.status_col, [1]SubmittalLog!$O$1:$O$4000,
  _xlpm.has_sub, COUNTIF(_xlpm.doc_col, M298),
  _xlpm.latest_reviewed_date, _xlfn.MAXIFS(_xlpm.date_col, _xlpm.doc_col, M298, _xlpm.status_col, "&lt;&gt;"),
  IF(_xlpm.has_sub=0, "",
    IF(_xlpm.latest_reviewed_date=0, "",
      _xlfn.LET(
        _xlpm.res, _xlfn.XLOOKUP(1, (_xlpm.doc_col=M298) * (_xlpm.date_col=_xlpm.latest_reviewed_date) * (_xlpm.status_col&lt;&gt;""), _xlpm.status_col, ""),
        IF(OR(_xlpm.res="", _xlpm.res=0), "", _xlpm.res)
      )
    )
  )
))</f>
        <v/>
      </c>
    </row>
    <row r="299" spans="1:25" x14ac:dyDescent="0.35">
      <c r="A299" s="33">
        <f>IF($M299="","",MAX($A$1:A298)+1)</f>
        <v>278</v>
      </c>
      <c r="B299" s="23" t="s">
        <v>54</v>
      </c>
      <c r="C299" s="23" t="s">
        <v>257</v>
      </c>
      <c r="G299" s="33">
        <v>131236</v>
      </c>
      <c r="H299" s="33" t="s">
        <v>59</v>
      </c>
      <c r="I299" s="33" t="s">
        <v>217</v>
      </c>
      <c r="J299" s="33" t="s">
        <v>3496</v>
      </c>
      <c r="M299" s="34" t="str">
        <f t="shared" si="4"/>
        <v>Deleted</v>
      </c>
      <c r="N299" s="26" t="s">
        <v>3832</v>
      </c>
      <c r="P299" s="34" t="s">
        <v>3467</v>
      </c>
      <c r="U299" s="64" t="str" cm="1">
        <f t="array" ref="U299">IF(OR(M299="", M299="Deleted"), "", _xlfn.LET(
  _xlpm.dates,
  _xlfn._xlws.FILTER(
    [1]SubmittalLog!$H$1:$H$4000,
    [1]SubmittalLog!$E$1:$E$4000=M299,
    ""
  ),
  _xlpm.min_date, IFERROR(MIN(_xlpm.dates), ""),
  IF(_xlpm.min_date=0, "", _xlpm.min_date)
))</f>
        <v/>
      </c>
      <c r="V299" s="63" t="str" cm="1">
        <f t="array" ref="V299">IF(OR(M299="", M299="Deleted"), "", IFERROR(
  _xlfn.TEXTJOIN(", ", TRUE,
    _xlfn.MAP(
      _xlfn.UNIQUE(
        _xlfn._xlws.FILTER(
          [1]SubmittalLog!$B$1:$B$4000,
          ([1]SubmittalLog!$E$1:$E$4000=M299) *
          ([1]SubmittalLog!$B$1:$B$4000&lt;&gt;""),
          ""
        )
      ),
      _xlfn.LAMBDA(_xlpm.val, TEXT(_xlpm.val, "000000"))
    )
  ),
""))</f>
        <v/>
      </c>
      <c r="W299" s="40" t="str" cm="1">
        <f t="array" ref="W299">IF(OR(M299="", M299="Deleted"), "", _xlfn.LET(
  _xlpm.doc_col, [1]SubmittalLog!$E$1:$E$4000,
  _xlpm.date_col, [1]SubmittalLog!$H$1:$H$4000,
  _xlpm.status_col, [1]SubmittalLog!$N$1:$N$4000,
  _xlpm.latest_date, _xlfn.MAXIFS(_xlpm.date_col, _xlpm.doc_col, M299),
  IF(_xlpm.latest_date=0, "NFS",
    _xlfn.LET(
      _xlpm.res, _xlfn.XLOOKUP(M299 &amp; "|" &amp; _xlpm.latest_date, _xlpm.doc_col &amp; "|" &amp; _xlpm.date_col, _xlpm.status_col, ""),
      IF(OR(_xlpm.res="", _xlpm.res=0), "", _xlpm.res)
    )
  )
))</f>
        <v/>
      </c>
      <c r="X299" s="39" t="str">
        <f>IF(OR(M299="", M299="Deleted"), "", _xlfn.LET(
  _xlpm.doc_col, [1]SubmittalLog!$E$1:$E$4000,
  _xlpm.date_col, [1]SubmittalLog!$H$1:$H$4000,
  _xlpm.status_col, [1]SubmittalLog!$O$1:$O$4000,
  _xlpm.first_app_date, _xlfn.MINIFS(_xlpm.date_col, _xlpm.doc_col, M299, _xlpm.status_col, "APP"),
  _xlpm.first_awc_date, _xlfn.MINIFS(_xlpm.date_col, _xlpm.doc_col, M299, _xlpm.status_col, "AWC"),
  _xlpm.earliest_date, IF(
    AND(_xlpm.first_app_date=0, _xlpm.first_awc_date=0), 0,
    IF(_xlpm.first_app_date=0, _xlpm.first_awc_date,
    IF(_xlpm.first_awc_date=0, _xlpm.first_app_date,
    MIN(_xlpm.first_app_date, _xlpm.first_awc_date)))
  ),
  IF(_xlpm.earliest_date=0, "", _xlpm.earliest_date)
))</f>
        <v/>
      </c>
      <c r="Y299" s="40" t="str" cm="1">
        <f t="array" ref="Y299">IF(OR(M299="", M299="Deleted"), "", _xlfn.LET(
  _xlpm.doc_col, [1]SubmittalLog!$E$1:$E$4000,
  _xlpm.date_col, [1]SubmittalLog!$H$1:$H$4000,
  _xlpm.status_col, [1]SubmittalLog!$O$1:$O$4000,
  _xlpm.has_sub, COUNTIF(_xlpm.doc_col, M299),
  _xlpm.latest_reviewed_date, _xlfn.MAXIFS(_xlpm.date_col, _xlpm.doc_col, M299, _xlpm.status_col, "&lt;&gt;"),
  IF(_xlpm.has_sub=0, "",
    IF(_xlpm.latest_reviewed_date=0, "",
      _xlfn.LET(
        _xlpm.res, _xlfn.XLOOKUP(1, (_xlpm.doc_col=M299) * (_xlpm.date_col=_xlpm.latest_reviewed_date) * (_xlpm.status_col&lt;&gt;""), _xlpm.status_col, ""),
        IF(OR(_xlpm.res="", _xlpm.res=0), "", _xlpm.res)
      )
    )
  )
))</f>
        <v/>
      </c>
    </row>
    <row r="300" spans="1:25" x14ac:dyDescent="0.35">
      <c r="A300" s="33">
        <f>IF($M300="","",MAX($A$1:A299)+1)</f>
        <v>279</v>
      </c>
      <c r="B300" s="23" t="s">
        <v>54</v>
      </c>
      <c r="C300" s="23" t="s">
        <v>257</v>
      </c>
      <c r="G300" s="33">
        <v>131236</v>
      </c>
      <c r="H300" s="33" t="s">
        <v>59</v>
      </c>
      <c r="I300" s="33" t="s">
        <v>217</v>
      </c>
      <c r="J300" s="33" t="s">
        <v>3496</v>
      </c>
      <c r="M300" s="34" t="str">
        <f t="shared" si="4"/>
        <v>Deleted</v>
      </c>
      <c r="N300" s="26" t="s">
        <v>3833</v>
      </c>
      <c r="P300" s="34" t="s">
        <v>3467</v>
      </c>
      <c r="U300" s="64" t="str" cm="1">
        <f t="array" ref="U300">IF(OR(M300="", M300="Deleted"), "", _xlfn.LET(
  _xlpm.dates,
  _xlfn._xlws.FILTER(
    [1]SubmittalLog!$H$1:$H$4000,
    [1]SubmittalLog!$E$1:$E$4000=M300,
    ""
  ),
  _xlpm.min_date, IFERROR(MIN(_xlpm.dates), ""),
  IF(_xlpm.min_date=0, "", _xlpm.min_date)
))</f>
        <v/>
      </c>
      <c r="V300" s="63" t="str" cm="1">
        <f t="array" ref="V300">IF(OR(M300="", M300="Deleted"), "", IFERROR(
  _xlfn.TEXTJOIN(", ", TRUE,
    _xlfn.MAP(
      _xlfn.UNIQUE(
        _xlfn._xlws.FILTER(
          [1]SubmittalLog!$B$1:$B$4000,
          ([1]SubmittalLog!$E$1:$E$4000=M300) *
          ([1]SubmittalLog!$B$1:$B$4000&lt;&gt;""),
          ""
        )
      ),
      _xlfn.LAMBDA(_xlpm.val, TEXT(_xlpm.val, "000000"))
    )
  ),
""))</f>
        <v/>
      </c>
      <c r="W300" s="40" t="str" cm="1">
        <f t="array" ref="W300">IF(OR(M300="", M300="Deleted"), "", _xlfn.LET(
  _xlpm.doc_col, [1]SubmittalLog!$E$1:$E$4000,
  _xlpm.date_col, [1]SubmittalLog!$H$1:$H$4000,
  _xlpm.status_col, [1]SubmittalLog!$N$1:$N$4000,
  _xlpm.latest_date, _xlfn.MAXIFS(_xlpm.date_col, _xlpm.doc_col, M300),
  IF(_xlpm.latest_date=0, "NFS",
    _xlfn.LET(
      _xlpm.res, _xlfn.XLOOKUP(M300 &amp; "|" &amp; _xlpm.latest_date, _xlpm.doc_col &amp; "|" &amp; _xlpm.date_col, _xlpm.status_col, ""),
      IF(OR(_xlpm.res="", _xlpm.res=0), "", _xlpm.res)
    )
  )
))</f>
        <v/>
      </c>
      <c r="X300" s="39" t="str">
        <f>IF(OR(M300="", M300="Deleted"), "", _xlfn.LET(
  _xlpm.doc_col, [1]SubmittalLog!$E$1:$E$4000,
  _xlpm.date_col, [1]SubmittalLog!$H$1:$H$4000,
  _xlpm.status_col, [1]SubmittalLog!$O$1:$O$4000,
  _xlpm.first_app_date, _xlfn.MINIFS(_xlpm.date_col, _xlpm.doc_col, M300, _xlpm.status_col, "APP"),
  _xlpm.first_awc_date, _xlfn.MINIFS(_xlpm.date_col, _xlpm.doc_col, M300, _xlpm.status_col, "AWC"),
  _xlpm.earliest_date, IF(
    AND(_xlpm.first_app_date=0, _xlpm.first_awc_date=0), 0,
    IF(_xlpm.first_app_date=0, _xlpm.first_awc_date,
    IF(_xlpm.first_awc_date=0, _xlpm.first_app_date,
    MIN(_xlpm.first_app_date, _xlpm.first_awc_date)))
  ),
  IF(_xlpm.earliest_date=0, "", _xlpm.earliest_date)
))</f>
        <v/>
      </c>
      <c r="Y300" s="40" t="str" cm="1">
        <f t="array" ref="Y300">IF(OR(M300="", M300="Deleted"), "", _xlfn.LET(
  _xlpm.doc_col, [1]SubmittalLog!$E$1:$E$4000,
  _xlpm.date_col, [1]SubmittalLog!$H$1:$H$4000,
  _xlpm.status_col, [1]SubmittalLog!$O$1:$O$4000,
  _xlpm.has_sub, COUNTIF(_xlpm.doc_col, M300),
  _xlpm.latest_reviewed_date, _xlfn.MAXIFS(_xlpm.date_col, _xlpm.doc_col, M300, _xlpm.status_col, "&lt;&gt;"),
  IF(_xlpm.has_sub=0, "",
    IF(_xlpm.latest_reviewed_date=0, "",
      _xlfn.LET(
        _xlpm.res, _xlfn.XLOOKUP(1, (_xlpm.doc_col=M300) * (_xlpm.date_col=_xlpm.latest_reviewed_date) * (_xlpm.status_col&lt;&gt;""), _xlpm.status_col, ""),
        IF(OR(_xlpm.res="", _xlpm.res=0), "", _xlpm.res)
      )
    )
  )
))</f>
        <v/>
      </c>
    </row>
    <row r="301" spans="1:25" x14ac:dyDescent="0.35">
      <c r="A301" s="33">
        <f>IF($M301="","",MAX($A$1:A300)+1)</f>
        <v>280</v>
      </c>
      <c r="B301" s="23" t="s">
        <v>54</v>
      </c>
      <c r="C301" s="23" t="s">
        <v>257</v>
      </c>
      <c r="G301" s="33">
        <v>131236</v>
      </c>
      <c r="H301" s="33" t="s">
        <v>59</v>
      </c>
      <c r="I301" s="33" t="s">
        <v>217</v>
      </c>
      <c r="J301" s="33" t="s">
        <v>3496</v>
      </c>
      <c r="M301" s="34" t="str">
        <f t="shared" si="4"/>
        <v>Deleted</v>
      </c>
      <c r="N301" s="26" t="s">
        <v>3834</v>
      </c>
      <c r="P301" s="34" t="s">
        <v>3467</v>
      </c>
      <c r="U301" s="64" t="str" cm="1">
        <f t="array" ref="U301">IF(OR(M301="", M301="Deleted"), "", _xlfn.LET(
  _xlpm.dates,
  _xlfn._xlws.FILTER(
    [1]SubmittalLog!$H$1:$H$4000,
    [1]SubmittalLog!$E$1:$E$4000=M301,
    ""
  ),
  _xlpm.min_date, IFERROR(MIN(_xlpm.dates), ""),
  IF(_xlpm.min_date=0, "", _xlpm.min_date)
))</f>
        <v/>
      </c>
      <c r="V301" s="63" t="str" cm="1">
        <f t="array" ref="V301">IF(OR(M301="", M301="Deleted"), "", IFERROR(
  _xlfn.TEXTJOIN(", ", TRUE,
    _xlfn.MAP(
      _xlfn.UNIQUE(
        _xlfn._xlws.FILTER(
          [1]SubmittalLog!$B$1:$B$4000,
          ([1]SubmittalLog!$E$1:$E$4000=M301) *
          ([1]SubmittalLog!$B$1:$B$4000&lt;&gt;""),
          ""
        )
      ),
      _xlfn.LAMBDA(_xlpm.val, TEXT(_xlpm.val, "000000"))
    )
  ),
""))</f>
        <v/>
      </c>
      <c r="W301" s="40" t="str" cm="1">
        <f t="array" ref="W301">IF(OR(M301="", M301="Deleted"), "", _xlfn.LET(
  _xlpm.doc_col, [1]SubmittalLog!$E$1:$E$4000,
  _xlpm.date_col, [1]SubmittalLog!$H$1:$H$4000,
  _xlpm.status_col, [1]SubmittalLog!$N$1:$N$4000,
  _xlpm.latest_date, _xlfn.MAXIFS(_xlpm.date_col, _xlpm.doc_col, M301),
  IF(_xlpm.latest_date=0, "NFS",
    _xlfn.LET(
      _xlpm.res, _xlfn.XLOOKUP(M301 &amp; "|" &amp; _xlpm.latest_date, _xlpm.doc_col &amp; "|" &amp; _xlpm.date_col, _xlpm.status_col, ""),
      IF(OR(_xlpm.res="", _xlpm.res=0), "", _xlpm.res)
    )
  )
))</f>
        <v/>
      </c>
      <c r="X301" s="39" t="str">
        <f>IF(OR(M301="", M301="Deleted"), "", _xlfn.LET(
  _xlpm.doc_col, [1]SubmittalLog!$E$1:$E$4000,
  _xlpm.date_col, [1]SubmittalLog!$H$1:$H$4000,
  _xlpm.status_col, [1]SubmittalLog!$O$1:$O$4000,
  _xlpm.first_app_date, _xlfn.MINIFS(_xlpm.date_col, _xlpm.doc_col, M301, _xlpm.status_col, "APP"),
  _xlpm.first_awc_date, _xlfn.MINIFS(_xlpm.date_col, _xlpm.doc_col, M301, _xlpm.status_col, "AWC"),
  _xlpm.earliest_date, IF(
    AND(_xlpm.first_app_date=0, _xlpm.first_awc_date=0), 0,
    IF(_xlpm.first_app_date=0, _xlpm.first_awc_date,
    IF(_xlpm.first_awc_date=0, _xlpm.first_app_date,
    MIN(_xlpm.first_app_date, _xlpm.first_awc_date)))
  ),
  IF(_xlpm.earliest_date=0, "", _xlpm.earliest_date)
))</f>
        <v/>
      </c>
      <c r="Y301" s="40" t="str" cm="1">
        <f t="array" ref="Y301">IF(OR(M301="", M301="Deleted"), "", _xlfn.LET(
  _xlpm.doc_col, [1]SubmittalLog!$E$1:$E$4000,
  _xlpm.date_col, [1]SubmittalLog!$H$1:$H$4000,
  _xlpm.status_col, [1]SubmittalLog!$O$1:$O$4000,
  _xlpm.has_sub, COUNTIF(_xlpm.doc_col, M301),
  _xlpm.latest_reviewed_date, _xlfn.MAXIFS(_xlpm.date_col, _xlpm.doc_col, M301, _xlpm.status_col, "&lt;&gt;"),
  IF(_xlpm.has_sub=0, "",
    IF(_xlpm.latest_reviewed_date=0, "",
      _xlfn.LET(
        _xlpm.res, _xlfn.XLOOKUP(1, (_xlpm.doc_col=M301) * (_xlpm.date_col=_xlpm.latest_reviewed_date) * (_xlpm.status_col&lt;&gt;""), _xlpm.status_col, ""),
        IF(OR(_xlpm.res="", _xlpm.res=0), "", _xlpm.res)
      )
    )
  )
))</f>
        <v/>
      </c>
    </row>
    <row r="302" spans="1:25" x14ac:dyDescent="0.35">
      <c r="A302" s="33">
        <f>IF($M302="","",MAX($A$1:A301)+1)</f>
        <v>281</v>
      </c>
      <c r="B302" s="23" t="s">
        <v>54</v>
      </c>
      <c r="C302" s="23" t="s">
        <v>257</v>
      </c>
      <c r="G302" s="33">
        <v>131236</v>
      </c>
      <c r="H302" s="33" t="s">
        <v>59</v>
      </c>
      <c r="I302" s="33" t="s">
        <v>217</v>
      </c>
      <c r="J302" s="33" t="s">
        <v>3496</v>
      </c>
      <c r="M302" s="34" t="str">
        <f t="shared" si="4"/>
        <v>Deleted</v>
      </c>
      <c r="N302" s="26" t="s">
        <v>3835</v>
      </c>
      <c r="P302" s="34" t="s">
        <v>3467</v>
      </c>
      <c r="U302" s="64" t="str" cm="1">
        <f t="array" ref="U302">IF(OR(M302="", M302="Deleted"), "", _xlfn.LET(
  _xlpm.dates,
  _xlfn._xlws.FILTER(
    [1]SubmittalLog!$H$1:$H$4000,
    [1]SubmittalLog!$E$1:$E$4000=M302,
    ""
  ),
  _xlpm.min_date, IFERROR(MIN(_xlpm.dates), ""),
  IF(_xlpm.min_date=0, "", _xlpm.min_date)
))</f>
        <v/>
      </c>
      <c r="V302" s="63" t="str" cm="1">
        <f t="array" ref="V302">IF(OR(M302="", M302="Deleted"), "", IFERROR(
  _xlfn.TEXTJOIN(", ", TRUE,
    _xlfn.MAP(
      _xlfn.UNIQUE(
        _xlfn._xlws.FILTER(
          [1]SubmittalLog!$B$1:$B$4000,
          ([1]SubmittalLog!$E$1:$E$4000=M302) *
          ([1]SubmittalLog!$B$1:$B$4000&lt;&gt;""),
          ""
        )
      ),
      _xlfn.LAMBDA(_xlpm.val, TEXT(_xlpm.val, "000000"))
    )
  ),
""))</f>
        <v/>
      </c>
      <c r="W302" s="40" t="str" cm="1">
        <f t="array" ref="W302">IF(OR(M302="", M302="Deleted"), "", _xlfn.LET(
  _xlpm.doc_col, [1]SubmittalLog!$E$1:$E$4000,
  _xlpm.date_col, [1]SubmittalLog!$H$1:$H$4000,
  _xlpm.status_col, [1]SubmittalLog!$N$1:$N$4000,
  _xlpm.latest_date, _xlfn.MAXIFS(_xlpm.date_col, _xlpm.doc_col, M302),
  IF(_xlpm.latest_date=0, "NFS",
    _xlfn.LET(
      _xlpm.res, _xlfn.XLOOKUP(M302 &amp; "|" &amp; _xlpm.latest_date, _xlpm.doc_col &amp; "|" &amp; _xlpm.date_col, _xlpm.status_col, ""),
      IF(OR(_xlpm.res="", _xlpm.res=0), "", _xlpm.res)
    )
  )
))</f>
        <v/>
      </c>
      <c r="X302" s="39" t="str">
        <f>IF(OR(M302="", M302="Deleted"), "", _xlfn.LET(
  _xlpm.doc_col, [1]SubmittalLog!$E$1:$E$4000,
  _xlpm.date_col, [1]SubmittalLog!$H$1:$H$4000,
  _xlpm.status_col, [1]SubmittalLog!$O$1:$O$4000,
  _xlpm.first_app_date, _xlfn.MINIFS(_xlpm.date_col, _xlpm.doc_col, M302, _xlpm.status_col, "APP"),
  _xlpm.first_awc_date, _xlfn.MINIFS(_xlpm.date_col, _xlpm.doc_col, M302, _xlpm.status_col, "AWC"),
  _xlpm.earliest_date, IF(
    AND(_xlpm.first_app_date=0, _xlpm.first_awc_date=0), 0,
    IF(_xlpm.first_app_date=0, _xlpm.first_awc_date,
    IF(_xlpm.first_awc_date=0, _xlpm.first_app_date,
    MIN(_xlpm.first_app_date, _xlpm.first_awc_date)))
  ),
  IF(_xlpm.earliest_date=0, "", _xlpm.earliest_date)
))</f>
        <v/>
      </c>
      <c r="Y302" s="40" t="str" cm="1">
        <f t="array" ref="Y302">IF(OR(M302="", M302="Deleted"), "", _xlfn.LET(
  _xlpm.doc_col, [1]SubmittalLog!$E$1:$E$4000,
  _xlpm.date_col, [1]SubmittalLog!$H$1:$H$4000,
  _xlpm.status_col, [1]SubmittalLog!$O$1:$O$4000,
  _xlpm.has_sub, COUNTIF(_xlpm.doc_col, M302),
  _xlpm.latest_reviewed_date, _xlfn.MAXIFS(_xlpm.date_col, _xlpm.doc_col, M302, _xlpm.status_col, "&lt;&gt;"),
  IF(_xlpm.has_sub=0, "",
    IF(_xlpm.latest_reviewed_date=0, "",
      _xlfn.LET(
        _xlpm.res, _xlfn.XLOOKUP(1, (_xlpm.doc_col=M302) * (_xlpm.date_col=_xlpm.latest_reviewed_date) * (_xlpm.status_col&lt;&gt;""), _xlpm.status_col, ""),
        IF(OR(_xlpm.res="", _xlpm.res=0), "", _xlpm.res)
      )
    )
  )
))</f>
        <v/>
      </c>
    </row>
    <row r="303" spans="1:25" x14ac:dyDescent="0.35">
      <c r="A303" s="33">
        <f>IF($M303="","",MAX($A$1:A302)+1)</f>
        <v>282</v>
      </c>
      <c r="B303" s="23" t="s">
        <v>54</v>
      </c>
      <c r="C303" s="23" t="s">
        <v>257</v>
      </c>
      <c r="G303" s="33">
        <v>131236</v>
      </c>
      <c r="H303" s="33" t="s">
        <v>59</v>
      </c>
      <c r="I303" s="33" t="s">
        <v>217</v>
      </c>
      <c r="J303" s="33" t="s">
        <v>3496</v>
      </c>
      <c r="M303" s="34" t="str">
        <f t="shared" si="4"/>
        <v>Deleted</v>
      </c>
      <c r="N303" s="26" t="s">
        <v>3836</v>
      </c>
      <c r="P303" s="34" t="s">
        <v>3467</v>
      </c>
      <c r="U303" s="64" t="str" cm="1">
        <f t="array" ref="U303">IF(OR(M303="", M303="Deleted"), "", _xlfn.LET(
  _xlpm.dates,
  _xlfn._xlws.FILTER(
    [1]SubmittalLog!$H$1:$H$4000,
    [1]SubmittalLog!$E$1:$E$4000=M303,
    ""
  ),
  _xlpm.min_date, IFERROR(MIN(_xlpm.dates), ""),
  IF(_xlpm.min_date=0, "", _xlpm.min_date)
))</f>
        <v/>
      </c>
      <c r="V303" s="63" t="str" cm="1">
        <f t="array" ref="V303">IF(OR(M303="", M303="Deleted"), "", IFERROR(
  _xlfn.TEXTJOIN(", ", TRUE,
    _xlfn.MAP(
      _xlfn.UNIQUE(
        _xlfn._xlws.FILTER(
          [1]SubmittalLog!$B$1:$B$4000,
          ([1]SubmittalLog!$E$1:$E$4000=M303) *
          ([1]SubmittalLog!$B$1:$B$4000&lt;&gt;""),
          ""
        )
      ),
      _xlfn.LAMBDA(_xlpm.val, TEXT(_xlpm.val, "000000"))
    )
  ),
""))</f>
        <v/>
      </c>
      <c r="W303" s="40" t="str" cm="1">
        <f t="array" ref="W303">IF(OR(M303="", M303="Deleted"), "", _xlfn.LET(
  _xlpm.doc_col, [1]SubmittalLog!$E$1:$E$4000,
  _xlpm.date_col, [1]SubmittalLog!$H$1:$H$4000,
  _xlpm.status_col, [1]SubmittalLog!$N$1:$N$4000,
  _xlpm.latest_date, _xlfn.MAXIFS(_xlpm.date_col, _xlpm.doc_col, M303),
  IF(_xlpm.latest_date=0, "NFS",
    _xlfn.LET(
      _xlpm.res, _xlfn.XLOOKUP(M303 &amp; "|" &amp; _xlpm.latest_date, _xlpm.doc_col &amp; "|" &amp; _xlpm.date_col, _xlpm.status_col, ""),
      IF(OR(_xlpm.res="", _xlpm.res=0), "", _xlpm.res)
    )
  )
))</f>
        <v/>
      </c>
      <c r="X303" s="39" t="str">
        <f>IF(OR(M303="", M303="Deleted"), "", _xlfn.LET(
  _xlpm.doc_col, [1]SubmittalLog!$E$1:$E$4000,
  _xlpm.date_col, [1]SubmittalLog!$H$1:$H$4000,
  _xlpm.status_col, [1]SubmittalLog!$O$1:$O$4000,
  _xlpm.first_app_date, _xlfn.MINIFS(_xlpm.date_col, _xlpm.doc_col, M303, _xlpm.status_col, "APP"),
  _xlpm.first_awc_date, _xlfn.MINIFS(_xlpm.date_col, _xlpm.doc_col, M303, _xlpm.status_col, "AWC"),
  _xlpm.earliest_date, IF(
    AND(_xlpm.first_app_date=0, _xlpm.first_awc_date=0), 0,
    IF(_xlpm.first_app_date=0, _xlpm.first_awc_date,
    IF(_xlpm.first_awc_date=0, _xlpm.first_app_date,
    MIN(_xlpm.first_app_date, _xlpm.first_awc_date)))
  ),
  IF(_xlpm.earliest_date=0, "", _xlpm.earliest_date)
))</f>
        <v/>
      </c>
      <c r="Y303" s="40" t="str" cm="1">
        <f t="array" ref="Y303">IF(OR(M303="", M303="Deleted"), "", _xlfn.LET(
  _xlpm.doc_col, [1]SubmittalLog!$E$1:$E$4000,
  _xlpm.date_col, [1]SubmittalLog!$H$1:$H$4000,
  _xlpm.status_col, [1]SubmittalLog!$O$1:$O$4000,
  _xlpm.has_sub, COUNTIF(_xlpm.doc_col, M303),
  _xlpm.latest_reviewed_date, _xlfn.MAXIFS(_xlpm.date_col, _xlpm.doc_col, M303, _xlpm.status_col, "&lt;&gt;"),
  IF(_xlpm.has_sub=0, "",
    IF(_xlpm.latest_reviewed_date=0, "",
      _xlfn.LET(
        _xlpm.res, _xlfn.XLOOKUP(1, (_xlpm.doc_col=M303) * (_xlpm.date_col=_xlpm.latest_reviewed_date) * (_xlpm.status_col&lt;&gt;""), _xlpm.status_col, ""),
        IF(OR(_xlpm.res="", _xlpm.res=0), "", _xlpm.res)
      )
    )
  )
))</f>
        <v/>
      </c>
    </row>
    <row r="304" spans="1:25" x14ac:dyDescent="0.35">
      <c r="A304" s="33">
        <f>IF($M304="","",MAX($A$1:A303)+1)</f>
        <v>283</v>
      </c>
      <c r="B304" s="23" t="s">
        <v>54</v>
      </c>
      <c r="C304" s="23" t="s">
        <v>257</v>
      </c>
      <c r="G304" s="33">
        <v>131236</v>
      </c>
      <c r="H304" s="33" t="s">
        <v>59</v>
      </c>
      <c r="I304" s="33" t="s">
        <v>217</v>
      </c>
      <c r="J304" s="33" t="s">
        <v>3496</v>
      </c>
      <c r="M304" s="34" t="str">
        <f t="shared" si="4"/>
        <v>Deleted</v>
      </c>
      <c r="N304" s="26" t="s">
        <v>3837</v>
      </c>
      <c r="P304" s="34" t="s">
        <v>3467</v>
      </c>
      <c r="U304" s="64" t="str" cm="1">
        <f t="array" ref="U304">IF(OR(M304="", M304="Deleted"), "", _xlfn.LET(
  _xlpm.dates,
  _xlfn._xlws.FILTER(
    [1]SubmittalLog!$H$1:$H$4000,
    [1]SubmittalLog!$E$1:$E$4000=M304,
    ""
  ),
  _xlpm.min_date, IFERROR(MIN(_xlpm.dates), ""),
  IF(_xlpm.min_date=0, "", _xlpm.min_date)
))</f>
        <v/>
      </c>
      <c r="V304" s="63" t="str" cm="1">
        <f t="array" ref="V304">IF(OR(M304="", M304="Deleted"), "", IFERROR(
  _xlfn.TEXTJOIN(", ", TRUE,
    _xlfn.MAP(
      _xlfn.UNIQUE(
        _xlfn._xlws.FILTER(
          [1]SubmittalLog!$B$1:$B$4000,
          ([1]SubmittalLog!$E$1:$E$4000=M304) *
          ([1]SubmittalLog!$B$1:$B$4000&lt;&gt;""),
          ""
        )
      ),
      _xlfn.LAMBDA(_xlpm.val, TEXT(_xlpm.val, "000000"))
    )
  ),
""))</f>
        <v/>
      </c>
      <c r="W304" s="40" t="str" cm="1">
        <f t="array" ref="W304">IF(OR(M304="", M304="Deleted"), "", _xlfn.LET(
  _xlpm.doc_col, [1]SubmittalLog!$E$1:$E$4000,
  _xlpm.date_col, [1]SubmittalLog!$H$1:$H$4000,
  _xlpm.status_col, [1]SubmittalLog!$N$1:$N$4000,
  _xlpm.latest_date, _xlfn.MAXIFS(_xlpm.date_col, _xlpm.doc_col, M304),
  IF(_xlpm.latest_date=0, "NFS",
    _xlfn.LET(
      _xlpm.res, _xlfn.XLOOKUP(M304 &amp; "|" &amp; _xlpm.latest_date, _xlpm.doc_col &amp; "|" &amp; _xlpm.date_col, _xlpm.status_col, ""),
      IF(OR(_xlpm.res="", _xlpm.res=0), "", _xlpm.res)
    )
  )
))</f>
        <v/>
      </c>
      <c r="X304" s="39" t="str">
        <f>IF(OR(M304="", M304="Deleted"), "", _xlfn.LET(
  _xlpm.doc_col, [1]SubmittalLog!$E$1:$E$4000,
  _xlpm.date_col, [1]SubmittalLog!$H$1:$H$4000,
  _xlpm.status_col, [1]SubmittalLog!$O$1:$O$4000,
  _xlpm.first_app_date, _xlfn.MINIFS(_xlpm.date_col, _xlpm.doc_col, M304, _xlpm.status_col, "APP"),
  _xlpm.first_awc_date, _xlfn.MINIFS(_xlpm.date_col, _xlpm.doc_col, M304, _xlpm.status_col, "AWC"),
  _xlpm.earliest_date, IF(
    AND(_xlpm.first_app_date=0, _xlpm.first_awc_date=0), 0,
    IF(_xlpm.first_app_date=0, _xlpm.first_awc_date,
    IF(_xlpm.first_awc_date=0, _xlpm.first_app_date,
    MIN(_xlpm.first_app_date, _xlpm.first_awc_date)))
  ),
  IF(_xlpm.earliest_date=0, "", _xlpm.earliest_date)
))</f>
        <v/>
      </c>
      <c r="Y304" s="40" t="str" cm="1">
        <f t="array" ref="Y304">IF(OR(M304="", M304="Deleted"), "", _xlfn.LET(
  _xlpm.doc_col, [1]SubmittalLog!$E$1:$E$4000,
  _xlpm.date_col, [1]SubmittalLog!$H$1:$H$4000,
  _xlpm.status_col, [1]SubmittalLog!$O$1:$O$4000,
  _xlpm.has_sub, COUNTIF(_xlpm.doc_col, M304),
  _xlpm.latest_reviewed_date, _xlfn.MAXIFS(_xlpm.date_col, _xlpm.doc_col, M304, _xlpm.status_col, "&lt;&gt;"),
  IF(_xlpm.has_sub=0, "",
    IF(_xlpm.latest_reviewed_date=0, "",
      _xlfn.LET(
        _xlpm.res, _xlfn.XLOOKUP(1, (_xlpm.doc_col=M304) * (_xlpm.date_col=_xlpm.latest_reviewed_date) * (_xlpm.status_col&lt;&gt;""), _xlpm.status_col, ""),
        IF(OR(_xlpm.res="", _xlpm.res=0), "", _xlpm.res)
      )
    )
  )
))</f>
        <v/>
      </c>
    </row>
    <row r="305" spans="1:25" x14ac:dyDescent="0.35">
      <c r="A305" s="33">
        <f>IF($M305="","",MAX($A$1:A304)+1)</f>
        <v>284</v>
      </c>
      <c r="B305" s="23" t="s">
        <v>54</v>
      </c>
      <c r="C305" s="23" t="s">
        <v>257</v>
      </c>
      <c r="G305" s="33">
        <v>131236</v>
      </c>
      <c r="H305" s="33" t="s">
        <v>59</v>
      </c>
      <c r="I305" s="33" t="s">
        <v>204</v>
      </c>
      <c r="J305" s="33" t="s">
        <v>3496</v>
      </c>
      <c r="M305" s="34" t="str">
        <f t="shared" si="4"/>
        <v>Deleted</v>
      </c>
      <c r="N305" s="26" t="s">
        <v>3838</v>
      </c>
      <c r="P305" s="34" t="s">
        <v>3467</v>
      </c>
      <c r="U305" s="64" t="str" cm="1">
        <f t="array" ref="U305">IF(OR(M305="", M305="Deleted"), "", _xlfn.LET(
  _xlpm.dates,
  _xlfn._xlws.FILTER(
    [1]SubmittalLog!$H$1:$H$4000,
    [1]SubmittalLog!$E$1:$E$4000=M305,
    ""
  ),
  _xlpm.min_date, IFERROR(MIN(_xlpm.dates), ""),
  IF(_xlpm.min_date=0, "", _xlpm.min_date)
))</f>
        <v/>
      </c>
      <c r="V305" s="63" t="str" cm="1">
        <f t="array" ref="V305">IF(OR(M305="", M305="Deleted"), "", IFERROR(
  _xlfn.TEXTJOIN(", ", TRUE,
    _xlfn.MAP(
      _xlfn.UNIQUE(
        _xlfn._xlws.FILTER(
          [1]SubmittalLog!$B$1:$B$4000,
          ([1]SubmittalLog!$E$1:$E$4000=M305) *
          ([1]SubmittalLog!$B$1:$B$4000&lt;&gt;""),
          ""
        )
      ),
      _xlfn.LAMBDA(_xlpm.val, TEXT(_xlpm.val, "000000"))
    )
  ),
""))</f>
        <v/>
      </c>
      <c r="W305" s="40" t="str" cm="1">
        <f t="array" ref="W305">IF(OR(M305="", M305="Deleted"), "", _xlfn.LET(
  _xlpm.doc_col, [1]SubmittalLog!$E$1:$E$4000,
  _xlpm.date_col, [1]SubmittalLog!$H$1:$H$4000,
  _xlpm.status_col, [1]SubmittalLog!$N$1:$N$4000,
  _xlpm.latest_date, _xlfn.MAXIFS(_xlpm.date_col, _xlpm.doc_col, M305),
  IF(_xlpm.latest_date=0, "NFS",
    _xlfn.LET(
      _xlpm.res, _xlfn.XLOOKUP(M305 &amp; "|" &amp; _xlpm.latest_date, _xlpm.doc_col &amp; "|" &amp; _xlpm.date_col, _xlpm.status_col, ""),
      IF(OR(_xlpm.res="", _xlpm.res=0), "", _xlpm.res)
    )
  )
))</f>
        <v/>
      </c>
      <c r="X305" s="39" t="str">
        <f>IF(OR(M305="", M305="Deleted"), "", _xlfn.LET(
  _xlpm.doc_col, [1]SubmittalLog!$E$1:$E$4000,
  _xlpm.date_col, [1]SubmittalLog!$H$1:$H$4000,
  _xlpm.status_col, [1]SubmittalLog!$O$1:$O$4000,
  _xlpm.first_app_date, _xlfn.MINIFS(_xlpm.date_col, _xlpm.doc_col, M305, _xlpm.status_col, "APP"),
  _xlpm.first_awc_date, _xlfn.MINIFS(_xlpm.date_col, _xlpm.doc_col, M305, _xlpm.status_col, "AWC"),
  _xlpm.earliest_date, IF(
    AND(_xlpm.first_app_date=0, _xlpm.first_awc_date=0), 0,
    IF(_xlpm.first_app_date=0, _xlpm.first_awc_date,
    IF(_xlpm.first_awc_date=0, _xlpm.first_app_date,
    MIN(_xlpm.first_app_date, _xlpm.first_awc_date)))
  ),
  IF(_xlpm.earliest_date=0, "", _xlpm.earliest_date)
))</f>
        <v/>
      </c>
      <c r="Y305" s="40" t="str" cm="1">
        <f t="array" ref="Y305">IF(OR(M305="", M305="Deleted"), "", _xlfn.LET(
  _xlpm.doc_col, [1]SubmittalLog!$E$1:$E$4000,
  _xlpm.date_col, [1]SubmittalLog!$H$1:$H$4000,
  _xlpm.status_col, [1]SubmittalLog!$O$1:$O$4000,
  _xlpm.has_sub, COUNTIF(_xlpm.doc_col, M305),
  _xlpm.latest_reviewed_date, _xlfn.MAXIFS(_xlpm.date_col, _xlpm.doc_col, M305, _xlpm.status_col, "&lt;&gt;"),
  IF(_xlpm.has_sub=0, "",
    IF(_xlpm.latest_reviewed_date=0, "",
      _xlfn.LET(
        _xlpm.res, _xlfn.XLOOKUP(1, (_xlpm.doc_col=M305) * (_xlpm.date_col=_xlpm.latest_reviewed_date) * (_xlpm.status_col&lt;&gt;""), _xlpm.status_col, ""),
        IF(OR(_xlpm.res="", _xlpm.res=0), "", _xlpm.res)
      )
    )
  )
))</f>
        <v/>
      </c>
    </row>
    <row r="306" spans="1:25" x14ac:dyDescent="0.35">
      <c r="A306" s="33">
        <f>IF($M306="","",MAX($A$1:A305)+1)</f>
        <v>285</v>
      </c>
      <c r="B306" s="23" t="s">
        <v>54</v>
      </c>
      <c r="C306" s="23" t="s">
        <v>257</v>
      </c>
      <c r="M306" s="34" t="str">
        <f t="shared" si="4"/>
        <v>Deleted</v>
      </c>
      <c r="N306" s="26" t="s">
        <v>3597</v>
      </c>
      <c r="P306" s="34" t="s">
        <v>3467</v>
      </c>
      <c r="U306" s="64" t="str" cm="1">
        <f t="array" ref="U306">IF(OR(M306="", M306="Deleted"), "", _xlfn.LET(
  _xlpm.dates,
  _xlfn._xlws.FILTER(
    [1]SubmittalLog!$H$1:$H$4000,
    [1]SubmittalLog!$E$1:$E$4000=M306,
    ""
  ),
  _xlpm.min_date, IFERROR(MIN(_xlpm.dates), ""),
  IF(_xlpm.min_date=0, "", _xlpm.min_date)
))</f>
        <v/>
      </c>
      <c r="V306" s="63" t="str" cm="1">
        <f t="array" ref="V306">IF(OR(M306="", M306="Deleted"), "", IFERROR(
  _xlfn.TEXTJOIN(", ", TRUE,
    _xlfn.MAP(
      _xlfn.UNIQUE(
        _xlfn._xlws.FILTER(
          [1]SubmittalLog!$B$1:$B$4000,
          ([1]SubmittalLog!$E$1:$E$4000=M306) *
          ([1]SubmittalLog!$B$1:$B$4000&lt;&gt;""),
          ""
        )
      ),
      _xlfn.LAMBDA(_xlpm.val, TEXT(_xlpm.val, "000000"))
    )
  ),
""))</f>
        <v/>
      </c>
      <c r="W306" s="40" t="str" cm="1">
        <f t="array" ref="W306">IF(OR(M306="", M306="Deleted"), "", _xlfn.LET(
  _xlpm.doc_col, [1]SubmittalLog!$E$1:$E$4000,
  _xlpm.date_col, [1]SubmittalLog!$H$1:$H$4000,
  _xlpm.status_col, [1]SubmittalLog!$N$1:$N$4000,
  _xlpm.latest_date, _xlfn.MAXIFS(_xlpm.date_col, _xlpm.doc_col, M306),
  IF(_xlpm.latest_date=0, "NFS",
    _xlfn.LET(
      _xlpm.res, _xlfn.XLOOKUP(M306 &amp; "|" &amp; _xlpm.latest_date, _xlpm.doc_col &amp; "|" &amp; _xlpm.date_col, _xlpm.status_col, ""),
      IF(OR(_xlpm.res="", _xlpm.res=0), "", _xlpm.res)
    )
  )
))</f>
        <v/>
      </c>
      <c r="X306" s="39" t="str">
        <f>IF(OR(M306="", M306="Deleted"), "", _xlfn.LET(
  _xlpm.doc_col, [1]SubmittalLog!$E$1:$E$4000,
  _xlpm.date_col, [1]SubmittalLog!$H$1:$H$4000,
  _xlpm.status_col, [1]SubmittalLog!$O$1:$O$4000,
  _xlpm.first_app_date, _xlfn.MINIFS(_xlpm.date_col, _xlpm.doc_col, M306, _xlpm.status_col, "APP"),
  _xlpm.first_awc_date, _xlfn.MINIFS(_xlpm.date_col, _xlpm.doc_col, M306, _xlpm.status_col, "AWC"),
  _xlpm.earliest_date, IF(
    AND(_xlpm.first_app_date=0, _xlpm.first_awc_date=0), 0,
    IF(_xlpm.first_app_date=0, _xlpm.first_awc_date,
    IF(_xlpm.first_awc_date=0, _xlpm.first_app_date,
    MIN(_xlpm.first_app_date, _xlpm.first_awc_date)))
  ),
  IF(_xlpm.earliest_date=0, "", _xlpm.earliest_date)
))</f>
        <v/>
      </c>
      <c r="Y306" s="40" t="str" cm="1">
        <f t="array" ref="Y306">IF(OR(M306="", M306="Deleted"), "", _xlfn.LET(
  _xlpm.doc_col, [1]SubmittalLog!$E$1:$E$4000,
  _xlpm.date_col, [1]SubmittalLog!$H$1:$H$4000,
  _xlpm.status_col, [1]SubmittalLog!$O$1:$O$4000,
  _xlpm.has_sub, COUNTIF(_xlpm.doc_col, M306),
  _xlpm.latest_reviewed_date, _xlfn.MAXIFS(_xlpm.date_col, _xlpm.doc_col, M306, _xlpm.status_col, "&lt;&gt;"),
  IF(_xlpm.has_sub=0, "",
    IF(_xlpm.latest_reviewed_date=0, "",
      _xlfn.LET(
        _xlpm.res, _xlfn.XLOOKUP(1, (_xlpm.doc_col=M306) * (_xlpm.date_col=_xlpm.latest_reviewed_date) * (_xlpm.status_col&lt;&gt;""), _xlpm.status_col, ""),
        IF(OR(_xlpm.res="", _xlpm.res=0), "", _xlpm.res)
      )
    )
  )
))</f>
        <v/>
      </c>
    </row>
    <row r="307" spans="1:25" x14ac:dyDescent="0.35">
      <c r="A307" s="33">
        <f>IF($M307="","",MAX($A$1:A306)+1)</f>
        <v>286</v>
      </c>
      <c r="B307" s="23" t="s">
        <v>54</v>
      </c>
      <c r="C307" s="23" t="s">
        <v>257</v>
      </c>
      <c r="M307" s="34" t="str">
        <f t="shared" si="4"/>
        <v>Deleted</v>
      </c>
      <c r="N307" s="26" t="s">
        <v>3599</v>
      </c>
      <c r="P307" s="34" t="s">
        <v>3467</v>
      </c>
      <c r="U307" s="64" t="str" cm="1">
        <f t="array" ref="U307">IF(OR(M307="", M307="Deleted"), "", _xlfn.LET(
  _xlpm.dates,
  _xlfn._xlws.FILTER(
    [1]SubmittalLog!$H$1:$H$4000,
    [1]SubmittalLog!$E$1:$E$4000=M307,
    ""
  ),
  _xlpm.min_date, IFERROR(MIN(_xlpm.dates), ""),
  IF(_xlpm.min_date=0, "", _xlpm.min_date)
))</f>
        <v/>
      </c>
      <c r="V307" s="63" t="str" cm="1">
        <f t="array" ref="V307">IF(OR(M307="", M307="Deleted"), "", IFERROR(
  _xlfn.TEXTJOIN(", ", TRUE,
    _xlfn.MAP(
      _xlfn.UNIQUE(
        _xlfn._xlws.FILTER(
          [1]SubmittalLog!$B$1:$B$4000,
          ([1]SubmittalLog!$E$1:$E$4000=M307) *
          ([1]SubmittalLog!$B$1:$B$4000&lt;&gt;""),
          ""
        )
      ),
      _xlfn.LAMBDA(_xlpm.val, TEXT(_xlpm.val, "000000"))
    )
  ),
""))</f>
        <v/>
      </c>
      <c r="W307" s="40" t="str" cm="1">
        <f t="array" ref="W307">IF(OR(M307="", M307="Deleted"), "", _xlfn.LET(
  _xlpm.doc_col, [1]SubmittalLog!$E$1:$E$4000,
  _xlpm.date_col, [1]SubmittalLog!$H$1:$H$4000,
  _xlpm.status_col, [1]SubmittalLog!$N$1:$N$4000,
  _xlpm.latest_date, _xlfn.MAXIFS(_xlpm.date_col, _xlpm.doc_col, M307),
  IF(_xlpm.latest_date=0, "NFS",
    _xlfn.LET(
      _xlpm.res, _xlfn.XLOOKUP(M307 &amp; "|" &amp; _xlpm.latest_date, _xlpm.doc_col &amp; "|" &amp; _xlpm.date_col, _xlpm.status_col, ""),
      IF(OR(_xlpm.res="", _xlpm.res=0), "", _xlpm.res)
    )
  )
))</f>
        <v/>
      </c>
      <c r="X307" s="39" t="str">
        <f>IF(OR(M307="", M307="Deleted"), "", _xlfn.LET(
  _xlpm.doc_col, [1]SubmittalLog!$E$1:$E$4000,
  _xlpm.date_col, [1]SubmittalLog!$H$1:$H$4000,
  _xlpm.status_col, [1]SubmittalLog!$O$1:$O$4000,
  _xlpm.first_app_date, _xlfn.MINIFS(_xlpm.date_col, _xlpm.doc_col, M307, _xlpm.status_col, "APP"),
  _xlpm.first_awc_date, _xlfn.MINIFS(_xlpm.date_col, _xlpm.doc_col, M307, _xlpm.status_col, "AWC"),
  _xlpm.earliest_date, IF(
    AND(_xlpm.first_app_date=0, _xlpm.first_awc_date=0), 0,
    IF(_xlpm.first_app_date=0, _xlpm.first_awc_date,
    IF(_xlpm.first_awc_date=0, _xlpm.first_app_date,
    MIN(_xlpm.first_app_date, _xlpm.first_awc_date)))
  ),
  IF(_xlpm.earliest_date=0, "", _xlpm.earliest_date)
))</f>
        <v/>
      </c>
      <c r="Y307" s="40" t="str" cm="1">
        <f t="array" ref="Y307">IF(OR(M307="", M307="Deleted"), "", _xlfn.LET(
  _xlpm.doc_col, [1]SubmittalLog!$E$1:$E$4000,
  _xlpm.date_col, [1]SubmittalLog!$H$1:$H$4000,
  _xlpm.status_col, [1]SubmittalLog!$O$1:$O$4000,
  _xlpm.has_sub, COUNTIF(_xlpm.doc_col, M307),
  _xlpm.latest_reviewed_date, _xlfn.MAXIFS(_xlpm.date_col, _xlpm.doc_col, M307, _xlpm.status_col, "&lt;&gt;"),
  IF(_xlpm.has_sub=0, "",
    IF(_xlpm.latest_reviewed_date=0, "",
      _xlfn.LET(
        _xlpm.res, _xlfn.XLOOKUP(1, (_xlpm.doc_col=M307) * (_xlpm.date_col=_xlpm.latest_reviewed_date) * (_xlpm.status_col&lt;&gt;""), _xlpm.status_col, ""),
        IF(OR(_xlpm.res="", _xlpm.res=0), "", _xlpm.res)
      )
    )
  )
))</f>
        <v/>
      </c>
    </row>
    <row r="308" spans="1:25" x14ac:dyDescent="0.35">
      <c r="A308" s="33">
        <f>IF($M308="","",MAX($A$1:A307)+1)</f>
        <v>287</v>
      </c>
      <c r="B308" s="23" t="s">
        <v>54</v>
      </c>
      <c r="C308" s="23" t="s">
        <v>257</v>
      </c>
      <c r="G308" s="33">
        <v>131236</v>
      </c>
      <c r="H308" s="33" t="s">
        <v>59</v>
      </c>
      <c r="I308" s="33" t="s">
        <v>217</v>
      </c>
      <c r="J308" s="33" t="s">
        <v>3496</v>
      </c>
      <c r="M308" s="34" t="str">
        <f t="shared" si="4"/>
        <v>Deleted</v>
      </c>
      <c r="N308" s="26" t="s">
        <v>3839</v>
      </c>
      <c r="P308" s="34" t="s">
        <v>3467</v>
      </c>
      <c r="U308" s="64" t="str" cm="1">
        <f t="array" ref="U308">IF(OR(M308="", M308="Deleted"), "", _xlfn.LET(
  _xlpm.dates,
  _xlfn._xlws.FILTER(
    [1]SubmittalLog!$H$1:$H$4000,
    [1]SubmittalLog!$E$1:$E$4000=M308,
    ""
  ),
  _xlpm.min_date, IFERROR(MIN(_xlpm.dates), ""),
  IF(_xlpm.min_date=0, "", _xlpm.min_date)
))</f>
        <v/>
      </c>
      <c r="V308" s="63" t="str" cm="1">
        <f t="array" ref="V308">IF(OR(M308="", M308="Deleted"), "", IFERROR(
  _xlfn.TEXTJOIN(", ", TRUE,
    _xlfn.MAP(
      _xlfn.UNIQUE(
        _xlfn._xlws.FILTER(
          [1]SubmittalLog!$B$1:$B$4000,
          ([1]SubmittalLog!$E$1:$E$4000=M308) *
          ([1]SubmittalLog!$B$1:$B$4000&lt;&gt;""),
          ""
        )
      ),
      _xlfn.LAMBDA(_xlpm.val, TEXT(_xlpm.val, "000000"))
    )
  ),
""))</f>
        <v/>
      </c>
      <c r="W308" s="40" t="str" cm="1">
        <f t="array" ref="W308">IF(OR(M308="", M308="Deleted"), "", _xlfn.LET(
  _xlpm.doc_col, [1]SubmittalLog!$E$1:$E$4000,
  _xlpm.date_col, [1]SubmittalLog!$H$1:$H$4000,
  _xlpm.status_col, [1]SubmittalLog!$N$1:$N$4000,
  _xlpm.latest_date, _xlfn.MAXIFS(_xlpm.date_col, _xlpm.doc_col, M308),
  IF(_xlpm.latest_date=0, "NFS",
    _xlfn.LET(
      _xlpm.res, _xlfn.XLOOKUP(M308 &amp; "|" &amp; _xlpm.latest_date, _xlpm.doc_col &amp; "|" &amp; _xlpm.date_col, _xlpm.status_col, ""),
      IF(OR(_xlpm.res="", _xlpm.res=0), "", _xlpm.res)
    )
  )
))</f>
        <v/>
      </c>
      <c r="X308" s="39" t="str">
        <f>IF(OR(M308="", M308="Deleted"), "", _xlfn.LET(
  _xlpm.doc_col, [1]SubmittalLog!$E$1:$E$4000,
  _xlpm.date_col, [1]SubmittalLog!$H$1:$H$4000,
  _xlpm.status_col, [1]SubmittalLog!$O$1:$O$4000,
  _xlpm.first_app_date, _xlfn.MINIFS(_xlpm.date_col, _xlpm.doc_col, M308, _xlpm.status_col, "APP"),
  _xlpm.first_awc_date, _xlfn.MINIFS(_xlpm.date_col, _xlpm.doc_col, M308, _xlpm.status_col, "AWC"),
  _xlpm.earliest_date, IF(
    AND(_xlpm.first_app_date=0, _xlpm.first_awc_date=0), 0,
    IF(_xlpm.first_app_date=0, _xlpm.first_awc_date,
    IF(_xlpm.first_awc_date=0, _xlpm.first_app_date,
    MIN(_xlpm.first_app_date, _xlpm.first_awc_date)))
  ),
  IF(_xlpm.earliest_date=0, "", _xlpm.earliest_date)
))</f>
        <v/>
      </c>
      <c r="Y308" s="40" t="str" cm="1">
        <f t="array" ref="Y308">IF(OR(M308="", M308="Deleted"), "", _xlfn.LET(
  _xlpm.doc_col, [1]SubmittalLog!$E$1:$E$4000,
  _xlpm.date_col, [1]SubmittalLog!$H$1:$H$4000,
  _xlpm.status_col, [1]SubmittalLog!$O$1:$O$4000,
  _xlpm.has_sub, COUNTIF(_xlpm.doc_col, M308),
  _xlpm.latest_reviewed_date, _xlfn.MAXIFS(_xlpm.date_col, _xlpm.doc_col, M308, _xlpm.status_col, "&lt;&gt;"),
  IF(_xlpm.has_sub=0, "",
    IF(_xlpm.latest_reviewed_date=0, "",
      _xlfn.LET(
        _xlpm.res, _xlfn.XLOOKUP(1, (_xlpm.doc_col=M308) * (_xlpm.date_col=_xlpm.latest_reviewed_date) * (_xlpm.status_col&lt;&gt;""), _xlpm.status_col, ""),
        IF(OR(_xlpm.res="", _xlpm.res=0), "", _xlpm.res)
      )
    )
  )
))</f>
        <v/>
      </c>
    </row>
    <row r="309" spans="1:25" x14ac:dyDescent="0.35">
      <c r="A309" s="33">
        <f>IF($M309="","",MAX($A$1:A308)+1)</f>
        <v>288</v>
      </c>
      <c r="B309" s="23" t="s">
        <v>54</v>
      </c>
      <c r="C309" s="23" t="s">
        <v>257</v>
      </c>
      <c r="G309" s="33">
        <v>131236</v>
      </c>
      <c r="H309" s="33" t="s">
        <v>59</v>
      </c>
      <c r="I309" s="33" t="s">
        <v>204</v>
      </c>
      <c r="J309" s="33" t="s">
        <v>3496</v>
      </c>
      <c r="M309" s="34" t="str">
        <f t="shared" si="4"/>
        <v>Deleted</v>
      </c>
      <c r="N309" s="26" t="s">
        <v>3840</v>
      </c>
      <c r="P309" s="34" t="s">
        <v>3467</v>
      </c>
      <c r="U309" s="64" t="str" cm="1">
        <f t="array" ref="U309">IF(OR(M309="", M309="Deleted"), "", _xlfn.LET(
  _xlpm.dates,
  _xlfn._xlws.FILTER(
    [1]SubmittalLog!$H$1:$H$4000,
    [1]SubmittalLog!$E$1:$E$4000=M309,
    ""
  ),
  _xlpm.min_date, IFERROR(MIN(_xlpm.dates), ""),
  IF(_xlpm.min_date=0, "", _xlpm.min_date)
))</f>
        <v/>
      </c>
      <c r="V309" s="63" t="str" cm="1">
        <f t="array" ref="V309">IF(OR(M309="", M309="Deleted"), "", IFERROR(
  _xlfn.TEXTJOIN(", ", TRUE,
    _xlfn.MAP(
      _xlfn.UNIQUE(
        _xlfn._xlws.FILTER(
          [1]SubmittalLog!$B$1:$B$4000,
          ([1]SubmittalLog!$E$1:$E$4000=M309) *
          ([1]SubmittalLog!$B$1:$B$4000&lt;&gt;""),
          ""
        )
      ),
      _xlfn.LAMBDA(_xlpm.val, TEXT(_xlpm.val, "000000"))
    )
  ),
""))</f>
        <v/>
      </c>
      <c r="W309" s="40" t="str" cm="1">
        <f t="array" ref="W309">IF(OR(M309="", M309="Deleted"), "", _xlfn.LET(
  _xlpm.doc_col, [1]SubmittalLog!$E$1:$E$4000,
  _xlpm.date_col, [1]SubmittalLog!$H$1:$H$4000,
  _xlpm.status_col, [1]SubmittalLog!$N$1:$N$4000,
  _xlpm.latest_date, _xlfn.MAXIFS(_xlpm.date_col, _xlpm.doc_col, M309),
  IF(_xlpm.latest_date=0, "NFS",
    _xlfn.LET(
      _xlpm.res, _xlfn.XLOOKUP(M309 &amp; "|" &amp; _xlpm.latest_date, _xlpm.doc_col &amp; "|" &amp; _xlpm.date_col, _xlpm.status_col, ""),
      IF(OR(_xlpm.res="", _xlpm.res=0), "", _xlpm.res)
    )
  )
))</f>
        <v/>
      </c>
      <c r="X309" s="39" t="str">
        <f>IF(OR(M309="", M309="Deleted"), "", _xlfn.LET(
  _xlpm.doc_col, [1]SubmittalLog!$E$1:$E$4000,
  _xlpm.date_col, [1]SubmittalLog!$H$1:$H$4000,
  _xlpm.status_col, [1]SubmittalLog!$O$1:$O$4000,
  _xlpm.first_app_date, _xlfn.MINIFS(_xlpm.date_col, _xlpm.doc_col, M309, _xlpm.status_col, "APP"),
  _xlpm.first_awc_date, _xlfn.MINIFS(_xlpm.date_col, _xlpm.doc_col, M309, _xlpm.status_col, "AWC"),
  _xlpm.earliest_date, IF(
    AND(_xlpm.first_app_date=0, _xlpm.first_awc_date=0), 0,
    IF(_xlpm.first_app_date=0, _xlpm.first_awc_date,
    IF(_xlpm.first_awc_date=0, _xlpm.first_app_date,
    MIN(_xlpm.first_app_date, _xlpm.first_awc_date)))
  ),
  IF(_xlpm.earliest_date=0, "", _xlpm.earliest_date)
))</f>
        <v/>
      </c>
      <c r="Y309" s="40" t="str" cm="1">
        <f t="array" ref="Y309">IF(OR(M309="", M309="Deleted"), "", _xlfn.LET(
  _xlpm.doc_col, [1]SubmittalLog!$E$1:$E$4000,
  _xlpm.date_col, [1]SubmittalLog!$H$1:$H$4000,
  _xlpm.status_col, [1]SubmittalLog!$O$1:$O$4000,
  _xlpm.has_sub, COUNTIF(_xlpm.doc_col, M309),
  _xlpm.latest_reviewed_date, _xlfn.MAXIFS(_xlpm.date_col, _xlpm.doc_col, M309, _xlpm.status_col, "&lt;&gt;"),
  IF(_xlpm.has_sub=0, "",
    IF(_xlpm.latest_reviewed_date=0, "",
      _xlfn.LET(
        _xlpm.res, _xlfn.XLOOKUP(1, (_xlpm.doc_col=M309) * (_xlpm.date_col=_xlpm.latest_reviewed_date) * (_xlpm.status_col&lt;&gt;""), _xlpm.status_col, ""),
        IF(OR(_xlpm.res="", _xlpm.res=0), "", _xlpm.res)
      )
    )
  )
))</f>
        <v/>
      </c>
    </row>
    <row r="310" spans="1:25" x14ac:dyDescent="0.35">
      <c r="A310" s="33">
        <f>IF($M310="","",MAX($A$1:A309)+1)</f>
        <v>289</v>
      </c>
      <c r="B310" s="23" t="s">
        <v>54</v>
      </c>
      <c r="C310" s="23" t="s">
        <v>257</v>
      </c>
      <c r="G310" s="33">
        <v>131236</v>
      </c>
      <c r="H310" s="33" t="s">
        <v>59</v>
      </c>
      <c r="I310" s="33" t="s">
        <v>444</v>
      </c>
      <c r="J310" s="33" t="s">
        <v>3496</v>
      </c>
      <c r="K310" s="51" t="s">
        <v>3469</v>
      </c>
      <c r="M310" s="34" t="str">
        <f t="shared" si="4"/>
        <v>Deleted</v>
      </c>
      <c r="N310" s="26" t="s">
        <v>3579</v>
      </c>
      <c r="P310" s="34" t="s">
        <v>3467</v>
      </c>
      <c r="U310" s="64" t="str" cm="1">
        <f t="array" ref="U310">IF(OR(M310="", M310="Deleted"), "", _xlfn.LET(
  _xlpm.dates,
  _xlfn._xlws.FILTER(
    [1]SubmittalLog!$H$1:$H$4000,
    [1]SubmittalLog!$E$1:$E$4000=M310,
    ""
  ),
  _xlpm.min_date, IFERROR(MIN(_xlpm.dates), ""),
  IF(_xlpm.min_date=0, "", _xlpm.min_date)
))</f>
        <v/>
      </c>
      <c r="V310" s="63" t="str" cm="1">
        <f t="array" ref="V310">IF(OR(M310="", M310="Deleted"), "", IFERROR(
  _xlfn.TEXTJOIN(", ", TRUE,
    _xlfn.MAP(
      _xlfn.UNIQUE(
        _xlfn._xlws.FILTER(
          [1]SubmittalLog!$B$1:$B$4000,
          ([1]SubmittalLog!$E$1:$E$4000=M310) *
          ([1]SubmittalLog!$B$1:$B$4000&lt;&gt;""),
          ""
        )
      ),
      _xlfn.LAMBDA(_xlpm.val, TEXT(_xlpm.val, "000000"))
    )
  ),
""))</f>
        <v/>
      </c>
      <c r="W310" s="40" t="str" cm="1">
        <f t="array" ref="W310">IF(OR(M310="", M310="Deleted"), "", _xlfn.LET(
  _xlpm.doc_col, [1]SubmittalLog!$E$1:$E$4000,
  _xlpm.date_col, [1]SubmittalLog!$H$1:$H$4000,
  _xlpm.status_col, [1]SubmittalLog!$N$1:$N$4000,
  _xlpm.latest_date, _xlfn.MAXIFS(_xlpm.date_col, _xlpm.doc_col, M310),
  IF(_xlpm.latest_date=0, "NFS",
    _xlfn.LET(
      _xlpm.res, _xlfn.XLOOKUP(M310 &amp; "|" &amp; _xlpm.latest_date, _xlpm.doc_col &amp; "|" &amp; _xlpm.date_col, _xlpm.status_col, ""),
      IF(OR(_xlpm.res="", _xlpm.res=0), "", _xlpm.res)
    )
  )
))</f>
        <v/>
      </c>
      <c r="X310" s="39" t="str">
        <f>IF(OR(M310="", M310="Deleted"), "", _xlfn.LET(
  _xlpm.doc_col, [1]SubmittalLog!$E$1:$E$4000,
  _xlpm.date_col, [1]SubmittalLog!$H$1:$H$4000,
  _xlpm.status_col, [1]SubmittalLog!$O$1:$O$4000,
  _xlpm.first_app_date, _xlfn.MINIFS(_xlpm.date_col, _xlpm.doc_col, M310, _xlpm.status_col, "APP"),
  _xlpm.first_awc_date, _xlfn.MINIFS(_xlpm.date_col, _xlpm.doc_col, M310, _xlpm.status_col, "AWC"),
  _xlpm.earliest_date, IF(
    AND(_xlpm.first_app_date=0, _xlpm.first_awc_date=0), 0,
    IF(_xlpm.first_app_date=0, _xlpm.first_awc_date,
    IF(_xlpm.first_awc_date=0, _xlpm.first_app_date,
    MIN(_xlpm.first_app_date, _xlpm.first_awc_date)))
  ),
  IF(_xlpm.earliest_date=0, "", _xlpm.earliest_date)
))</f>
        <v/>
      </c>
      <c r="Y310" s="40" t="str" cm="1">
        <f t="array" ref="Y310">IF(OR(M310="", M310="Deleted"), "", _xlfn.LET(
  _xlpm.doc_col, [1]SubmittalLog!$E$1:$E$4000,
  _xlpm.date_col, [1]SubmittalLog!$H$1:$H$4000,
  _xlpm.status_col, [1]SubmittalLog!$O$1:$O$4000,
  _xlpm.has_sub, COUNTIF(_xlpm.doc_col, M310),
  _xlpm.latest_reviewed_date, _xlfn.MAXIFS(_xlpm.date_col, _xlpm.doc_col, M310, _xlpm.status_col, "&lt;&gt;"),
  IF(_xlpm.has_sub=0, "",
    IF(_xlpm.latest_reviewed_date=0, "",
      _xlfn.LET(
        _xlpm.res, _xlfn.XLOOKUP(1, (_xlpm.doc_col=M310) * (_xlpm.date_col=_xlpm.latest_reviewed_date) * (_xlpm.status_col&lt;&gt;""), _xlpm.status_col, ""),
        IF(OR(_xlpm.res="", _xlpm.res=0), "", _xlpm.res)
      )
    )
  )
))</f>
        <v/>
      </c>
    </row>
    <row r="311" spans="1:25" x14ac:dyDescent="0.35">
      <c r="A311" s="33">
        <f>IF($M311="","",MAX($A$1:A310)+1)</f>
        <v>290</v>
      </c>
      <c r="B311" s="23" t="s">
        <v>54</v>
      </c>
      <c r="C311" s="23" t="s">
        <v>257</v>
      </c>
      <c r="G311" s="33">
        <v>131236</v>
      </c>
      <c r="H311" s="33" t="s">
        <v>59</v>
      </c>
      <c r="I311" s="33" t="s">
        <v>204</v>
      </c>
      <c r="J311" s="33" t="s">
        <v>3496</v>
      </c>
      <c r="M311" s="34" t="str">
        <f t="shared" si="4"/>
        <v>Deleted</v>
      </c>
      <c r="N311" s="26" t="s">
        <v>3580</v>
      </c>
      <c r="P311" s="34" t="s">
        <v>3467</v>
      </c>
      <c r="U311" s="64" t="str" cm="1">
        <f t="array" ref="U311">IF(OR(M311="", M311="Deleted"), "", _xlfn.LET(
  _xlpm.dates,
  _xlfn._xlws.FILTER(
    [1]SubmittalLog!$H$1:$H$4000,
    [1]SubmittalLog!$E$1:$E$4000=M311,
    ""
  ),
  _xlpm.min_date, IFERROR(MIN(_xlpm.dates), ""),
  IF(_xlpm.min_date=0, "", _xlpm.min_date)
))</f>
        <v/>
      </c>
      <c r="V311" s="63" t="str" cm="1">
        <f t="array" ref="V311">IF(OR(M311="", M311="Deleted"), "", IFERROR(
  _xlfn.TEXTJOIN(", ", TRUE,
    _xlfn.MAP(
      _xlfn.UNIQUE(
        _xlfn._xlws.FILTER(
          [1]SubmittalLog!$B$1:$B$4000,
          ([1]SubmittalLog!$E$1:$E$4000=M311) *
          ([1]SubmittalLog!$B$1:$B$4000&lt;&gt;""),
          ""
        )
      ),
      _xlfn.LAMBDA(_xlpm.val, TEXT(_xlpm.val, "000000"))
    )
  ),
""))</f>
        <v/>
      </c>
      <c r="W311" s="40" t="str" cm="1">
        <f t="array" ref="W311">IF(OR(M311="", M311="Deleted"), "", _xlfn.LET(
  _xlpm.doc_col, [1]SubmittalLog!$E$1:$E$4000,
  _xlpm.date_col, [1]SubmittalLog!$H$1:$H$4000,
  _xlpm.status_col, [1]SubmittalLog!$N$1:$N$4000,
  _xlpm.latest_date, _xlfn.MAXIFS(_xlpm.date_col, _xlpm.doc_col, M311),
  IF(_xlpm.latest_date=0, "NFS",
    _xlfn.LET(
      _xlpm.res, _xlfn.XLOOKUP(M311 &amp; "|" &amp; _xlpm.latest_date, _xlpm.doc_col &amp; "|" &amp; _xlpm.date_col, _xlpm.status_col, ""),
      IF(OR(_xlpm.res="", _xlpm.res=0), "", _xlpm.res)
    )
  )
))</f>
        <v/>
      </c>
      <c r="X311" s="39" t="str">
        <f>IF(OR(M311="", M311="Deleted"), "", _xlfn.LET(
  _xlpm.doc_col, [1]SubmittalLog!$E$1:$E$4000,
  _xlpm.date_col, [1]SubmittalLog!$H$1:$H$4000,
  _xlpm.status_col, [1]SubmittalLog!$O$1:$O$4000,
  _xlpm.first_app_date, _xlfn.MINIFS(_xlpm.date_col, _xlpm.doc_col, M311, _xlpm.status_col, "APP"),
  _xlpm.first_awc_date, _xlfn.MINIFS(_xlpm.date_col, _xlpm.doc_col, M311, _xlpm.status_col, "AWC"),
  _xlpm.earliest_date, IF(
    AND(_xlpm.first_app_date=0, _xlpm.first_awc_date=0), 0,
    IF(_xlpm.first_app_date=0, _xlpm.first_awc_date,
    IF(_xlpm.first_awc_date=0, _xlpm.first_app_date,
    MIN(_xlpm.first_app_date, _xlpm.first_awc_date)))
  ),
  IF(_xlpm.earliest_date=0, "", _xlpm.earliest_date)
))</f>
        <v/>
      </c>
      <c r="Y311" s="40" t="str" cm="1">
        <f t="array" ref="Y311">IF(OR(M311="", M311="Deleted"), "", _xlfn.LET(
  _xlpm.doc_col, [1]SubmittalLog!$E$1:$E$4000,
  _xlpm.date_col, [1]SubmittalLog!$H$1:$H$4000,
  _xlpm.status_col, [1]SubmittalLog!$O$1:$O$4000,
  _xlpm.has_sub, COUNTIF(_xlpm.doc_col, M311),
  _xlpm.latest_reviewed_date, _xlfn.MAXIFS(_xlpm.date_col, _xlpm.doc_col, M311, _xlpm.status_col, "&lt;&gt;"),
  IF(_xlpm.has_sub=0, "",
    IF(_xlpm.latest_reviewed_date=0, "",
      _xlfn.LET(
        _xlpm.res, _xlfn.XLOOKUP(1, (_xlpm.doc_col=M311) * (_xlpm.date_col=_xlpm.latest_reviewed_date) * (_xlpm.status_col&lt;&gt;""), _xlpm.status_col, ""),
        IF(OR(_xlpm.res="", _xlpm.res=0), "", _xlpm.res)
      )
    )
  )
))</f>
        <v/>
      </c>
    </row>
    <row r="312" spans="1:25" x14ac:dyDescent="0.35">
      <c r="A312" s="33">
        <f>IF($M312="","",MAX($A$1:A311)+1)</f>
        <v>291</v>
      </c>
      <c r="B312" s="23" t="s">
        <v>54</v>
      </c>
      <c r="C312" s="23" t="s">
        <v>257</v>
      </c>
      <c r="G312" s="33">
        <v>131236</v>
      </c>
      <c r="H312" s="33" t="s">
        <v>59</v>
      </c>
      <c r="I312" s="33" t="s">
        <v>217</v>
      </c>
      <c r="J312" s="33" t="s">
        <v>3496</v>
      </c>
      <c r="K312" s="51" t="s">
        <v>3733</v>
      </c>
      <c r="M312" s="34" t="str">
        <f t="shared" si="4"/>
        <v>Deleted</v>
      </c>
      <c r="N312" s="26" t="s">
        <v>3841</v>
      </c>
      <c r="P312" s="34" t="s">
        <v>3467</v>
      </c>
      <c r="U312" s="64" t="str" cm="1">
        <f t="array" ref="U312">IF(OR(M312="", M312="Deleted"), "", _xlfn.LET(
  _xlpm.dates,
  _xlfn._xlws.FILTER(
    [1]SubmittalLog!$H$1:$H$4000,
    [1]SubmittalLog!$E$1:$E$4000=M312,
    ""
  ),
  _xlpm.min_date, IFERROR(MIN(_xlpm.dates), ""),
  IF(_xlpm.min_date=0, "", _xlpm.min_date)
))</f>
        <v/>
      </c>
      <c r="V312" s="63" t="str" cm="1">
        <f t="array" ref="V312">IF(OR(M312="", M312="Deleted"), "", IFERROR(
  _xlfn.TEXTJOIN(", ", TRUE,
    _xlfn.MAP(
      _xlfn.UNIQUE(
        _xlfn._xlws.FILTER(
          [1]SubmittalLog!$B$1:$B$4000,
          ([1]SubmittalLog!$E$1:$E$4000=M312) *
          ([1]SubmittalLog!$B$1:$B$4000&lt;&gt;""),
          ""
        )
      ),
      _xlfn.LAMBDA(_xlpm.val, TEXT(_xlpm.val, "000000"))
    )
  ),
""))</f>
        <v/>
      </c>
      <c r="W312" s="40" t="str" cm="1">
        <f t="array" ref="W312">IF(OR(M312="", M312="Deleted"), "", _xlfn.LET(
  _xlpm.doc_col, [1]SubmittalLog!$E$1:$E$4000,
  _xlpm.date_col, [1]SubmittalLog!$H$1:$H$4000,
  _xlpm.status_col, [1]SubmittalLog!$N$1:$N$4000,
  _xlpm.latest_date, _xlfn.MAXIFS(_xlpm.date_col, _xlpm.doc_col, M312),
  IF(_xlpm.latest_date=0, "NFS",
    _xlfn.LET(
      _xlpm.res, _xlfn.XLOOKUP(M312 &amp; "|" &amp; _xlpm.latest_date, _xlpm.doc_col &amp; "|" &amp; _xlpm.date_col, _xlpm.status_col, ""),
      IF(OR(_xlpm.res="", _xlpm.res=0), "", _xlpm.res)
    )
  )
))</f>
        <v/>
      </c>
      <c r="X312" s="39" t="str">
        <f>IF(OR(M312="", M312="Deleted"), "", _xlfn.LET(
  _xlpm.doc_col, [1]SubmittalLog!$E$1:$E$4000,
  _xlpm.date_col, [1]SubmittalLog!$H$1:$H$4000,
  _xlpm.status_col, [1]SubmittalLog!$O$1:$O$4000,
  _xlpm.first_app_date, _xlfn.MINIFS(_xlpm.date_col, _xlpm.doc_col, M312, _xlpm.status_col, "APP"),
  _xlpm.first_awc_date, _xlfn.MINIFS(_xlpm.date_col, _xlpm.doc_col, M312, _xlpm.status_col, "AWC"),
  _xlpm.earliest_date, IF(
    AND(_xlpm.first_app_date=0, _xlpm.first_awc_date=0), 0,
    IF(_xlpm.first_app_date=0, _xlpm.first_awc_date,
    IF(_xlpm.first_awc_date=0, _xlpm.first_app_date,
    MIN(_xlpm.first_app_date, _xlpm.first_awc_date)))
  ),
  IF(_xlpm.earliest_date=0, "", _xlpm.earliest_date)
))</f>
        <v/>
      </c>
      <c r="Y312" s="40" t="str" cm="1">
        <f t="array" ref="Y312">IF(OR(M312="", M312="Deleted"), "", _xlfn.LET(
  _xlpm.doc_col, [1]SubmittalLog!$E$1:$E$4000,
  _xlpm.date_col, [1]SubmittalLog!$H$1:$H$4000,
  _xlpm.status_col, [1]SubmittalLog!$O$1:$O$4000,
  _xlpm.has_sub, COUNTIF(_xlpm.doc_col, M312),
  _xlpm.latest_reviewed_date, _xlfn.MAXIFS(_xlpm.date_col, _xlpm.doc_col, M312, _xlpm.status_col, "&lt;&gt;"),
  IF(_xlpm.has_sub=0, "",
    IF(_xlpm.latest_reviewed_date=0, "",
      _xlfn.LET(
        _xlpm.res, _xlfn.XLOOKUP(1, (_xlpm.doc_col=M312) * (_xlpm.date_col=_xlpm.latest_reviewed_date) * (_xlpm.status_col&lt;&gt;""), _xlpm.status_col, ""),
        IF(OR(_xlpm.res="", _xlpm.res=0), "", _xlpm.res)
      )
    )
  )
))</f>
        <v/>
      </c>
    </row>
    <row r="313" spans="1:25" x14ac:dyDescent="0.35">
      <c r="A313" s="33">
        <f>IF($M313="","",MAX($A$1:A312)+1)</f>
        <v>292</v>
      </c>
      <c r="B313" s="23" t="s">
        <v>54</v>
      </c>
      <c r="C313" s="23" t="s">
        <v>257</v>
      </c>
      <c r="G313" s="33">
        <v>131236</v>
      </c>
      <c r="H313" s="33" t="s">
        <v>59</v>
      </c>
      <c r="I313" s="33" t="s">
        <v>217</v>
      </c>
      <c r="J313" s="33" t="s">
        <v>3496</v>
      </c>
      <c r="K313" s="51" t="s">
        <v>3734</v>
      </c>
      <c r="M313" s="34" t="str">
        <f t="shared" si="4"/>
        <v>Deleted</v>
      </c>
      <c r="N313" s="26" t="s">
        <v>3842</v>
      </c>
      <c r="U313" s="64" t="str" cm="1">
        <f t="array" ref="U313">IF(OR(M313="", M313="Deleted"), "", _xlfn.LET(
  _xlpm.dates,
  _xlfn._xlws.FILTER(
    [1]SubmittalLog!$H$1:$H$4000,
    [1]SubmittalLog!$E$1:$E$4000=M313,
    ""
  ),
  _xlpm.min_date, IFERROR(MIN(_xlpm.dates), ""),
  IF(_xlpm.min_date=0, "", _xlpm.min_date)
))</f>
        <v/>
      </c>
      <c r="V313" s="63" t="str" cm="1">
        <f t="array" ref="V313">IF(OR(M313="", M313="Deleted"), "", IFERROR(
  _xlfn.TEXTJOIN(", ", TRUE,
    _xlfn.MAP(
      _xlfn.UNIQUE(
        _xlfn._xlws.FILTER(
          [1]SubmittalLog!$B$1:$B$4000,
          ([1]SubmittalLog!$E$1:$E$4000=M313) *
          ([1]SubmittalLog!$B$1:$B$4000&lt;&gt;""),
          ""
        )
      ),
      _xlfn.LAMBDA(_xlpm.val, TEXT(_xlpm.val, "000000"))
    )
  ),
""))</f>
        <v/>
      </c>
      <c r="W313" s="40" t="str" cm="1">
        <f t="array" ref="W313">IF(OR(M313="", M313="Deleted"), "", _xlfn.LET(
  _xlpm.doc_col, [1]SubmittalLog!$E$1:$E$4000,
  _xlpm.date_col, [1]SubmittalLog!$H$1:$H$4000,
  _xlpm.status_col, [1]SubmittalLog!$N$1:$N$4000,
  _xlpm.latest_date, _xlfn.MAXIFS(_xlpm.date_col, _xlpm.doc_col, M313),
  IF(_xlpm.latest_date=0, "NFS",
    _xlfn.LET(
      _xlpm.res, _xlfn.XLOOKUP(M313 &amp; "|" &amp; _xlpm.latest_date, _xlpm.doc_col &amp; "|" &amp; _xlpm.date_col, _xlpm.status_col, ""),
      IF(OR(_xlpm.res="", _xlpm.res=0), "", _xlpm.res)
    )
  )
))</f>
        <v/>
      </c>
      <c r="X313" s="39" t="str">
        <f>IF(OR(M313="", M313="Deleted"), "", _xlfn.LET(
  _xlpm.doc_col, [1]SubmittalLog!$E$1:$E$4000,
  _xlpm.date_col, [1]SubmittalLog!$H$1:$H$4000,
  _xlpm.status_col, [1]SubmittalLog!$O$1:$O$4000,
  _xlpm.first_app_date, _xlfn.MINIFS(_xlpm.date_col, _xlpm.doc_col, M313, _xlpm.status_col, "APP"),
  _xlpm.first_awc_date, _xlfn.MINIFS(_xlpm.date_col, _xlpm.doc_col, M313, _xlpm.status_col, "AWC"),
  _xlpm.earliest_date, IF(
    AND(_xlpm.first_app_date=0, _xlpm.first_awc_date=0), 0,
    IF(_xlpm.first_app_date=0, _xlpm.first_awc_date,
    IF(_xlpm.first_awc_date=0, _xlpm.first_app_date,
    MIN(_xlpm.first_app_date, _xlpm.first_awc_date)))
  ),
  IF(_xlpm.earliest_date=0, "", _xlpm.earliest_date)
))</f>
        <v/>
      </c>
      <c r="Y313" s="40" t="str" cm="1">
        <f t="array" ref="Y313">IF(OR(M313="", M313="Deleted"), "", _xlfn.LET(
  _xlpm.doc_col, [1]SubmittalLog!$E$1:$E$4000,
  _xlpm.date_col, [1]SubmittalLog!$H$1:$H$4000,
  _xlpm.status_col, [1]SubmittalLog!$O$1:$O$4000,
  _xlpm.has_sub, COUNTIF(_xlpm.doc_col, M313),
  _xlpm.latest_reviewed_date, _xlfn.MAXIFS(_xlpm.date_col, _xlpm.doc_col, M313, _xlpm.status_col, "&lt;&gt;"),
  IF(_xlpm.has_sub=0, "",
    IF(_xlpm.latest_reviewed_date=0, "",
      _xlfn.LET(
        _xlpm.res, _xlfn.XLOOKUP(1, (_xlpm.doc_col=M313) * (_xlpm.date_col=_xlpm.latest_reviewed_date) * (_xlpm.status_col&lt;&gt;""), _xlpm.status_col, ""),
        IF(OR(_xlpm.res="", _xlpm.res=0), "", _xlpm.res)
      )
    )
  )
))</f>
        <v/>
      </c>
    </row>
    <row r="314" spans="1:25" x14ac:dyDescent="0.35">
      <c r="A314" s="33">
        <f>IF($M314="","",MAX($A$1:A313)+1)</f>
        <v>293</v>
      </c>
      <c r="B314" s="23" t="s">
        <v>54</v>
      </c>
      <c r="C314" s="23" t="s">
        <v>257</v>
      </c>
      <c r="G314" s="33">
        <v>131236</v>
      </c>
      <c r="H314" s="33" t="s">
        <v>59</v>
      </c>
      <c r="I314" s="33" t="s">
        <v>217</v>
      </c>
      <c r="J314" s="33" t="s">
        <v>3496</v>
      </c>
      <c r="K314" s="51" t="s">
        <v>3735</v>
      </c>
      <c r="M314" s="34" t="str">
        <f t="shared" si="4"/>
        <v>Deleted</v>
      </c>
      <c r="N314" s="26" t="s">
        <v>3843</v>
      </c>
      <c r="U314" s="64" t="str" cm="1">
        <f t="array" ref="U314">IF(OR(M314="", M314="Deleted"), "", _xlfn.LET(
  _xlpm.dates,
  _xlfn._xlws.FILTER(
    [1]SubmittalLog!$H$1:$H$4000,
    [1]SubmittalLog!$E$1:$E$4000=M314,
    ""
  ),
  _xlpm.min_date, IFERROR(MIN(_xlpm.dates), ""),
  IF(_xlpm.min_date=0, "", _xlpm.min_date)
))</f>
        <v/>
      </c>
      <c r="V314" s="63" t="str" cm="1">
        <f t="array" ref="V314">IF(OR(M314="", M314="Deleted"), "", IFERROR(
  _xlfn.TEXTJOIN(", ", TRUE,
    _xlfn.MAP(
      _xlfn.UNIQUE(
        _xlfn._xlws.FILTER(
          [1]SubmittalLog!$B$1:$B$4000,
          ([1]SubmittalLog!$E$1:$E$4000=M314) *
          ([1]SubmittalLog!$B$1:$B$4000&lt;&gt;""),
          ""
        )
      ),
      _xlfn.LAMBDA(_xlpm.val, TEXT(_xlpm.val, "000000"))
    )
  ),
""))</f>
        <v/>
      </c>
      <c r="W314" s="40" t="str" cm="1">
        <f t="array" ref="W314">IF(OR(M314="", M314="Deleted"), "", _xlfn.LET(
  _xlpm.doc_col, [1]SubmittalLog!$E$1:$E$4000,
  _xlpm.date_col, [1]SubmittalLog!$H$1:$H$4000,
  _xlpm.status_col, [1]SubmittalLog!$N$1:$N$4000,
  _xlpm.latest_date, _xlfn.MAXIFS(_xlpm.date_col, _xlpm.doc_col, M314),
  IF(_xlpm.latest_date=0, "NFS",
    _xlfn.LET(
      _xlpm.res, _xlfn.XLOOKUP(M314 &amp; "|" &amp; _xlpm.latest_date, _xlpm.doc_col &amp; "|" &amp; _xlpm.date_col, _xlpm.status_col, ""),
      IF(OR(_xlpm.res="", _xlpm.res=0), "", _xlpm.res)
    )
  )
))</f>
        <v/>
      </c>
      <c r="X314" s="39" t="str">
        <f>IF(OR(M314="", M314="Deleted"), "", _xlfn.LET(
  _xlpm.doc_col, [1]SubmittalLog!$E$1:$E$4000,
  _xlpm.date_col, [1]SubmittalLog!$H$1:$H$4000,
  _xlpm.status_col, [1]SubmittalLog!$O$1:$O$4000,
  _xlpm.first_app_date, _xlfn.MINIFS(_xlpm.date_col, _xlpm.doc_col, M314, _xlpm.status_col, "APP"),
  _xlpm.first_awc_date, _xlfn.MINIFS(_xlpm.date_col, _xlpm.doc_col, M314, _xlpm.status_col, "AWC"),
  _xlpm.earliest_date, IF(
    AND(_xlpm.first_app_date=0, _xlpm.first_awc_date=0), 0,
    IF(_xlpm.first_app_date=0, _xlpm.first_awc_date,
    IF(_xlpm.first_awc_date=0, _xlpm.first_app_date,
    MIN(_xlpm.first_app_date, _xlpm.first_awc_date)))
  ),
  IF(_xlpm.earliest_date=0, "", _xlpm.earliest_date)
))</f>
        <v/>
      </c>
      <c r="Y314" s="40" t="str" cm="1">
        <f t="array" ref="Y314">IF(OR(M314="", M314="Deleted"), "", _xlfn.LET(
  _xlpm.doc_col, [1]SubmittalLog!$E$1:$E$4000,
  _xlpm.date_col, [1]SubmittalLog!$H$1:$H$4000,
  _xlpm.status_col, [1]SubmittalLog!$O$1:$O$4000,
  _xlpm.has_sub, COUNTIF(_xlpm.doc_col, M314),
  _xlpm.latest_reviewed_date, _xlfn.MAXIFS(_xlpm.date_col, _xlpm.doc_col, M314, _xlpm.status_col, "&lt;&gt;"),
  IF(_xlpm.has_sub=0, "",
    IF(_xlpm.latest_reviewed_date=0, "",
      _xlfn.LET(
        _xlpm.res, _xlfn.XLOOKUP(1, (_xlpm.doc_col=M314) * (_xlpm.date_col=_xlpm.latest_reviewed_date) * (_xlpm.status_col&lt;&gt;""), _xlpm.status_col, ""),
        IF(OR(_xlpm.res="", _xlpm.res=0), "", _xlpm.res)
      )
    )
  )
))</f>
        <v/>
      </c>
    </row>
    <row r="315" spans="1:25" x14ac:dyDescent="0.35">
      <c r="A315" s="33">
        <f>IF($M315="","",MAX($A$1:A314)+1)</f>
        <v>294</v>
      </c>
      <c r="B315" s="23" t="s">
        <v>250</v>
      </c>
      <c r="C315" s="23" t="s">
        <v>257</v>
      </c>
      <c r="G315" s="33">
        <v>131236</v>
      </c>
      <c r="H315" s="33" t="s">
        <v>59</v>
      </c>
      <c r="I315" s="33" t="s">
        <v>432</v>
      </c>
      <c r="J315" s="33" t="s">
        <v>3496</v>
      </c>
      <c r="K315" s="51" t="s">
        <v>3521</v>
      </c>
      <c r="M315" s="34" t="str">
        <f t="shared" si="4"/>
        <v>131236-WIL21-RT-P-0004</v>
      </c>
      <c r="N315" s="26" t="s">
        <v>3844</v>
      </c>
      <c r="P315" s="34" t="s">
        <v>3467</v>
      </c>
      <c r="S315" s="35">
        <v>45796</v>
      </c>
      <c r="T315" s="35">
        <v>45796</v>
      </c>
      <c r="U315" s="64" cm="1">
        <f t="array" ref="U315">IF(OR(M315="", M315="Deleted"), "", _xlfn.LET(
  _xlpm.dates,
  _xlfn._xlws.FILTER(
    [1]SubmittalLog!$H$1:$H$4000,
    [1]SubmittalLog!$E$1:$E$4000=M315,
    ""
  ),
  _xlpm.min_date, IFERROR(MIN(_xlpm.dates), ""),
  IF(_xlpm.min_date=0, "", _xlpm.min_date)
))</f>
        <v>45796</v>
      </c>
      <c r="V315" s="63" t="str" cm="1">
        <f t="array" ref="V315">IF(OR(M315="", M315="Deleted"), "", IFERROR(
  _xlfn.TEXTJOIN(", ", TRUE,
    _xlfn.MAP(
      _xlfn.UNIQUE(
        _xlfn._xlws.FILTER(
          [1]SubmittalLog!$B$1:$B$4000,
          ([1]SubmittalLog!$E$1:$E$4000=M315) *
          ([1]SubmittalLog!$B$1:$B$4000&lt;&gt;""),
          ""
        )
      ),
      _xlfn.LAMBDA(_xlpm.val, TEXT(_xlpm.val, "000000"))
    )
  ),
""))</f>
        <v>001311</v>
      </c>
      <c r="W315" s="40" t="str" cm="1">
        <f t="array" ref="W315">IF(OR(M315="", M315="Deleted"), "", _xlfn.LET(
  _xlpm.doc_col, [1]SubmittalLog!$E$1:$E$4000,
  _xlpm.date_col, [1]SubmittalLog!$H$1:$H$4000,
  _xlpm.status_col, [1]SubmittalLog!$N$1:$N$4000,
  _xlpm.latest_date, _xlfn.MAXIFS(_xlpm.date_col, _xlpm.doc_col, M315),
  IF(_xlpm.latest_date=0, "NFS",
    _xlfn.LET(
      _xlpm.res, _xlfn.XLOOKUP(M315 &amp; "|" &amp; _xlpm.latest_date, _xlpm.doc_col &amp; "|" &amp; _xlpm.date_col, _xlpm.status_col, ""),
      IF(OR(_xlpm.res="", _xlpm.res=0), "", _xlpm.res)
    )
  )
))</f>
        <v>RTR</v>
      </c>
      <c r="X315" s="39">
        <f>IF(OR(M315="", M315="Deleted"), "", _xlfn.LET(
  _xlpm.doc_col, [1]SubmittalLog!$E$1:$E$4000,
  _xlpm.date_col, [1]SubmittalLog!$H$1:$H$4000,
  _xlpm.status_col, [1]SubmittalLog!$O$1:$O$4000,
  _xlpm.first_app_date, _xlfn.MINIFS(_xlpm.date_col, _xlpm.doc_col, M315, _xlpm.status_col, "APP"),
  _xlpm.first_awc_date, _xlfn.MINIFS(_xlpm.date_col, _xlpm.doc_col, M315, _xlpm.status_col, "AWC"),
  _xlpm.earliest_date, IF(
    AND(_xlpm.first_app_date=0, _xlpm.first_awc_date=0), 0,
    IF(_xlpm.first_app_date=0, _xlpm.first_awc_date,
    IF(_xlpm.first_awc_date=0, _xlpm.first_app_date,
    MIN(_xlpm.first_app_date, _xlpm.first_awc_date)))
  ),
  IF(_xlpm.earliest_date=0, "", _xlpm.earliest_date)
))</f>
        <v>45796</v>
      </c>
      <c r="Y315" s="40" t="str" cm="1">
        <f t="array" ref="Y315">IF(OR(M315="", M315="Deleted"), "", _xlfn.LET(
  _xlpm.doc_col, [1]SubmittalLog!$E$1:$E$4000,
  _xlpm.date_col, [1]SubmittalLog!$H$1:$H$4000,
  _xlpm.status_col, [1]SubmittalLog!$O$1:$O$4000,
  _xlpm.has_sub, COUNTIF(_xlpm.doc_col, M315),
  _xlpm.latest_reviewed_date, _xlfn.MAXIFS(_xlpm.date_col, _xlpm.doc_col, M315, _xlpm.status_col, "&lt;&gt;"),
  IF(_xlpm.has_sub=0, "",
    IF(_xlpm.latest_reviewed_date=0, "",
      _xlfn.LET(
        _xlpm.res, _xlfn.XLOOKUP(1, (_xlpm.doc_col=M315) * (_xlpm.date_col=_xlpm.latest_reviewed_date) * (_xlpm.status_col&lt;&gt;""), _xlpm.status_col, ""),
        IF(OR(_xlpm.res="", _xlpm.res=0), "", _xlpm.res)
      )
    )
  )
))</f>
        <v>AWC</v>
      </c>
    </row>
    <row r="316" spans="1:25" x14ac:dyDescent="0.35">
      <c r="A316" s="33" t="str">
        <f>IF($M316="","",MAX($A$1:A315)+1)</f>
        <v/>
      </c>
      <c r="M316" s="34" t="str">
        <f t="shared" si="4"/>
        <v/>
      </c>
      <c r="N316" s="26" t="s">
        <v>3601</v>
      </c>
      <c r="U316" s="64" t="str" cm="1">
        <f t="array" ref="U316">IF(OR(M316="", M316="Deleted"), "", _xlfn.LET(
  _xlpm.dates,
  _xlfn._xlws.FILTER(
    [1]SubmittalLog!$H$1:$H$4000,
    [1]SubmittalLog!$E$1:$E$4000=M316,
    ""
  ),
  _xlpm.min_date, IFERROR(MIN(_xlpm.dates), ""),
  IF(_xlpm.min_date=0, "", _xlpm.min_date)
))</f>
        <v/>
      </c>
      <c r="V316" s="63" t="str" cm="1">
        <f t="array" ref="V316">IF(OR(M316="", M316="Deleted"), "", IFERROR(
  _xlfn.TEXTJOIN(", ", TRUE,
    _xlfn.MAP(
      _xlfn.UNIQUE(
        _xlfn._xlws.FILTER(
          [1]SubmittalLog!$B$1:$B$4000,
          ([1]SubmittalLog!$E$1:$E$4000=M316) *
          ([1]SubmittalLog!$B$1:$B$4000&lt;&gt;""),
          ""
        )
      ),
      _xlfn.LAMBDA(_xlpm.val, TEXT(_xlpm.val, "000000"))
    )
  ),
""))</f>
        <v/>
      </c>
      <c r="W316" s="40" t="str" cm="1">
        <f t="array" ref="W316">IF(OR(M316="", M316="Deleted"), "", _xlfn.LET(
  _xlpm.doc_col, [1]SubmittalLog!$E$1:$E$4000,
  _xlpm.date_col, [1]SubmittalLog!$H$1:$H$4000,
  _xlpm.status_col, [1]SubmittalLog!$N$1:$N$4000,
  _xlpm.latest_date, _xlfn.MAXIFS(_xlpm.date_col, _xlpm.doc_col, M316),
  IF(_xlpm.latest_date=0, "NFS",
    _xlfn.LET(
      _xlpm.res, _xlfn.XLOOKUP(M316 &amp; "|" &amp; _xlpm.latest_date, _xlpm.doc_col &amp; "|" &amp; _xlpm.date_col, _xlpm.status_col, ""),
      IF(OR(_xlpm.res="", _xlpm.res=0), "", _xlpm.res)
    )
  )
))</f>
        <v/>
      </c>
      <c r="X316" s="39" t="str">
        <f>IF(OR(M316="", M316="Deleted"), "", _xlfn.LET(
  _xlpm.doc_col, [1]SubmittalLog!$E$1:$E$4000,
  _xlpm.date_col, [1]SubmittalLog!$H$1:$H$4000,
  _xlpm.status_col, [1]SubmittalLog!$O$1:$O$4000,
  _xlpm.first_app_date, _xlfn.MINIFS(_xlpm.date_col, _xlpm.doc_col, M316, _xlpm.status_col, "APP"),
  _xlpm.first_awc_date, _xlfn.MINIFS(_xlpm.date_col, _xlpm.doc_col, M316, _xlpm.status_col, "AWC"),
  _xlpm.earliest_date, IF(
    AND(_xlpm.first_app_date=0, _xlpm.first_awc_date=0), 0,
    IF(_xlpm.first_app_date=0, _xlpm.first_awc_date,
    IF(_xlpm.first_awc_date=0, _xlpm.first_app_date,
    MIN(_xlpm.first_app_date, _xlpm.first_awc_date)))
  ),
  IF(_xlpm.earliest_date=0, "", _xlpm.earliest_date)
))</f>
        <v/>
      </c>
      <c r="Y316" s="40" t="str" cm="1">
        <f t="array" ref="Y316">IF(OR(M316="", M316="Deleted"), "", _xlfn.LET(
  _xlpm.doc_col, [1]SubmittalLog!$E$1:$E$4000,
  _xlpm.date_col, [1]SubmittalLog!$H$1:$H$4000,
  _xlpm.status_col, [1]SubmittalLog!$O$1:$O$4000,
  _xlpm.has_sub, COUNTIF(_xlpm.doc_col, M316),
  _xlpm.latest_reviewed_date, _xlfn.MAXIFS(_xlpm.date_col, _xlpm.doc_col, M316, _xlpm.status_col, "&lt;&gt;"),
  IF(_xlpm.has_sub=0, "",
    IF(_xlpm.latest_reviewed_date=0, "",
      _xlfn.LET(
        _xlpm.res, _xlfn.XLOOKUP(1, (_xlpm.doc_col=M316) * (_xlpm.date_col=_xlpm.latest_reviewed_date) * (_xlpm.status_col&lt;&gt;""), _xlpm.status_col, ""),
        IF(OR(_xlpm.res="", _xlpm.res=0), "", _xlpm.res)
      )
    )
  )
))</f>
        <v/>
      </c>
    </row>
    <row r="317" spans="1:25" x14ac:dyDescent="0.35">
      <c r="A317" s="33">
        <f>IF($M317="","",MAX($A$1:A316)+1)</f>
        <v>295</v>
      </c>
      <c r="B317" s="23" t="s">
        <v>250</v>
      </c>
      <c r="C317" s="23" t="s">
        <v>257</v>
      </c>
      <c r="G317" s="33">
        <v>131236</v>
      </c>
      <c r="H317" s="33" t="s">
        <v>59</v>
      </c>
      <c r="I317" s="33" t="s">
        <v>297</v>
      </c>
      <c r="J317" s="33" t="s">
        <v>3496</v>
      </c>
      <c r="K317" s="51" t="s">
        <v>3845</v>
      </c>
      <c r="M317" s="34" t="str">
        <f t="shared" si="4"/>
        <v>131236-WIL21-DR-P-7001</v>
      </c>
      <c r="N317" s="26" t="s">
        <v>3846</v>
      </c>
      <c r="P317" s="34" t="s">
        <v>3498</v>
      </c>
      <c r="S317" s="35">
        <v>45225</v>
      </c>
      <c r="T317" s="35">
        <v>45225</v>
      </c>
      <c r="U317" s="64" cm="1">
        <f t="array" ref="U317">IF(OR(M317="", M317="Deleted"), "", _xlfn.LET(
  _xlpm.dates,
  _xlfn._xlws.FILTER(
    [1]SubmittalLog!$H$1:$H$4000,
    [1]SubmittalLog!$E$1:$E$4000=M317,
    ""
  ),
  _xlpm.min_date, IFERROR(MIN(_xlpm.dates), ""),
  IF(_xlpm.min_date=0, "", _xlpm.min_date)
))</f>
        <v>45225</v>
      </c>
      <c r="V317" s="63" t="str" cm="1">
        <f t="array" ref="V317">IF(OR(M317="", M317="Deleted"), "", IFERROR(
  _xlfn.TEXTJOIN(", ", TRUE,
    _xlfn.MAP(
      _xlfn.UNIQUE(
        _xlfn._xlws.FILTER(
          [1]SubmittalLog!$B$1:$B$4000,
          ([1]SubmittalLog!$E$1:$E$4000=M317) *
          ([1]SubmittalLog!$B$1:$B$4000&lt;&gt;""),
          ""
        )
      ),
      _xlfn.LAMBDA(_xlpm.val, TEXT(_xlpm.val, "000000"))
    )
  ),
""))</f>
        <v>000360, 000143</v>
      </c>
      <c r="W317" s="40" t="str" cm="1">
        <f t="array" ref="W317">IF(OR(M317="", M317="Deleted"), "", _xlfn.LET(
  _xlpm.doc_col, [1]SubmittalLog!$E$1:$E$4000,
  _xlpm.date_col, [1]SubmittalLog!$H$1:$H$4000,
  _xlpm.status_col, [1]SubmittalLog!$N$1:$N$4000,
  _xlpm.latest_date, _xlfn.MAXIFS(_xlpm.date_col, _xlpm.doc_col, M317),
  IF(_xlpm.latest_date=0, "NFS",
    _xlfn.LET(
      _xlpm.res, _xlfn.XLOOKUP(M317 &amp; "|" &amp; _xlpm.latest_date, _xlpm.doc_col &amp; "|" &amp; _xlpm.date_col, _xlpm.status_col, ""),
      IF(OR(_xlpm.res="", _xlpm.res=0), "", _xlpm.res)
    )
  )
))</f>
        <v>RTR</v>
      </c>
      <c r="X317" s="39">
        <f>IF(OR(M317="", M317="Deleted"), "", _xlfn.LET(
  _xlpm.doc_col, [1]SubmittalLog!$E$1:$E$4000,
  _xlpm.date_col, [1]SubmittalLog!$H$1:$H$4000,
  _xlpm.status_col, [1]SubmittalLog!$O$1:$O$4000,
  _xlpm.first_app_date, _xlfn.MINIFS(_xlpm.date_col, _xlpm.doc_col, M317, _xlpm.status_col, "APP"),
  _xlpm.first_awc_date, _xlfn.MINIFS(_xlpm.date_col, _xlpm.doc_col, M317, _xlpm.status_col, "AWC"),
  _xlpm.earliest_date, IF(
    AND(_xlpm.first_app_date=0, _xlpm.first_awc_date=0), 0,
    IF(_xlpm.first_app_date=0, _xlpm.first_awc_date,
    IF(_xlpm.first_awc_date=0, _xlpm.first_app_date,
    MIN(_xlpm.first_app_date, _xlpm.first_awc_date)))
  ),
  IF(_xlpm.earliest_date=0, "", _xlpm.earliest_date)
))</f>
        <v>45225</v>
      </c>
      <c r="Y317" s="40" t="str" cm="1">
        <f t="array" ref="Y317">IF(OR(M317="", M317="Deleted"), "", _xlfn.LET(
  _xlpm.doc_col, [1]SubmittalLog!$E$1:$E$4000,
  _xlpm.date_col, [1]SubmittalLog!$H$1:$H$4000,
  _xlpm.status_col, [1]SubmittalLog!$O$1:$O$4000,
  _xlpm.has_sub, COUNTIF(_xlpm.doc_col, M317),
  _xlpm.latest_reviewed_date, _xlfn.MAXIFS(_xlpm.date_col, _xlpm.doc_col, M317, _xlpm.status_col, "&lt;&gt;"),
  IF(_xlpm.has_sub=0, "",
    IF(_xlpm.latest_reviewed_date=0, "",
      _xlfn.LET(
        _xlpm.res, _xlfn.XLOOKUP(1, (_xlpm.doc_col=M317) * (_xlpm.date_col=_xlpm.latest_reviewed_date) * (_xlpm.status_col&lt;&gt;""), _xlpm.status_col, ""),
        IF(OR(_xlpm.res="", _xlpm.res=0), "", _xlpm.res)
      )
    )
  )
))</f>
        <v>AWC</v>
      </c>
    </row>
    <row r="318" spans="1:25" x14ac:dyDescent="0.35">
      <c r="A318" s="33">
        <f>IF($M318="","",MAX($A$1:A317)+1)</f>
        <v>296</v>
      </c>
      <c r="B318" s="23" t="s">
        <v>250</v>
      </c>
      <c r="C318" s="23" t="s">
        <v>257</v>
      </c>
      <c r="G318" s="33">
        <v>131236</v>
      </c>
      <c r="H318" s="33" t="s">
        <v>59</v>
      </c>
      <c r="I318" s="33" t="s">
        <v>297</v>
      </c>
      <c r="J318" s="33" t="s">
        <v>3496</v>
      </c>
      <c r="K318" s="51" t="s">
        <v>3847</v>
      </c>
      <c r="M318" s="34" t="str">
        <f t="shared" si="4"/>
        <v>131236-WIL21-DR-P-7002</v>
      </c>
      <c r="N318" s="26" t="s">
        <v>3846</v>
      </c>
      <c r="P318" s="34" t="s">
        <v>3498</v>
      </c>
      <c r="S318" s="35">
        <v>45225</v>
      </c>
      <c r="T318" s="35">
        <v>45225</v>
      </c>
      <c r="U318" s="64" cm="1">
        <f t="array" ref="U318">IF(OR(M318="", M318="Deleted"), "", _xlfn.LET(
  _xlpm.dates,
  _xlfn._xlws.FILTER(
    [1]SubmittalLog!$H$1:$H$4000,
    [1]SubmittalLog!$E$1:$E$4000=M318,
    ""
  ),
  _xlpm.min_date, IFERROR(MIN(_xlpm.dates), ""),
  IF(_xlpm.min_date=0, "", _xlpm.min_date)
))</f>
        <v>45365</v>
      </c>
      <c r="V318" s="63" t="str" cm="1">
        <f t="array" ref="V318">IF(OR(M318="", M318="Deleted"), "", IFERROR(
  _xlfn.TEXTJOIN(", ", TRUE,
    _xlfn.MAP(
      _xlfn.UNIQUE(
        _xlfn._xlws.FILTER(
          [1]SubmittalLog!$B$1:$B$4000,
          ([1]SubmittalLog!$E$1:$E$4000=M318) *
          ([1]SubmittalLog!$B$1:$B$4000&lt;&gt;""),
          ""
        )
      ),
      _xlfn.LAMBDA(_xlpm.val, TEXT(_xlpm.val, "000000"))
    )
  ),
""))</f>
        <v>000360, 000143</v>
      </c>
      <c r="W318" s="40" t="str" cm="1">
        <f t="array" ref="W318">IF(OR(M318="", M318="Deleted"), "", _xlfn.LET(
  _xlpm.doc_col, [1]SubmittalLog!$E$1:$E$4000,
  _xlpm.date_col, [1]SubmittalLog!$H$1:$H$4000,
  _xlpm.status_col, [1]SubmittalLog!$N$1:$N$4000,
  _xlpm.latest_date, _xlfn.MAXIFS(_xlpm.date_col, _xlpm.doc_col, M318),
  IF(_xlpm.latest_date=0, "NFS",
    _xlfn.LET(
      _xlpm.res, _xlfn.XLOOKUP(M318 &amp; "|" &amp; _xlpm.latest_date, _xlpm.doc_col &amp; "|" &amp; _xlpm.date_col, _xlpm.status_col, ""),
      IF(OR(_xlpm.res="", _xlpm.res=0), "", _xlpm.res)
    )
  )
))</f>
        <v>RTR</v>
      </c>
      <c r="X318" s="39">
        <f>IF(OR(M318="", M318="Deleted"), "", _xlfn.LET(
  _xlpm.doc_col, [1]SubmittalLog!$E$1:$E$4000,
  _xlpm.date_col, [1]SubmittalLog!$H$1:$H$4000,
  _xlpm.status_col, [1]SubmittalLog!$O$1:$O$4000,
  _xlpm.first_app_date, _xlfn.MINIFS(_xlpm.date_col, _xlpm.doc_col, M318, _xlpm.status_col, "APP"),
  _xlpm.first_awc_date, _xlfn.MINIFS(_xlpm.date_col, _xlpm.doc_col, M318, _xlpm.status_col, "AWC"),
  _xlpm.earliest_date, IF(
    AND(_xlpm.first_app_date=0, _xlpm.first_awc_date=0), 0,
    IF(_xlpm.first_app_date=0, _xlpm.first_awc_date,
    IF(_xlpm.first_awc_date=0, _xlpm.first_app_date,
    MIN(_xlpm.first_app_date, _xlpm.first_awc_date)))
  ),
  IF(_xlpm.earliest_date=0, "", _xlpm.earliest_date)
))</f>
        <v>45365</v>
      </c>
      <c r="Y318" s="40" t="str" cm="1">
        <f t="array" ref="Y318">IF(OR(M318="", M318="Deleted"), "", _xlfn.LET(
  _xlpm.doc_col, [1]SubmittalLog!$E$1:$E$4000,
  _xlpm.date_col, [1]SubmittalLog!$H$1:$H$4000,
  _xlpm.status_col, [1]SubmittalLog!$O$1:$O$4000,
  _xlpm.has_sub, COUNTIF(_xlpm.doc_col, M318),
  _xlpm.latest_reviewed_date, _xlfn.MAXIFS(_xlpm.date_col, _xlpm.doc_col, M318, _xlpm.status_col, "&lt;&gt;"),
  IF(_xlpm.has_sub=0, "",
    IF(_xlpm.latest_reviewed_date=0, "",
      _xlfn.LET(
        _xlpm.res, _xlfn.XLOOKUP(1, (_xlpm.doc_col=M318) * (_xlpm.date_col=_xlpm.latest_reviewed_date) * (_xlpm.status_col&lt;&gt;""), _xlpm.status_col, ""),
        IF(OR(_xlpm.res="", _xlpm.res=0), "", _xlpm.res)
      )
    )
  )
))</f>
        <v>AWC</v>
      </c>
    </row>
    <row r="319" spans="1:25" x14ac:dyDescent="0.35">
      <c r="A319" s="33">
        <f>IF($M319="","",MAX($A$1:A318)+1)</f>
        <v>297</v>
      </c>
      <c r="B319" s="23" t="s">
        <v>250</v>
      </c>
      <c r="C319" s="23" t="s">
        <v>257</v>
      </c>
      <c r="G319" s="33">
        <v>131236</v>
      </c>
      <c r="H319" s="33" t="s">
        <v>59</v>
      </c>
      <c r="I319" s="33" t="s">
        <v>297</v>
      </c>
      <c r="J319" s="33" t="s">
        <v>3496</v>
      </c>
      <c r="K319" s="51">
        <v>6000</v>
      </c>
      <c r="M319" s="34" t="str">
        <f t="shared" si="4"/>
        <v>131236-WIL21-DR-P-6000</v>
      </c>
      <c r="N319" s="26" t="s">
        <v>3848</v>
      </c>
      <c r="P319" s="34" t="s">
        <v>3498</v>
      </c>
      <c r="S319" s="35">
        <v>45260</v>
      </c>
      <c r="T319" s="35">
        <v>45266</v>
      </c>
      <c r="U319" s="64" cm="1">
        <f t="array" ref="U319">IF(OR(M319="", M319="Deleted"), "", _xlfn.LET(
  _xlpm.dates,
  _xlfn._xlws.FILTER(
    [1]SubmittalLog!$H$1:$H$4000,
    [1]SubmittalLog!$E$1:$E$4000=M319,
    ""
  ),
  _xlpm.min_date, IFERROR(MIN(_xlpm.dates), ""),
  IF(_xlpm.min_date=0, "", _xlpm.min_date)
))</f>
        <v>45177</v>
      </c>
      <c r="V319" s="63" t="str" cm="1">
        <f t="array" ref="V319">IF(OR(M319="", M319="Deleted"), "", IFERROR(
  _xlfn.TEXTJOIN(", ", TRUE,
    _xlfn.MAP(
      _xlfn.UNIQUE(
        _xlfn._xlws.FILTER(
          [1]SubmittalLog!$B$1:$B$4000,
          ([1]SubmittalLog!$E$1:$E$4000=M319) *
          ([1]SubmittalLog!$B$1:$B$4000&lt;&gt;""),
          ""
        )
      ),
      _xlfn.LAMBDA(_xlpm.val, TEXT(_xlpm.val, "000000"))
    )
  ),
""))</f>
        <v>000093, 000398, 000230</v>
      </c>
      <c r="W319" s="40" t="str" cm="1">
        <f t="array" ref="W319">IF(OR(M319="", M319="Deleted"), "", _xlfn.LET(
  _xlpm.doc_col, [1]SubmittalLog!$E$1:$E$4000,
  _xlpm.date_col, [1]SubmittalLog!$H$1:$H$4000,
  _xlpm.status_col, [1]SubmittalLog!$N$1:$N$4000,
  _xlpm.latest_date, _xlfn.MAXIFS(_xlpm.date_col, _xlpm.doc_col, M319),
  IF(_xlpm.latest_date=0, "NFS",
    _xlfn.LET(
      _xlpm.res, _xlfn.XLOOKUP(M319 &amp; "|" &amp; _xlpm.latest_date, _xlpm.doc_col &amp; "|" &amp; _xlpm.date_col, _xlpm.status_col, ""),
      IF(OR(_xlpm.res="", _xlpm.res=0), "", _xlpm.res)
    )
  )
))</f>
        <v>RTR</v>
      </c>
      <c r="X319" s="39">
        <f>IF(OR(M319="", M319="Deleted"), "", _xlfn.LET(
  _xlpm.doc_col, [1]SubmittalLog!$E$1:$E$4000,
  _xlpm.date_col, [1]SubmittalLog!$H$1:$H$4000,
  _xlpm.status_col, [1]SubmittalLog!$O$1:$O$4000,
  _xlpm.first_app_date, _xlfn.MINIFS(_xlpm.date_col, _xlpm.doc_col, M319, _xlpm.status_col, "APP"),
  _xlpm.first_awc_date, _xlfn.MINIFS(_xlpm.date_col, _xlpm.doc_col, M319, _xlpm.status_col, "AWC"),
  _xlpm.earliest_date, IF(
    AND(_xlpm.first_app_date=0, _xlpm.first_awc_date=0), 0,
    IF(_xlpm.first_app_date=0, _xlpm.first_awc_date,
    IF(_xlpm.first_awc_date=0, _xlpm.first_app_date,
    MIN(_xlpm.first_app_date, _xlpm.first_awc_date)))
  ),
  IF(_xlpm.earliest_date=0, "", _xlpm.earliest_date)
))</f>
        <v>45177</v>
      </c>
      <c r="Y319" s="40" t="str" cm="1">
        <f t="array" ref="Y319">IF(OR(M319="", M319="Deleted"), "", _xlfn.LET(
  _xlpm.doc_col, [1]SubmittalLog!$E$1:$E$4000,
  _xlpm.date_col, [1]SubmittalLog!$H$1:$H$4000,
  _xlpm.status_col, [1]SubmittalLog!$O$1:$O$4000,
  _xlpm.has_sub, COUNTIF(_xlpm.doc_col, M319),
  _xlpm.latest_reviewed_date, _xlfn.MAXIFS(_xlpm.date_col, _xlpm.doc_col, M319, _xlpm.status_col, "&lt;&gt;"),
  IF(_xlpm.has_sub=0, "",
    IF(_xlpm.latest_reviewed_date=0, "",
      _xlfn.LET(
        _xlpm.res, _xlfn.XLOOKUP(1, (_xlpm.doc_col=M319) * (_xlpm.date_col=_xlpm.latest_reviewed_date) * (_xlpm.status_col&lt;&gt;""), _xlpm.status_col, ""),
        IF(OR(_xlpm.res="", _xlpm.res=0), "", _xlpm.res)
      )
    )
  )
))</f>
        <v>AWC</v>
      </c>
    </row>
    <row r="320" spans="1:25" x14ac:dyDescent="0.35">
      <c r="A320" s="33">
        <f>IF($M320="","",MAX($A$1:A319)+1)</f>
        <v>298</v>
      </c>
      <c r="B320" s="23" t="s">
        <v>250</v>
      </c>
      <c r="C320" s="23" t="s">
        <v>257</v>
      </c>
      <c r="G320" s="33">
        <v>131236</v>
      </c>
      <c r="H320" s="33" t="s">
        <v>59</v>
      </c>
      <c r="I320" s="33" t="s">
        <v>297</v>
      </c>
      <c r="J320" s="33" t="s">
        <v>3496</v>
      </c>
      <c r="K320" s="51">
        <v>6001</v>
      </c>
      <c r="M320" s="34" t="str">
        <f t="shared" si="4"/>
        <v>131236-WIL21-DR-P-6001</v>
      </c>
      <c r="N320" s="26" t="s">
        <v>3849</v>
      </c>
      <c r="P320" s="34" t="s">
        <v>3498</v>
      </c>
      <c r="S320" s="35">
        <v>45260</v>
      </c>
      <c r="T320" s="35">
        <v>45266</v>
      </c>
      <c r="U320" s="64" cm="1">
        <f t="array" ref="U320">IF(OR(M320="", M320="Deleted"), "", _xlfn.LET(
  _xlpm.dates,
  _xlfn._xlws.FILTER(
    [1]SubmittalLog!$H$1:$H$4000,
    [1]SubmittalLog!$E$1:$E$4000=M320,
    ""
  ),
  _xlpm.min_date, IFERROR(MIN(_xlpm.dates), ""),
  IF(_xlpm.min_date=0, "", _xlpm.min_date)
))</f>
        <v>45177</v>
      </c>
      <c r="V320" s="63" t="str" cm="1">
        <f t="array" ref="V320">IF(OR(M320="", M320="Deleted"), "", IFERROR(
  _xlfn.TEXTJOIN(", ", TRUE,
    _xlfn.MAP(
      _xlfn.UNIQUE(
        _xlfn._xlws.FILTER(
          [1]SubmittalLog!$B$1:$B$4000,
          ([1]SubmittalLog!$E$1:$E$4000=M320) *
          ([1]SubmittalLog!$B$1:$B$4000&lt;&gt;""),
          ""
        )
      ),
      _xlfn.LAMBDA(_xlpm.val, TEXT(_xlpm.val, "000000"))
    )
  ),
""))</f>
        <v>000093, 000398, 000230</v>
      </c>
      <c r="W320" s="40" t="str" cm="1">
        <f t="array" ref="W320">IF(OR(M320="", M320="Deleted"), "", _xlfn.LET(
  _xlpm.doc_col, [1]SubmittalLog!$E$1:$E$4000,
  _xlpm.date_col, [1]SubmittalLog!$H$1:$H$4000,
  _xlpm.status_col, [1]SubmittalLog!$N$1:$N$4000,
  _xlpm.latest_date, _xlfn.MAXIFS(_xlpm.date_col, _xlpm.doc_col, M320),
  IF(_xlpm.latest_date=0, "NFS",
    _xlfn.LET(
      _xlpm.res, _xlfn.XLOOKUP(M320 &amp; "|" &amp; _xlpm.latest_date, _xlpm.doc_col &amp; "|" &amp; _xlpm.date_col, _xlpm.status_col, ""),
      IF(OR(_xlpm.res="", _xlpm.res=0), "", _xlpm.res)
    )
  )
))</f>
        <v>RTR</v>
      </c>
      <c r="X320" s="39">
        <f>IF(OR(M320="", M320="Deleted"), "", _xlfn.LET(
  _xlpm.doc_col, [1]SubmittalLog!$E$1:$E$4000,
  _xlpm.date_col, [1]SubmittalLog!$H$1:$H$4000,
  _xlpm.status_col, [1]SubmittalLog!$O$1:$O$4000,
  _xlpm.first_app_date, _xlfn.MINIFS(_xlpm.date_col, _xlpm.doc_col, M320, _xlpm.status_col, "APP"),
  _xlpm.first_awc_date, _xlfn.MINIFS(_xlpm.date_col, _xlpm.doc_col, M320, _xlpm.status_col, "AWC"),
  _xlpm.earliest_date, IF(
    AND(_xlpm.first_app_date=0, _xlpm.first_awc_date=0), 0,
    IF(_xlpm.first_app_date=0, _xlpm.first_awc_date,
    IF(_xlpm.first_awc_date=0, _xlpm.first_app_date,
    MIN(_xlpm.first_app_date, _xlpm.first_awc_date)))
  ),
  IF(_xlpm.earliest_date=0, "", _xlpm.earliest_date)
))</f>
        <v>45177</v>
      </c>
      <c r="Y320" s="40" t="str" cm="1">
        <f t="array" ref="Y320">IF(OR(M320="", M320="Deleted"), "", _xlfn.LET(
  _xlpm.doc_col, [1]SubmittalLog!$E$1:$E$4000,
  _xlpm.date_col, [1]SubmittalLog!$H$1:$H$4000,
  _xlpm.status_col, [1]SubmittalLog!$O$1:$O$4000,
  _xlpm.has_sub, COUNTIF(_xlpm.doc_col, M320),
  _xlpm.latest_reviewed_date, _xlfn.MAXIFS(_xlpm.date_col, _xlpm.doc_col, M320, _xlpm.status_col, "&lt;&gt;"),
  IF(_xlpm.has_sub=0, "",
    IF(_xlpm.latest_reviewed_date=0, "",
      _xlfn.LET(
        _xlpm.res, _xlfn.XLOOKUP(1, (_xlpm.doc_col=M320) * (_xlpm.date_col=_xlpm.latest_reviewed_date) * (_xlpm.status_col&lt;&gt;""), _xlpm.status_col, ""),
        IF(OR(_xlpm.res="", _xlpm.res=0), "", _xlpm.res)
      )
    )
  )
))</f>
        <v>AWC</v>
      </c>
    </row>
    <row r="321" spans="1:25" x14ac:dyDescent="0.35">
      <c r="A321" s="33">
        <f>IF($M321="","",MAX($A$1:A320)+1)</f>
        <v>299</v>
      </c>
      <c r="B321" s="23" t="s">
        <v>250</v>
      </c>
      <c r="C321" s="23" t="s">
        <v>257</v>
      </c>
      <c r="G321" s="33">
        <v>131236</v>
      </c>
      <c r="H321" s="33" t="s">
        <v>59</v>
      </c>
      <c r="I321" s="33" t="s">
        <v>297</v>
      </c>
      <c r="J321" s="33" t="s">
        <v>3496</v>
      </c>
      <c r="K321" s="51">
        <v>6002</v>
      </c>
      <c r="M321" s="34" t="str">
        <f t="shared" si="4"/>
        <v>131236-WIL21-DR-P-6002</v>
      </c>
      <c r="N321" s="26" t="s">
        <v>3850</v>
      </c>
      <c r="P321" s="34" t="s">
        <v>3498</v>
      </c>
      <c r="S321" s="35">
        <v>45260</v>
      </c>
      <c r="T321" s="35">
        <v>45266</v>
      </c>
      <c r="U321" s="64" cm="1">
        <f t="array" ref="U321">IF(OR(M321="", M321="Deleted"), "", _xlfn.LET(
  _xlpm.dates,
  _xlfn._xlws.FILTER(
    [1]SubmittalLog!$H$1:$H$4000,
    [1]SubmittalLog!$E$1:$E$4000=M321,
    ""
  ),
  _xlpm.min_date, IFERROR(MIN(_xlpm.dates), ""),
  IF(_xlpm.min_date=0, "", _xlpm.min_date)
))</f>
        <v>45266</v>
      </c>
      <c r="V321" s="63" t="str" cm="1">
        <f t="array" ref="V321">IF(OR(M321="", M321="Deleted"), "", IFERROR(
  _xlfn.TEXTJOIN(", ", TRUE,
    _xlfn.MAP(
      _xlfn.UNIQUE(
        _xlfn._xlws.FILTER(
          [1]SubmittalLog!$B$1:$B$4000,
          ([1]SubmittalLog!$E$1:$E$4000=M321) *
          ([1]SubmittalLog!$B$1:$B$4000&lt;&gt;""),
          ""
        )
      ),
      _xlfn.LAMBDA(_xlpm.val, TEXT(_xlpm.val, "000000"))
    )
  ),
""))</f>
        <v>000398, 000230</v>
      </c>
      <c r="W321" s="40" t="str" cm="1">
        <f t="array" ref="W321">IF(OR(M321="", M321="Deleted"), "", _xlfn.LET(
  _xlpm.doc_col, [1]SubmittalLog!$E$1:$E$4000,
  _xlpm.date_col, [1]SubmittalLog!$H$1:$H$4000,
  _xlpm.status_col, [1]SubmittalLog!$N$1:$N$4000,
  _xlpm.latest_date, _xlfn.MAXIFS(_xlpm.date_col, _xlpm.doc_col, M321),
  IF(_xlpm.latest_date=0, "NFS",
    _xlfn.LET(
      _xlpm.res, _xlfn.XLOOKUP(M321 &amp; "|" &amp; _xlpm.latest_date, _xlpm.doc_col &amp; "|" &amp; _xlpm.date_col, _xlpm.status_col, ""),
      IF(OR(_xlpm.res="", _xlpm.res=0), "", _xlpm.res)
    )
  )
))</f>
        <v>RTR</v>
      </c>
      <c r="X321" s="39">
        <f>IF(OR(M321="", M321="Deleted"), "", _xlfn.LET(
  _xlpm.doc_col, [1]SubmittalLog!$E$1:$E$4000,
  _xlpm.date_col, [1]SubmittalLog!$H$1:$H$4000,
  _xlpm.status_col, [1]SubmittalLog!$O$1:$O$4000,
  _xlpm.first_app_date, _xlfn.MINIFS(_xlpm.date_col, _xlpm.doc_col, M321, _xlpm.status_col, "APP"),
  _xlpm.first_awc_date, _xlfn.MINIFS(_xlpm.date_col, _xlpm.doc_col, M321, _xlpm.status_col, "AWC"),
  _xlpm.earliest_date, IF(
    AND(_xlpm.first_app_date=0, _xlpm.first_awc_date=0), 0,
    IF(_xlpm.first_app_date=0, _xlpm.first_awc_date,
    IF(_xlpm.first_awc_date=0, _xlpm.first_app_date,
    MIN(_xlpm.first_app_date, _xlpm.first_awc_date)))
  ),
  IF(_xlpm.earliest_date=0, "", _xlpm.earliest_date)
))</f>
        <v>45266</v>
      </c>
      <c r="Y321" s="40" t="str" cm="1">
        <f t="array" ref="Y321">IF(OR(M321="", M321="Deleted"), "", _xlfn.LET(
  _xlpm.doc_col, [1]SubmittalLog!$E$1:$E$4000,
  _xlpm.date_col, [1]SubmittalLog!$H$1:$H$4000,
  _xlpm.status_col, [1]SubmittalLog!$O$1:$O$4000,
  _xlpm.has_sub, COUNTIF(_xlpm.doc_col, M321),
  _xlpm.latest_reviewed_date, _xlfn.MAXIFS(_xlpm.date_col, _xlpm.doc_col, M321, _xlpm.status_col, "&lt;&gt;"),
  IF(_xlpm.has_sub=0, "",
    IF(_xlpm.latest_reviewed_date=0, "",
      _xlfn.LET(
        _xlpm.res, _xlfn.XLOOKUP(1, (_xlpm.doc_col=M321) * (_xlpm.date_col=_xlpm.latest_reviewed_date) * (_xlpm.status_col&lt;&gt;""), _xlpm.status_col, ""),
        IF(OR(_xlpm.res="", _xlpm.res=0), "", _xlpm.res)
      )
    )
  )
))</f>
        <v>AWC</v>
      </c>
    </row>
    <row r="322" spans="1:25" x14ac:dyDescent="0.35">
      <c r="A322" s="33">
        <f>IF($M322="","",MAX($A$1:A321)+1)</f>
        <v>300</v>
      </c>
      <c r="B322" s="23" t="s">
        <v>250</v>
      </c>
      <c r="C322" s="23" t="s">
        <v>257</v>
      </c>
      <c r="G322" s="33">
        <v>131236</v>
      </c>
      <c r="H322" s="33" t="s">
        <v>59</v>
      </c>
      <c r="I322" s="33" t="s">
        <v>297</v>
      </c>
      <c r="J322" s="33" t="s">
        <v>3496</v>
      </c>
      <c r="K322" s="51">
        <v>6003</v>
      </c>
      <c r="M322" s="34" t="str">
        <f t="shared" si="4"/>
        <v>131236-WIL21-DR-P-6003</v>
      </c>
      <c r="N322" s="26" t="s">
        <v>3851</v>
      </c>
      <c r="P322" s="34" t="s">
        <v>3498</v>
      </c>
      <c r="S322" s="35">
        <v>45260</v>
      </c>
      <c r="T322" s="35">
        <v>45266</v>
      </c>
      <c r="U322" s="64" cm="1">
        <f t="array" ref="U322">IF(OR(M322="", M322="Deleted"), "", _xlfn.LET(
  _xlpm.dates,
  _xlfn._xlws.FILTER(
    [1]SubmittalLog!$H$1:$H$4000,
    [1]SubmittalLog!$E$1:$E$4000=M322,
    ""
  ),
  _xlpm.min_date, IFERROR(MIN(_xlpm.dates), ""),
  IF(_xlpm.min_date=0, "", _xlpm.min_date)
))</f>
        <v>45266</v>
      </c>
      <c r="V322" s="63" t="str" cm="1">
        <f t="array" ref="V322">IF(OR(M322="", M322="Deleted"), "", IFERROR(
  _xlfn.TEXTJOIN(", ", TRUE,
    _xlfn.MAP(
      _xlfn.UNIQUE(
        _xlfn._xlws.FILTER(
          [1]SubmittalLog!$B$1:$B$4000,
          ([1]SubmittalLog!$E$1:$E$4000=M322) *
          ([1]SubmittalLog!$B$1:$B$4000&lt;&gt;""),
          ""
        )
      ),
      _xlfn.LAMBDA(_xlpm.val, TEXT(_xlpm.val, "000000"))
    )
  ),
""))</f>
        <v>000398, 000230</v>
      </c>
      <c r="W322" s="40" t="str" cm="1">
        <f t="array" ref="W322">IF(OR(M322="", M322="Deleted"), "", _xlfn.LET(
  _xlpm.doc_col, [1]SubmittalLog!$E$1:$E$4000,
  _xlpm.date_col, [1]SubmittalLog!$H$1:$H$4000,
  _xlpm.status_col, [1]SubmittalLog!$N$1:$N$4000,
  _xlpm.latest_date, _xlfn.MAXIFS(_xlpm.date_col, _xlpm.doc_col, M322),
  IF(_xlpm.latest_date=0, "NFS",
    _xlfn.LET(
      _xlpm.res, _xlfn.XLOOKUP(M322 &amp; "|" &amp; _xlpm.latest_date, _xlpm.doc_col &amp; "|" &amp; _xlpm.date_col, _xlpm.status_col, ""),
      IF(OR(_xlpm.res="", _xlpm.res=0), "", _xlpm.res)
    )
  )
))</f>
        <v>RTR</v>
      </c>
      <c r="X322" s="39">
        <f>IF(OR(M322="", M322="Deleted"), "", _xlfn.LET(
  _xlpm.doc_col, [1]SubmittalLog!$E$1:$E$4000,
  _xlpm.date_col, [1]SubmittalLog!$H$1:$H$4000,
  _xlpm.status_col, [1]SubmittalLog!$O$1:$O$4000,
  _xlpm.first_app_date, _xlfn.MINIFS(_xlpm.date_col, _xlpm.doc_col, M322, _xlpm.status_col, "APP"),
  _xlpm.first_awc_date, _xlfn.MINIFS(_xlpm.date_col, _xlpm.doc_col, M322, _xlpm.status_col, "AWC"),
  _xlpm.earliest_date, IF(
    AND(_xlpm.first_app_date=0, _xlpm.first_awc_date=0), 0,
    IF(_xlpm.first_app_date=0, _xlpm.first_awc_date,
    IF(_xlpm.first_awc_date=0, _xlpm.first_app_date,
    MIN(_xlpm.first_app_date, _xlpm.first_awc_date)))
  ),
  IF(_xlpm.earliest_date=0, "", _xlpm.earliest_date)
))</f>
        <v>45266</v>
      </c>
      <c r="Y322" s="40" t="str" cm="1">
        <f t="array" ref="Y322">IF(OR(M322="", M322="Deleted"), "", _xlfn.LET(
  _xlpm.doc_col, [1]SubmittalLog!$E$1:$E$4000,
  _xlpm.date_col, [1]SubmittalLog!$H$1:$H$4000,
  _xlpm.status_col, [1]SubmittalLog!$O$1:$O$4000,
  _xlpm.has_sub, COUNTIF(_xlpm.doc_col, M322),
  _xlpm.latest_reviewed_date, _xlfn.MAXIFS(_xlpm.date_col, _xlpm.doc_col, M322, _xlpm.status_col, "&lt;&gt;"),
  IF(_xlpm.has_sub=0, "",
    IF(_xlpm.latest_reviewed_date=0, "",
      _xlfn.LET(
        _xlpm.res, _xlfn.XLOOKUP(1, (_xlpm.doc_col=M322) * (_xlpm.date_col=_xlpm.latest_reviewed_date) * (_xlpm.status_col&lt;&gt;""), _xlpm.status_col, ""),
        IF(OR(_xlpm.res="", _xlpm.res=0), "", _xlpm.res)
      )
    )
  )
))</f>
        <v>AWC</v>
      </c>
    </row>
    <row r="323" spans="1:25" x14ac:dyDescent="0.35">
      <c r="A323" s="33">
        <f>IF($M323="","",MAX($A$1:A322)+1)</f>
        <v>301</v>
      </c>
      <c r="B323" s="23" t="s">
        <v>250</v>
      </c>
      <c r="C323" s="23" t="s">
        <v>257</v>
      </c>
      <c r="G323" s="33">
        <v>131236</v>
      </c>
      <c r="H323" s="33" t="s">
        <v>59</v>
      </c>
      <c r="I323" s="33" t="s">
        <v>297</v>
      </c>
      <c r="J323" s="33" t="s">
        <v>3496</v>
      </c>
      <c r="K323" s="51">
        <v>6004</v>
      </c>
      <c r="M323" s="34" t="str">
        <f t="shared" ref="M323:M386" si="5">IF(B323="Deleted","Deleted",_xlfn.TEXTJOIN("-",TRUE,G323,H323,I323,J323,IF(K323="","",TEXT(K323,"0000"))))</f>
        <v>131236-WIL21-DR-P-6004</v>
      </c>
      <c r="N323" s="26" t="s">
        <v>3852</v>
      </c>
      <c r="P323" s="34" t="s">
        <v>3498</v>
      </c>
      <c r="S323" s="35">
        <v>45260</v>
      </c>
      <c r="T323" s="35">
        <v>45266</v>
      </c>
      <c r="U323" s="64" cm="1">
        <f t="array" ref="U323">IF(OR(M323="", M323="Deleted"), "", _xlfn.LET(
  _xlpm.dates,
  _xlfn._xlws.FILTER(
    [1]SubmittalLog!$H$1:$H$4000,
    [1]SubmittalLog!$E$1:$E$4000=M323,
    ""
  ),
  _xlpm.min_date, IFERROR(MIN(_xlpm.dates), ""),
  IF(_xlpm.min_date=0, "", _xlpm.min_date)
))</f>
        <v>45266</v>
      </c>
      <c r="V323" s="63" t="str" cm="1">
        <f t="array" ref="V323">IF(OR(M323="", M323="Deleted"), "", IFERROR(
  _xlfn.TEXTJOIN(", ", TRUE,
    _xlfn.MAP(
      _xlfn.UNIQUE(
        _xlfn._xlws.FILTER(
          [1]SubmittalLog!$B$1:$B$4000,
          ([1]SubmittalLog!$E$1:$E$4000=M323) *
          ([1]SubmittalLog!$B$1:$B$4000&lt;&gt;""),
          ""
        )
      ),
      _xlfn.LAMBDA(_xlpm.val, TEXT(_xlpm.val, "000000"))
    )
  ),
""))</f>
        <v>000398, 000230</v>
      </c>
      <c r="W323" s="40" t="str" cm="1">
        <f t="array" ref="W323">IF(OR(M323="", M323="Deleted"), "", _xlfn.LET(
  _xlpm.doc_col, [1]SubmittalLog!$E$1:$E$4000,
  _xlpm.date_col, [1]SubmittalLog!$H$1:$H$4000,
  _xlpm.status_col, [1]SubmittalLog!$N$1:$N$4000,
  _xlpm.latest_date, _xlfn.MAXIFS(_xlpm.date_col, _xlpm.doc_col, M323),
  IF(_xlpm.latest_date=0, "NFS",
    _xlfn.LET(
      _xlpm.res, _xlfn.XLOOKUP(M323 &amp; "|" &amp; _xlpm.latest_date, _xlpm.doc_col &amp; "|" &amp; _xlpm.date_col, _xlpm.status_col, ""),
      IF(OR(_xlpm.res="", _xlpm.res=0), "", _xlpm.res)
    )
  )
))</f>
        <v>RTR</v>
      </c>
      <c r="X323" s="39">
        <f>IF(OR(M323="", M323="Deleted"), "", _xlfn.LET(
  _xlpm.doc_col, [1]SubmittalLog!$E$1:$E$4000,
  _xlpm.date_col, [1]SubmittalLog!$H$1:$H$4000,
  _xlpm.status_col, [1]SubmittalLog!$O$1:$O$4000,
  _xlpm.first_app_date, _xlfn.MINIFS(_xlpm.date_col, _xlpm.doc_col, M323, _xlpm.status_col, "APP"),
  _xlpm.first_awc_date, _xlfn.MINIFS(_xlpm.date_col, _xlpm.doc_col, M323, _xlpm.status_col, "AWC"),
  _xlpm.earliest_date, IF(
    AND(_xlpm.first_app_date=0, _xlpm.first_awc_date=0), 0,
    IF(_xlpm.first_app_date=0, _xlpm.first_awc_date,
    IF(_xlpm.first_awc_date=0, _xlpm.first_app_date,
    MIN(_xlpm.first_app_date, _xlpm.first_awc_date)))
  ),
  IF(_xlpm.earliest_date=0, "", _xlpm.earliest_date)
))</f>
        <v>45266</v>
      </c>
      <c r="Y323" s="40" t="str" cm="1">
        <f t="array" ref="Y323">IF(OR(M323="", M323="Deleted"), "", _xlfn.LET(
  _xlpm.doc_col, [1]SubmittalLog!$E$1:$E$4000,
  _xlpm.date_col, [1]SubmittalLog!$H$1:$H$4000,
  _xlpm.status_col, [1]SubmittalLog!$O$1:$O$4000,
  _xlpm.has_sub, COUNTIF(_xlpm.doc_col, M323),
  _xlpm.latest_reviewed_date, _xlfn.MAXIFS(_xlpm.date_col, _xlpm.doc_col, M323, _xlpm.status_col, "&lt;&gt;"),
  IF(_xlpm.has_sub=0, "",
    IF(_xlpm.latest_reviewed_date=0, "",
      _xlfn.LET(
        _xlpm.res, _xlfn.XLOOKUP(1, (_xlpm.doc_col=M323) * (_xlpm.date_col=_xlpm.latest_reviewed_date) * (_xlpm.status_col&lt;&gt;""), _xlpm.status_col, ""),
        IF(OR(_xlpm.res="", _xlpm.res=0), "", _xlpm.res)
      )
    )
  )
))</f>
        <v>AWC</v>
      </c>
    </row>
    <row r="324" spans="1:25" x14ac:dyDescent="0.35">
      <c r="A324" s="33">
        <f>IF($M324="","",MAX($A$1:A323)+1)</f>
        <v>302</v>
      </c>
      <c r="B324" s="23" t="s">
        <v>250</v>
      </c>
      <c r="C324" s="23" t="s">
        <v>257</v>
      </c>
      <c r="G324" s="33">
        <v>131236</v>
      </c>
      <c r="H324" s="33" t="s">
        <v>59</v>
      </c>
      <c r="I324" s="33" t="s">
        <v>297</v>
      </c>
      <c r="J324" s="33" t="s">
        <v>3496</v>
      </c>
      <c r="K324" s="51">
        <v>6005</v>
      </c>
      <c r="M324" s="34" t="str">
        <f t="shared" si="5"/>
        <v>131236-WIL21-DR-P-6005</v>
      </c>
      <c r="N324" s="26" t="s">
        <v>3853</v>
      </c>
      <c r="P324" s="34" t="s">
        <v>3498</v>
      </c>
      <c r="S324" s="35">
        <v>45260</v>
      </c>
      <c r="T324" s="35">
        <v>45266</v>
      </c>
      <c r="U324" s="64" cm="1">
        <f t="array" ref="U324">IF(OR(M324="", M324="Deleted"), "", _xlfn.LET(
  _xlpm.dates,
  _xlfn._xlws.FILTER(
    [1]SubmittalLog!$H$1:$H$4000,
    [1]SubmittalLog!$E$1:$E$4000=M324,
    ""
  ),
  _xlpm.min_date, IFERROR(MIN(_xlpm.dates), ""),
  IF(_xlpm.min_date=0, "", _xlpm.min_date)
))</f>
        <v>45266</v>
      </c>
      <c r="V324" s="63" t="str" cm="1">
        <f t="array" ref="V324">IF(OR(M324="", M324="Deleted"), "", IFERROR(
  _xlfn.TEXTJOIN(", ", TRUE,
    _xlfn.MAP(
      _xlfn.UNIQUE(
        _xlfn._xlws.FILTER(
          [1]SubmittalLog!$B$1:$B$4000,
          ([1]SubmittalLog!$E$1:$E$4000=M324) *
          ([1]SubmittalLog!$B$1:$B$4000&lt;&gt;""),
          ""
        )
      ),
      _xlfn.LAMBDA(_xlpm.val, TEXT(_xlpm.val, "000000"))
    )
  ),
""))</f>
        <v>000398, 000230</v>
      </c>
      <c r="W324" s="40" t="str" cm="1">
        <f t="array" ref="W324">IF(OR(M324="", M324="Deleted"), "", _xlfn.LET(
  _xlpm.doc_col, [1]SubmittalLog!$E$1:$E$4000,
  _xlpm.date_col, [1]SubmittalLog!$H$1:$H$4000,
  _xlpm.status_col, [1]SubmittalLog!$N$1:$N$4000,
  _xlpm.latest_date, _xlfn.MAXIFS(_xlpm.date_col, _xlpm.doc_col, M324),
  IF(_xlpm.latest_date=0, "NFS",
    _xlfn.LET(
      _xlpm.res, _xlfn.XLOOKUP(M324 &amp; "|" &amp; _xlpm.latest_date, _xlpm.doc_col &amp; "|" &amp; _xlpm.date_col, _xlpm.status_col, ""),
      IF(OR(_xlpm.res="", _xlpm.res=0), "", _xlpm.res)
    )
  )
))</f>
        <v>RTR</v>
      </c>
      <c r="X324" s="39">
        <f>IF(OR(M324="", M324="Deleted"), "", _xlfn.LET(
  _xlpm.doc_col, [1]SubmittalLog!$E$1:$E$4000,
  _xlpm.date_col, [1]SubmittalLog!$H$1:$H$4000,
  _xlpm.status_col, [1]SubmittalLog!$O$1:$O$4000,
  _xlpm.first_app_date, _xlfn.MINIFS(_xlpm.date_col, _xlpm.doc_col, M324, _xlpm.status_col, "APP"),
  _xlpm.first_awc_date, _xlfn.MINIFS(_xlpm.date_col, _xlpm.doc_col, M324, _xlpm.status_col, "AWC"),
  _xlpm.earliest_date, IF(
    AND(_xlpm.first_app_date=0, _xlpm.first_awc_date=0), 0,
    IF(_xlpm.first_app_date=0, _xlpm.first_awc_date,
    IF(_xlpm.first_awc_date=0, _xlpm.first_app_date,
    MIN(_xlpm.first_app_date, _xlpm.first_awc_date)))
  ),
  IF(_xlpm.earliest_date=0, "", _xlpm.earliest_date)
))</f>
        <v>45266</v>
      </c>
      <c r="Y324" s="40" t="str" cm="1">
        <f t="array" ref="Y324">IF(OR(M324="", M324="Deleted"), "", _xlfn.LET(
  _xlpm.doc_col, [1]SubmittalLog!$E$1:$E$4000,
  _xlpm.date_col, [1]SubmittalLog!$H$1:$H$4000,
  _xlpm.status_col, [1]SubmittalLog!$O$1:$O$4000,
  _xlpm.has_sub, COUNTIF(_xlpm.doc_col, M324),
  _xlpm.latest_reviewed_date, _xlfn.MAXIFS(_xlpm.date_col, _xlpm.doc_col, M324, _xlpm.status_col, "&lt;&gt;"),
  IF(_xlpm.has_sub=0, "",
    IF(_xlpm.latest_reviewed_date=0, "",
      _xlfn.LET(
        _xlpm.res, _xlfn.XLOOKUP(1, (_xlpm.doc_col=M324) * (_xlpm.date_col=_xlpm.latest_reviewed_date) * (_xlpm.status_col&lt;&gt;""), _xlpm.status_col, ""),
        IF(OR(_xlpm.res="", _xlpm.res=0), "", _xlpm.res)
      )
    )
  )
))</f>
        <v>AWC</v>
      </c>
    </row>
    <row r="325" spans="1:25" x14ac:dyDescent="0.35">
      <c r="A325" s="33">
        <f>IF($M325="","",MAX($A$1:A324)+1)</f>
        <v>303</v>
      </c>
      <c r="B325" s="23" t="s">
        <v>250</v>
      </c>
      <c r="C325" s="23" t="s">
        <v>257</v>
      </c>
      <c r="G325" s="33">
        <v>131236</v>
      </c>
      <c r="H325" s="33" t="s">
        <v>59</v>
      </c>
      <c r="I325" s="33" t="s">
        <v>297</v>
      </c>
      <c r="J325" s="33" t="s">
        <v>3496</v>
      </c>
      <c r="K325" s="51">
        <v>6006</v>
      </c>
      <c r="M325" s="34" t="str">
        <f t="shared" si="5"/>
        <v>131236-WIL21-DR-P-6006</v>
      </c>
      <c r="N325" s="26" t="s">
        <v>3854</v>
      </c>
      <c r="P325" s="34" t="s">
        <v>3498</v>
      </c>
      <c r="S325" s="35">
        <v>45260</v>
      </c>
      <c r="T325" s="35">
        <v>45266</v>
      </c>
      <c r="U325" s="64" cm="1">
        <f t="array" ref="U325">IF(OR(M325="", M325="Deleted"), "", _xlfn.LET(
  _xlpm.dates,
  _xlfn._xlws.FILTER(
    [1]SubmittalLog!$H$1:$H$4000,
    [1]SubmittalLog!$E$1:$E$4000=M325,
    ""
  ),
  _xlpm.min_date, IFERROR(MIN(_xlpm.dates), ""),
  IF(_xlpm.min_date=0, "", _xlpm.min_date)
))</f>
        <v>45266</v>
      </c>
      <c r="V325" s="63" t="str" cm="1">
        <f t="array" ref="V325">IF(OR(M325="", M325="Deleted"), "", IFERROR(
  _xlfn.TEXTJOIN(", ", TRUE,
    _xlfn.MAP(
      _xlfn.UNIQUE(
        _xlfn._xlws.FILTER(
          [1]SubmittalLog!$B$1:$B$4000,
          ([1]SubmittalLog!$E$1:$E$4000=M325) *
          ([1]SubmittalLog!$B$1:$B$4000&lt;&gt;""),
          ""
        )
      ),
      _xlfn.LAMBDA(_xlpm.val, TEXT(_xlpm.val, "000000"))
    )
  ),
""))</f>
        <v>000398, 000230</v>
      </c>
      <c r="W325" s="40" t="str" cm="1">
        <f t="array" ref="W325">IF(OR(M325="", M325="Deleted"), "", _xlfn.LET(
  _xlpm.doc_col, [1]SubmittalLog!$E$1:$E$4000,
  _xlpm.date_col, [1]SubmittalLog!$H$1:$H$4000,
  _xlpm.status_col, [1]SubmittalLog!$N$1:$N$4000,
  _xlpm.latest_date, _xlfn.MAXIFS(_xlpm.date_col, _xlpm.doc_col, M325),
  IF(_xlpm.latest_date=0, "NFS",
    _xlfn.LET(
      _xlpm.res, _xlfn.XLOOKUP(M325 &amp; "|" &amp; _xlpm.latest_date, _xlpm.doc_col &amp; "|" &amp; _xlpm.date_col, _xlpm.status_col, ""),
      IF(OR(_xlpm.res="", _xlpm.res=0), "", _xlpm.res)
    )
  )
))</f>
        <v>RTR</v>
      </c>
      <c r="X325" s="39">
        <f>IF(OR(M325="", M325="Deleted"), "", _xlfn.LET(
  _xlpm.doc_col, [1]SubmittalLog!$E$1:$E$4000,
  _xlpm.date_col, [1]SubmittalLog!$H$1:$H$4000,
  _xlpm.status_col, [1]SubmittalLog!$O$1:$O$4000,
  _xlpm.first_app_date, _xlfn.MINIFS(_xlpm.date_col, _xlpm.doc_col, M325, _xlpm.status_col, "APP"),
  _xlpm.first_awc_date, _xlfn.MINIFS(_xlpm.date_col, _xlpm.doc_col, M325, _xlpm.status_col, "AWC"),
  _xlpm.earliest_date, IF(
    AND(_xlpm.first_app_date=0, _xlpm.first_awc_date=0), 0,
    IF(_xlpm.first_app_date=0, _xlpm.first_awc_date,
    IF(_xlpm.first_awc_date=0, _xlpm.first_app_date,
    MIN(_xlpm.first_app_date, _xlpm.first_awc_date)))
  ),
  IF(_xlpm.earliest_date=0, "", _xlpm.earliest_date)
))</f>
        <v>45266</v>
      </c>
      <c r="Y325" s="40" t="str" cm="1">
        <f t="array" ref="Y325">IF(OR(M325="", M325="Deleted"), "", _xlfn.LET(
  _xlpm.doc_col, [1]SubmittalLog!$E$1:$E$4000,
  _xlpm.date_col, [1]SubmittalLog!$H$1:$H$4000,
  _xlpm.status_col, [1]SubmittalLog!$O$1:$O$4000,
  _xlpm.has_sub, COUNTIF(_xlpm.doc_col, M325),
  _xlpm.latest_reviewed_date, _xlfn.MAXIFS(_xlpm.date_col, _xlpm.doc_col, M325, _xlpm.status_col, "&lt;&gt;"),
  IF(_xlpm.has_sub=0, "",
    IF(_xlpm.latest_reviewed_date=0, "",
      _xlfn.LET(
        _xlpm.res, _xlfn.XLOOKUP(1, (_xlpm.doc_col=M325) * (_xlpm.date_col=_xlpm.latest_reviewed_date) * (_xlpm.status_col&lt;&gt;""), _xlpm.status_col, ""),
        IF(OR(_xlpm.res="", _xlpm.res=0), "", _xlpm.res)
      )
    )
  )
))</f>
        <v>AWC</v>
      </c>
    </row>
    <row r="326" spans="1:25" x14ac:dyDescent="0.35">
      <c r="A326" s="33">
        <f>IF($M326="","",MAX($A$1:A325)+1)</f>
        <v>304</v>
      </c>
      <c r="B326" s="23" t="s">
        <v>250</v>
      </c>
      <c r="C326" s="23" t="s">
        <v>257</v>
      </c>
      <c r="G326" s="33">
        <v>131236</v>
      </c>
      <c r="H326" s="33" t="s">
        <v>59</v>
      </c>
      <c r="I326" s="33" t="s">
        <v>297</v>
      </c>
      <c r="J326" s="33" t="s">
        <v>3496</v>
      </c>
      <c r="K326" s="51">
        <v>6007</v>
      </c>
      <c r="M326" s="34" t="str">
        <f t="shared" si="5"/>
        <v>131236-WIL21-DR-P-6007</v>
      </c>
      <c r="N326" s="26" t="s">
        <v>3855</v>
      </c>
      <c r="P326" s="34" t="s">
        <v>3498</v>
      </c>
      <c r="S326" s="35">
        <v>45260</v>
      </c>
      <c r="T326" s="35">
        <v>45266</v>
      </c>
      <c r="U326" s="64" cm="1">
        <f t="array" ref="U326">IF(OR(M326="", M326="Deleted"), "", _xlfn.LET(
  _xlpm.dates,
  _xlfn._xlws.FILTER(
    [1]SubmittalLog!$H$1:$H$4000,
    [1]SubmittalLog!$E$1:$E$4000=M326,
    ""
  ),
  _xlpm.min_date, IFERROR(MIN(_xlpm.dates), ""),
  IF(_xlpm.min_date=0, "", _xlpm.min_date)
))</f>
        <v>45266</v>
      </c>
      <c r="V326" s="63" t="str" cm="1">
        <f t="array" ref="V326">IF(OR(M326="", M326="Deleted"), "", IFERROR(
  _xlfn.TEXTJOIN(", ", TRUE,
    _xlfn.MAP(
      _xlfn.UNIQUE(
        _xlfn._xlws.FILTER(
          [1]SubmittalLog!$B$1:$B$4000,
          ([1]SubmittalLog!$E$1:$E$4000=M326) *
          ([1]SubmittalLog!$B$1:$B$4000&lt;&gt;""),
          ""
        )
      ),
      _xlfn.LAMBDA(_xlpm.val, TEXT(_xlpm.val, "000000"))
    )
  ),
""))</f>
        <v>000398, 000230</v>
      </c>
      <c r="W326" s="40" t="str" cm="1">
        <f t="array" ref="W326">IF(OR(M326="", M326="Deleted"), "", _xlfn.LET(
  _xlpm.doc_col, [1]SubmittalLog!$E$1:$E$4000,
  _xlpm.date_col, [1]SubmittalLog!$H$1:$H$4000,
  _xlpm.status_col, [1]SubmittalLog!$N$1:$N$4000,
  _xlpm.latest_date, _xlfn.MAXIFS(_xlpm.date_col, _xlpm.doc_col, M326),
  IF(_xlpm.latest_date=0, "NFS",
    _xlfn.LET(
      _xlpm.res, _xlfn.XLOOKUP(M326 &amp; "|" &amp; _xlpm.latest_date, _xlpm.doc_col &amp; "|" &amp; _xlpm.date_col, _xlpm.status_col, ""),
      IF(OR(_xlpm.res="", _xlpm.res=0), "", _xlpm.res)
    )
  )
))</f>
        <v>RTR</v>
      </c>
      <c r="X326" s="39">
        <f>IF(OR(M326="", M326="Deleted"), "", _xlfn.LET(
  _xlpm.doc_col, [1]SubmittalLog!$E$1:$E$4000,
  _xlpm.date_col, [1]SubmittalLog!$H$1:$H$4000,
  _xlpm.status_col, [1]SubmittalLog!$O$1:$O$4000,
  _xlpm.first_app_date, _xlfn.MINIFS(_xlpm.date_col, _xlpm.doc_col, M326, _xlpm.status_col, "APP"),
  _xlpm.first_awc_date, _xlfn.MINIFS(_xlpm.date_col, _xlpm.doc_col, M326, _xlpm.status_col, "AWC"),
  _xlpm.earliest_date, IF(
    AND(_xlpm.first_app_date=0, _xlpm.first_awc_date=0), 0,
    IF(_xlpm.first_app_date=0, _xlpm.first_awc_date,
    IF(_xlpm.first_awc_date=0, _xlpm.first_app_date,
    MIN(_xlpm.first_app_date, _xlpm.first_awc_date)))
  ),
  IF(_xlpm.earliest_date=0, "", _xlpm.earliest_date)
))</f>
        <v>45266</v>
      </c>
      <c r="Y326" s="40" t="str" cm="1">
        <f t="array" ref="Y326">IF(OR(M326="", M326="Deleted"), "", _xlfn.LET(
  _xlpm.doc_col, [1]SubmittalLog!$E$1:$E$4000,
  _xlpm.date_col, [1]SubmittalLog!$H$1:$H$4000,
  _xlpm.status_col, [1]SubmittalLog!$O$1:$O$4000,
  _xlpm.has_sub, COUNTIF(_xlpm.doc_col, M326),
  _xlpm.latest_reviewed_date, _xlfn.MAXIFS(_xlpm.date_col, _xlpm.doc_col, M326, _xlpm.status_col, "&lt;&gt;"),
  IF(_xlpm.has_sub=0, "",
    IF(_xlpm.latest_reviewed_date=0, "",
      _xlfn.LET(
        _xlpm.res, _xlfn.XLOOKUP(1, (_xlpm.doc_col=M326) * (_xlpm.date_col=_xlpm.latest_reviewed_date) * (_xlpm.status_col&lt;&gt;""), _xlpm.status_col, ""),
        IF(OR(_xlpm.res="", _xlpm.res=0), "", _xlpm.res)
      )
    )
  )
))</f>
        <v>AWC</v>
      </c>
    </row>
    <row r="327" spans="1:25" x14ac:dyDescent="0.35">
      <c r="A327" s="33">
        <f>IF($M327="","",MAX($A$1:A326)+1)</f>
        <v>305</v>
      </c>
      <c r="B327" s="23" t="s">
        <v>250</v>
      </c>
      <c r="C327" s="23" t="s">
        <v>257</v>
      </c>
      <c r="G327" s="33">
        <v>131236</v>
      </c>
      <c r="H327" s="33" t="s">
        <v>59</v>
      </c>
      <c r="I327" s="33" t="s">
        <v>297</v>
      </c>
      <c r="J327" s="33" t="s">
        <v>3496</v>
      </c>
      <c r="K327" s="51">
        <v>6008</v>
      </c>
      <c r="M327" s="34" t="str">
        <f t="shared" si="5"/>
        <v>131236-WIL21-DR-P-6008</v>
      </c>
      <c r="N327" s="26" t="s">
        <v>3856</v>
      </c>
      <c r="P327" s="34" t="s">
        <v>3498</v>
      </c>
      <c r="S327" s="35">
        <v>45260</v>
      </c>
      <c r="T327" s="35">
        <v>45266</v>
      </c>
      <c r="U327" s="64" cm="1">
        <f t="array" ref="U327">IF(OR(M327="", M327="Deleted"), "", _xlfn.LET(
  _xlpm.dates,
  _xlfn._xlws.FILTER(
    [1]SubmittalLog!$H$1:$H$4000,
    [1]SubmittalLog!$E$1:$E$4000=M327,
    ""
  ),
  _xlpm.min_date, IFERROR(MIN(_xlpm.dates), ""),
  IF(_xlpm.min_date=0, "", _xlpm.min_date)
))</f>
        <v>45266</v>
      </c>
      <c r="V327" s="63" t="str" cm="1">
        <f t="array" ref="V327">IF(OR(M327="", M327="Deleted"), "", IFERROR(
  _xlfn.TEXTJOIN(", ", TRUE,
    _xlfn.MAP(
      _xlfn.UNIQUE(
        _xlfn._xlws.FILTER(
          [1]SubmittalLog!$B$1:$B$4000,
          ([1]SubmittalLog!$E$1:$E$4000=M327) *
          ([1]SubmittalLog!$B$1:$B$4000&lt;&gt;""),
          ""
        )
      ),
      _xlfn.LAMBDA(_xlpm.val, TEXT(_xlpm.val, "000000"))
    )
  ),
""))</f>
        <v>000398, 000230</v>
      </c>
      <c r="W327" s="40" t="str" cm="1">
        <f t="array" ref="W327">IF(OR(M327="", M327="Deleted"), "", _xlfn.LET(
  _xlpm.doc_col, [1]SubmittalLog!$E$1:$E$4000,
  _xlpm.date_col, [1]SubmittalLog!$H$1:$H$4000,
  _xlpm.status_col, [1]SubmittalLog!$N$1:$N$4000,
  _xlpm.latest_date, _xlfn.MAXIFS(_xlpm.date_col, _xlpm.doc_col, M327),
  IF(_xlpm.latest_date=0, "NFS",
    _xlfn.LET(
      _xlpm.res, _xlfn.XLOOKUP(M327 &amp; "|" &amp; _xlpm.latest_date, _xlpm.doc_col &amp; "|" &amp; _xlpm.date_col, _xlpm.status_col, ""),
      IF(OR(_xlpm.res="", _xlpm.res=0), "", _xlpm.res)
    )
  )
))</f>
        <v>RTR</v>
      </c>
      <c r="X327" s="39">
        <f>IF(OR(M327="", M327="Deleted"), "", _xlfn.LET(
  _xlpm.doc_col, [1]SubmittalLog!$E$1:$E$4000,
  _xlpm.date_col, [1]SubmittalLog!$H$1:$H$4000,
  _xlpm.status_col, [1]SubmittalLog!$O$1:$O$4000,
  _xlpm.first_app_date, _xlfn.MINIFS(_xlpm.date_col, _xlpm.doc_col, M327, _xlpm.status_col, "APP"),
  _xlpm.first_awc_date, _xlfn.MINIFS(_xlpm.date_col, _xlpm.doc_col, M327, _xlpm.status_col, "AWC"),
  _xlpm.earliest_date, IF(
    AND(_xlpm.first_app_date=0, _xlpm.first_awc_date=0), 0,
    IF(_xlpm.first_app_date=0, _xlpm.first_awc_date,
    IF(_xlpm.first_awc_date=0, _xlpm.first_app_date,
    MIN(_xlpm.first_app_date, _xlpm.first_awc_date)))
  ),
  IF(_xlpm.earliest_date=0, "", _xlpm.earliest_date)
))</f>
        <v>45266</v>
      </c>
      <c r="Y327" s="40" t="str" cm="1">
        <f t="array" ref="Y327">IF(OR(M327="", M327="Deleted"), "", _xlfn.LET(
  _xlpm.doc_col, [1]SubmittalLog!$E$1:$E$4000,
  _xlpm.date_col, [1]SubmittalLog!$H$1:$H$4000,
  _xlpm.status_col, [1]SubmittalLog!$O$1:$O$4000,
  _xlpm.has_sub, COUNTIF(_xlpm.doc_col, M327),
  _xlpm.latest_reviewed_date, _xlfn.MAXIFS(_xlpm.date_col, _xlpm.doc_col, M327, _xlpm.status_col, "&lt;&gt;"),
  IF(_xlpm.has_sub=0, "",
    IF(_xlpm.latest_reviewed_date=0, "",
      _xlfn.LET(
        _xlpm.res, _xlfn.XLOOKUP(1, (_xlpm.doc_col=M327) * (_xlpm.date_col=_xlpm.latest_reviewed_date) * (_xlpm.status_col&lt;&gt;""), _xlpm.status_col, ""),
        IF(OR(_xlpm.res="", _xlpm.res=0), "", _xlpm.res)
      )
    )
  )
))</f>
        <v>AWC</v>
      </c>
    </row>
    <row r="328" spans="1:25" x14ac:dyDescent="0.35">
      <c r="A328" s="33">
        <f>IF($M328="","",MAX($A$1:A327)+1)</f>
        <v>306</v>
      </c>
      <c r="B328" s="23" t="s">
        <v>250</v>
      </c>
      <c r="C328" s="23" t="s">
        <v>257</v>
      </c>
      <c r="G328" s="33">
        <v>131236</v>
      </c>
      <c r="H328" s="33" t="s">
        <v>59</v>
      </c>
      <c r="I328" s="33" t="s">
        <v>297</v>
      </c>
      <c r="J328" s="33" t="s">
        <v>3496</v>
      </c>
      <c r="K328" s="51">
        <v>6009</v>
      </c>
      <c r="M328" s="34" t="str">
        <f t="shared" si="5"/>
        <v>131236-WIL21-DR-P-6009</v>
      </c>
      <c r="N328" s="26" t="s">
        <v>3857</v>
      </c>
      <c r="P328" s="34" t="s">
        <v>3498</v>
      </c>
      <c r="S328" s="35">
        <v>45260</v>
      </c>
      <c r="T328" s="35">
        <v>45266</v>
      </c>
      <c r="U328" s="64" cm="1">
        <f t="array" ref="U328">IF(OR(M328="", M328="Deleted"), "", _xlfn.LET(
  _xlpm.dates,
  _xlfn._xlws.FILTER(
    [1]SubmittalLog!$H$1:$H$4000,
    [1]SubmittalLog!$E$1:$E$4000=M328,
    ""
  ),
  _xlpm.min_date, IFERROR(MIN(_xlpm.dates), ""),
  IF(_xlpm.min_date=0, "", _xlpm.min_date)
))</f>
        <v>45266</v>
      </c>
      <c r="V328" s="63" t="str" cm="1">
        <f t="array" ref="V328">IF(OR(M328="", M328="Deleted"), "", IFERROR(
  _xlfn.TEXTJOIN(", ", TRUE,
    _xlfn.MAP(
      _xlfn.UNIQUE(
        _xlfn._xlws.FILTER(
          [1]SubmittalLog!$B$1:$B$4000,
          ([1]SubmittalLog!$E$1:$E$4000=M328) *
          ([1]SubmittalLog!$B$1:$B$4000&lt;&gt;""),
          ""
        )
      ),
      _xlfn.LAMBDA(_xlpm.val, TEXT(_xlpm.val, "000000"))
    )
  ),
""))</f>
        <v>000398, 000230</v>
      </c>
      <c r="W328" s="40" t="str" cm="1">
        <f t="array" ref="W328">IF(OR(M328="", M328="Deleted"), "", _xlfn.LET(
  _xlpm.doc_col, [1]SubmittalLog!$E$1:$E$4000,
  _xlpm.date_col, [1]SubmittalLog!$H$1:$H$4000,
  _xlpm.status_col, [1]SubmittalLog!$N$1:$N$4000,
  _xlpm.latest_date, _xlfn.MAXIFS(_xlpm.date_col, _xlpm.doc_col, M328),
  IF(_xlpm.latest_date=0, "NFS",
    _xlfn.LET(
      _xlpm.res, _xlfn.XLOOKUP(M328 &amp; "|" &amp; _xlpm.latest_date, _xlpm.doc_col &amp; "|" &amp; _xlpm.date_col, _xlpm.status_col, ""),
      IF(OR(_xlpm.res="", _xlpm.res=0), "", _xlpm.res)
    )
  )
))</f>
        <v>RTR</v>
      </c>
      <c r="X328" s="39">
        <f>IF(OR(M328="", M328="Deleted"), "", _xlfn.LET(
  _xlpm.doc_col, [1]SubmittalLog!$E$1:$E$4000,
  _xlpm.date_col, [1]SubmittalLog!$H$1:$H$4000,
  _xlpm.status_col, [1]SubmittalLog!$O$1:$O$4000,
  _xlpm.first_app_date, _xlfn.MINIFS(_xlpm.date_col, _xlpm.doc_col, M328, _xlpm.status_col, "APP"),
  _xlpm.first_awc_date, _xlfn.MINIFS(_xlpm.date_col, _xlpm.doc_col, M328, _xlpm.status_col, "AWC"),
  _xlpm.earliest_date, IF(
    AND(_xlpm.first_app_date=0, _xlpm.first_awc_date=0), 0,
    IF(_xlpm.first_app_date=0, _xlpm.first_awc_date,
    IF(_xlpm.first_awc_date=0, _xlpm.first_app_date,
    MIN(_xlpm.first_app_date, _xlpm.first_awc_date)))
  ),
  IF(_xlpm.earliest_date=0, "", _xlpm.earliest_date)
))</f>
        <v>45266</v>
      </c>
      <c r="Y328" s="40" t="str" cm="1">
        <f t="array" ref="Y328">IF(OR(M328="", M328="Deleted"), "", _xlfn.LET(
  _xlpm.doc_col, [1]SubmittalLog!$E$1:$E$4000,
  _xlpm.date_col, [1]SubmittalLog!$H$1:$H$4000,
  _xlpm.status_col, [1]SubmittalLog!$O$1:$O$4000,
  _xlpm.has_sub, COUNTIF(_xlpm.doc_col, M328),
  _xlpm.latest_reviewed_date, _xlfn.MAXIFS(_xlpm.date_col, _xlpm.doc_col, M328, _xlpm.status_col, "&lt;&gt;"),
  IF(_xlpm.has_sub=0, "",
    IF(_xlpm.latest_reviewed_date=0, "",
      _xlfn.LET(
        _xlpm.res, _xlfn.XLOOKUP(1, (_xlpm.doc_col=M328) * (_xlpm.date_col=_xlpm.latest_reviewed_date) * (_xlpm.status_col&lt;&gt;""), _xlpm.status_col, ""),
        IF(OR(_xlpm.res="", _xlpm.res=0), "", _xlpm.res)
      )
    )
  )
))</f>
        <v>AWC</v>
      </c>
    </row>
    <row r="329" spans="1:25" x14ac:dyDescent="0.35">
      <c r="A329" s="33">
        <f>IF($M329="","",MAX($A$1:A328)+1)</f>
        <v>307</v>
      </c>
      <c r="B329" s="23" t="s">
        <v>250</v>
      </c>
      <c r="C329" s="23" t="s">
        <v>257</v>
      </c>
      <c r="G329" s="33">
        <v>131236</v>
      </c>
      <c r="H329" s="33" t="s">
        <v>59</v>
      </c>
      <c r="I329" s="33" t="s">
        <v>297</v>
      </c>
      <c r="J329" s="33" t="s">
        <v>3496</v>
      </c>
      <c r="K329" s="51">
        <v>6010</v>
      </c>
      <c r="M329" s="34" t="str">
        <f t="shared" si="5"/>
        <v>131236-WIL21-DR-P-6010</v>
      </c>
      <c r="N329" s="26" t="s">
        <v>3858</v>
      </c>
      <c r="P329" s="34" t="s">
        <v>3498</v>
      </c>
      <c r="S329" s="35">
        <v>45260</v>
      </c>
      <c r="T329" s="35">
        <v>45266</v>
      </c>
      <c r="U329" s="64" cm="1">
        <f t="array" ref="U329">IF(OR(M329="", M329="Deleted"), "", _xlfn.LET(
  _xlpm.dates,
  _xlfn._xlws.FILTER(
    [1]SubmittalLog!$H$1:$H$4000,
    [1]SubmittalLog!$E$1:$E$4000=M329,
    ""
  ),
  _xlpm.min_date, IFERROR(MIN(_xlpm.dates), ""),
  IF(_xlpm.min_date=0, "", _xlpm.min_date)
))</f>
        <v>45266</v>
      </c>
      <c r="V329" s="63" t="str" cm="1">
        <f t="array" ref="V329">IF(OR(M329="", M329="Deleted"), "", IFERROR(
  _xlfn.TEXTJOIN(", ", TRUE,
    _xlfn.MAP(
      _xlfn.UNIQUE(
        _xlfn._xlws.FILTER(
          [1]SubmittalLog!$B$1:$B$4000,
          ([1]SubmittalLog!$E$1:$E$4000=M329) *
          ([1]SubmittalLog!$B$1:$B$4000&lt;&gt;""),
          ""
        )
      ),
      _xlfn.LAMBDA(_xlpm.val, TEXT(_xlpm.val, "000000"))
    )
  ),
""))</f>
        <v>000398, 000230</v>
      </c>
      <c r="W329" s="40" t="str" cm="1">
        <f t="array" ref="W329">IF(OR(M329="", M329="Deleted"), "", _xlfn.LET(
  _xlpm.doc_col, [1]SubmittalLog!$E$1:$E$4000,
  _xlpm.date_col, [1]SubmittalLog!$H$1:$H$4000,
  _xlpm.status_col, [1]SubmittalLog!$N$1:$N$4000,
  _xlpm.latest_date, _xlfn.MAXIFS(_xlpm.date_col, _xlpm.doc_col, M329),
  IF(_xlpm.latest_date=0, "NFS",
    _xlfn.LET(
      _xlpm.res, _xlfn.XLOOKUP(M329 &amp; "|" &amp; _xlpm.latest_date, _xlpm.doc_col &amp; "|" &amp; _xlpm.date_col, _xlpm.status_col, ""),
      IF(OR(_xlpm.res="", _xlpm.res=0), "", _xlpm.res)
    )
  )
))</f>
        <v>RTR</v>
      </c>
      <c r="X329" s="39">
        <f>IF(OR(M329="", M329="Deleted"), "", _xlfn.LET(
  _xlpm.doc_col, [1]SubmittalLog!$E$1:$E$4000,
  _xlpm.date_col, [1]SubmittalLog!$H$1:$H$4000,
  _xlpm.status_col, [1]SubmittalLog!$O$1:$O$4000,
  _xlpm.first_app_date, _xlfn.MINIFS(_xlpm.date_col, _xlpm.doc_col, M329, _xlpm.status_col, "APP"),
  _xlpm.first_awc_date, _xlfn.MINIFS(_xlpm.date_col, _xlpm.doc_col, M329, _xlpm.status_col, "AWC"),
  _xlpm.earliest_date, IF(
    AND(_xlpm.first_app_date=0, _xlpm.first_awc_date=0), 0,
    IF(_xlpm.first_app_date=0, _xlpm.first_awc_date,
    IF(_xlpm.first_awc_date=0, _xlpm.first_app_date,
    MIN(_xlpm.first_app_date, _xlpm.first_awc_date)))
  ),
  IF(_xlpm.earliest_date=0, "", _xlpm.earliest_date)
))</f>
        <v>45266</v>
      </c>
      <c r="Y329" s="40" t="str" cm="1">
        <f t="array" ref="Y329">IF(OR(M329="", M329="Deleted"), "", _xlfn.LET(
  _xlpm.doc_col, [1]SubmittalLog!$E$1:$E$4000,
  _xlpm.date_col, [1]SubmittalLog!$H$1:$H$4000,
  _xlpm.status_col, [1]SubmittalLog!$O$1:$O$4000,
  _xlpm.has_sub, COUNTIF(_xlpm.doc_col, M329),
  _xlpm.latest_reviewed_date, _xlfn.MAXIFS(_xlpm.date_col, _xlpm.doc_col, M329, _xlpm.status_col, "&lt;&gt;"),
  IF(_xlpm.has_sub=0, "",
    IF(_xlpm.latest_reviewed_date=0, "",
      _xlfn.LET(
        _xlpm.res, _xlfn.XLOOKUP(1, (_xlpm.doc_col=M329) * (_xlpm.date_col=_xlpm.latest_reviewed_date) * (_xlpm.status_col&lt;&gt;""), _xlpm.status_col, ""),
        IF(OR(_xlpm.res="", _xlpm.res=0), "", _xlpm.res)
      )
    )
  )
))</f>
        <v>AWC</v>
      </c>
    </row>
    <row r="330" spans="1:25" x14ac:dyDescent="0.35">
      <c r="A330" s="33">
        <f>IF($M330="","",MAX($A$1:A329)+1)</f>
        <v>308</v>
      </c>
      <c r="B330" s="23" t="s">
        <v>250</v>
      </c>
      <c r="C330" s="23" t="s">
        <v>257</v>
      </c>
      <c r="G330" s="33">
        <v>131236</v>
      </c>
      <c r="H330" s="33" t="s">
        <v>59</v>
      </c>
      <c r="I330" s="33" t="s">
        <v>297</v>
      </c>
      <c r="J330" s="33" t="s">
        <v>3496</v>
      </c>
      <c r="K330" s="51">
        <v>6011</v>
      </c>
      <c r="M330" s="34" t="str">
        <f t="shared" si="5"/>
        <v>131236-WIL21-DR-P-6011</v>
      </c>
      <c r="N330" s="26" t="s">
        <v>3859</v>
      </c>
      <c r="P330" s="34" t="s">
        <v>3498</v>
      </c>
      <c r="S330" s="35">
        <v>45260</v>
      </c>
      <c r="T330" s="35">
        <v>45266</v>
      </c>
      <c r="U330" s="64" cm="1">
        <f t="array" ref="U330">IF(OR(M330="", M330="Deleted"), "", _xlfn.LET(
  _xlpm.dates,
  _xlfn._xlws.FILTER(
    [1]SubmittalLog!$H$1:$H$4000,
    [1]SubmittalLog!$E$1:$E$4000=M330,
    ""
  ),
  _xlpm.min_date, IFERROR(MIN(_xlpm.dates), ""),
  IF(_xlpm.min_date=0, "", _xlpm.min_date)
))</f>
        <v>45266</v>
      </c>
      <c r="V330" s="63" t="str" cm="1">
        <f t="array" ref="V330">IF(OR(M330="", M330="Deleted"), "", IFERROR(
  _xlfn.TEXTJOIN(", ", TRUE,
    _xlfn.MAP(
      _xlfn.UNIQUE(
        _xlfn._xlws.FILTER(
          [1]SubmittalLog!$B$1:$B$4000,
          ([1]SubmittalLog!$E$1:$E$4000=M330) *
          ([1]SubmittalLog!$B$1:$B$4000&lt;&gt;""),
          ""
        )
      ),
      _xlfn.LAMBDA(_xlpm.val, TEXT(_xlpm.val, "000000"))
    )
  ),
""))</f>
        <v>000398, 000230</v>
      </c>
      <c r="W330" s="40" t="str" cm="1">
        <f t="array" ref="W330">IF(OR(M330="", M330="Deleted"), "", _xlfn.LET(
  _xlpm.doc_col, [1]SubmittalLog!$E$1:$E$4000,
  _xlpm.date_col, [1]SubmittalLog!$H$1:$H$4000,
  _xlpm.status_col, [1]SubmittalLog!$N$1:$N$4000,
  _xlpm.latest_date, _xlfn.MAXIFS(_xlpm.date_col, _xlpm.doc_col, M330),
  IF(_xlpm.latest_date=0, "NFS",
    _xlfn.LET(
      _xlpm.res, _xlfn.XLOOKUP(M330 &amp; "|" &amp; _xlpm.latest_date, _xlpm.doc_col &amp; "|" &amp; _xlpm.date_col, _xlpm.status_col, ""),
      IF(OR(_xlpm.res="", _xlpm.res=0), "", _xlpm.res)
    )
  )
))</f>
        <v>RTR</v>
      </c>
      <c r="X330" s="39">
        <f>IF(OR(M330="", M330="Deleted"), "", _xlfn.LET(
  _xlpm.doc_col, [1]SubmittalLog!$E$1:$E$4000,
  _xlpm.date_col, [1]SubmittalLog!$H$1:$H$4000,
  _xlpm.status_col, [1]SubmittalLog!$O$1:$O$4000,
  _xlpm.first_app_date, _xlfn.MINIFS(_xlpm.date_col, _xlpm.doc_col, M330, _xlpm.status_col, "APP"),
  _xlpm.first_awc_date, _xlfn.MINIFS(_xlpm.date_col, _xlpm.doc_col, M330, _xlpm.status_col, "AWC"),
  _xlpm.earliest_date, IF(
    AND(_xlpm.first_app_date=0, _xlpm.first_awc_date=0), 0,
    IF(_xlpm.first_app_date=0, _xlpm.first_awc_date,
    IF(_xlpm.first_awc_date=0, _xlpm.first_app_date,
    MIN(_xlpm.first_app_date, _xlpm.first_awc_date)))
  ),
  IF(_xlpm.earliest_date=0, "", _xlpm.earliest_date)
))</f>
        <v>45266</v>
      </c>
      <c r="Y330" s="40" t="str" cm="1">
        <f t="array" ref="Y330">IF(OR(M330="", M330="Deleted"), "", _xlfn.LET(
  _xlpm.doc_col, [1]SubmittalLog!$E$1:$E$4000,
  _xlpm.date_col, [1]SubmittalLog!$H$1:$H$4000,
  _xlpm.status_col, [1]SubmittalLog!$O$1:$O$4000,
  _xlpm.has_sub, COUNTIF(_xlpm.doc_col, M330),
  _xlpm.latest_reviewed_date, _xlfn.MAXIFS(_xlpm.date_col, _xlpm.doc_col, M330, _xlpm.status_col, "&lt;&gt;"),
  IF(_xlpm.has_sub=0, "",
    IF(_xlpm.latest_reviewed_date=0, "",
      _xlfn.LET(
        _xlpm.res, _xlfn.XLOOKUP(1, (_xlpm.doc_col=M330) * (_xlpm.date_col=_xlpm.latest_reviewed_date) * (_xlpm.status_col&lt;&gt;""), _xlpm.status_col, ""),
        IF(OR(_xlpm.res="", _xlpm.res=0), "", _xlpm.res)
      )
    )
  )
))</f>
        <v>AWC</v>
      </c>
    </row>
    <row r="331" spans="1:25" x14ac:dyDescent="0.35">
      <c r="A331" s="33">
        <f>IF($M331="","",MAX($A$1:A330)+1)</f>
        <v>309</v>
      </c>
      <c r="B331" s="23" t="s">
        <v>250</v>
      </c>
      <c r="C331" s="23" t="s">
        <v>257</v>
      </c>
      <c r="G331" s="33">
        <v>131236</v>
      </c>
      <c r="H331" s="33" t="s">
        <v>59</v>
      </c>
      <c r="I331" s="33" t="s">
        <v>297</v>
      </c>
      <c r="J331" s="33" t="s">
        <v>3496</v>
      </c>
      <c r="K331" s="51">
        <v>6012</v>
      </c>
      <c r="M331" s="34" t="str">
        <f t="shared" si="5"/>
        <v>131236-WIL21-DR-P-6012</v>
      </c>
      <c r="N331" s="26" t="s">
        <v>3860</v>
      </c>
      <c r="P331" s="34" t="s">
        <v>3498</v>
      </c>
      <c r="S331" s="35">
        <v>45260</v>
      </c>
      <c r="T331" s="35">
        <v>45266</v>
      </c>
      <c r="U331" s="64" cm="1">
        <f t="array" ref="U331">IF(OR(M331="", M331="Deleted"), "", _xlfn.LET(
  _xlpm.dates,
  _xlfn._xlws.FILTER(
    [1]SubmittalLog!$H$1:$H$4000,
    [1]SubmittalLog!$E$1:$E$4000=M331,
    ""
  ),
  _xlpm.min_date, IFERROR(MIN(_xlpm.dates), ""),
  IF(_xlpm.min_date=0, "", _xlpm.min_date)
))</f>
        <v>45266</v>
      </c>
      <c r="V331" s="63" t="str" cm="1">
        <f t="array" ref="V331">IF(OR(M331="", M331="Deleted"), "", IFERROR(
  _xlfn.TEXTJOIN(", ", TRUE,
    _xlfn.MAP(
      _xlfn.UNIQUE(
        _xlfn._xlws.FILTER(
          [1]SubmittalLog!$B$1:$B$4000,
          ([1]SubmittalLog!$E$1:$E$4000=M331) *
          ([1]SubmittalLog!$B$1:$B$4000&lt;&gt;""),
          ""
        )
      ),
      _xlfn.LAMBDA(_xlpm.val, TEXT(_xlpm.val, "000000"))
    )
  ),
""))</f>
        <v>000398, 000230</v>
      </c>
      <c r="W331" s="40" t="str" cm="1">
        <f t="array" ref="W331">IF(OR(M331="", M331="Deleted"), "", _xlfn.LET(
  _xlpm.doc_col, [1]SubmittalLog!$E$1:$E$4000,
  _xlpm.date_col, [1]SubmittalLog!$H$1:$H$4000,
  _xlpm.status_col, [1]SubmittalLog!$N$1:$N$4000,
  _xlpm.latest_date, _xlfn.MAXIFS(_xlpm.date_col, _xlpm.doc_col, M331),
  IF(_xlpm.latest_date=0, "NFS",
    _xlfn.LET(
      _xlpm.res, _xlfn.XLOOKUP(M331 &amp; "|" &amp; _xlpm.latest_date, _xlpm.doc_col &amp; "|" &amp; _xlpm.date_col, _xlpm.status_col, ""),
      IF(OR(_xlpm.res="", _xlpm.res=0), "", _xlpm.res)
    )
  )
))</f>
        <v>RTR</v>
      </c>
      <c r="X331" s="39">
        <f>IF(OR(M331="", M331="Deleted"), "", _xlfn.LET(
  _xlpm.doc_col, [1]SubmittalLog!$E$1:$E$4000,
  _xlpm.date_col, [1]SubmittalLog!$H$1:$H$4000,
  _xlpm.status_col, [1]SubmittalLog!$O$1:$O$4000,
  _xlpm.first_app_date, _xlfn.MINIFS(_xlpm.date_col, _xlpm.doc_col, M331, _xlpm.status_col, "APP"),
  _xlpm.first_awc_date, _xlfn.MINIFS(_xlpm.date_col, _xlpm.doc_col, M331, _xlpm.status_col, "AWC"),
  _xlpm.earliest_date, IF(
    AND(_xlpm.first_app_date=0, _xlpm.first_awc_date=0), 0,
    IF(_xlpm.first_app_date=0, _xlpm.first_awc_date,
    IF(_xlpm.first_awc_date=0, _xlpm.first_app_date,
    MIN(_xlpm.first_app_date, _xlpm.first_awc_date)))
  ),
  IF(_xlpm.earliest_date=0, "", _xlpm.earliest_date)
))</f>
        <v>45266</v>
      </c>
      <c r="Y331" s="40" t="str" cm="1">
        <f t="array" ref="Y331">IF(OR(M331="", M331="Deleted"), "", _xlfn.LET(
  _xlpm.doc_col, [1]SubmittalLog!$E$1:$E$4000,
  _xlpm.date_col, [1]SubmittalLog!$H$1:$H$4000,
  _xlpm.status_col, [1]SubmittalLog!$O$1:$O$4000,
  _xlpm.has_sub, COUNTIF(_xlpm.doc_col, M331),
  _xlpm.latest_reviewed_date, _xlfn.MAXIFS(_xlpm.date_col, _xlpm.doc_col, M331, _xlpm.status_col, "&lt;&gt;"),
  IF(_xlpm.has_sub=0, "",
    IF(_xlpm.latest_reviewed_date=0, "",
      _xlfn.LET(
        _xlpm.res, _xlfn.XLOOKUP(1, (_xlpm.doc_col=M331) * (_xlpm.date_col=_xlpm.latest_reviewed_date) * (_xlpm.status_col&lt;&gt;""), _xlpm.status_col, ""),
        IF(OR(_xlpm.res="", _xlpm.res=0), "", _xlpm.res)
      )
    )
  )
))</f>
        <v>AWC</v>
      </c>
    </row>
    <row r="332" spans="1:25" x14ac:dyDescent="0.35">
      <c r="A332" s="33">
        <f>IF($M332="","",MAX($A$1:A331)+1)</f>
        <v>310</v>
      </c>
      <c r="B332" s="23" t="s">
        <v>250</v>
      </c>
      <c r="C332" s="23" t="s">
        <v>257</v>
      </c>
      <c r="G332" s="33">
        <v>131236</v>
      </c>
      <c r="H332" s="33" t="s">
        <v>59</v>
      </c>
      <c r="I332" s="33" t="s">
        <v>297</v>
      </c>
      <c r="J332" s="33" t="s">
        <v>3496</v>
      </c>
      <c r="K332" s="51">
        <v>6013</v>
      </c>
      <c r="M332" s="34" t="str">
        <f t="shared" si="5"/>
        <v>131236-WIL21-DR-P-6013</v>
      </c>
      <c r="N332" s="26" t="s">
        <v>3861</v>
      </c>
      <c r="P332" s="34" t="s">
        <v>3498</v>
      </c>
      <c r="S332" s="35">
        <v>45260</v>
      </c>
      <c r="T332" s="35">
        <v>45266</v>
      </c>
      <c r="U332" s="64" cm="1">
        <f t="array" ref="U332">IF(OR(M332="", M332="Deleted"), "", _xlfn.LET(
  _xlpm.dates,
  _xlfn._xlws.FILTER(
    [1]SubmittalLog!$H$1:$H$4000,
    [1]SubmittalLog!$E$1:$E$4000=M332,
    ""
  ),
  _xlpm.min_date, IFERROR(MIN(_xlpm.dates), ""),
  IF(_xlpm.min_date=0, "", _xlpm.min_date)
))</f>
        <v>45266</v>
      </c>
      <c r="V332" s="63" t="str" cm="1">
        <f t="array" ref="V332">IF(OR(M332="", M332="Deleted"), "", IFERROR(
  _xlfn.TEXTJOIN(", ", TRUE,
    _xlfn.MAP(
      _xlfn.UNIQUE(
        _xlfn._xlws.FILTER(
          [1]SubmittalLog!$B$1:$B$4000,
          ([1]SubmittalLog!$E$1:$E$4000=M332) *
          ([1]SubmittalLog!$B$1:$B$4000&lt;&gt;""),
          ""
        )
      ),
      _xlfn.LAMBDA(_xlpm.val, TEXT(_xlpm.val, "000000"))
    )
  ),
""))</f>
        <v>000398, 000230</v>
      </c>
      <c r="W332" s="40" t="str" cm="1">
        <f t="array" ref="W332">IF(OR(M332="", M332="Deleted"), "", _xlfn.LET(
  _xlpm.doc_col, [1]SubmittalLog!$E$1:$E$4000,
  _xlpm.date_col, [1]SubmittalLog!$H$1:$H$4000,
  _xlpm.status_col, [1]SubmittalLog!$N$1:$N$4000,
  _xlpm.latest_date, _xlfn.MAXIFS(_xlpm.date_col, _xlpm.doc_col, M332),
  IF(_xlpm.latest_date=0, "NFS",
    _xlfn.LET(
      _xlpm.res, _xlfn.XLOOKUP(M332 &amp; "|" &amp; _xlpm.latest_date, _xlpm.doc_col &amp; "|" &amp; _xlpm.date_col, _xlpm.status_col, ""),
      IF(OR(_xlpm.res="", _xlpm.res=0), "", _xlpm.res)
    )
  )
))</f>
        <v>RTR</v>
      </c>
      <c r="X332" s="39">
        <f>IF(OR(M332="", M332="Deleted"), "", _xlfn.LET(
  _xlpm.doc_col, [1]SubmittalLog!$E$1:$E$4000,
  _xlpm.date_col, [1]SubmittalLog!$H$1:$H$4000,
  _xlpm.status_col, [1]SubmittalLog!$O$1:$O$4000,
  _xlpm.first_app_date, _xlfn.MINIFS(_xlpm.date_col, _xlpm.doc_col, M332, _xlpm.status_col, "APP"),
  _xlpm.first_awc_date, _xlfn.MINIFS(_xlpm.date_col, _xlpm.doc_col, M332, _xlpm.status_col, "AWC"),
  _xlpm.earliest_date, IF(
    AND(_xlpm.first_app_date=0, _xlpm.first_awc_date=0), 0,
    IF(_xlpm.first_app_date=0, _xlpm.first_awc_date,
    IF(_xlpm.first_awc_date=0, _xlpm.first_app_date,
    MIN(_xlpm.first_app_date, _xlpm.first_awc_date)))
  ),
  IF(_xlpm.earliest_date=0, "", _xlpm.earliest_date)
))</f>
        <v>45266</v>
      </c>
      <c r="Y332" s="40" t="str" cm="1">
        <f t="array" ref="Y332">IF(OR(M332="", M332="Deleted"), "", _xlfn.LET(
  _xlpm.doc_col, [1]SubmittalLog!$E$1:$E$4000,
  _xlpm.date_col, [1]SubmittalLog!$H$1:$H$4000,
  _xlpm.status_col, [1]SubmittalLog!$O$1:$O$4000,
  _xlpm.has_sub, COUNTIF(_xlpm.doc_col, M332),
  _xlpm.latest_reviewed_date, _xlfn.MAXIFS(_xlpm.date_col, _xlpm.doc_col, M332, _xlpm.status_col, "&lt;&gt;"),
  IF(_xlpm.has_sub=0, "",
    IF(_xlpm.latest_reviewed_date=0, "",
      _xlfn.LET(
        _xlpm.res, _xlfn.XLOOKUP(1, (_xlpm.doc_col=M332) * (_xlpm.date_col=_xlpm.latest_reviewed_date) * (_xlpm.status_col&lt;&gt;""), _xlpm.status_col, ""),
        IF(OR(_xlpm.res="", _xlpm.res=0), "", _xlpm.res)
      )
    )
  )
))</f>
        <v>AWC</v>
      </c>
    </row>
    <row r="333" spans="1:25" x14ac:dyDescent="0.35">
      <c r="A333" s="33">
        <f>IF($M333="","",MAX($A$1:A332)+1)</f>
        <v>311</v>
      </c>
      <c r="B333" s="23" t="s">
        <v>250</v>
      </c>
      <c r="C333" s="23" t="s">
        <v>257</v>
      </c>
      <c r="G333" s="33">
        <v>131236</v>
      </c>
      <c r="H333" s="33" t="s">
        <v>59</v>
      </c>
      <c r="I333" s="33" t="s">
        <v>297</v>
      </c>
      <c r="J333" s="33" t="s">
        <v>3496</v>
      </c>
      <c r="K333" s="51">
        <v>6014</v>
      </c>
      <c r="M333" s="34" t="str">
        <f t="shared" si="5"/>
        <v>131236-WIL21-DR-P-6014</v>
      </c>
      <c r="N333" s="26" t="s">
        <v>3862</v>
      </c>
      <c r="P333" s="34" t="s">
        <v>3498</v>
      </c>
      <c r="S333" s="35">
        <v>45260</v>
      </c>
      <c r="T333" s="35">
        <v>45266</v>
      </c>
      <c r="U333" s="64" cm="1">
        <f t="array" ref="U333">IF(OR(M333="", M333="Deleted"), "", _xlfn.LET(
  _xlpm.dates,
  _xlfn._xlws.FILTER(
    [1]SubmittalLog!$H$1:$H$4000,
    [1]SubmittalLog!$E$1:$E$4000=M333,
    ""
  ),
  _xlpm.min_date, IFERROR(MIN(_xlpm.dates), ""),
  IF(_xlpm.min_date=0, "", _xlpm.min_date)
))</f>
        <v>45266</v>
      </c>
      <c r="V333" s="63" t="str" cm="1">
        <f t="array" ref="V333">IF(OR(M333="", M333="Deleted"), "", IFERROR(
  _xlfn.TEXTJOIN(", ", TRUE,
    _xlfn.MAP(
      _xlfn.UNIQUE(
        _xlfn._xlws.FILTER(
          [1]SubmittalLog!$B$1:$B$4000,
          ([1]SubmittalLog!$E$1:$E$4000=M333) *
          ([1]SubmittalLog!$B$1:$B$4000&lt;&gt;""),
          ""
        )
      ),
      _xlfn.LAMBDA(_xlpm.val, TEXT(_xlpm.val, "000000"))
    )
  ),
""))</f>
        <v>000398, 000230</v>
      </c>
      <c r="W333" s="40" t="str" cm="1">
        <f t="array" ref="W333">IF(OR(M333="", M333="Deleted"), "", _xlfn.LET(
  _xlpm.doc_col, [1]SubmittalLog!$E$1:$E$4000,
  _xlpm.date_col, [1]SubmittalLog!$H$1:$H$4000,
  _xlpm.status_col, [1]SubmittalLog!$N$1:$N$4000,
  _xlpm.latest_date, _xlfn.MAXIFS(_xlpm.date_col, _xlpm.doc_col, M333),
  IF(_xlpm.latest_date=0, "NFS",
    _xlfn.LET(
      _xlpm.res, _xlfn.XLOOKUP(M333 &amp; "|" &amp; _xlpm.latest_date, _xlpm.doc_col &amp; "|" &amp; _xlpm.date_col, _xlpm.status_col, ""),
      IF(OR(_xlpm.res="", _xlpm.res=0), "", _xlpm.res)
    )
  )
))</f>
        <v>RTR</v>
      </c>
      <c r="X333" s="39">
        <f>IF(OR(M333="", M333="Deleted"), "", _xlfn.LET(
  _xlpm.doc_col, [1]SubmittalLog!$E$1:$E$4000,
  _xlpm.date_col, [1]SubmittalLog!$H$1:$H$4000,
  _xlpm.status_col, [1]SubmittalLog!$O$1:$O$4000,
  _xlpm.first_app_date, _xlfn.MINIFS(_xlpm.date_col, _xlpm.doc_col, M333, _xlpm.status_col, "APP"),
  _xlpm.first_awc_date, _xlfn.MINIFS(_xlpm.date_col, _xlpm.doc_col, M333, _xlpm.status_col, "AWC"),
  _xlpm.earliest_date, IF(
    AND(_xlpm.first_app_date=0, _xlpm.first_awc_date=0), 0,
    IF(_xlpm.first_app_date=0, _xlpm.first_awc_date,
    IF(_xlpm.first_awc_date=0, _xlpm.first_app_date,
    MIN(_xlpm.first_app_date, _xlpm.first_awc_date)))
  ),
  IF(_xlpm.earliest_date=0, "", _xlpm.earliest_date)
))</f>
        <v>45266</v>
      </c>
      <c r="Y333" s="40" t="str" cm="1">
        <f t="array" ref="Y333">IF(OR(M333="", M333="Deleted"), "", _xlfn.LET(
  _xlpm.doc_col, [1]SubmittalLog!$E$1:$E$4000,
  _xlpm.date_col, [1]SubmittalLog!$H$1:$H$4000,
  _xlpm.status_col, [1]SubmittalLog!$O$1:$O$4000,
  _xlpm.has_sub, COUNTIF(_xlpm.doc_col, M333),
  _xlpm.latest_reviewed_date, _xlfn.MAXIFS(_xlpm.date_col, _xlpm.doc_col, M333, _xlpm.status_col, "&lt;&gt;"),
  IF(_xlpm.has_sub=0, "",
    IF(_xlpm.latest_reviewed_date=0, "",
      _xlfn.LET(
        _xlpm.res, _xlfn.XLOOKUP(1, (_xlpm.doc_col=M333) * (_xlpm.date_col=_xlpm.latest_reviewed_date) * (_xlpm.status_col&lt;&gt;""), _xlpm.status_col, ""),
        IF(OR(_xlpm.res="", _xlpm.res=0), "", _xlpm.res)
      )
    )
  )
))</f>
        <v>AWC</v>
      </c>
    </row>
    <row r="334" spans="1:25" x14ac:dyDescent="0.35">
      <c r="A334" s="33">
        <f>IF($M334="","",MAX($A$1:A333)+1)</f>
        <v>312</v>
      </c>
      <c r="B334" s="23" t="s">
        <v>250</v>
      </c>
      <c r="C334" s="23" t="s">
        <v>257</v>
      </c>
      <c r="G334" s="33">
        <v>131236</v>
      </c>
      <c r="H334" s="33" t="s">
        <v>59</v>
      </c>
      <c r="I334" s="33" t="s">
        <v>297</v>
      </c>
      <c r="J334" s="33" t="s">
        <v>3496</v>
      </c>
      <c r="K334" s="51">
        <v>6015</v>
      </c>
      <c r="M334" s="34" t="str">
        <f t="shared" si="5"/>
        <v>131236-WIL21-DR-P-6015</v>
      </c>
      <c r="N334" s="26" t="s">
        <v>3863</v>
      </c>
      <c r="P334" s="34" t="s">
        <v>3498</v>
      </c>
      <c r="S334" s="35">
        <v>45260</v>
      </c>
      <c r="T334" s="35">
        <v>45266</v>
      </c>
      <c r="U334" s="64" cm="1">
        <f t="array" ref="U334">IF(OR(M334="", M334="Deleted"), "", _xlfn.LET(
  _xlpm.dates,
  _xlfn._xlws.FILTER(
    [1]SubmittalLog!$H$1:$H$4000,
    [1]SubmittalLog!$E$1:$E$4000=M334,
    ""
  ),
  _xlpm.min_date, IFERROR(MIN(_xlpm.dates), ""),
  IF(_xlpm.min_date=0, "", _xlpm.min_date)
))</f>
        <v>45266</v>
      </c>
      <c r="V334" s="63" t="str" cm="1">
        <f t="array" ref="V334">IF(OR(M334="", M334="Deleted"), "", IFERROR(
  _xlfn.TEXTJOIN(", ", TRUE,
    _xlfn.MAP(
      _xlfn.UNIQUE(
        _xlfn._xlws.FILTER(
          [1]SubmittalLog!$B$1:$B$4000,
          ([1]SubmittalLog!$E$1:$E$4000=M334) *
          ([1]SubmittalLog!$B$1:$B$4000&lt;&gt;""),
          ""
        )
      ),
      _xlfn.LAMBDA(_xlpm.val, TEXT(_xlpm.val, "000000"))
    )
  ),
""))</f>
        <v>000399, 000230</v>
      </c>
      <c r="W334" s="40" t="str" cm="1">
        <f t="array" ref="W334">IF(OR(M334="", M334="Deleted"), "", _xlfn.LET(
  _xlpm.doc_col, [1]SubmittalLog!$E$1:$E$4000,
  _xlpm.date_col, [1]SubmittalLog!$H$1:$H$4000,
  _xlpm.status_col, [1]SubmittalLog!$N$1:$N$4000,
  _xlpm.latest_date, _xlfn.MAXIFS(_xlpm.date_col, _xlpm.doc_col, M334),
  IF(_xlpm.latest_date=0, "NFS",
    _xlfn.LET(
      _xlpm.res, _xlfn.XLOOKUP(M334 &amp; "|" &amp; _xlpm.latest_date, _xlpm.doc_col &amp; "|" &amp; _xlpm.date_col, _xlpm.status_col, ""),
      IF(OR(_xlpm.res="", _xlpm.res=0), "", _xlpm.res)
    )
  )
))</f>
        <v>RTR</v>
      </c>
      <c r="X334" s="39">
        <f>IF(OR(M334="", M334="Deleted"), "", _xlfn.LET(
  _xlpm.doc_col, [1]SubmittalLog!$E$1:$E$4000,
  _xlpm.date_col, [1]SubmittalLog!$H$1:$H$4000,
  _xlpm.status_col, [1]SubmittalLog!$O$1:$O$4000,
  _xlpm.first_app_date, _xlfn.MINIFS(_xlpm.date_col, _xlpm.doc_col, M334, _xlpm.status_col, "APP"),
  _xlpm.first_awc_date, _xlfn.MINIFS(_xlpm.date_col, _xlpm.doc_col, M334, _xlpm.status_col, "AWC"),
  _xlpm.earliest_date, IF(
    AND(_xlpm.first_app_date=0, _xlpm.first_awc_date=0), 0,
    IF(_xlpm.first_app_date=0, _xlpm.first_awc_date,
    IF(_xlpm.first_awc_date=0, _xlpm.first_app_date,
    MIN(_xlpm.first_app_date, _xlpm.first_awc_date)))
  ),
  IF(_xlpm.earliest_date=0, "", _xlpm.earliest_date)
))</f>
        <v>45266</v>
      </c>
      <c r="Y334" s="40" t="str" cm="1">
        <f t="array" ref="Y334">IF(OR(M334="", M334="Deleted"), "", _xlfn.LET(
  _xlpm.doc_col, [1]SubmittalLog!$E$1:$E$4000,
  _xlpm.date_col, [1]SubmittalLog!$H$1:$H$4000,
  _xlpm.status_col, [1]SubmittalLog!$O$1:$O$4000,
  _xlpm.has_sub, COUNTIF(_xlpm.doc_col, M334),
  _xlpm.latest_reviewed_date, _xlfn.MAXIFS(_xlpm.date_col, _xlpm.doc_col, M334, _xlpm.status_col, "&lt;&gt;"),
  IF(_xlpm.has_sub=0, "",
    IF(_xlpm.latest_reviewed_date=0, "",
      _xlfn.LET(
        _xlpm.res, _xlfn.XLOOKUP(1, (_xlpm.doc_col=M334) * (_xlpm.date_col=_xlpm.latest_reviewed_date) * (_xlpm.status_col&lt;&gt;""), _xlpm.status_col, ""),
        IF(OR(_xlpm.res="", _xlpm.res=0), "", _xlpm.res)
      )
    )
  )
))</f>
        <v>AWC</v>
      </c>
    </row>
    <row r="335" spans="1:25" x14ac:dyDescent="0.35">
      <c r="A335" s="33">
        <f>IF($M335="","",MAX($A$1:A334)+1)</f>
        <v>313</v>
      </c>
      <c r="B335" s="23" t="s">
        <v>250</v>
      </c>
      <c r="C335" s="23" t="s">
        <v>257</v>
      </c>
      <c r="G335" s="33">
        <v>131236</v>
      </c>
      <c r="H335" s="33" t="s">
        <v>59</v>
      </c>
      <c r="I335" s="33" t="s">
        <v>297</v>
      </c>
      <c r="J335" s="33" t="s">
        <v>3496</v>
      </c>
      <c r="K335" s="51">
        <v>6016</v>
      </c>
      <c r="M335" s="34" t="str">
        <f t="shared" si="5"/>
        <v>131236-WIL21-DR-P-6016</v>
      </c>
      <c r="N335" s="26" t="s">
        <v>3864</v>
      </c>
      <c r="P335" s="34" t="s">
        <v>3498</v>
      </c>
      <c r="S335" s="35">
        <v>45260</v>
      </c>
      <c r="T335" s="35">
        <v>45266</v>
      </c>
      <c r="U335" s="64" cm="1">
        <f t="array" ref="U335">IF(OR(M335="", M335="Deleted"), "", _xlfn.LET(
  _xlpm.dates,
  _xlfn._xlws.FILTER(
    [1]SubmittalLog!$H$1:$H$4000,
    [1]SubmittalLog!$E$1:$E$4000=M335,
    ""
  ),
  _xlpm.min_date, IFERROR(MIN(_xlpm.dates), ""),
  IF(_xlpm.min_date=0, "", _xlpm.min_date)
))</f>
        <v>45266</v>
      </c>
      <c r="V335" s="63" t="str" cm="1">
        <f t="array" ref="V335">IF(OR(M335="", M335="Deleted"), "", IFERROR(
  _xlfn.TEXTJOIN(", ", TRUE,
    _xlfn.MAP(
      _xlfn.UNIQUE(
        _xlfn._xlws.FILTER(
          [1]SubmittalLog!$B$1:$B$4000,
          ([1]SubmittalLog!$E$1:$E$4000=M335) *
          ([1]SubmittalLog!$B$1:$B$4000&lt;&gt;""),
          ""
        )
      ),
      _xlfn.LAMBDA(_xlpm.val, TEXT(_xlpm.val, "000000"))
    )
  ),
""))</f>
        <v>000399, 000230</v>
      </c>
      <c r="W335" s="40" t="str" cm="1">
        <f t="array" ref="W335">IF(OR(M335="", M335="Deleted"), "", _xlfn.LET(
  _xlpm.doc_col, [1]SubmittalLog!$E$1:$E$4000,
  _xlpm.date_col, [1]SubmittalLog!$H$1:$H$4000,
  _xlpm.status_col, [1]SubmittalLog!$N$1:$N$4000,
  _xlpm.latest_date, _xlfn.MAXIFS(_xlpm.date_col, _xlpm.doc_col, M335),
  IF(_xlpm.latest_date=0, "NFS",
    _xlfn.LET(
      _xlpm.res, _xlfn.XLOOKUP(M335 &amp; "|" &amp; _xlpm.latest_date, _xlpm.doc_col &amp; "|" &amp; _xlpm.date_col, _xlpm.status_col, ""),
      IF(OR(_xlpm.res="", _xlpm.res=0), "", _xlpm.res)
    )
  )
))</f>
        <v>RTR</v>
      </c>
      <c r="X335" s="39">
        <f>IF(OR(M335="", M335="Deleted"), "", _xlfn.LET(
  _xlpm.doc_col, [1]SubmittalLog!$E$1:$E$4000,
  _xlpm.date_col, [1]SubmittalLog!$H$1:$H$4000,
  _xlpm.status_col, [1]SubmittalLog!$O$1:$O$4000,
  _xlpm.first_app_date, _xlfn.MINIFS(_xlpm.date_col, _xlpm.doc_col, M335, _xlpm.status_col, "APP"),
  _xlpm.first_awc_date, _xlfn.MINIFS(_xlpm.date_col, _xlpm.doc_col, M335, _xlpm.status_col, "AWC"),
  _xlpm.earliest_date, IF(
    AND(_xlpm.first_app_date=0, _xlpm.first_awc_date=0), 0,
    IF(_xlpm.first_app_date=0, _xlpm.first_awc_date,
    IF(_xlpm.first_awc_date=0, _xlpm.first_app_date,
    MIN(_xlpm.first_app_date, _xlpm.first_awc_date)))
  ),
  IF(_xlpm.earliest_date=0, "", _xlpm.earliest_date)
))</f>
        <v>45266</v>
      </c>
      <c r="Y335" s="40" t="str" cm="1">
        <f t="array" ref="Y335">IF(OR(M335="", M335="Deleted"), "", _xlfn.LET(
  _xlpm.doc_col, [1]SubmittalLog!$E$1:$E$4000,
  _xlpm.date_col, [1]SubmittalLog!$H$1:$H$4000,
  _xlpm.status_col, [1]SubmittalLog!$O$1:$O$4000,
  _xlpm.has_sub, COUNTIF(_xlpm.doc_col, M335),
  _xlpm.latest_reviewed_date, _xlfn.MAXIFS(_xlpm.date_col, _xlpm.doc_col, M335, _xlpm.status_col, "&lt;&gt;"),
  IF(_xlpm.has_sub=0, "",
    IF(_xlpm.latest_reviewed_date=0, "",
      _xlfn.LET(
        _xlpm.res, _xlfn.XLOOKUP(1, (_xlpm.doc_col=M335) * (_xlpm.date_col=_xlpm.latest_reviewed_date) * (_xlpm.status_col&lt;&gt;""), _xlpm.status_col, ""),
        IF(OR(_xlpm.res="", _xlpm.res=0), "", _xlpm.res)
      )
    )
  )
))</f>
        <v>AWC</v>
      </c>
    </row>
    <row r="336" spans="1:25" x14ac:dyDescent="0.35">
      <c r="A336" s="33">
        <f>IF($M336="","",MAX($A$1:A335)+1)</f>
        <v>314</v>
      </c>
      <c r="B336" s="23" t="s">
        <v>250</v>
      </c>
      <c r="C336" s="23" t="s">
        <v>257</v>
      </c>
      <c r="G336" s="33">
        <v>131236</v>
      </c>
      <c r="H336" s="33" t="s">
        <v>59</v>
      </c>
      <c r="I336" s="33" t="s">
        <v>297</v>
      </c>
      <c r="J336" s="33" t="s">
        <v>3496</v>
      </c>
      <c r="K336" s="51">
        <v>6017</v>
      </c>
      <c r="M336" s="34" t="str">
        <f t="shared" si="5"/>
        <v>131236-WIL21-DR-P-6017</v>
      </c>
      <c r="N336" s="26" t="s">
        <v>3865</v>
      </c>
      <c r="P336" s="34" t="s">
        <v>3498</v>
      </c>
      <c r="S336" s="35">
        <v>45260</v>
      </c>
      <c r="T336" s="35">
        <v>45266</v>
      </c>
      <c r="U336" s="64" cm="1">
        <f t="array" ref="U336">IF(OR(M336="", M336="Deleted"), "", _xlfn.LET(
  _xlpm.dates,
  _xlfn._xlws.FILTER(
    [1]SubmittalLog!$H$1:$H$4000,
    [1]SubmittalLog!$E$1:$E$4000=M336,
    ""
  ),
  _xlpm.min_date, IFERROR(MIN(_xlpm.dates), ""),
  IF(_xlpm.min_date=0, "", _xlpm.min_date)
))</f>
        <v>45266</v>
      </c>
      <c r="V336" s="63" t="str" cm="1">
        <f t="array" ref="V336">IF(OR(M336="", M336="Deleted"), "", IFERROR(
  _xlfn.TEXTJOIN(", ", TRUE,
    _xlfn.MAP(
      _xlfn.UNIQUE(
        _xlfn._xlws.FILTER(
          [1]SubmittalLog!$B$1:$B$4000,
          ([1]SubmittalLog!$E$1:$E$4000=M336) *
          ([1]SubmittalLog!$B$1:$B$4000&lt;&gt;""),
          ""
        )
      ),
      _xlfn.LAMBDA(_xlpm.val, TEXT(_xlpm.val, "000000"))
    )
  ),
""))</f>
        <v>000399, 000230</v>
      </c>
      <c r="W336" s="40" t="str" cm="1">
        <f t="array" ref="W336">IF(OR(M336="", M336="Deleted"), "", _xlfn.LET(
  _xlpm.doc_col, [1]SubmittalLog!$E$1:$E$4000,
  _xlpm.date_col, [1]SubmittalLog!$H$1:$H$4000,
  _xlpm.status_col, [1]SubmittalLog!$N$1:$N$4000,
  _xlpm.latest_date, _xlfn.MAXIFS(_xlpm.date_col, _xlpm.doc_col, M336),
  IF(_xlpm.latest_date=0, "NFS",
    _xlfn.LET(
      _xlpm.res, _xlfn.XLOOKUP(M336 &amp; "|" &amp; _xlpm.latest_date, _xlpm.doc_col &amp; "|" &amp; _xlpm.date_col, _xlpm.status_col, ""),
      IF(OR(_xlpm.res="", _xlpm.res=0), "", _xlpm.res)
    )
  )
))</f>
        <v>RTR</v>
      </c>
      <c r="X336" s="39">
        <f>IF(OR(M336="", M336="Deleted"), "", _xlfn.LET(
  _xlpm.doc_col, [1]SubmittalLog!$E$1:$E$4000,
  _xlpm.date_col, [1]SubmittalLog!$H$1:$H$4000,
  _xlpm.status_col, [1]SubmittalLog!$O$1:$O$4000,
  _xlpm.first_app_date, _xlfn.MINIFS(_xlpm.date_col, _xlpm.doc_col, M336, _xlpm.status_col, "APP"),
  _xlpm.first_awc_date, _xlfn.MINIFS(_xlpm.date_col, _xlpm.doc_col, M336, _xlpm.status_col, "AWC"),
  _xlpm.earliest_date, IF(
    AND(_xlpm.first_app_date=0, _xlpm.first_awc_date=0), 0,
    IF(_xlpm.first_app_date=0, _xlpm.first_awc_date,
    IF(_xlpm.first_awc_date=0, _xlpm.first_app_date,
    MIN(_xlpm.first_app_date, _xlpm.first_awc_date)))
  ),
  IF(_xlpm.earliest_date=0, "", _xlpm.earliest_date)
))</f>
        <v>45266</v>
      </c>
      <c r="Y336" s="40" t="str" cm="1">
        <f t="array" ref="Y336">IF(OR(M336="", M336="Deleted"), "", _xlfn.LET(
  _xlpm.doc_col, [1]SubmittalLog!$E$1:$E$4000,
  _xlpm.date_col, [1]SubmittalLog!$H$1:$H$4000,
  _xlpm.status_col, [1]SubmittalLog!$O$1:$O$4000,
  _xlpm.has_sub, COUNTIF(_xlpm.doc_col, M336),
  _xlpm.latest_reviewed_date, _xlfn.MAXIFS(_xlpm.date_col, _xlpm.doc_col, M336, _xlpm.status_col, "&lt;&gt;"),
  IF(_xlpm.has_sub=0, "",
    IF(_xlpm.latest_reviewed_date=0, "",
      _xlfn.LET(
        _xlpm.res, _xlfn.XLOOKUP(1, (_xlpm.doc_col=M336) * (_xlpm.date_col=_xlpm.latest_reviewed_date) * (_xlpm.status_col&lt;&gt;""), _xlpm.status_col, ""),
        IF(OR(_xlpm.res="", _xlpm.res=0), "", _xlpm.res)
      )
    )
  )
))</f>
        <v>AWC</v>
      </c>
    </row>
    <row r="337" spans="1:25" x14ac:dyDescent="0.35">
      <c r="A337" s="33">
        <f>IF($M337="","",MAX($A$1:A336)+1)</f>
        <v>315</v>
      </c>
      <c r="B337" s="23" t="s">
        <v>250</v>
      </c>
      <c r="C337" s="23" t="s">
        <v>257</v>
      </c>
      <c r="G337" s="33">
        <v>131236</v>
      </c>
      <c r="H337" s="33" t="s">
        <v>59</v>
      </c>
      <c r="I337" s="33" t="s">
        <v>297</v>
      </c>
      <c r="J337" s="33" t="s">
        <v>3496</v>
      </c>
      <c r="K337" s="51">
        <v>6018</v>
      </c>
      <c r="M337" s="34" t="str">
        <f t="shared" si="5"/>
        <v>131236-WIL21-DR-P-6018</v>
      </c>
      <c r="N337" s="26" t="s">
        <v>3866</v>
      </c>
      <c r="P337" s="34" t="s">
        <v>3498</v>
      </c>
      <c r="S337" s="35">
        <v>45260</v>
      </c>
      <c r="T337" s="35">
        <v>45266</v>
      </c>
      <c r="U337" s="64" cm="1">
        <f t="array" ref="U337">IF(OR(M337="", M337="Deleted"), "", _xlfn.LET(
  _xlpm.dates,
  _xlfn._xlws.FILTER(
    [1]SubmittalLog!$H$1:$H$4000,
    [1]SubmittalLog!$E$1:$E$4000=M337,
    ""
  ),
  _xlpm.min_date, IFERROR(MIN(_xlpm.dates), ""),
  IF(_xlpm.min_date=0, "", _xlpm.min_date)
))</f>
        <v>45266</v>
      </c>
      <c r="V337" s="63" t="str" cm="1">
        <f t="array" ref="V337">IF(OR(M337="", M337="Deleted"), "", IFERROR(
  _xlfn.TEXTJOIN(", ", TRUE,
    _xlfn.MAP(
      _xlfn.UNIQUE(
        _xlfn._xlws.FILTER(
          [1]SubmittalLog!$B$1:$B$4000,
          ([1]SubmittalLog!$E$1:$E$4000=M337) *
          ([1]SubmittalLog!$B$1:$B$4000&lt;&gt;""),
          ""
        )
      ),
      _xlfn.LAMBDA(_xlpm.val, TEXT(_xlpm.val, "000000"))
    )
  ),
""))</f>
        <v>000399, 000230</v>
      </c>
      <c r="W337" s="40" t="str" cm="1">
        <f t="array" ref="W337">IF(OR(M337="", M337="Deleted"), "", _xlfn.LET(
  _xlpm.doc_col, [1]SubmittalLog!$E$1:$E$4000,
  _xlpm.date_col, [1]SubmittalLog!$H$1:$H$4000,
  _xlpm.status_col, [1]SubmittalLog!$N$1:$N$4000,
  _xlpm.latest_date, _xlfn.MAXIFS(_xlpm.date_col, _xlpm.doc_col, M337),
  IF(_xlpm.latest_date=0, "NFS",
    _xlfn.LET(
      _xlpm.res, _xlfn.XLOOKUP(M337 &amp; "|" &amp; _xlpm.latest_date, _xlpm.doc_col &amp; "|" &amp; _xlpm.date_col, _xlpm.status_col, ""),
      IF(OR(_xlpm.res="", _xlpm.res=0), "", _xlpm.res)
    )
  )
))</f>
        <v>RTR</v>
      </c>
      <c r="X337" s="39">
        <f>IF(OR(M337="", M337="Deleted"), "", _xlfn.LET(
  _xlpm.doc_col, [1]SubmittalLog!$E$1:$E$4000,
  _xlpm.date_col, [1]SubmittalLog!$H$1:$H$4000,
  _xlpm.status_col, [1]SubmittalLog!$O$1:$O$4000,
  _xlpm.first_app_date, _xlfn.MINIFS(_xlpm.date_col, _xlpm.doc_col, M337, _xlpm.status_col, "APP"),
  _xlpm.first_awc_date, _xlfn.MINIFS(_xlpm.date_col, _xlpm.doc_col, M337, _xlpm.status_col, "AWC"),
  _xlpm.earliest_date, IF(
    AND(_xlpm.first_app_date=0, _xlpm.first_awc_date=0), 0,
    IF(_xlpm.first_app_date=0, _xlpm.first_awc_date,
    IF(_xlpm.first_awc_date=0, _xlpm.first_app_date,
    MIN(_xlpm.first_app_date, _xlpm.first_awc_date)))
  ),
  IF(_xlpm.earliest_date=0, "", _xlpm.earliest_date)
))</f>
        <v>45266</v>
      </c>
      <c r="Y337" s="40" t="str" cm="1">
        <f t="array" ref="Y337">IF(OR(M337="", M337="Deleted"), "", _xlfn.LET(
  _xlpm.doc_col, [1]SubmittalLog!$E$1:$E$4000,
  _xlpm.date_col, [1]SubmittalLog!$H$1:$H$4000,
  _xlpm.status_col, [1]SubmittalLog!$O$1:$O$4000,
  _xlpm.has_sub, COUNTIF(_xlpm.doc_col, M337),
  _xlpm.latest_reviewed_date, _xlfn.MAXIFS(_xlpm.date_col, _xlpm.doc_col, M337, _xlpm.status_col, "&lt;&gt;"),
  IF(_xlpm.has_sub=0, "",
    IF(_xlpm.latest_reviewed_date=0, "",
      _xlfn.LET(
        _xlpm.res, _xlfn.XLOOKUP(1, (_xlpm.doc_col=M337) * (_xlpm.date_col=_xlpm.latest_reviewed_date) * (_xlpm.status_col&lt;&gt;""), _xlpm.status_col, ""),
        IF(OR(_xlpm.res="", _xlpm.res=0), "", _xlpm.res)
      )
    )
  )
))</f>
        <v>AWC</v>
      </c>
    </row>
    <row r="338" spans="1:25" x14ac:dyDescent="0.35">
      <c r="A338" s="33">
        <f>IF($M338="","",MAX($A$1:A337)+1)</f>
        <v>316</v>
      </c>
      <c r="B338" s="23" t="s">
        <v>250</v>
      </c>
      <c r="C338" s="23" t="s">
        <v>257</v>
      </c>
      <c r="G338" s="33">
        <v>131236</v>
      </c>
      <c r="H338" s="33" t="s">
        <v>59</v>
      </c>
      <c r="I338" s="33" t="s">
        <v>297</v>
      </c>
      <c r="J338" s="33" t="s">
        <v>3496</v>
      </c>
      <c r="K338" s="51">
        <v>6019</v>
      </c>
      <c r="M338" s="34" t="str">
        <f t="shared" si="5"/>
        <v>131236-WIL21-DR-P-6019</v>
      </c>
      <c r="N338" s="26" t="s">
        <v>3867</v>
      </c>
      <c r="P338" s="34" t="s">
        <v>3498</v>
      </c>
      <c r="S338" s="35">
        <v>45260</v>
      </c>
      <c r="T338" s="35">
        <v>45301</v>
      </c>
      <c r="U338" s="64" cm="1">
        <f t="array" ref="U338">IF(OR(M338="", M338="Deleted"), "", _xlfn.LET(
  _xlpm.dates,
  _xlfn._xlws.FILTER(
    [1]SubmittalLog!$H$1:$H$4000,
    [1]SubmittalLog!$E$1:$E$4000=M338,
    ""
  ),
  _xlpm.min_date, IFERROR(MIN(_xlpm.dates), ""),
  IF(_xlpm.min_date=0, "", _xlpm.min_date)
))</f>
        <v>45301</v>
      </c>
      <c r="V338" s="63" t="str" cm="1">
        <f t="array" ref="V338">IF(OR(M338="", M338="Deleted"), "", IFERROR(
  _xlfn.TEXTJOIN(", ", TRUE,
    _xlfn.MAP(
      _xlfn.UNIQUE(
        _xlfn._xlws.FILTER(
          [1]SubmittalLog!$B$1:$B$4000,
          ([1]SubmittalLog!$E$1:$E$4000=M338) *
          ([1]SubmittalLog!$B$1:$B$4000&lt;&gt;""),
          ""
        )
      ),
      _xlfn.LAMBDA(_xlpm.val, TEXT(_xlpm.val, "000000"))
    )
  ),
""))</f>
        <v>000399, 000230</v>
      </c>
      <c r="W338" s="40" t="str" cm="1">
        <f t="array" ref="W338">IF(OR(M338="", M338="Deleted"), "", _xlfn.LET(
  _xlpm.doc_col, [1]SubmittalLog!$E$1:$E$4000,
  _xlpm.date_col, [1]SubmittalLog!$H$1:$H$4000,
  _xlpm.status_col, [1]SubmittalLog!$N$1:$N$4000,
  _xlpm.latest_date, _xlfn.MAXIFS(_xlpm.date_col, _xlpm.doc_col, M338),
  IF(_xlpm.latest_date=0, "NFS",
    _xlfn.LET(
      _xlpm.res, _xlfn.XLOOKUP(M338 &amp; "|" &amp; _xlpm.latest_date, _xlpm.doc_col &amp; "|" &amp; _xlpm.date_col, _xlpm.status_col, ""),
      IF(OR(_xlpm.res="", _xlpm.res=0), "", _xlpm.res)
    )
  )
))</f>
        <v>RTR</v>
      </c>
      <c r="X338" s="39">
        <f>IF(OR(M338="", M338="Deleted"), "", _xlfn.LET(
  _xlpm.doc_col, [1]SubmittalLog!$E$1:$E$4000,
  _xlpm.date_col, [1]SubmittalLog!$H$1:$H$4000,
  _xlpm.status_col, [1]SubmittalLog!$O$1:$O$4000,
  _xlpm.first_app_date, _xlfn.MINIFS(_xlpm.date_col, _xlpm.doc_col, M338, _xlpm.status_col, "APP"),
  _xlpm.first_awc_date, _xlfn.MINIFS(_xlpm.date_col, _xlpm.doc_col, M338, _xlpm.status_col, "AWC"),
  _xlpm.earliest_date, IF(
    AND(_xlpm.first_app_date=0, _xlpm.first_awc_date=0), 0,
    IF(_xlpm.first_app_date=0, _xlpm.first_awc_date,
    IF(_xlpm.first_awc_date=0, _xlpm.first_app_date,
    MIN(_xlpm.first_app_date, _xlpm.first_awc_date)))
  ),
  IF(_xlpm.earliest_date=0, "", _xlpm.earliest_date)
))</f>
        <v>45301</v>
      </c>
      <c r="Y338" s="40" t="str" cm="1">
        <f t="array" ref="Y338">IF(OR(M338="", M338="Deleted"), "", _xlfn.LET(
  _xlpm.doc_col, [1]SubmittalLog!$E$1:$E$4000,
  _xlpm.date_col, [1]SubmittalLog!$H$1:$H$4000,
  _xlpm.status_col, [1]SubmittalLog!$O$1:$O$4000,
  _xlpm.has_sub, COUNTIF(_xlpm.doc_col, M338),
  _xlpm.latest_reviewed_date, _xlfn.MAXIFS(_xlpm.date_col, _xlpm.doc_col, M338, _xlpm.status_col, "&lt;&gt;"),
  IF(_xlpm.has_sub=0, "",
    IF(_xlpm.latest_reviewed_date=0, "",
      _xlfn.LET(
        _xlpm.res, _xlfn.XLOOKUP(1, (_xlpm.doc_col=M338) * (_xlpm.date_col=_xlpm.latest_reviewed_date) * (_xlpm.status_col&lt;&gt;""), _xlpm.status_col, ""),
        IF(OR(_xlpm.res="", _xlpm.res=0), "", _xlpm.res)
      )
    )
  )
))</f>
        <v>AWC</v>
      </c>
    </row>
    <row r="339" spans="1:25" x14ac:dyDescent="0.35">
      <c r="A339" s="33">
        <f>IF($M339="","",MAX($A$1:A338)+1)</f>
        <v>317</v>
      </c>
      <c r="B339" s="23" t="s">
        <v>250</v>
      </c>
      <c r="C339" s="23" t="s">
        <v>257</v>
      </c>
      <c r="G339" s="33">
        <v>131236</v>
      </c>
      <c r="H339" s="33" t="s">
        <v>59</v>
      </c>
      <c r="I339" s="33" t="s">
        <v>297</v>
      </c>
      <c r="J339" s="33" t="s">
        <v>3496</v>
      </c>
      <c r="K339" s="51">
        <v>6020</v>
      </c>
      <c r="M339" s="34" t="str">
        <f t="shared" si="5"/>
        <v>131236-WIL21-DR-P-6020</v>
      </c>
      <c r="N339" s="26" t="s">
        <v>3868</v>
      </c>
      <c r="P339" s="34" t="s">
        <v>3498</v>
      </c>
      <c r="S339" s="35">
        <v>45260</v>
      </c>
      <c r="T339" s="35">
        <v>45301</v>
      </c>
      <c r="U339" s="64" cm="1">
        <f t="array" ref="U339">IF(OR(M339="", M339="Deleted"), "", _xlfn.LET(
  _xlpm.dates,
  _xlfn._xlws.FILTER(
    [1]SubmittalLog!$H$1:$H$4000,
    [1]SubmittalLog!$E$1:$E$4000=M339,
    ""
  ),
  _xlpm.min_date, IFERROR(MIN(_xlpm.dates), ""),
  IF(_xlpm.min_date=0, "", _xlpm.min_date)
))</f>
        <v>45301</v>
      </c>
      <c r="V339" s="63" t="str" cm="1">
        <f t="array" ref="V339">IF(OR(M339="", M339="Deleted"), "", IFERROR(
  _xlfn.TEXTJOIN(", ", TRUE,
    _xlfn.MAP(
      _xlfn.UNIQUE(
        _xlfn._xlws.FILTER(
          [1]SubmittalLog!$B$1:$B$4000,
          ([1]SubmittalLog!$E$1:$E$4000=M339) *
          ([1]SubmittalLog!$B$1:$B$4000&lt;&gt;""),
          ""
        )
      ),
      _xlfn.LAMBDA(_xlpm.val, TEXT(_xlpm.val, "000000"))
    )
  ),
""))</f>
        <v>000399, 000230</v>
      </c>
      <c r="W339" s="40" t="str" cm="1">
        <f t="array" ref="W339">IF(OR(M339="", M339="Deleted"), "", _xlfn.LET(
  _xlpm.doc_col, [1]SubmittalLog!$E$1:$E$4000,
  _xlpm.date_col, [1]SubmittalLog!$H$1:$H$4000,
  _xlpm.status_col, [1]SubmittalLog!$N$1:$N$4000,
  _xlpm.latest_date, _xlfn.MAXIFS(_xlpm.date_col, _xlpm.doc_col, M339),
  IF(_xlpm.latest_date=0, "NFS",
    _xlfn.LET(
      _xlpm.res, _xlfn.XLOOKUP(M339 &amp; "|" &amp; _xlpm.latest_date, _xlpm.doc_col &amp; "|" &amp; _xlpm.date_col, _xlpm.status_col, ""),
      IF(OR(_xlpm.res="", _xlpm.res=0), "", _xlpm.res)
    )
  )
))</f>
        <v>RTR</v>
      </c>
      <c r="X339" s="39">
        <f>IF(OR(M339="", M339="Deleted"), "", _xlfn.LET(
  _xlpm.doc_col, [1]SubmittalLog!$E$1:$E$4000,
  _xlpm.date_col, [1]SubmittalLog!$H$1:$H$4000,
  _xlpm.status_col, [1]SubmittalLog!$O$1:$O$4000,
  _xlpm.first_app_date, _xlfn.MINIFS(_xlpm.date_col, _xlpm.doc_col, M339, _xlpm.status_col, "APP"),
  _xlpm.first_awc_date, _xlfn.MINIFS(_xlpm.date_col, _xlpm.doc_col, M339, _xlpm.status_col, "AWC"),
  _xlpm.earliest_date, IF(
    AND(_xlpm.first_app_date=0, _xlpm.first_awc_date=0), 0,
    IF(_xlpm.first_app_date=0, _xlpm.first_awc_date,
    IF(_xlpm.first_awc_date=0, _xlpm.first_app_date,
    MIN(_xlpm.first_app_date, _xlpm.first_awc_date)))
  ),
  IF(_xlpm.earliest_date=0, "", _xlpm.earliest_date)
))</f>
        <v>45301</v>
      </c>
      <c r="Y339" s="40" t="str" cm="1">
        <f t="array" ref="Y339">IF(OR(M339="", M339="Deleted"), "", _xlfn.LET(
  _xlpm.doc_col, [1]SubmittalLog!$E$1:$E$4000,
  _xlpm.date_col, [1]SubmittalLog!$H$1:$H$4000,
  _xlpm.status_col, [1]SubmittalLog!$O$1:$O$4000,
  _xlpm.has_sub, COUNTIF(_xlpm.doc_col, M339),
  _xlpm.latest_reviewed_date, _xlfn.MAXIFS(_xlpm.date_col, _xlpm.doc_col, M339, _xlpm.status_col, "&lt;&gt;"),
  IF(_xlpm.has_sub=0, "",
    IF(_xlpm.latest_reviewed_date=0, "",
      _xlfn.LET(
        _xlpm.res, _xlfn.XLOOKUP(1, (_xlpm.doc_col=M339) * (_xlpm.date_col=_xlpm.latest_reviewed_date) * (_xlpm.status_col&lt;&gt;""), _xlpm.status_col, ""),
        IF(OR(_xlpm.res="", _xlpm.res=0), "", _xlpm.res)
      )
    )
  )
))</f>
        <v>AWC</v>
      </c>
    </row>
    <row r="340" spans="1:25" x14ac:dyDescent="0.35">
      <c r="A340" s="33">
        <f>IF($M340="","",MAX($A$1:A339)+1)</f>
        <v>318</v>
      </c>
      <c r="B340" s="23" t="s">
        <v>250</v>
      </c>
      <c r="C340" s="23" t="s">
        <v>257</v>
      </c>
      <c r="G340" s="33">
        <v>131236</v>
      </c>
      <c r="H340" s="33" t="s">
        <v>59</v>
      </c>
      <c r="I340" s="33" t="s">
        <v>297</v>
      </c>
      <c r="J340" s="33" t="s">
        <v>3496</v>
      </c>
      <c r="K340" s="51">
        <v>6021</v>
      </c>
      <c r="M340" s="34" t="str">
        <f t="shared" si="5"/>
        <v>131236-WIL21-DR-P-6021</v>
      </c>
      <c r="N340" s="26" t="s">
        <v>3869</v>
      </c>
      <c r="P340" s="34" t="s">
        <v>3498</v>
      </c>
      <c r="S340" s="35">
        <v>45260</v>
      </c>
      <c r="T340" s="35">
        <v>45301</v>
      </c>
      <c r="U340" s="64" cm="1">
        <f t="array" ref="U340">IF(OR(M340="", M340="Deleted"), "", _xlfn.LET(
  _xlpm.dates,
  _xlfn._xlws.FILTER(
    [1]SubmittalLog!$H$1:$H$4000,
    [1]SubmittalLog!$E$1:$E$4000=M340,
    ""
  ),
  _xlpm.min_date, IFERROR(MIN(_xlpm.dates), ""),
  IF(_xlpm.min_date=0, "", _xlpm.min_date)
))</f>
        <v>45301</v>
      </c>
      <c r="V340" s="63" t="str" cm="1">
        <f t="array" ref="V340">IF(OR(M340="", M340="Deleted"), "", IFERROR(
  _xlfn.TEXTJOIN(", ", TRUE,
    _xlfn.MAP(
      _xlfn.UNIQUE(
        _xlfn._xlws.FILTER(
          [1]SubmittalLog!$B$1:$B$4000,
          ([1]SubmittalLog!$E$1:$E$4000=M340) *
          ([1]SubmittalLog!$B$1:$B$4000&lt;&gt;""),
          ""
        )
      ),
      _xlfn.LAMBDA(_xlpm.val, TEXT(_xlpm.val, "000000"))
    )
  ),
""))</f>
        <v>000230</v>
      </c>
      <c r="W340" s="40" t="str" cm="1">
        <f t="array" ref="W340">IF(OR(M340="", M340="Deleted"), "", _xlfn.LET(
  _xlpm.doc_col, [1]SubmittalLog!$E$1:$E$4000,
  _xlpm.date_col, [1]SubmittalLog!$H$1:$H$4000,
  _xlpm.status_col, [1]SubmittalLog!$N$1:$N$4000,
  _xlpm.latest_date, _xlfn.MAXIFS(_xlpm.date_col, _xlpm.doc_col, M340),
  IF(_xlpm.latest_date=0, "NFS",
    _xlfn.LET(
      _xlpm.res, _xlfn.XLOOKUP(M340 &amp; "|" &amp; _xlpm.latest_date, _xlpm.doc_col &amp; "|" &amp; _xlpm.date_col, _xlpm.status_col, ""),
      IF(OR(_xlpm.res="", _xlpm.res=0), "", _xlpm.res)
    )
  )
))</f>
        <v>RTR</v>
      </c>
      <c r="X340" s="39">
        <f>IF(OR(M340="", M340="Deleted"), "", _xlfn.LET(
  _xlpm.doc_col, [1]SubmittalLog!$E$1:$E$4000,
  _xlpm.date_col, [1]SubmittalLog!$H$1:$H$4000,
  _xlpm.status_col, [1]SubmittalLog!$O$1:$O$4000,
  _xlpm.first_app_date, _xlfn.MINIFS(_xlpm.date_col, _xlpm.doc_col, M340, _xlpm.status_col, "APP"),
  _xlpm.first_awc_date, _xlfn.MINIFS(_xlpm.date_col, _xlpm.doc_col, M340, _xlpm.status_col, "AWC"),
  _xlpm.earliest_date, IF(
    AND(_xlpm.first_app_date=0, _xlpm.first_awc_date=0), 0,
    IF(_xlpm.first_app_date=0, _xlpm.first_awc_date,
    IF(_xlpm.first_awc_date=0, _xlpm.first_app_date,
    MIN(_xlpm.first_app_date, _xlpm.first_awc_date)))
  ),
  IF(_xlpm.earliest_date=0, "", _xlpm.earliest_date)
))</f>
        <v>45301</v>
      </c>
      <c r="Y340" s="40" t="str" cm="1">
        <f t="array" ref="Y340">IF(OR(M340="", M340="Deleted"), "", _xlfn.LET(
  _xlpm.doc_col, [1]SubmittalLog!$E$1:$E$4000,
  _xlpm.date_col, [1]SubmittalLog!$H$1:$H$4000,
  _xlpm.status_col, [1]SubmittalLog!$O$1:$O$4000,
  _xlpm.has_sub, COUNTIF(_xlpm.doc_col, M340),
  _xlpm.latest_reviewed_date, _xlfn.MAXIFS(_xlpm.date_col, _xlpm.doc_col, M340, _xlpm.status_col, "&lt;&gt;"),
  IF(_xlpm.has_sub=0, "",
    IF(_xlpm.latest_reviewed_date=0, "",
      _xlfn.LET(
        _xlpm.res, _xlfn.XLOOKUP(1, (_xlpm.doc_col=M340) * (_xlpm.date_col=_xlpm.latest_reviewed_date) * (_xlpm.status_col&lt;&gt;""), _xlpm.status_col, ""),
        IF(OR(_xlpm.res="", _xlpm.res=0), "", _xlpm.res)
      )
    )
  )
))</f>
        <v>AWC</v>
      </c>
    </row>
    <row r="341" spans="1:25" x14ac:dyDescent="0.35">
      <c r="A341" s="33">
        <f>IF($M341="","",MAX($A$1:A340)+1)</f>
        <v>319</v>
      </c>
      <c r="B341" s="23" t="s">
        <v>250</v>
      </c>
      <c r="C341" s="23" t="s">
        <v>257</v>
      </c>
      <c r="G341" s="33">
        <v>131236</v>
      </c>
      <c r="H341" s="33" t="s">
        <v>59</v>
      </c>
      <c r="I341" s="33" t="s">
        <v>297</v>
      </c>
      <c r="J341" s="33" t="s">
        <v>3496</v>
      </c>
      <c r="K341" s="51">
        <v>6022</v>
      </c>
      <c r="M341" s="34" t="str">
        <f t="shared" si="5"/>
        <v>131236-WIL21-DR-P-6022</v>
      </c>
      <c r="N341" s="26" t="s">
        <v>3870</v>
      </c>
      <c r="P341" s="34" t="s">
        <v>3498</v>
      </c>
      <c r="S341" s="35">
        <v>45260</v>
      </c>
      <c r="T341" s="35">
        <v>45301</v>
      </c>
      <c r="U341" s="64" cm="1">
        <f t="array" ref="U341">IF(OR(M341="", M341="Deleted"), "", _xlfn.LET(
  _xlpm.dates,
  _xlfn._xlws.FILTER(
    [1]SubmittalLog!$H$1:$H$4000,
    [1]SubmittalLog!$E$1:$E$4000=M341,
    ""
  ),
  _xlpm.min_date, IFERROR(MIN(_xlpm.dates), ""),
  IF(_xlpm.min_date=0, "", _xlpm.min_date)
))</f>
        <v>45301</v>
      </c>
      <c r="V341" s="63" t="str" cm="1">
        <f t="array" ref="V341">IF(OR(M341="", M341="Deleted"), "", IFERROR(
  _xlfn.TEXTJOIN(", ", TRUE,
    _xlfn.MAP(
      _xlfn.UNIQUE(
        _xlfn._xlws.FILTER(
          [1]SubmittalLog!$B$1:$B$4000,
          ([1]SubmittalLog!$E$1:$E$4000=M341) *
          ([1]SubmittalLog!$B$1:$B$4000&lt;&gt;""),
          ""
        )
      ),
      _xlfn.LAMBDA(_xlpm.val, TEXT(_xlpm.val, "000000"))
    )
  ),
""))</f>
        <v>000230</v>
      </c>
      <c r="W341" s="40" t="str" cm="1">
        <f t="array" ref="W341">IF(OR(M341="", M341="Deleted"), "", _xlfn.LET(
  _xlpm.doc_col, [1]SubmittalLog!$E$1:$E$4000,
  _xlpm.date_col, [1]SubmittalLog!$H$1:$H$4000,
  _xlpm.status_col, [1]SubmittalLog!$N$1:$N$4000,
  _xlpm.latest_date, _xlfn.MAXIFS(_xlpm.date_col, _xlpm.doc_col, M341),
  IF(_xlpm.latest_date=0, "NFS",
    _xlfn.LET(
      _xlpm.res, _xlfn.XLOOKUP(M341 &amp; "|" &amp; _xlpm.latest_date, _xlpm.doc_col &amp; "|" &amp; _xlpm.date_col, _xlpm.status_col, ""),
      IF(OR(_xlpm.res="", _xlpm.res=0), "", _xlpm.res)
    )
  )
))</f>
        <v>RTR</v>
      </c>
      <c r="X341" s="39">
        <f>IF(OR(M341="", M341="Deleted"), "", _xlfn.LET(
  _xlpm.doc_col, [1]SubmittalLog!$E$1:$E$4000,
  _xlpm.date_col, [1]SubmittalLog!$H$1:$H$4000,
  _xlpm.status_col, [1]SubmittalLog!$O$1:$O$4000,
  _xlpm.first_app_date, _xlfn.MINIFS(_xlpm.date_col, _xlpm.doc_col, M341, _xlpm.status_col, "APP"),
  _xlpm.first_awc_date, _xlfn.MINIFS(_xlpm.date_col, _xlpm.doc_col, M341, _xlpm.status_col, "AWC"),
  _xlpm.earliest_date, IF(
    AND(_xlpm.first_app_date=0, _xlpm.first_awc_date=0), 0,
    IF(_xlpm.first_app_date=0, _xlpm.first_awc_date,
    IF(_xlpm.first_awc_date=0, _xlpm.first_app_date,
    MIN(_xlpm.first_app_date, _xlpm.first_awc_date)))
  ),
  IF(_xlpm.earliest_date=0, "", _xlpm.earliest_date)
))</f>
        <v>45301</v>
      </c>
      <c r="Y341" s="40" t="str" cm="1">
        <f t="array" ref="Y341">IF(OR(M341="", M341="Deleted"), "", _xlfn.LET(
  _xlpm.doc_col, [1]SubmittalLog!$E$1:$E$4000,
  _xlpm.date_col, [1]SubmittalLog!$H$1:$H$4000,
  _xlpm.status_col, [1]SubmittalLog!$O$1:$O$4000,
  _xlpm.has_sub, COUNTIF(_xlpm.doc_col, M341),
  _xlpm.latest_reviewed_date, _xlfn.MAXIFS(_xlpm.date_col, _xlpm.doc_col, M341, _xlpm.status_col, "&lt;&gt;"),
  IF(_xlpm.has_sub=0, "",
    IF(_xlpm.latest_reviewed_date=0, "",
      _xlfn.LET(
        _xlpm.res, _xlfn.XLOOKUP(1, (_xlpm.doc_col=M341) * (_xlpm.date_col=_xlpm.latest_reviewed_date) * (_xlpm.status_col&lt;&gt;""), _xlpm.status_col, ""),
        IF(OR(_xlpm.res="", _xlpm.res=0), "", _xlpm.res)
      )
    )
  )
))</f>
        <v>AWC</v>
      </c>
    </row>
    <row r="342" spans="1:25" x14ac:dyDescent="0.35">
      <c r="A342" s="33">
        <f>IF($M342="","",MAX($A$1:A341)+1)</f>
        <v>320</v>
      </c>
      <c r="B342" s="23" t="s">
        <v>250</v>
      </c>
      <c r="C342" s="23" t="s">
        <v>257</v>
      </c>
      <c r="G342" s="33">
        <v>131236</v>
      </c>
      <c r="H342" s="33" t="s">
        <v>59</v>
      </c>
      <c r="I342" s="33" t="s">
        <v>297</v>
      </c>
      <c r="J342" s="33" t="s">
        <v>3496</v>
      </c>
      <c r="K342" s="51">
        <v>6023</v>
      </c>
      <c r="M342" s="34" t="str">
        <f t="shared" si="5"/>
        <v>131236-WIL21-DR-P-6023</v>
      </c>
      <c r="N342" s="26" t="s">
        <v>3871</v>
      </c>
      <c r="P342" s="34" t="s">
        <v>3498</v>
      </c>
      <c r="S342" s="35">
        <v>45260</v>
      </c>
      <c r="T342" s="35">
        <v>45301</v>
      </c>
      <c r="U342" s="64" cm="1">
        <f t="array" ref="U342">IF(OR(M342="", M342="Deleted"), "", _xlfn.LET(
  _xlpm.dates,
  _xlfn._xlws.FILTER(
    [1]SubmittalLog!$H$1:$H$4000,
    [1]SubmittalLog!$E$1:$E$4000=M342,
    ""
  ),
  _xlpm.min_date, IFERROR(MIN(_xlpm.dates), ""),
  IF(_xlpm.min_date=0, "", _xlpm.min_date)
))</f>
        <v>45301</v>
      </c>
      <c r="V342" s="63" t="str" cm="1">
        <f t="array" ref="V342">IF(OR(M342="", M342="Deleted"), "", IFERROR(
  _xlfn.TEXTJOIN(", ", TRUE,
    _xlfn.MAP(
      _xlfn.UNIQUE(
        _xlfn._xlws.FILTER(
          [1]SubmittalLog!$B$1:$B$4000,
          ([1]SubmittalLog!$E$1:$E$4000=M342) *
          ([1]SubmittalLog!$B$1:$B$4000&lt;&gt;""),
          ""
        )
      ),
      _xlfn.LAMBDA(_xlpm.val, TEXT(_xlpm.val, "000000"))
    )
  ),
""))</f>
        <v>000230</v>
      </c>
      <c r="W342" s="40" t="str" cm="1">
        <f t="array" ref="W342">IF(OR(M342="", M342="Deleted"), "", _xlfn.LET(
  _xlpm.doc_col, [1]SubmittalLog!$E$1:$E$4000,
  _xlpm.date_col, [1]SubmittalLog!$H$1:$H$4000,
  _xlpm.status_col, [1]SubmittalLog!$N$1:$N$4000,
  _xlpm.latest_date, _xlfn.MAXIFS(_xlpm.date_col, _xlpm.doc_col, M342),
  IF(_xlpm.latest_date=0, "NFS",
    _xlfn.LET(
      _xlpm.res, _xlfn.XLOOKUP(M342 &amp; "|" &amp; _xlpm.latest_date, _xlpm.doc_col &amp; "|" &amp; _xlpm.date_col, _xlpm.status_col, ""),
      IF(OR(_xlpm.res="", _xlpm.res=0), "", _xlpm.res)
    )
  )
))</f>
        <v>RTR</v>
      </c>
      <c r="X342" s="39">
        <f>IF(OR(M342="", M342="Deleted"), "", _xlfn.LET(
  _xlpm.doc_col, [1]SubmittalLog!$E$1:$E$4000,
  _xlpm.date_col, [1]SubmittalLog!$H$1:$H$4000,
  _xlpm.status_col, [1]SubmittalLog!$O$1:$O$4000,
  _xlpm.first_app_date, _xlfn.MINIFS(_xlpm.date_col, _xlpm.doc_col, M342, _xlpm.status_col, "APP"),
  _xlpm.first_awc_date, _xlfn.MINIFS(_xlpm.date_col, _xlpm.doc_col, M342, _xlpm.status_col, "AWC"),
  _xlpm.earliest_date, IF(
    AND(_xlpm.first_app_date=0, _xlpm.first_awc_date=0), 0,
    IF(_xlpm.first_app_date=0, _xlpm.first_awc_date,
    IF(_xlpm.first_awc_date=0, _xlpm.first_app_date,
    MIN(_xlpm.first_app_date, _xlpm.first_awc_date)))
  ),
  IF(_xlpm.earliest_date=0, "", _xlpm.earliest_date)
))</f>
        <v>45301</v>
      </c>
      <c r="Y342" s="40" t="str" cm="1">
        <f t="array" ref="Y342">IF(OR(M342="", M342="Deleted"), "", _xlfn.LET(
  _xlpm.doc_col, [1]SubmittalLog!$E$1:$E$4000,
  _xlpm.date_col, [1]SubmittalLog!$H$1:$H$4000,
  _xlpm.status_col, [1]SubmittalLog!$O$1:$O$4000,
  _xlpm.has_sub, COUNTIF(_xlpm.doc_col, M342),
  _xlpm.latest_reviewed_date, _xlfn.MAXIFS(_xlpm.date_col, _xlpm.doc_col, M342, _xlpm.status_col, "&lt;&gt;"),
  IF(_xlpm.has_sub=0, "",
    IF(_xlpm.latest_reviewed_date=0, "",
      _xlfn.LET(
        _xlpm.res, _xlfn.XLOOKUP(1, (_xlpm.doc_col=M342) * (_xlpm.date_col=_xlpm.latest_reviewed_date) * (_xlpm.status_col&lt;&gt;""), _xlpm.status_col, ""),
        IF(OR(_xlpm.res="", _xlpm.res=0), "", _xlpm.res)
      )
    )
  )
))</f>
        <v>AWC</v>
      </c>
    </row>
    <row r="343" spans="1:25" x14ac:dyDescent="0.35">
      <c r="A343" s="33">
        <f>IF($M343="","",MAX($A$1:A342)+1)</f>
        <v>321</v>
      </c>
      <c r="B343" s="23" t="s">
        <v>250</v>
      </c>
      <c r="C343" s="23" t="s">
        <v>257</v>
      </c>
      <c r="G343" s="33">
        <v>131236</v>
      </c>
      <c r="H343" s="33" t="s">
        <v>59</v>
      </c>
      <c r="I343" s="33" t="s">
        <v>297</v>
      </c>
      <c r="J343" s="33" t="s">
        <v>3496</v>
      </c>
      <c r="K343" s="51">
        <v>6024</v>
      </c>
      <c r="M343" s="34" t="str">
        <f t="shared" si="5"/>
        <v>131236-WIL21-DR-P-6024</v>
      </c>
      <c r="N343" s="26" t="s">
        <v>3872</v>
      </c>
      <c r="P343" s="34" t="s">
        <v>3498</v>
      </c>
      <c r="S343" s="35">
        <v>45260</v>
      </c>
      <c r="T343" s="35">
        <v>45301</v>
      </c>
      <c r="U343" s="64" cm="1">
        <f t="array" ref="U343">IF(OR(M343="", M343="Deleted"), "", _xlfn.LET(
  _xlpm.dates,
  _xlfn._xlws.FILTER(
    [1]SubmittalLog!$H$1:$H$4000,
    [1]SubmittalLog!$E$1:$E$4000=M343,
    ""
  ),
  _xlpm.min_date, IFERROR(MIN(_xlpm.dates), ""),
  IF(_xlpm.min_date=0, "", _xlpm.min_date)
))</f>
        <v>45301</v>
      </c>
      <c r="V343" s="63" t="str" cm="1">
        <f t="array" ref="V343">IF(OR(M343="", M343="Deleted"), "", IFERROR(
  _xlfn.TEXTJOIN(", ", TRUE,
    _xlfn.MAP(
      _xlfn.UNIQUE(
        _xlfn._xlws.FILTER(
          [1]SubmittalLog!$B$1:$B$4000,
          ([1]SubmittalLog!$E$1:$E$4000=M343) *
          ([1]SubmittalLog!$B$1:$B$4000&lt;&gt;""),
          ""
        )
      ),
      _xlfn.LAMBDA(_xlpm.val, TEXT(_xlpm.val, "000000"))
    )
  ),
""))</f>
        <v>000230</v>
      </c>
      <c r="W343" s="40" t="str" cm="1">
        <f t="array" ref="W343">IF(OR(M343="", M343="Deleted"), "", _xlfn.LET(
  _xlpm.doc_col, [1]SubmittalLog!$E$1:$E$4000,
  _xlpm.date_col, [1]SubmittalLog!$H$1:$H$4000,
  _xlpm.status_col, [1]SubmittalLog!$N$1:$N$4000,
  _xlpm.latest_date, _xlfn.MAXIFS(_xlpm.date_col, _xlpm.doc_col, M343),
  IF(_xlpm.latest_date=0, "NFS",
    _xlfn.LET(
      _xlpm.res, _xlfn.XLOOKUP(M343 &amp; "|" &amp; _xlpm.latest_date, _xlpm.doc_col &amp; "|" &amp; _xlpm.date_col, _xlpm.status_col, ""),
      IF(OR(_xlpm.res="", _xlpm.res=0), "", _xlpm.res)
    )
  )
))</f>
        <v>RTR</v>
      </c>
      <c r="X343" s="39">
        <f>IF(OR(M343="", M343="Deleted"), "", _xlfn.LET(
  _xlpm.doc_col, [1]SubmittalLog!$E$1:$E$4000,
  _xlpm.date_col, [1]SubmittalLog!$H$1:$H$4000,
  _xlpm.status_col, [1]SubmittalLog!$O$1:$O$4000,
  _xlpm.first_app_date, _xlfn.MINIFS(_xlpm.date_col, _xlpm.doc_col, M343, _xlpm.status_col, "APP"),
  _xlpm.first_awc_date, _xlfn.MINIFS(_xlpm.date_col, _xlpm.doc_col, M343, _xlpm.status_col, "AWC"),
  _xlpm.earliest_date, IF(
    AND(_xlpm.first_app_date=0, _xlpm.first_awc_date=0), 0,
    IF(_xlpm.first_app_date=0, _xlpm.first_awc_date,
    IF(_xlpm.first_awc_date=0, _xlpm.first_app_date,
    MIN(_xlpm.first_app_date, _xlpm.first_awc_date)))
  ),
  IF(_xlpm.earliest_date=0, "", _xlpm.earliest_date)
))</f>
        <v>45301</v>
      </c>
      <c r="Y343" s="40" t="str" cm="1">
        <f t="array" ref="Y343">IF(OR(M343="", M343="Deleted"), "", _xlfn.LET(
  _xlpm.doc_col, [1]SubmittalLog!$E$1:$E$4000,
  _xlpm.date_col, [1]SubmittalLog!$H$1:$H$4000,
  _xlpm.status_col, [1]SubmittalLog!$O$1:$O$4000,
  _xlpm.has_sub, COUNTIF(_xlpm.doc_col, M343),
  _xlpm.latest_reviewed_date, _xlfn.MAXIFS(_xlpm.date_col, _xlpm.doc_col, M343, _xlpm.status_col, "&lt;&gt;"),
  IF(_xlpm.has_sub=0, "",
    IF(_xlpm.latest_reviewed_date=0, "",
      _xlfn.LET(
        _xlpm.res, _xlfn.XLOOKUP(1, (_xlpm.doc_col=M343) * (_xlpm.date_col=_xlpm.latest_reviewed_date) * (_xlpm.status_col&lt;&gt;""), _xlpm.status_col, ""),
        IF(OR(_xlpm.res="", _xlpm.res=0), "", _xlpm.res)
      )
    )
  )
))</f>
        <v>AWC</v>
      </c>
    </row>
    <row r="344" spans="1:25" x14ac:dyDescent="0.35">
      <c r="A344" s="33">
        <f>IF($M344="","",MAX($A$1:A343)+1)</f>
        <v>322</v>
      </c>
      <c r="B344" s="23" t="s">
        <v>250</v>
      </c>
      <c r="C344" s="23" t="s">
        <v>257</v>
      </c>
      <c r="G344" s="33">
        <v>131236</v>
      </c>
      <c r="H344" s="33" t="s">
        <v>59</v>
      </c>
      <c r="I344" s="33" t="s">
        <v>297</v>
      </c>
      <c r="J344" s="33" t="s">
        <v>3496</v>
      </c>
      <c r="K344" s="51">
        <v>6025</v>
      </c>
      <c r="M344" s="34" t="str">
        <f t="shared" si="5"/>
        <v>131236-WIL21-DR-P-6025</v>
      </c>
      <c r="N344" s="26" t="s">
        <v>3873</v>
      </c>
      <c r="P344" s="34" t="s">
        <v>3498</v>
      </c>
      <c r="S344" s="35">
        <v>45260</v>
      </c>
      <c r="T344" s="35">
        <v>45301</v>
      </c>
      <c r="U344" s="64" cm="1">
        <f t="array" ref="U344">IF(OR(M344="", M344="Deleted"), "", _xlfn.LET(
  _xlpm.dates,
  _xlfn._xlws.FILTER(
    [1]SubmittalLog!$H$1:$H$4000,
    [1]SubmittalLog!$E$1:$E$4000=M344,
    ""
  ),
  _xlpm.min_date, IFERROR(MIN(_xlpm.dates), ""),
  IF(_xlpm.min_date=0, "", _xlpm.min_date)
))</f>
        <v>45301</v>
      </c>
      <c r="V344" s="63" t="str" cm="1">
        <f t="array" ref="V344">IF(OR(M344="", M344="Deleted"), "", IFERROR(
  _xlfn.TEXTJOIN(", ", TRUE,
    _xlfn.MAP(
      _xlfn.UNIQUE(
        _xlfn._xlws.FILTER(
          [1]SubmittalLog!$B$1:$B$4000,
          ([1]SubmittalLog!$E$1:$E$4000=M344) *
          ([1]SubmittalLog!$B$1:$B$4000&lt;&gt;""),
          ""
        )
      ),
      _xlfn.LAMBDA(_xlpm.val, TEXT(_xlpm.val, "000000"))
    )
  ),
""))</f>
        <v>000230</v>
      </c>
      <c r="W344" s="40" t="str" cm="1">
        <f t="array" ref="W344">IF(OR(M344="", M344="Deleted"), "", _xlfn.LET(
  _xlpm.doc_col, [1]SubmittalLog!$E$1:$E$4000,
  _xlpm.date_col, [1]SubmittalLog!$H$1:$H$4000,
  _xlpm.status_col, [1]SubmittalLog!$N$1:$N$4000,
  _xlpm.latest_date, _xlfn.MAXIFS(_xlpm.date_col, _xlpm.doc_col, M344),
  IF(_xlpm.latest_date=0, "NFS",
    _xlfn.LET(
      _xlpm.res, _xlfn.XLOOKUP(M344 &amp; "|" &amp; _xlpm.latest_date, _xlpm.doc_col &amp; "|" &amp; _xlpm.date_col, _xlpm.status_col, ""),
      IF(OR(_xlpm.res="", _xlpm.res=0), "", _xlpm.res)
    )
  )
))</f>
        <v>RTR</v>
      </c>
      <c r="X344" s="39">
        <f>IF(OR(M344="", M344="Deleted"), "", _xlfn.LET(
  _xlpm.doc_col, [1]SubmittalLog!$E$1:$E$4000,
  _xlpm.date_col, [1]SubmittalLog!$H$1:$H$4000,
  _xlpm.status_col, [1]SubmittalLog!$O$1:$O$4000,
  _xlpm.first_app_date, _xlfn.MINIFS(_xlpm.date_col, _xlpm.doc_col, M344, _xlpm.status_col, "APP"),
  _xlpm.first_awc_date, _xlfn.MINIFS(_xlpm.date_col, _xlpm.doc_col, M344, _xlpm.status_col, "AWC"),
  _xlpm.earliest_date, IF(
    AND(_xlpm.first_app_date=0, _xlpm.first_awc_date=0), 0,
    IF(_xlpm.first_app_date=0, _xlpm.first_awc_date,
    IF(_xlpm.first_awc_date=0, _xlpm.first_app_date,
    MIN(_xlpm.first_app_date, _xlpm.first_awc_date)))
  ),
  IF(_xlpm.earliest_date=0, "", _xlpm.earliest_date)
))</f>
        <v>45301</v>
      </c>
      <c r="Y344" s="40" t="str" cm="1">
        <f t="array" ref="Y344">IF(OR(M344="", M344="Deleted"), "", _xlfn.LET(
  _xlpm.doc_col, [1]SubmittalLog!$E$1:$E$4000,
  _xlpm.date_col, [1]SubmittalLog!$H$1:$H$4000,
  _xlpm.status_col, [1]SubmittalLog!$O$1:$O$4000,
  _xlpm.has_sub, COUNTIF(_xlpm.doc_col, M344),
  _xlpm.latest_reviewed_date, _xlfn.MAXIFS(_xlpm.date_col, _xlpm.doc_col, M344, _xlpm.status_col, "&lt;&gt;"),
  IF(_xlpm.has_sub=0, "",
    IF(_xlpm.latest_reviewed_date=0, "",
      _xlfn.LET(
        _xlpm.res, _xlfn.XLOOKUP(1, (_xlpm.doc_col=M344) * (_xlpm.date_col=_xlpm.latest_reviewed_date) * (_xlpm.status_col&lt;&gt;""), _xlpm.status_col, ""),
        IF(OR(_xlpm.res="", _xlpm.res=0), "", _xlpm.res)
      )
    )
  )
))</f>
        <v>AWC</v>
      </c>
    </row>
    <row r="345" spans="1:25" x14ac:dyDescent="0.35">
      <c r="A345" s="33">
        <f>IF($M345="","",MAX($A$1:A344)+1)</f>
        <v>323</v>
      </c>
      <c r="B345" s="23" t="s">
        <v>250</v>
      </c>
      <c r="C345" s="23" t="s">
        <v>257</v>
      </c>
      <c r="G345" s="33">
        <v>131236</v>
      </c>
      <c r="H345" s="33" t="s">
        <v>59</v>
      </c>
      <c r="I345" s="33" t="s">
        <v>297</v>
      </c>
      <c r="J345" s="33" t="s">
        <v>3496</v>
      </c>
      <c r="K345" s="51">
        <v>6026</v>
      </c>
      <c r="M345" s="34" t="str">
        <f t="shared" si="5"/>
        <v>131236-WIL21-DR-P-6026</v>
      </c>
      <c r="N345" s="26" t="s">
        <v>3874</v>
      </c>
      <c r="P345" s="34" t="s">
        <v>3498</v>
      </c>
      <c r="S345" s="35">
        <v>45260</v>
      </c>
      <c r="T345" s="35">
        <v>45301</v>
      </c>
      <c r="U345" s="64" cm="1">
        <f t="array" ref="U345">IF(OR(M345="", M345="Deleted"), "", _xlfn.LET(
  _xlpm.dates,
  _xlfn._xlws.FILTER(
    [1]SubmittalLog!$H$1:$H$4000,
    [1]SubmittalLog!$E$1:$E$4000=M345,
    ""
  ),
  _xlpm.min_date, IFERROR(MIN(_xlpm.dates), ""),
  IF(_xlpm.min_date=0, "", _xlpm.min_date)
))</f>
        <v>45301</v>
      </c>
      <c r="V345" s="63" t="str" cm="1">
        <f t="array" ref="V345">IF(OR(M345="", M345="Deleted"), "", IFERROR(
  _xlfn.TEXTJOIN(", ", TRUE,
    _xlfn.MAP(
      _xlfn.UNIQUE(
        _xlfn._xlws.FILTER(
          [1]SubmittalLog!$B$1:$B$4000,
          ([1]SubmittalLog!$E$1:$E$4000=M345) *
          ([1]SubmittalLog!$B$1:$B$4000&lt;&gt;""),
          ""
        )
      ),
      _xlfn.LAMBDA(_xlpm.val, TEXT(_xlpm.val, "000000"))
    )
  ),
""))</f>
        <v>000230</v>
      </c>
      <c r="W345" s="40" t="str" cm="1">
        <f t="array" ref="W345">IF(OR(M345="", M345="Deleted"), "", _xlfn.LET(
  _xlpm.doc_col, [1]SubmittalLog!$E$1:$E$4000,
  _xlpm.date_col, [1]SubmittalLog!$H$1:$H$4000,
  _xlpm.status_col, [1]SubmittalLog!$N$1:$N$4000,
  _xlpm.latest_date, _xlfn.MAXIFS(_xlpm.date_col, _xlpm.doc_col, M345),
  IF(_xlpm.latest_date=0, "NFS",
    _xlfn.LET(
      _xlpm.res, _xlfn.XLOOKUP(M345 &amp; "|" &amp; _xlpm.latest_date, _xlpm.doc_col &amp; "|" &amp; _xlpm.date_col, _xlpm.status_col, ""),
      IF(OR(_xlpm.res="", _xlpm.res=0), "", _xlpm.res)
    )
  )
))</f>
        <v>RTR</v>
      </c>
      <c r="X345" s="39">
        <f>IF(OR(M345="", M345="Deleted"), "", _xlfn.LET(
  _xlpm.doc_col, [1]SubmittalLog!$E$1:$E$4000,
  _xlpm.date_col, [1]SubmittalLog!$H$1:$H$4000,
  _xlpm.status_col, [1]SubmittalLog!$O$1:$O$4000,
  _xlpm.first_app_date, _xlfn.MINIFS(_xlpm.date_col, _xlpm.doc_col, M345, _xlpm.status_col, "APP"),
  _xlpm.first_awc_date, _xlfn.MINIFS(_xlpm.date_col, _xlpm.doc_col, M345, _xlpm.status_col, "AWC"),
  _xlpm.earliest_date, IF(
    AND(_xlpm.first_app_date=0, _xlpm.first_awc_date=0), 0,
    IF(_xlpm.first_app_date=0, _xlpm.first_awc_date,
    IF(_xlpm.first_awc_date=0, _xlpm.first_app_date,
    MIN(_xlpm.first_app_date, _xlpm.first_awc_date)))
  ),
  IF(_xlpm.earliest_date=0, "", _xlpm.earliest_date)
))</f>
        <v>45301</v>
      </c>
      <c r="Y345" s="40" t="str" cm="1">
        <f t="array" ref="Y345">IF(OR(M345="", M345="Deleted"), "", _xlfn.LET(
  _xlpm.doc_col, [1]SubmittalLog!$E$1:$E$4000,
  _xlpm.date_col, [1]SubmittalLog!$H$1:$H$4000,
  _xlpm.status_col, [1]SubmittalLog!$O$1:$O$4000,
  _xlpm.has_sub, COUNTIF(_xlpm.doc_col, M345),
  _xlpm.latest_reviewed_date, _xlfn.MAXIFS(_xlpm.date_col, _xlpm.doc_col, M345, _xlpm.status_col, "&lt;&gt;"),
  IF(_xlpm.has_sub=0, "",
    IF(_xlpm.latest_reviewed_date=0, "",
      _xlfn.LET(
        _xlpm.res, _xlfn.XLOOKUP(1, (_xlpm.doc_col=M345) * (_xlpm.date_col=_xlpm.latest_reviewed_date) * (_xlpm.status_col&lt;&gt;""), _xlpm.status_col, ""),
        IF(OR(_xlpm.res="", _xlpm.res=0), "", _xlpm.res)
      )
    )
  )
))</f>
        <v>AWC</v>
      </c>
    </row>
    <row r="346" spans="1:25" x14ac:dyDescent="0.35">
      <c r="A346" s="33">
        <f>IF($M346="","",MAX($A$1:A345)+1)</f>
        <v>324</v>
      </c>
      <c r="B346" s="23" t="s">
        <v>250</v>
      </c>
      <c r="C346" s="23" t="s">
        <v>257</v>
      </c>
      <c r="G346" s="33">
        <v>131236</v>
      </c>
      <c r="H346" s="33" t="s">
        <v>59</v>
      </c>
      <c r="I346" s="33" t="s">
        <v>297</v>
      </c>
      <c r="J346" s="33" t="s">
        <v>3496</v>
      </c>
      <c r="K346" s="51">
        <v>6027</v>
      </c>
      <c r="M346" s="34" t="str">
        <f t="shared" si="5"/>
        <v>131236-WIL21-DR-P-6027</v>
      </c>
      <c r="N346" s="26" t="s">
        <v>3875</v>
      </c>
      <c r="P346" s="34" t="s">
        <v>3498</v>
      </c>
      <c r="S346" s="35">
        <v>45260</v>
      </c>
      <c r="T346" s="35">
        <v>45301</v>
      </c>
      <c r="U346" s="64" cm="1">
        <f t="array" ref="U346">IF(OR(M346="", M346="Deleted"), "", _xlfn.LET(
  _xlpm.dates,
  _xlfn._xlws.FILTER(
    [1]SubmittalLog!$H$1:$H$4000,
    [1]SubmittalLog!$E$1:$E$4000=M346,
    ""
  ),
  _xlpm.min_date, IFERROR(MIN(_xlpm.dates), ""),
  IF(_xlpm.min_date=0, "", _xlpm.min_date)
))</f>
        <v>45301</v>
      </c>
      <c r="V346" s="63" t="str" cm="1">
        <f t="array" ref="V346">IF(OR(M346="", M346="Deleted"), "", IFERROR(
  _xlfn.TEXTJOIN(", ", TRUE,
    _xlfn.MAP(
      _xlfn.UNIQUE(
        _xlfn._xlws.FILTER(
          [1]SubmittalLog!$B$1:$B$4000,
          ([1]SubmittalLog!$E$1:$E$4000=M346) *
          ([1]SubmittalLog!$B$1:$B$4000&lt;&gt;""),
          ""
        )
      ),
      _xlfn.LAMBDA(_xlpm.val, TEXT(_xlpm.val, "000000"))
    )
  ),
""))</f>
        <v>000230</v>
      </c>
      <c r="W346" s="40" t="str" cm="1">
        <f t="array" ref="W346">IF(OR(M346="", M346="Deleted"), "", _xlfn.LET(
  _xlpm.doc_col, [1]SubmittalLog!$E$1:$E$4000,
  _xlpm.date_col, [1]SubmittalLog!$H$1:$H$4000,
  _xlpm.status_col, [1]SubmittalLog!$N$1:$N$4000,
  _xlpm.latest_date, _xlfn.MAXIFS(_xlpm.date_col, _xlpm.doc_col, M346),
  IF(_xlpm.latest_date=0, "NFS",
    _xlfn.LET(
      _xlpm.res, _xlfn.XLOOKUP(M346 &amp; "|" &amp; _xlpm.latest_date, _xlpm.doc_col &amp; "|" &amp; _xlpm.date_col, _xlpm.status_col, ""),
      IF(OR(_xlpm.res="", _xlpm.res=0), "", _xlpm.res)
    )
  )
))</f>
        <v>RTR</v>
      </c>
      <c r="X346" s="39">
        <f>IF(OR(M346="", M346="Deleted"), "", _xlfn.LET(
  _xlpm.doc_col, [1]SubmittalLog!$E$1:$E$4000,
  _xlpm.date_col, [1]SubmittalLog!$H$1:$H$4000,
  _xlpm.status_col, [1]SubmittalLog!$O$1:$O$4000,
  _xlpm.first_app_date, _xlfn.MINIFS(_xlpm.date_col, _xlpm.doc_col, M346, _xlpm.status_col, "APP"),
  _xlpm.first_awc_date, _xlfn.MINIFS(_xlpm.date_col, _xlpm.doc_col, M346, _xlpm.status_col, "AWC"),
  _xlpm.earliest_date, IF(
    AND(_xlpm.first_app_date=0, _xlpm.first_awc_date=0), 0,
    IF(_xlpm.first_app_date=0, _xlpm.first_awc_date,
    IF(_xlpm.first_awc_date=0, _xlpm.first_app_date,
    MIN(_xlpm.first_app_date, _xlpm.first_awc_date)))
  ),
  IF(_xlpm.earliest_date=0, "", _xlpm.earliest_date)
))</f>
        <v>45301</v>
      </c>
      <c r="Y346" s="40" t="str" cm="1">
        <f t="array" ref="Y346">IF(OR(M346="", M346="Deleted"), "", _xlfn.LET(
  _xlpm.doc_col, [1]SubmittalLog!$E$1:$E$4000,
  _xlpm.date_col, [1]SubmittalLog!$H$1:$H$4000,
  _xlpm.status_col, [1]SubmittalLog!$O$1:$O$4000,
  _xlpm.has_sub, COUNTIF(_xlpm.doc_col, M346),
  _xlpm.latest_reviewed_date, _xlfn.MAXIFS(_xlpm.date_col, _xlpm.doc_col, M346, _xlpm.status_col, "&lt;&gt;"),
  IF(_xlpm.has_sub=0, "",
    IF(_xlpm.latest_reviewed_date=0, "",
      _xlfn.LET(
        _xlpm.res, _xlfn.XLOOKUP(1, (_xlpm.doc_col=M346) * (_xlpm.date_col=_xlpm.latest_reviewed_date) * (_xlpm.status_col&lt;&gt;""), _xlpm.status_col, ""),
        IF(OR(_xlpm.res="", _xlpm.res=0), "", _xlpm.res)
      )
    )
  )
))</f>
        <v>AWC</v>
      </c>
    </row>
    <row r="347" spans="1:25" x14ac:dyDescent="0.35">
      <c r="A347" s="33">
        <f>IF($M347="","",MAX($A$1:A346)+1)</f>
        <v>325</v>
      </c>
      <c r="B347" s="23" t="s">
        <v>250</v>
      </c>
      <c r="C347" s="23" t="s">
        <v>257</v>
      </c>
      <c r="G347" s="33">
        <v>131236</v>
      </c>
      <c r="H347" s="33" t="s">
        <v>59</v>
      </c>
      <c r="I347" s="33" t="s">
        <v>297</v>
      </c>
      <c r="J347" s="33" t="s">
        <v>3496</v>
      </c>
      <c r="K347" s="51">
        <v>6028</v>
      </c>
      <c r="M347" s="34" t="str">
        <f t="shared" si="5"/>
        <v>131236-WIL21-DR-P-6028</v>
      </c>
      <c r="N347" s="26" t="s">
        <v>3876</v>
      </c>
      <c r="P347" s="34" t="s">
        <v>3498</v>
      </c>
      <c r="S347" s="35">
        <v>45260</v>
      </c>
      <c r="T347" s="35">
        <v>45301</v>
      </c>
      <c r="U347" s="64" cm="1">
        <f t="array" ref="U347">IF(OR(M347="", M347="Deleted"), "", _xlfn.LET(
  _xlpm.dates,
  _xlfn._xlws.FILTER(
    [1]SubmittalLog!$H$1:$H$4000,
    [1]SubmittalLog!$E$1:$E$4000=M347,
    ""
  ),
  _xlpm.min_date, IFERROR(MIN(_xlpm.dates), ""),
  IF(_xlpm.min_date=0, "", _xlpm.min_date)
))</f>
        <v>45301</v>
      </c>
      <c r="V347" s="63" t="str" cm="1">
        <f t="array" ref="V347">IF(OR(M347="", M347="Deleted"), "", IFERROR(
  _xlfn.TEXTJOIN(", ", TRUE,
    _xlfn.MAP(
      _xlfn.UNIQUE(
        _xlfn._xlws.FILTER(
          [1]SubmittalLog!$B$1:$B$4000,
          ([1]SubmittalLog!$E$1:$E$4000=M347) *
          ([1]SubmittalLog!$B$1:$B$4000&lt;&gt;""),
          ""
        )
      ),
      _xlfn.LAMBDA(_xlpm.val, TEXT(_xlpm.val, "000000"))
    )
  ),
""))</f>
        <v>000230</v>
      </c>
      <c r="W347" s="40" t="str" cm="1">
        <f t="array" ref="W347">IF(OR(M347="", M347="Deleted"), "", _xlfn.LET(
  _xlpm.doc_col, [1]SubmittalLog!$E$1:$E$4000,
  _xlpm.date_col, [1]SubmittalLog!$H$1:$H$4000,
  _xlpm.status_col, [1]SubmittalLog!$N$1:$N$4000,
  _xlpm.latest_date, _xlfn.MAXIFS(_xlpm.date_col, _xlpm.doc_col, M347),
  IF(_xlpm.latest_date=0, "NFS",
    _xlfn.LET(
      _xlpm.res, _xlfn.XLOOKUP(M347 &amp; "|" &amp; _xlpm.latest_date, _xlpm.doc_col &amp; "|" &amp; _xlpm.date_col, _xlpm.status_col, ""),
      IF(OR(_xlpm.res="", _xlpm.res=0), "", _xlpm.res)
    )
  )
))</f>
        <v>RTR</v>
      </c>
      <c r="X347" s="39">
        <f>IF(OR(M347="", M347="Deleted"), "", _xlfn.LET(
  _xlpm.doc_col, [1]SubmittalLog!$E$1:$E$4000,
  _xlpm.date_col, [1]SubmittalLog!$H$1:$H$4000,
  _xlpm.status_col, [1]SubmittalLog!$O$1:$O$4000,
  _xlpm.first_app_date, _xlfn.MINIFS(_xlpm.date_col, _xlpm.doc_col, M347, _xlpm.status_col, "APP"),
  _xlpm.first_awc_date, _xlfn.MINIFS(_xlpm.date_col, _xlpm.doc_col, M347, _xlpm.status_col, "AWC"),
  _xlpm.earliest_date, IF(
    AND(_xlpm.first_app_date=0, _xlpm.first_awc_date=0), 0,
    IF(_xlpm.first_app_date=0, _xlpm.first_awc_date,
    IF(_xlpm.first_awc_date=0, _xlpm.first_app_date,
    MIN(_xlpm.first_app_date, _xlpm.first_awc_date)))
  ),
  IF(_xlpm.earliest_date=0, "", _xlpm.earliest_date)
))</f>
        <v>45301</v>
      </c>
      <c r="Y347" s="40" t="str" cm="1">
        <f t="array" ref="Y347">IF(OR(M347="", M347="Deleted"), "", _xlfn.LET(
  _xlpm.doc_col, [1]SubmittalLog!$E$1:$E$4000,
  _xlpm.date_col, [1]SubmittalLog!$H$1:$H$4000,
  _xlpm.status_col, [1]SubmittalLog!$O$1:$O$4000,
  _xlpm.has_sub, COUNTIF(_xlpm.doc_col, M347),
  _xlpm.latest_reviewed_date, _xlfn.MAXIFS(_xlpm.date_col, _xlpm.doc_col, M347, _xlpm.status_col, "&lt;&gt;"),
  IF(_xlpm.has_sub=0, "",
    IF(_xlpm.latest_reviewed_date=0, "",
      _xlfn.LET(
        _xlpm.res, _xlfn.XLOOKUP(1, (_xlpm.doc_col=M347) * (_xlpm.date_col=_xlpm.latest_reviewed_date) * (_xlpm.status_col&lt;&gt;""), _xlpm.status_col, ""),
        IF(OR(_xlpm.res="", _xlpm.res=0), "", _xlpm.res)
      )
    )
  )
))</f>
        <v>AWC</v>
      </c>
    </row>
    <row r="348" spans="1:25" x14ac:dyDescent="0.35">
      <c r="A348" s="33">
        <f>IF($M348="","",MAX($A$1:A347)+1)</f>
        <v>326</v>
      </c>
      <c r="B348" s="23" t="s">
        <v>250</v>
      </c>
      <c r="C348" s="23" t="s">
        <v>257</v>
      </c>
      <c r="G348" s="33">
        <v>131236</v>
      </c>
      <c r="H348" s="33" t="s">
        <v>59</v>
      </c>
      <c r="I348" s="33" t="s">
        <v>297</v>
      </c>
      <c r="J348" s="33" t="s">
        <v>3496</v>
      </c>
      <c r="K348" s="51">
        <v>6029</v>
      </c>
      <c r="M348" s="34" t="str">
        <f t="shared" si="5"/>
        <v>131236-WIL21-DR-P-6029</v>
      </c>
      <c r="N348" s="26" t="s">
        <v>3877</v>
      </c>
      <c r="P348" s="34" t="s">
        <v>3498</v>
      </c>
      <c r="S348" s="35">
        <v>45260</v>
      </c>
      <c r="T348" s="35">
        <v>45301</v>
      </c>
      <c r="U348" s="64" cm="1">
        <f t="array" ref="U348">IF(OR(M348="", M348="Deleted"), "", _xlfn.LET(
  _xlpm.dates,
  _xlfn._xlws.FILTER(
    [1]SubmittalLog!$H$1:$H$4000,
    [1]SubmittalLog!$E$1:$E$4000=M348,
    ""
  ),
  _xlpm.min_date, IFERROR(MIN(_xlpm.dates), ""),
  IF(_xlpm.min_date=0, "", _xlpm.min_date)
))</f>
        <v>45301</v>
      </c>
      <c r="V348" s="63" t="str" cm="1">
        <f t="array" ref="V348">IF(OR(M348="", M348="Deleted"), "", IFERROR(
  _xlfn.TEXTJOIN(", ", TRUE,
    _xlfn.MAP(
      _xlfn.UNIQUE(
        _xlfn._xlws.FILTER(
          [1]SubmittalLog!$B$1:$B$4000,
          ([1]SubmittalLog!$E$1:$E$4000=M348) *
          ([1]SubmittalLog!$B$1:$B$4000&lt;&gt;""),
          ""
        )
      ),
      _xlfn.LAMBDA(_xlpm.val, TEXT(_xlpm.val, "000000"))
    )
  ),
""))</f>
        <v>000230</v>
      </c>
      <c r="W348" s="40" t="str" cm="1">
        <f t="array" ref="W348">IF(OR(M348="", M348="Deleted"), "", _xlfn.LET(
  _xlpm.doc_col, [1]SubmittalLog!$E$1:$E$4000,
  _xlpm.date_col, [1]SubmittalLog!$H$1:$H$4000,
  _xlpm.status_col, [1]SubmittalLog!$N$1:$N$4000,
  _xlpm.latest_date, _xlfn.MAXIFS(_xlpm.date_col, _xlpm.doc_col, M348),
  IF(_xlpm.latest_date=0, "NFS",
    _xlfn.LET(
      _xlpm.res, _xlfn.XLOOKUP(M348 &amp; "|" &amp; _xlpm.latest_date, _xlpm.doc_col &amp; "|" &amp; _xlpm.date_col, _xlpm.status_col, ""),
      IF(OR(_xlpm.res="", _xlpm.res=0), "", _xlpm.res)
    )
  )
))</f>
        <v>RTR</v>
      </c>
      <c r="X348" s="39">
        <f>IF(OR(M348="", M348="Deleted"), "", _xlfn.LET(
  _xlpm.doc_col, [1]SubmittalLog!$E$1:$E$4000,
  _xlpm.date_col, [1]SubmittalLog!$H$1:$H$4000,
  _xlpm.status_col, [1]SubmittalLog!$O$1:$O$4000,
  _xlpm.first_app_date, _xlfn.MINIFS(_xlpm.date_col, _xlpm.doc_col, M348, _xlpm.status_col, "APP"),
  _xlpm.first_awc_date, _xlfn.MINIFS(_xlpm.date_col, _xlpm.doc_col, M348, _xlpm.status_col, "AWC"),
  _xlpm.earliest_date, IF(
    AND(_xlpm.first_app_date=0, _xlpm.first_awc_date=0), 0,
    IF(_xlpm.first_app_date=0, _xlpm.first_awc_date,
    IF(_xlpm.first_awc_date=0, _xlpm.first_app_date,
    MIN(_xlpm.first_app_date, _xlpm.first_awc_date)))
  ),
  IF(_xlpm.earliest_date=0, "", _xlpm.earliest_date)
))</f>
        <v>45301</v>
      </c>
      <c r="Y348" s="40" t="str" cm="1">
        <f t="array" ref="Y348">IF(OR(M348="", M348="Deleted"), "", _xlfn.LET(
  _xlpm.doc_col, [1]SubmittalLog!$E$1:$E$4000,
  _xlpm.date_col, [1]SubmittalLog!$H$1:$H$4000,
  _xlpm.status_col, [1]SubmittalLog!$O$1:$O$4000,
  _xlpm.has_sub, COUNTIF(_xlpm.doc_col, M348),
  _xlpm.latest_reviewed_date, _xlfn.MAXIFS(_xlpm.date_col, _xlpm.doc_col, M348, _xlpm.status_col, "&lt;&gt;"),
  IF(_xlpm.has_sub=0, "",
    IF(_xlpm.latest_reviewed_date=0, "",
      _xlfn.LET(
        _xlpm.res, _xlfn.XLOOKUP(1, (_xlpm.doc_col=M348) * (_xlpm.date_col=_xlpm.latest_reviewed_date) * (_xlpm.status_col&lt;&gt;""), _xlpm.status_col, ""),
        IF(OR(_xlpm.res="", _xlpm.res=0), "", _xlpm.res)
      )
    )
  )
))</f>
        <v>AWC</v>
      </c>
    </row>
    <row r="349" spans="1:25" x14ac:dyDescent="0.35">
      <c r="A349" s="33">
        <f>IF($M349="","",MAX($A$1:A348)+1)</f>
        <v>327</v>
      </c>
      <c r="B349" s="23" t="s">
        <v>250</v>
      </c>
      <c r="C349" s="23" t="s">
        <v>257</v>
      </c>
      <c r="G349" s="33">
        <v>131236</v>
      </c>
      <c r="H349" s="33" t="s">
        <v>59</v>
      </c>
      <c r="I349" s="33" t="s">
        <v>297</v>
      </c>
      <c r="J349" s="33" t="s">
        <v>3496</v>
      </c>
      <c r="K349" s="51">
        <v>6030</v>
      </c>
      <c r="M349" s="34" t="str">
        <f t="shared" si="5"/>
        <v>131236-WIL21-DR-P-6030</v>
      </c>
      <c r="N349" s="26" t="s">
        <v>3878</v>
      </c>
      <c r="P349" s="34" t="s">
        <v>3498</v>
      </c>
      <c r="S349" s="35">
        <v>45260</v>
      </c>
      <c r="T349" s="35">
        <v>45301</v>
      </c>
      <c r="U349" s="64" cm="1">
        <f t="array" ref="U349">IF(OR(M349="", M349="Deleted"), "", _xlfn.LET(
  _xlpm.dates,
  _xlfn._xlws.FILTER(
    [1]SubmittalLog!$H$1:$H$4000,
    [1]SubmittalLog!$E$1:$E$4000=M349,
    ""
  ),
  _xlpm.min_date, IFERROR(MIN(_xlpm.dates), ""),
  IF(_xlpm.min_date=0, "", _xlpm.min_date)
))</f>
        <v>45301</v>
      </c>
      <c r="V349" s="63" t="str" cm="1">
        <f t="array" ref="V349">IF(OR(M349="", M349="Deleted"), "", IFERROR(
  _xlfn.TEXTJOIN(", ", TRUE,
    _xlfn.MAP(
      _xlfn.UNIQUE(
        _xlfn._xlws.FILTER(
          [1]SubmittalLog!$B$1:$B$4000,
          ([1]SubmittalLog!$E$1:$E$4000=M349) *
          ([1]SubmittalLog!$B$1:$B$4000&lt;&gt;""),
          ""
        )
      ),
      _xlfn.LAMBDA(_xlpm.val, TEXT(_xlpm.val, "000000"))
    )
  ),
""))</f>
        <v>000230</v>
      </c>
      <c r="W349" s="40" t="str" cm="1">
        <f t="array" ref="W349">IF(OR(M349="", M349="Deleted"), "", _xlfn.LET(
  _xlpm.doc_col, [1]SubmittalLog!$E$1:$E$4000,
  _xlpm.date_col, [1]SubmittalLog!$H$1:$H$4000,
  _xlpm.status_col, [1]SubmittalLog!$N$1:$N$4000,
  _xlpm.latest_date, _xlfn.MAXIFS(_xlpm.date_col, _xlpm.doc_col, M349),
  IF(_xlpm.latest_date=0, "NFS",
    _xlfn.LET(
      _xlpm.res, _xlfn.XLOOKUP(M349 &amp; "|" &amp; _xlpm.latest_date, _xlpm.doc_col &amp; "|" &amp; _xlpm.date_col, _xlpm.status_col, ""),
      IF(OR(_xlpm.res="", _xlpm.res=0), "", _xlpm.res)
    )
  )
))</f>
        <v>RTR</v>
      </c>
      <c r="X349" s="39">
        <f>IF(OR(M349="", M349="Deleted"), "", _xlfn.LET(
  _xlpm.doc_col, [1]SubmittalLog!$E$1:$E$4000,
  _xlpm.date_col, [1]SubmittalLog!$H$1:$H$4000,
  _xlpm.status_col, [1]SubmittalLog!$O$1:$O$4000,
  _xlpm.first_app_date, _xlfn.MINIFS(_xlpm.date_col, _xlpm.doc_col, M349, _xlpm.status_col, "APP"),
  _xlpm.first_awc_date, _xlfn.MINIFS(_xlpm.date_col, _xlpm.doc_col, M349, _xlpm.status_col, "AWC"),
  _xlpm.earliest_date, IF(
    AND(_xlpm.first_app_date=0, _xlpm.first_awc_date=0), 0,
    IF(_xlpm.first_app_date=0, _xlpm.first_awc_date,
    IF(_xlpm.first_awc_date=0, _xlpm.first_app_date,
    MIN(_xlpm.first_app_date, _xlpm.first_awc_date)))
  ),
  IF(_xlpm.earliest_date=0, "", _xlpm.earliest_date)
))</f>
        <v>45301</v>
      </c>
      <c r="Y349" s="40" t="str" cm="1">
        <f t="array" ref="Y349">IF(OR(M349="", M349="Deleted"), "", _xlfn.LET(
  _xlpm.doc_col, [1]SubmittalLog!$E$1:$E$4000,
  _xlpm.date_col, [1]SubmittalLog!$H$1:$H$4000,
  _xlpm.status_col, [1]SubmittalLog!$O$1:$O$4000,
  _xlpm.has_sub, COUNTIF(_xlpm.doc_col, M349),
  _xlpm.latest_reviewed_date, _xlfn.MAXIFS(_xlpm.date_col, _xlpm.doc_col, M349, _xlpm.status_col, "&lt;&gt;"),
  IF(_xlpm.has_sub=0, "",
    IF(_xlpm.latest_reviewed_date=0, "",
      _xlfn.LET(
        _xlpm.res, _xlfn.XLOOKUP(1, (_xlpm.doc_col=M349) * (_xlpm.date_col=_xlpm.latest_reviewed_date) * (_xlpm.status_col&lt;&gt;""), _xlpm.status_col, ""),
        IF(OR(_xlpm.res="", _xlpm.res=0), "", _xlpm.res)
      )
    )
  )
))</f>
        <v>AWC</v>
      </c>
    </row>
    <row r="350" spans="1:25" x14ac:dyDescent="0.35">
      <c r="A350" s="33">
        <f>IF($M350="","",MAX($A$1:A349)+1)</f>
        <v>328</v>
      </c>
      <c r="B350" s="23" t="s">
        <v>250</v>
      </c>
      <c r="C350" s="23" t="s">
        <v>257</v>
      </c>
      <c r="G350" s="33">
        <v>131236</v>
      </c>
      <c r="H350" s="33" t="s">
        <v>59</v>
      </c>
      <c r="I350" s="33" t="s">
        <v>297</v>
      </c>
      <c r="J350" s="33" t="s">
        <v>3496</v>
      </c>
      <c r="K350" s="51">
        <v>6031</v>
      </c>
      <c r="M350" s="34" t="str">
        <f t="shared" si="5"/>
        <v>131236-WIL21-DR-P-6031</v>
      </c>
      <c r="N350" s="26" t="s">
        <v>3879</v>
      </c>
      <c r="P350" s="34" t="s">
        <v>3498</v>
      </c>
      <c r="S350" s="35">
        <v>45260</v>
      </c>
      <c r="T350" s="35">
        <v>45301</v>
      </c>
      <c r="U350" s="64" cm="1">
        <f t="array" ref="U350">IF(OR(M350="", M350="Deleted"), "", _xlfn.LET(
  _xlpm.dates,
  _xlfn._xlws.FILTER(
    [1]SubmittalLog!$H$1:$H$4000,
    [1]SubmittalLog!$E$1:$E$4000=M350,
    ""
  ),
  _xlpm.min_date, IFERROR(MIN(_xlpm.dates), ""),
  IF(_xlpm.min_date=0, "", _xlpm.min_date)
))</f>
        <v>45301</v>
      </c>
      <c r="V350" s="63" t="str" cm="1">
        <f t="array" ref="V350">IF(OR(M350="", M350="Deleted"), "", IFERROR(
  _xlfn.TEXTJOIN(", ", TRUE,
    _xlfn.MAP(
      _xlfn.UNIQUE(
        _xlfn._xlws.FILTER(
          [1]SubmittalLog!$B$1:$B$4000,
          ([1]SubmittalLog!$E$1:$E$4000=M350) *
          ([1]SubmittalLog!$B$1:$B$4000&lt;&gt;""),
          ""
        )
      ),
      _xlfn.LAMBDA(_xlpm.val, TEXT(_xlpm.val, "000000"))
    )
  ),
""))</f>
        <v>000230</v>
      </c>
      <c r="W350" s="40" t="str" cm="1">
        <f t="array" ref="W350">IF(OR(M350="", M350="Deleted"), "", _xlfn.LET(
  _xlpm.doc_col, [1]SubmittalLog!$E$1:$E$4000,
  _xlpm.date_col, [1]SubmittalLog!$H$1:$H$4000,
  _xlpm.status_col, [1]SubmittalLog!$N$1:$N$4000,
  _xlpm.latest_date, _xlfn.MAXIFS(_xlpm.date_col, _xlpm.doc_col, M350),
  IF(_xlpm.latest_date=0, "NFS",
    _xlfn.LET(
      _xlpm.res, _xlfn.XLOOKUP(M350 &amp; "|" &amp; _xlpm.latest_date, _xlpm.doc_col &amp; "|" &amp; _xlpm.date_col, _xlpm.status_col, ""),
      IF(OR(_xlpm.res="", _xlpm.res=0), "", _xlpm.res)
    )
  )
))</f>
        <v>RTR</v>
      </c>
      <c r="X350" s="39">
        <f>IF(OR(M350="", M350="Deleted"), "", _xlfn.LET(
  _xlpm.doc_col, [1]SubmittalLog!$E$1:$E$4000,
  _xlpm.date_col, [1]SubmittalLog!$H$1:$H$4000,
  _xlpm.status_col, [1]SubmittalLog!$O$1:$O$4000,
  _xlpm.first_app_date, _xlfn.MINIFS(_xlpm.date_col, _xlpm.doc_col, M350, _xlpm.status_col, "APP"),
  _xlpm.first_awc_date, _xlfn.MINIFS(_xlpm.date_col, _xlpm.doc_col, M350, _xlpm.status_col, "AWC"),
  _xlpm.earliest_date, IF(
    AND(_xlpm.first_app_date=0, _xlpm.first_awc_date=0), 0,
    IF(_xlpm.first_app_date=0, _xlpm.first_awc_date,
    IF(_xlpm.first_awc_date=0, _xlpm.first_app_date,
    MIN(_xlpm.first_app_date, _xlpm.first_awc_date)))
  ),
  IF(_xlpm.earliest_date=0, "", _xlpm.earliest_date)
))</f>
        <v>45301</v>
      </c>
      <c r="Y350" s="40" t="str" cm="1">
        <f t="array" ref="Y350">IF(OR(M350="", M350="Deleted"), "", _xlfn.LET(
  _xlpm.doc_col, [1]SubmittalLog!$E$1:$E$4000,
  _xlpm.date_col, [1]SubmittalLog!$H$1:$H$4000,
  _xlpm.status_col, [1]SubmittalLog!$O$1:$O$4000,
  _xlpm.has_sub, COUNTIF(_xlpm.doc_col, M350),
  _xlpm.latest_reviewed_date, _xlfn.MAXIFS(_xlpm.date_col, _xlpm.doc_col, M350, _xlpm.status_col, "&lt;&gt;"),
  IF(_xlpm.has_sub=0, "",
    IF(_xlpm.latest_reviewed_date=0, "",
      _xlfn.LET(
        _xlpm.res, _xlfn.XLOOKUP(1, (_xlpm.doc_col=M350) * (_xlpm.date_col=_xlpm.latest_reviewed_date) * (_xlpm.status_col&lt;&gt;""), _xlpm.status_col, ""),
        IF(OR(_xlpm.res="", _xlpm.res=0), "", _xlpm.res)
      )
    )
  )
))</f>
        <v>AWC</v>
      </c>
    </row>
    <row r="351" spans="1:25" x14ac:dyDescent="0.35">
      <c r="A351" s="33">
        <f>IF($M351="","",MAX($A$1:A350)+1)</f>
        <v>329</v>
      </c>
      <c r="B351" s="23" t="s">
        <v>250</v>
      </c>
      <c r="C351" s="23" t="s">
        <v>257</v>
      </c>
      <c r="G351" s="33">
        <v>131236</v>
      </c>
      <c r="H351" s="33" t="s">
        <v>59</v>
      </c>
      <c r="I351" s="33" t="s">
        <v>297</v>
      </c>
      <c r="J351" s="33" t="s">
        <v>3496</v>
      </c>
      <c r="K351" s="51">
        <v>6032</v>
      </c>
      <c r="M351" s="34" t="str">
        <f t="shared" si="5"/>
        <v>131236-WIL21-DR-P-6032</v>
      </c>
      <c r="N351" s="26" t="s">
        <v>3880</v>
      </c>
      <c r="P351" s="34" t="s">
        <v>3498</v>
      </c>
      <c r="S351" s="35">
        <v>45260</v>
      </c>
      <c r="T351" s="35">
        <v>45301</v>
      </c>
      <c r="U351" s="64" cm="1">
        <f t="array" ref="U351">IF(OR(M351="", M351="Deleted"), "", _xlfn.LET(
  _xlpm.dates,
  _xlfn._xlws.FILTER(
    [1]SubmittalLog!$H$1:$H$4000,
    [1]SubmittalLog!$E$1:$E$4000=M351,
    ""
  ),
  _xlpm.min_date, IFERROR(MIN(_xlpm.dates), ""),
  IF(_xlpm.min_date=0, "", _xlpm.min_date)
))</f>
        <v>45301</v>
      </c>
      <c r="V351" s="63" t="str" cm="1">
        <f t="array" ref="V351">IF(OR(M351="", M351="Deleted"), "", IFERROR(
  _xlfn.TEXTJOIN(", ", TRUE,
    _xlfn.MAP(
      _xlfn.UNIQUE(
        _xlfn._xlws.FILTER(
          [1]SubmittalLog!$B$1:$B$4000,
          ([1]SubmittalLog!$E$1:$E$4000=M351) *
          ([1]SubmittalLog!$B$1:$B$4000&lt;&gt;""),
          ""
        )
      ),
      _xlfn.LAMBDA(_xlpm.val, TEXT(_xlpm.val, "000000"))
    )
  ),
""))</f>
        <v>000230</v>
      </c>
      <c r="W351" s="40" t="str" cm="1">
        <f t="array" ref="W351">IF(OR(M351="", M351="Deleted"), "", _xlfn.LET(
  _xlpm.doc_col, [1]SubmittalLog!$E$1:$E$4000,
  _xlpm.date_col, [1]SubmittalLog!$H$1:$H$4000,
  _xlpm.status_col, [1]SubmittalLog!$N$1:$N$4000,
  _xlpm.latest_date, _xlfn.MAXIFS(_xlpm.date_col, _xlpm.doc_col, M351),
  IF(_xlpm.latest_date=0, "NFS",
    _xlfn.LET(
      _xlpm.res, _xlfn.XLOOKUP(M351 &amp; "|" &amp; _xlpm.latest_date, _xlpm.doc_col &amp; "|" &amp; _xlpm.date_col, _xlpm.status_col, ""),
      IF(OR(_xlpm.res="", _xlpm.res=0), "", _xlpm.res)
    )
  )
))</f>
        <v>RTR</v>
      </c>
      <c r="X351" s="39">
        <f>IF(OR(M351="", M351="Deleted"), "", _xlfn.LET(
  _xlpm.doc_col, [1]SubmittalLog!$E$1:$E$4000,
  _xlpm.date_col, [1]SubmittalLog!$H$1:$H$4000,
  _xlpm.status_col, [1]SubmittalLog!$O$1:$O$4000,
  _xlpm.first_app_date, _xlfn.MINIFS(_xlpm.date_col, _xlpm.doc_col, M351, _xlpm.status_col, "APP"),
  _xlpm.first_awc_date, _xlfn.MINIFS(_xlpm.date_col, _xlpm.doc_col, M351, _xlpm.status_col, "AWC"),
  _xlpm.earliest_date, IF(
    AND(_xlpm.first_app_date=0, _xlpm.first_awc_date=0), 0,
    IF(_xlpm.first_app_date=0, _xlpm.first_awc_date,
    IF(_xlpm.first_awc_date=0, _xlpm.first_app_date,
    MIN(_xlpm.first_app_date, _xlpm.first_awc_date)))
  ),
  IF(_xlpm.earliest_date=0, "", _xlpm.earliest_date)
))</f>
        <v>45301</v>
      </c>
      <c r="Y351" s="40" t="str" cm="1">
        <f t="array" ref="Y351">IF(OR(M351="", M351="Deleted"), "", _xlfn.LET(
  _xlpm.doc_col, [1]SubmittalLog!$E$1:$E$4000,
  _xlpm.date_col, [1]SubmittalLog!$H$1:$H$4000,
  _xlpm.status_col, [1]SubmittalLog!$O$1:$O$4000,
  _xlpm.has_sub, COUNTIF(_xlpm.doc_col, M351),
  _xlpm.latest_reviewed_date, _xlfn.MAXIFS(_xlpm.date_col, _xlpm.doc_col, M351, _xlpm.status_col, "&lt;&gt;"),
  IF(_xlpm.has_sub=0, "",
    IF(_xlpm.latest_reviewed_date=0, "",
      _xlfn.LET(
        _xlpm.res, _xlfn.XLOOKUP(1, (_xlpm.doc_col=M351) * (_xlpm.date_col=_xlpm.latest_reviewed_date) * (_xlpm.status_col&lt;&gt;""), _xlpm.status_col, ""),
        IF(OR(_xlpm.res="", _xlpm.res=0), "", _xlpm.res)
      )
    )
  )
))</f>
        <v>AWC</v>
      </c>
    </row>
    <row r="352" spans="1:25" x14ac:dyDescent="0.35">
      <c r="A352" s="33">
        <f>IF($M352="","",MAX($A$1:A351)+1)</f>
        <v>330</v>
      </c>
      <c r="B352" s="23" t="s">
        <v>250</v>
      </c>
      <c r="C352" s="23" t="s">
        <v>257</v>
      </c>
      <c r="G352" s="33">
        <v>131236</v>
      </c>
      <c r="H352" s="33" t="s">
        <v>59</v>
      </c>
      <c r="I352" s="33" t="s">
        <v>297</v>
      </c>
      <c r="J352" s="33" t="s">
        <v>3496</v>
      </c>
      <c r="K352" s="51">
        <v>6033</v>
      </c>
      <c r="M352" s="34" t="str">
        <f t="shared" si="5"/>
        <v>131236-WIL21-DR-P-6033</v>
      </c>
      <c r="N352" s="26" t="s">
        <v>3881</v>
      </c>
      <c r="P352" s="34" t="s">
        <v>3498</v>
      </c>
      <c r="S352" s="35">
        <v>45260</v>
      </c>
      <c r="T352" s="35">
        <v>45301</v>
      </c>
      <c r="U352" s="64" cm="1">
        <f t="array" ref="U352">IF(OR(M352="", M352="Deleted"), "", _xlfn.LET(
  _xlpm.dates,
  _xlfn._xlws.FILTER(
    [1]SubmittalLog!$H$1:$H$4000,
    [1]SubmittalLog!$E$1:$E$4000=M352,
    ""
  ),
  _xlpm.min_date, IFERROR(MIN(_xlpm.dates), ""),
  IF(_xlpm.min_date=0, "", _xlpm.min_date)
))</f>
        <v>45301</v>
      </c>
      <c r="V352" s="63" t="str" cm="1">
        <f t="array" ref="V352">IF(OR(M352="", M352="Deleted"), "", IFERROR(
  _xlfn.TEXTJOIN(", ", TRUE,
    _xlfn.MAP(
      _xlfn.UNIQUE(
        _xlfn._xlws.FILTER(
          [1]SubmittalLog!$B$1:$B$4000,
          ([1]SubmittalLog!$E$1:$E$4000=M352) *
          ([1]SubmittalLog!$B$1:$B$4000&lt;&gt;""),
          ""
        )
      ),
      _xlfn.LAMBDA(_xlpm.val, TEXT(_xlpm.val, "000000"))
    )
  ),
""))</f>
        <v>000230</v>
      </c>
      <c r="W352" s="40" t="str" cm="1">
        <f t="array" ref="W352">IF(OR(M352="", M352="Deleted"), "", _xlfn.LET(
  _xlpm.doc_col, [1]SubmittalLog!$E$1:$E$4000,
  _xlpm.date_col, [1]SubmittalLog!$H$1:$H$4000,
  _xlpm.status_col, [1]SubmittalLog!$N$1:$N$4000,
  _xlpm.latest_date, _xlfn.MAXIFS(_xlpm.date_col, _xlpm.doc_col, M352),
  IF(_xlpm.latest_date=0, "NFS",
    _xlfn.LET(
      _xlpm.res, _xlfn.XLOOKUP(M352 &amp; "|" &amp; _xlpm.latest_date, _xlpm.doc_col &amp; "|" &amp; _xlpm.date_col, _xlpm.status_col, ""),
      IF(OR(_xlpm.res="", _xlpm.res=0), "", _xlpm.res)
    )
  )
))</f>
        <v>RTR</v>
      </c>
      <c r="X352" s="39">
        <f>IF(OR(M352="", M352="Deleted"), "", _xlfn.LET(
  _xlpm.doc_col, [1]SubmittalLog!$E$1:$E$4000,
  _xlpm.date_col, [1]SubmittalLog!$H$1:$H$4000,
  _xlpm.status_col, [1]SubmittalLog!$O$1:$O$4000,
  _xlpm.first_app_date, _xlfn.MINIFS(_xlpm.date_col, _xlpm.doc_col, M352, _xlpm.status_col, "APP"),
  _xlpm.first_awc_date, _xlfn.MINIFS(_xlpm.date_col, _xlpm.doc_col, M352, _xlpm.status_col, "AWC"),
  _xlpm.earliest_date, IF(
    AND(_xlpm.first_app_date=0, _xlpm.first_awc_date=0), 0,
    IF(_xlpm.first_app_date=0, _xlpm.first_awc_date,
    IF(_xlpm.first_awc_date=0, _xlpm.first_app_date,
    MIN(_xlpm.first_app_date, _xlpm.first_awc_date)))
  ),
  IF(_xlpm.earliest_date=0, "", _xlpm.earliest_date)
))</f>
        <v>45301</v>
      </c>
      <c r="Y352" s="40" t="str" cm="1">
        <f t="array" ref="Y352">IF(OR(M352="", M352="Deleted"), "", _xlfn.LET(
  _xlpm.doc_col, [1]SubmittalLog!$E$1:$E$4000,
  _xlpm.date_col, [1]SubmittalLog!$H$1:$H$4000,
  _xlpm.status_col, [1]SubmittalLog!$O$1:$O$4000,
  _xlpm.has_sub, COUNTIF(_xlpm.doc_col, M352),
  _xlpm.latest_reviewed_date, _xlfn.MAXIFS(_xlpm.date_col, _xlpm.doc_col, M352, _xlpm.status_col, "&lt;&gt;"),
  IF(_xlpm.has_sub=0, "",
    IF(_xlpm.latest_reviewed_date=0, "",
      _xlfn.LET(
        _xlpm.res, _xlfn.XLOOKUP(1, (_xlpm.doc_col=M352) * (_xlpm.date_col=_xlpm.latest_reviewed_date) * (_xlpm.status_col&lt;&gt;""), _xlpm.status_col, ""),
        IF(OR(_xlpm.res="", _xlpm.res=0), "", _xlpm.res)
      )
    )
  )
))</f>
        <v>AWC</v>
      </c>
    </row>
    <row r="353" spans="1:25" x14ac:dyDescent="0.35">
      <c r="A353" s="33">
        <f>IF($M353="","",MAX($A$1:A352)+1)</f>
        <v>331</v>
      </c>
      <c r="B353" s="23" t="s">
        <v>250</v>
      </c>
      <c r="C353" s="23" t="s">
        <v>257</v>
      </c>
      <c r="G353" s="33">
        <v>131236</v>
      </c>
      <c r="H353" s="33" t="s">
        <v>59</v>
      </c>
      <c r="I353" s="33" t="s">
        <v>297</v>
      </c>
      <c r="J353" s="33" t="s">
        <v>3496</v>
      </c>
      <c r="K353" s="51">
        <v>6034</v>
      </c>
      <c r="M353" s="34" t="str">
        <f t="shared" si="5"/>
        <v>131236-WIL21-DR-P-6034</v>
      </c>
      <c r="N353" s="26" t="s">
        <v>3882</v>
      </c>
      <c r="P353" s="34" t="s">
        <v>3498</v>
      </c>
      <c r="S353" s="35">
        <v>45260</v>
      </c>
      <c r="T353" s="35">
        <v>45301</v>
      </c>
      <c r="U353" s="64" cm="1">
        <f t="array" ref="U353">IF(OR(M353="", M353="Deleted"), "", _xlfn.LET(
  _xlpm.dates,
  _xlfn._xlws.FILTER(
    [1]SubmittalLog!$H$1:$H$4000,
    [1]SubmittalLog!$E$1:$E$4000=M353,
    ""
  ),
  _xlpm.min_date, IFERROR(MIN(_xlpm.dates), ""),
  IF(_xlpm.min_date=0, "", _xlpm.min_date)
))</f>
        <v>45301</v>
      </c>
      <c r="V353" s="63" t="str" cm="1">
        <f t="array" ref="V353">IF(OR(M353="", M353="Deleted"), "", IFERROR(
  _xlfn.TEXTJOIN(", ", TRUE,
    _xlfn.MAP(
      _xlfn.UNIQUE(
        _xlfn._xlws.FILTER(
          [1]SubmittalLog!$B$1:$B$4000,
          ([1]SubmittalLog!$E$1:$E$4000=M353) *
          ([1]SubmittalLog!$B$1:$B$4000&lt;&gt;""),
          ""
        )
      ),
      _xlfn.LAMBDA(_xlpm.val, TEXT(_xlpm.val, "000000"))
    )
  ),
""))</f>
        <v>000230</v>
      </c>
      <c r="W353" s="40" t="str" cm="1">
        <f t="array" ref="W353">IF(OR(M353="", M353="Deleted"), "", _xlfn.LET(
  _xlpm.doc_col, [1]SubmittalLog!$E$1:$E$4000,
  _xlpm.date_col, [1]SubmittalLog!$H$1:$H$4000,
  _xlpm.status_col, [1]SubmittalLog!$N$1:$N$4000,
  _xlpm.latest_date, _xlfn.MAXIFS(_xlpm.date_col, _xlpm.doc_col, M353),
  IF(_xlpm.latest_date=0, "NFS",
    _xlfn.LET(
      _xlpm.res, _xlfn.XLOOKUP(M353 &amp; "|" &amp; _xlpm.latest_date, _xlpm.doc_col &amp; "|" &amp; _xlpm.date_col, _xlpm.status_col, ""),
      IF(OR(_xlpm.res="", _xlpm.res=0), "", _xlpm.res)
    )
  )
))</f>
        <v>RTR</v>
      </c>
      <c r="X353" s="39">
        <f>IF(OR(M353="", M353="Deleted"), "", _xlfn.LET(
  _xlpm.doc_col, [1]SubmittalLog!$E$1:$E$4000,
  _xlpm.date_col, [1]SubmittalLog!$H$1:$H$4000,
  _xlpm.status_col, [1]SubmittalLog!$O$1:$O$4000,
  _xlpm.first_app_date, _xlfn.MINIFS(_xlpm.date_col, _xlpm.doc_col, M353, _xlpm.status_col, "APP"),
  _xlpm.first_awc_date, _xlfn.MINIFS(_xlpm.date_col, _xlpm.doc_col, M353, _xlpm.status_col, "AWC"),
  _xlpm.earliest_date, IF(
    AND(_xlpm.first_app_date=0, _xlpm.first_awc_date=0), 0,
    IF(_xlpm.first_app_date=0, _xlpm.first_awc_date,
    IF(_xlpm.first_awc_date=0, _xlpm.first_app_date,
    MIN(_xlpm.first_app_date, _xlpm.first_awc_date)))
  ),
  IF(_xlpm.earliest_date=0, "", _xlpm.earliest_date)
))</f>
        <v>45301</v>
      </c>
      <c r="Y353" s="40" t="str" cm="1">
        <f t="array" ref="Y353">IF(OR(M353="", M353="Deleted"), "", _xlfn.LET(
  _xlpm.doc_col, [1]SubmittalLog!$E$1:$E$4000,
  _xlpm.date_col, [1]SubmittalLog!$H$1:$H$4000,
  _xlpm.status_col, [1]SubmittalLog!$O$1:$O$4000,
  _xlpm.has_sub, COUNTIF(_xlpm.doc_col, M353),
  _xlpm.latest_reviewed_date, _xlfn.MAXIFS(_xlpm.date_col, _xlpm.doc_col, M353, _xlpm.status_col, "&lt;&gt;"),
  IF(_xlpm.has_sub=0, "",
    IF(_xlpm.latest_reviewed_date=0, "",
      _xlfn.LET(
        _xlpm.res, _xlfn.XLOOKUP(1, (_xlpm.doc_col=M353) * (_xlpm.date_col=_xlpm.latest_reviewed_date) * (_xlpm.status_col&lt;&gt;""), _xlpm.status_col, ""),
        IF(OR(_xlpm.res="", _xlpm.res=0), "", _xlpm.res)
      )
    )
  )
))</f>
        <v>AWC</v>
      </c>
    </row>
    <row r="354" spans="1:25" x14ac:dyDescent="0.35">
      <c r="A354" s="33">
        <f>IF($M354="","",MAX($A$1:A353)+1)</f>
        <v>332</v>
      </c>
      <c r="B354" s="23" t="s">
        <v>250</v>
      </c>
      <c r="C354" s="23" t="s">
        <v>257</v>
      </c>
      <c r="G354" s="33">
        <v>131236</v>
      </c>
      <c r="H354" s="33" t="s">
        <v>59</v>
      </c>
      <c r="I354" s="33" t="s">
        <v>297</v>
      </c>
      <c r="J354" s="33" t="s">
        <v>3496</v>
      </c>
      <c r="K354" s="51">
        <v>6035</v>
      </c>
      <c r="M354" s="34" t="str">
        <f t="shared" si="5"/>
        <v>131236-WIL21-DR-P-6035</v>
      </c>
      <c r="N354" s="26" t="s">
        <v>3883</v>
      </c>
      <c r="P354" s="34" t="s">
        <v>3498</v>
      </c>
      <c r="S354" s="35">
        <v>45260</v>
      </c>
      <c r="T354" s="35">
        <v>45301</v>
      </c>
      <c r="U354" s="64" cm="1">
        <f t="array" ref="U354">IF(OR(M354="", M354="Deleted"), "", _xlfn.LET(
  _xlpm.dates,
  _xlfn._xlws.FILTER(
    [1]SubmittalLog!$H$1:$H$4000,
    [1]SubmittalLog!$E$1:$E$4000=M354,
    ""
  ),
  _xlpm.min_date, IFERROR(MIN(_xlpm.dates), ""),
  IF(_xlpm.min_date=0, "", _xlpm.min_date)
))</f>
        <v>45301</v>
      </c>
      <c r="V354" s="63" t="str" cm="1">
        <f t="array" ref="V354">IF(OR(M354="", M354="Deleted"), "", IFERROR(
  _xlfn.TEXTJOIN(", ", TRUE,
    _xlfn.MAP(
      _xlfn.UNIQUE(
        _xlfn._xlws.FILTER(
          [1]SubmittalLog!$B$1:$B$4000,
          ([1]SubmittalLog!$E$1:$E$4000=M354) *
          ([1]SubmittalLog!$B$1:$B$4000&lt;&gt;""),
          ""
        )
      ),
      _xlfn.LAMBDA(_xlpm.val, TEXT(_xlpm.val, "000000"))
    )
  ),
""))</f>
        <v>000230</v>
      </c>
      <c r="W354" s="40" t="str" cm="1">
        <f t="array" ref="W354">IF(OR(M354="", M354="Deleted"), "", _xlfn.LET(
  _xlpm.doc_col, [1]SubmittalLog!$E$1:$E$4000,
  _xlpm.date_col, [1]SubmittalLog!$H$1:$H$4000,
  _xlpm.status_col, [1]SubmittalLog!$N$1:$N$4000,
  _xlpm.latest_date, _xlfn.MAXIFS(_xlpm.date_col, _xlpm.doc_col, M354),
  IF(_xlpm.latest_date=0, "NFS",
    _xlfn.LET(
      _xlpm.res, _xlfn.XLOOKUP(M354 &amp; "|" &amp; _xlpm.latest_date, _xlpm.doc_col &amp; "|" &amp; _xlpm.date_col, _xlpm.status_col, ""),
      IF(OR(_xlpm.res="", _xlpm.res=0), "", _xlpm.res)
    )
  )
))</f>
        <v>RTR</v>
      </c>
      <c r="X354" s="39">
        <f>IF(OR(M354="", M354="Deleted"), "", _xlfn.LET(
  _xlpm.doc_col, [1]SubmittalLog!$E$1:$E$4000,
  _xlpm.date_col, [1]SubmittalLog!$H$1:$H$4000,
  _xlpm.status_col, [1]SubmittalLog!$O$1:$O$4000,
  _xlpm.first_app_date, _xlfn.MINIFS(_xlpm.date_col, _xlpm.doc_col, M354, _xlpm.status_col, "APP"),
  _xlpm.first_awc_date, _xlfn.MINIFS(_xlpm.date_col, _xlpm.doc_col, M354, _xlpm.status_col, "AWC"),
  _xlpm.earliest_date, IF(
    AND(_xlpm.first_app_date=0, _xlpm.first_awc_date=0), 0,
    IF(_xlpm.first_app_date=0, _xlpm.first_awc_date,
    IF(_xlpm.first_awc_date=0, _xlpm.first_app_date,
    MIN(_xlpm.first_app_date, _xlpm.first_awc_date)))
  ),
  IF(_xlpm.earliest_date=0, "", _xlpm.earliest_date)
))</f>
        <v>45301</v>
      </c>
      <c r="Y354" s="40" t="str" cm="1">
        <f t="array" ref="Y354">IF(OR(M354="", M354="Deleted"), "", _xlfn.LET(
  _xlpm.doc_col, [1]SubmittalLog!$E$1:$E$4000,
  _xlpm.date_col, [1]SubmittalLog!$H$1:$H$4000,
  _xlpm.status_col, [1]SubmittalLog!$O$1:$O$4000,
  _xlpm.has_sub, COUNTIF(_xlpm.doc_col, M354),
  _xlpm.latest_reviewed_date, _xlfn.MAXIFS(_xlpm.date_col, _xlpm.doc_col, M354, _xlpm.status_col, "&lt;&gt;"),
  IF(_xlpm.has_sub=0, "",
    IF(_xlpm.latest_reviewed_date=0, "",
      _xlfn.LET(
        _xlpm.res, _xlfn.XLOOKUP(1, (_xlpm.doc_col=M354) * (_xlpm.date_col=_xlpm.latest_reviewed_date) * (_xlpm.status_col&lt;&gt;""), _xlpm.status_col, ""),
        IF(OR(_xlpm.res="", _xlpm.res=0), "", _xlpm.res)
      )
    )
  )
))</f>
        <v>AWC</v>
      </c>
    </row>
    <row r="355" spans="1:25" x14ac:dyDescent="0.35">
      <c r="A355" s="33">
        <f>IF($M355="","",MAX($A$1:A354)+1)</f>
        <v>333</v>
      </c>
      <c r="B355" s="23" t="s">
        <v>250</v>
      </c>
      <c r="C355" s="23" t="s">
        <v>257</v>
      </c>
      <c r="G355" s="33">
        <v>131236</v>
      </c>
      <c r="H355" s="33" t="s">
        <v>59</v>
      </c>
      <c r="I355" s="33" t="s">
        <v>297</v>
      </c>
      <c r="J355" s="33" t="s">
        <v>3496</v>
      </c>
      <c r="K355" s="51">
        <v>6036</v>
      </c>
      <c r="M355" s="34" t="str">
        <f t="shared" si="5"/>
        <v>131236-WIL21-DR-P-6036</v>
      </c>
      <c r="N355" s="26" t="s">
        <v>3884</v>
      </c>
      <c r="P355" s="34" t="s">
        <v>3498</v>
      </c>
      <c r="S355" s="35">
        <v>45260</v>
      </c>
      <c r="T355" s="35">
        <v>45301</v>
      </c>
      <c r="U355" s="64" cm="1">
        <f t="array" ref="U355">IF(OR(M355="", M355="Deleted"), "", _xlfn.LET(
  _xlpm.dates,
  _xlfn._xlws.FILTER(
    [1]SubmittalLog!$H$1:$H$4000,
    [1]SubmittalLog!$E$1:$E$4000=M355,
    ""
  ),
  _xlpm.min_date, IFERROR(MIN(_xlpm.dates), ""),
  IF(_xlpm.min_date=0, "", _xlpm.min_date)
))</f>
        <v>45301</v>
      </c>
      <c r="V355" s="63" t="str" cm="1">
        <f t="array" ref="V355">IF(OR(M355="", M355="Deleted"), "", IFERROR(
  _xlfn.TEXTJOIN(", ", TRUE,
    _xlfn.MAP(
      _xlfn.UNIQUE(
        _xlfn._xlws.FILTER(
          [1]SubmittalLog!$B$1:$B$4000,
          ([1]SubmittalLog!$E$1:$E$4000=M355) *
          ([1]SubmittalLog!$B$1:$B$4000&lt;&gt;""),
          ""
        )
      ),
      _xlfn.LAMBDA(_xlpm.val, TEXT(_xlpm.val, "000000"))
    )
  ),
""))</f>
        <v>000230</v>
      </c>
      <c r="W355" s="40" t="str" cm="1">
        <f t="array" ref="W355">IF(OR(M355="", M355="Deleted"), "", _xlfn.LET(
  _xlpm.doc_col, [1]SubmittalLog!$E$1:$E$4000,
  _xlpm.date_col, [1]SubmittalLog!$H$1:$H$4000,
  _xlpm.status_col, [1]SubmittalLog!$N$1:$N$4000,
  _xlpm.latest_date, _xlfn.MAXIFS(_xlpm.date_col, _xlpm.doc_col, M355),
  IF(_xlpm.latest_date=0, "NFS",
    _xlfn.LET(
      _xlpm.res, _xlfn.XLOOKUP(M355 &amp; "|" &amp; _xlpm.latest_date, _xlpm.doc_col &amp; "|" &amp; _xlpm.date_col, _xlpm.status_col, ""),
      IF(OR(_xlpm.res="", _xlpm.res=0), "", _xlpm.res)
    )
  )
))</f>
        <v>RTR</v>
      </c>
      <c r="X355" s="39">
        <f>IF(OR(M355="", M355="Deleted"), "", _xlfn.LET(
  _xlpm.doc_col, [1]SubmittalLog!$E$1:$E$4000,
  _xlpm.date_col, [1]SubmittalLog!$H$1:$H$4000,
  _xlpm.status_col, [1]SubmittalLog!$O$1:$O$4000,
  _xlpm.first_app_date, _xlfn.MINIFS(_xlpm.date_col, _xlpm.doc_col, M355, _xlpm.status_col, "APP"),
  _xlpm.first_awc_date, _xlfn.MINIFS(_xlpm.date_col, _xlpm.doc_col, M355, _xlpm.status_col, "AWC"),
  _xlpm.earliest_date, IF(
    AND(_xlpm.first_app_date=0, _xlpm.first_awc_date=0), 0,
    IF(_xlpm.first_app_date=0, _xlpm.first_awc_date,
    IF(_xlpm.first_awc_date=0, _xlpm.first_app_date,
    MIN(_xlpm.first_app_date, _xlpm.first_awc_date)))
  ),
  IF(_xlpm.earliest_date=0, "", _xlpm.earliest_date)
))</f>
        <v>45301</v>
      </c>
      <c r="Y355" s="40" t="str" cm="1">
        <f t="array" ref="Y355">IF(OR(M355="", M355="Deleted"), "", _xlfn.LET(
  _xlpm.doc_col, [1]SubmittalLog!$E$1:$E$4000,
  _xlpm.date_col, [1]SubmittalLog!$H$1:$H$4000,
  _xlpm.status_col, [1]SubmittalLog!$O$1:$O$4000,
  _xlpm.has_sub, COUNTIF(_xlpm.doc_col, M355),
  _xlpm.latest_reviewed_date, _xlfn.MAXIFS(_xlpm.date_col, _xlpm.doc_col, M355, _xlpm.status_col, "&lt;&gt;"),
  IF(_xlpm.has_sub=0, "",
    IF(_xlpm.latest_reviewed_date=0, "",
      _xlfn.LET(
        _xlpm.res, _xlfn.XLOOKUP(1, (_xlpm.doc_col=M355) * (_xlpm.date_col=_xlpm.latest_reviewed_date) * (_xlpm.status_col&lt;&gt;""), _xlpm.status_col, ""),
        IF(OR(_xlpm.res="", _xlpm.res=0), "", _xlpm.res)
      )
    )
  )
))</f>
        <v>AWC</v>
      </c>
    </row>
    <row r="356" spans="1:25" x14ac:dyDescent="0.35">
      <c r="A356" s="33">
        <f>IF($M356="","",MAX($A$1:A355)+1)</f>
        <v>334</v>
      </c>
      <c r="B356" s="23" t="s">
        <v>250</v>
      </c>
      <c r="C356" s="23" t="s">
        <v>257</v>
      </c>
      <c r="G356" s="33">
        <v>131236</v>
      </c>
      <c r="H356" s="33" t="s">
        <v>59</v>
      </c>
      <c r="I356" s="33" t="s">
        <v>297</v>
      </c>
      <c r="J356" s="33" t="s">
        <v>3496</v>
      </c>
      <c r="K356" s="51">
        <v>6101</v>
      </c>
      <c r="M356" s="34" t="str">
        <f t="shared" si="5"/>
        <v>131236-WIL21-DR-P-6101</v>
      </c>
      <c r="N356" s="26" t="s">
        <v>3885</v>
      </c>
      <c r="P356" s="34" t="s">
        <v>3498</v>
      </c>
      <c r="S356" s="35">
        <v>45260</v>
      </c>
      <c r="T356" s="35">
        <v>45301</v>
      </c>
      <c r="U356" s="64" cm="1">
        <f t="array" ref="U356">IF(OR(M356="", M356="Deleted"), "", _xlfn.LET(
  _xlpm.dates,
  _xlfn._xlws.FILTER(
    [1]SubmittalLog!$H$1:$H$4000,
    [1]SubmittalLog!$E$1:$E$4000=M356,
    ""
  ),
  _xlpm.min_date, IFERROR(MIN(_xlpm.dates), ""),
  IF(_xlpm.min_date=0, "", _xlpm.min_date)
))</f>
        <v>45370</v>
      </c>
      <c r="V356" s="63" t="str" cm="1">
        <f t="array" ref="V356">IF(OR(M356="", M356="Deleted"), "", IFERROR(
  _xlfn.TEXTJOIN(", ", TRUE,
    _xlfn.MAP(
      _xlfn.UNIQUE(
        _xlfn._xlws.FILTER(
          [1]SubmittalLog!$B$1:$B$4000,
          ([1]SubmittalLog!$E$1:$E$4000=M356) *
          ([1]SubmittalLog!$B$1:$B$4000&lt;&gt;""),
          ""
        )
      ),
      _xlfn.LAMBDA(_xlpm.val, TEXT(_xlpm.val, "000000"))
    )
  ),
""))</f>
        <v>000230</v>
      </c>
      <c r="W356" s="40" t="str" cm="1">
        <f t="array" ref="W356">IF(OR(M356="", M356="Deleted"), "", _xlfn.LET(
  _xlpm.doc_col, [1]SubmittalLog!$E$1:$E$4000,
  _xlpm.date_col, [1]SubmittalLog!$H$1:$H$4000,
  _xlpm.status_col, [1]SubmittalLog!$N$1:$N$4000,
  _xlpm.latest_date, _xlfn.MAXIFS(_xlpm.date_col, _xlpm.doc_col, M356),
  IF(_xlpm.latest_date=0, "NFS",
    _xlfn.LET(
      _xlpm.res, _xlfn.XLOOKUP(M356 &amp; "|" &amp; _xlpm.latest_date, _xlpm.doc_col &amp; "|" &amp; _xlpm.date_col, _xlpm.status_col, ""),
      IF(OR(_xlpm.res="", _xlpm.res=0), "", _xlpm.res)
    )
  )
))</f>
        <v>RTR</v>
      </c>
      <c r="X356" s="39">
        <f>IF(OR(M356="", M356="Deleted"), "", _xlfn.LET(
  _xlpm.doc_col, [1]SubmittalLog!$E$1:$E$4000,
  _xlpm.date_col, [1]SubmittalLog!$H$1:$H$4000,
  _xlpm.status_col, [1]SubmittalLog!$O$1:$O$4000,
  _xlpm.first_app_date, _xlfn.MINIFS(_xlpm.date_col, _xlpm.doc_col, M356, _xlpm.status_col, "APP"),
  _xlpm.first_awc_date, _xlfn.MINIFS(_xlpm.date_col, _xlpm.doc_col, M356, _xlpm.status_col, "AWC"),
  _xlpm.earliest_date, IF(
    AND(_xlpm.first_app_date=0, _xlpm.first_awc_date=0), 0,
    IF(_xlpm.first_app_date=0, _xlpm.first_awc_date,
    IF(_xlpm.first_awc_date=0, _xlpm.first_app_date,
    MIN(_xlpm.first_app_date, _xlpm.first_awc_date)))
  ),
  IF(_xlpm.earliest_date=0, "", _xlpm.earliest_date)
))</f>
        <v>45370</v>
      </c>
      <c r="Y356" s="40" t="str" cm="1">
        <f t="array" ref="Y356">IF(OR(M356="", M356="Deleted"), "", _xlfn.LET(
  _xlpm.doc_col, [1]SubmittalLog!$E$1:$E$4000,
  _xlpm.date_col, [1]SubmittalLog!$H$1:$H$4000,
  _xlpm.status_col, [1]SubmittalLog!$O$1:$O$4000,
  _xlpm.has_sub, COUNTIF(_xlpm.doc_col, M356),
  _xlpm.latest_reviewed_date, _xlfn.MAXIFS(_xlpm.date_col, _xlpm.doc_col, M356, _xlpm.status_col, "&lt;&gt;"),
  IF(_xlpm.has_sub=0, "",
    IF(_xlpm.latest_reviewed_date=0, "",
      _xlfn.LET(
        _xlpm.res, _xlfn.XLOOKUP(1, (_xlpm.doc_col=M356) * (_xlpm.date_col=_xlpm.latest_reviewed_date) * (_xlpm.status_col&lt;&gt;""), _xlpm.status_col, ""),
        IF(OR(_xlpm.res="", _xlpm.res=0), "", _xlpm.res)
      )
    )
  )
))</f>
        <v>AWC</v>
      </c>
    </row>
    <row r="357" spans="1:25" x14ac:dyDescent="0.35">
      <c r="A357" s="33">
        <f>IF($M357="","",MAX($A$1:A356)+1)</f>
        <v>335</v>
      </c>
      <c r="B357" s="23" t="s">
        <v>250</v>
      </c>
      <c r="C357" s="23" t="s">
        <v>257</v>
      </c>
      <c r="G357" s="33">
        <v>131236</v>
      </c>
      <c r="H357" s="33" t="s">
        <v>59</v>
      </c>
      <c r="I357" s="33" t="s">
        <v>297</v>
      </c>
      <c r="J357" s="33" t="s">
        <v>3496</v>
      </c>
      <c r="K357" s="51">
        <v>6121</v>
      </c>
      <c r="M357" s="34" t="str">
        <f t="shared" si="5"/>
        <v>131236-WIL21-DR-P-6121</v>
      </c>
      <c r="N357" s="26" t="s">
        <v>3886</v>
      </c>
      <c r="P357" s="34" t="s">
        <v>3498</v>
      </c>
      <c r="S357" s="35">
        <v>45260</v>
      </c>
      <c r="T357" s="35">
        <v>45301</v>
      </c>
      <c r="U357" s="64" cm="1">
        <f t="array" ref="U357">IF(OR(M357="", M357="Deleted"), "", _xlfn.LET(
  _xlpm.dates,
  _xlfn._xlws.FILTER(
    [1]SubmittalLog!$H$1:$H$4000,
    [1]SubmittalLog!$E$1:$E$4000=M357,
    ""
  ),
  _xlpm.min_date, IFERROR(MIN(_xlpm.dates), ""),
  IF(_xlpm.min_date=0, "", _xlpm.min_date)
))</f>
        <v>45370</v>
      </c>
      <c r="V357" s="63" t="str" cm="1">
        <f t="array" ref="V357">IF(OR(M357="", M357="Deleted"), "", IFERROR(
  _xlfn.TEXTJOIN(", ", TRUE,
    _xlfn.MAP(
      _xlfn.UNIQUE(
        _xlfn._xlws.FILTER(
          [1]SubmittalLog!$B$1:$B$4000,
          ([1]SubmittalLog!$E$1:$E$4000=M357) *
          ([1]SubmittalLog!$B$1:$B$4000&lt;&gt;""),
          ""
        )
      ),
      _xlfn.LAMBDA(_xlpm.val, TEXT(_xlpm.val, "000000"))
    )
  ),
""))</f>
        <v>000230</v>
      </c>
      <c r="W357" s="40" t="str" cm="1">
        <f t="array" ref="W357">IF(OR(M357="", M357="Deleted"), "", _xlfn.LET(
  _xlpm.doc_col, [1]SubmittalLog!$E$1:$E$4000,
  _xlpm.date_col, [1]SubmittalLog!$H$1:$H$4000,
  _xlpm.status_col, [1]SubmittalLog!$N$1:$N$4000,
  _xlpm.latest_date, _xlfn.MAXIFS(_xlpm.date_col, _xlpm.doc_col, M357),
  IF(_xlpm.latest_date=0, "NFS",
    _xlfn.LET(
      _xlpm.res, _xlfn.XLOOKUP(M357 &amp; "|" &amp; _xlpm.latest_date, _xlpm.doc_col &amp; "|" &amp; _xlpm.date_col, _xlpm.status_col, ""),
      IF(OR(_xlpm.res="", _xlpm.res=0), "", _xlpm.res)
    )
  )
))</f>
        <v>RTR</v>
      </c>
      <c r="X357" s="39">
        <f>IF(OR(M357="", M357="Deleted"), "", _xlfn.LET(
  _xlpm.doc_col, [1]SubmittalLog!$E$1:$E$4000,
  _xlpm.date_col, [1]SubmittalLog!$H$1:$H$4000,
  _xlpm.status_col, [1]SubmittalLog!$O$1:$O$4000,
  _xlpm.first_app_date, _xlfn.MINIFS(_xlpm.date_col, _xlpm.doc_col, M357, _xlpm.status_col, "APP"),
  _xlpm.first_awc_date, _xlfn.MINIFS(_xlpm.date_col, _xlpm.doc_col, M357, _xlpm.status_col, "AWC"),
  _xlpm.earliest_date, IF(
    AND(_xlpm.first_app_date=0, _xlpm.first_awc_date=0), 0,
    IF(_xlpm.first_app_date=0, _xlpm.first_awc_date,
    IF(_xlpm.first_awc_date=0, _xlpm.first_app_date,
    MIN(_xlpm.first_app_date, _xlpm.first_awc_date)))
  ),
  IF(_xlpm.earliest_date=0, "", _xlpm.earliest_date)
))</f>
        <v>45370</v>
      </c>
      <c r="Y357" s="40" t="str" cm="1">
        <f t="array" ref="Y357">IF(OR(M357="", M357="Deleted"), "", _xlfn.LET(
  _xlpm.doc_col, [1]SubmittalLog!$E$1:$E$4000,
  _xlpm.date_col, [1]SubmittalLog!$H$1:$H$4000,
  _xlpm.status_col, [1]SubmittalLog!$O$1:$O$4000,
  _xlpm.has_sub, COUNTIF(_xlpm.doc_col, M357),
  _xlpm.latest_reviewed_date, _xlfn.MAXIFS(_xlpm.date_col, _xlpm.doc_col, M357, _xlpm.status_col, "&lt;&gt;"),
  IF(_xlpm.has_sub=0, "",
    IF(_xlpm.latest_reviewed_date=0, "",
      _xlfn.LET(
        _xlpm.res, _xlfn.XLOOKUP(1, (_xlpm.doc_col=M357) * (_xlpm.date_col=_xlpm.latest_reviewed_date) * (_xlpm.status_col&lt;&gt;""), _xlpm.status_col, ""),
        IF(OR(_xlpm.res="", _xlpm.res=0), "", _xlpm.res)
      )
    )
  )
))</f>
        <v>AWC</v>
      </c>
    </row>
    <row r="358" spans="1:25" x14ac:dyDescent="0.35">
      <c r="A358" s="33">
        <f>IF($M358="","",MAX($A$1:A357)+1)</f>
        <v>336</v>
      </c>
      <c r="B358" s="23" t="s">
        <v>250</v>
      </c>
      <c r="C358" s="23" t="s">
        <v>257</v>
      </c>
      <c r="G358" s="33">
        <v>131236</v>
      </c>
      <c r="H358" s="33" t="s">
        <v>59</v>
      </c>
      <c r="I358" s="33" t="s">
        <v>297</v>
      </c>
      <c r="J358" s="33" t="s">
        <v>3496</v>
      </c>
      <c r="K358" s="51">
        <v>6600</v>
      </c>
      <c r="M358" s="34" t="str">
        <f t="shared" si="5"/>
        <v>131236-WIL21-DR-P-6600</v>
      </c>
      <c r="N358" s="26" t="s">
        <v>3887</v>
      </c>
      <c r="P358" s="34" t="s">
        <v>3498</v>
      </c>
      <c r="S358" s="35">
        <v>45260</v>
      </c>
      <c r="T358" s="35">
        <v>45288</v>
      </c>
      <c r="U358" s="64" cm="1">
        <f t="array" ref="U358">IF(OR(M358="", M358="Deleted"), "", _xlfn.LET(
  _xlpm.dates,
  _xlfn._xlws.FILTER(
    [1]SubmittalLog!$H$1:$H$4000,
    [1]SubmittalLog!$E$1:$E$4000=M358,
    ""
  ),
  _xlpm.min_date, IFERROR(MIN(_xlpm.dates), ""),
  IF(_xlpm.min_date=0, "", _xlpm.min_date)
))</f>
        <v>45288</v>
      </c>
      <c r="V358" s="63" t="str" cm="1">
        <f t="array" ref="V358">IF(OR(M358="", M358="Deleted"), "", IFERROR(
  _xlfn.TEXTJOIN(", ", TRUE,
    _xlfn.MAP(
      _xlfn.UNIQUE(
        _xlfn._xlws.FILTER(
          [1]SubmittalLog!$B$1:$B$4000,
          ([1]SubmittalLog!$E$1:$E$4000=M358) *
          ([1]SubmittalLog!$B$1:$B$4000&lt;&gt;""),
          ""
        )
      ),
      _xlfn.LAMBDA(_xlpm.val, TEXT(_xlpm.val, "000000"))
    )
  ),
""))</f>
        <v>000400, 000230</v>
      </c>
      <c r="W358" s="40" t="str" cm="1">
        <f t="array" ref="W358">IF(OR(M358="", M358="Deleted"), "", _xlfn.LET(
  _xlpm.doc_col, [1]SubmittalLog!$E$1:$E$4000,
  _xlpm.date_col, [1]SubmittalLog!$H$1:$H$4000,
  _xlpm.status_col, [1]SubmittalLog!$N$1:$N$4000,
  _xlpm.latest_date, _xlfn.MAXIFS(_xlpm.date_col, _xlpm.doc_col, M358),
  IF(_xlpm.latest_date=0, "NFS",
    _xlfn.LET(
      _xlpm.res, _xlfn.XLOOKUP(M358 &amp; "|" &amp; _xlpm.latest_date, _xlpm.doc_col &amp; "|" &amp; _xlpm.date_col, _xlpm.status_col, ""),
      IF(OR(_xlpm.res="", _xlpm.res=0), "", _xlpm.res)
    )
  )
))</f>
        <v>RTR</v>
      </c>
      <c r="X358" s="39">
        <f>IF(OR(M358="", M358="Deleted"), "", _xlfn.LET(
  _xlpm.doc_col, [1]SubmittalLog!$E$1:$E$4000,
  _xlpm.date_col, [1]SubmittalLog!$H$1:$H$4000,
  _xlpm.status_col, [1]SubmittalLog!$O$1:$O$4000,
  _xlpm.first_app_date, _xlfn.MINIFS(_xlpm.date_col, _xlpm.doc_col, M358, _xlpm.status_col, "APP"),
  _xlpm.first_awc_date, _xlfn.MINIFS(_xlpm.date_col, _xlpm.doc_col, M358, _xlpm.status_col, "AWC"),
  _xlpm.earliest_date, IF(
    AND(_xlpm.first_app_date=0, _xlpm.first_awc_date=0), 0,
    IF(_xlpm.first_app_date=0, _xlpm.first_awc_date,
    IF(_xlpm.first_awc_date=0, _xlpm.first_app_date,
    MIN(_xlpm.first_app_date, _xlpm.first_awc_date)))
  ),
  IF(_xlpm.earliest_date=0, "", _xlpm.earliest_date)
))</f>
        <v>45288</v>
      </c>
      <c r="Y358" s="40" t="str" cm="1">
        <f t="array" ref="Y358">IF(OR(M358="", M358="Deleted"), "", _xlfn.LET(
  _xlpm.doc_col, [1]SubmittalLog!$E$1:$E$4000,
  _xlpm.date_col, [1]SubmittalLog!$H$1:$H$4000,
  _xlpm.status_col, [1]SubmittalLog!$O$1:$O$4000,
  _xlpm.has_sub, COUNTIF(_xlpm.doc_col, M358),
  _xlpm.latest_reviewed_date, _xlfn.MAXIFS(_xlpm.date_col, _xlpm.doc_col, M358, _xlpm.status_col, "&lt;&gt;"),
  IF(_xlpm.has_sub=0, "",
    IF(_xlpm.latest_reviewed_date=0, "",
      _xlfn.LET(
        _xlpm.res, _xlfn.XLOOKUP(1, (_xlpm.doc_col=M358) * (_xlpm.date_col=_xlpm.latest_reviewed_date) * (_xlpm.status_col&lt;&gt;""), _xlpm.status_col, ""),
        IF(OR(_xlpm.res="", _xlpm.res=0), "", _xlpm.res)
      )
    )
  )
))</f>
        <v>AWC</v>
      </c>
    </row>
    <row r="359" spans="1:25" x14ac:dyDescent="0.35">
      <c r="A359" s="33">
        <f>IF($M359="","",MAX($A$1:A358)+1)</f>
        <v>337</v>
      </c>
      <c r="B359" s="23" t="s">
        <v>250</v>
      </c>
      <c r="C359" s="23" t="s">
        <v>257</v>
      </c>
      <c r="G359" s="33">
        <v>131236</v>
      </c>
      <c r="H359" s="33" t="s">
        <v>59</v>
      </c>
      <c r="I359" s="33" t="s">
        <v>297</v>
      </c>
      <c r="J359" s="33" t="s">
        <v>3496</v>
      </c>
      <c r="K359" s="51">
        <v>6601</v>
      </c>
      <c r="M359" s="34" t="str">
        <f t="shared" si="5"/>
        <v>131236-WIL21-DR-P-6601</v>
      </c>
      <c r="N359" s="26" t="s">
        <v>3887</v>
      </c>
      <c r="P359" s="34" t="s">
        <v>3498</v>
      </c>
      <c r="S359" s="35">
        <v>45260</v>
      </c>
      <c r="T359" s="35">
        <v>45288</v>
      </c>
      <c r="U359" s="64" cm="1">
        <f t="array" ref="U359">IF(OR(M359="", M359="Deleted"), "", _xlfn.LET(
  _xlpm.dates,
  _xlfn._xlws.FILTER(
    [1]SubmittalLog!$H$1:$H$4000,
    [1]SubmittalLog!$E$1:$E$4000=M359,
    ""
  ),
  _xlpm.min_date, IFERROR(MIN(_xlpm.dates), ""),
  IF(_xlpm.min_date=0, "", _xlpm.min_date)
))</f>
        <v>45288</v>
      </c>
      <c r="V359" s="63" t="str" cm="1">
        <f t="array" ref="V359">IF(OR(M359="", M359="Deleted"), "", IFERROR(
  _xlfn.TEXTJOIN(", ", TRUE,
    _xlfn.MAP(
      _xlfn.UNIQUE(
        _xlfn._xlws.FILTER(
          [1]SubmittalLog!$B$1:$B$4000,
          ([1]SubmittalLog!$E$1:$E$4000=M359) *
          ([1]SubmittalLog!$B$1:$B$4000&lt;&gt;""),
          ""
        )
      ),
      _xlfn.LAMBDA(_xlpm.val, TEXT(_xlpm.val, "000000"))
    )
  ),
""))</f>
        <v>000534, 000230</v>
      </c>
      <c r="W359" s="40" t="str" cm="1">
        <f t="array" ref="W359">IF(OR(M359="", M359="Deleted"), "", _xlfn.LET(
  _xlpm.doc_col, [1]SubmittalLog!$E$1:$E$4000,
  _xlpm.date_col, [1]SubmittalLog!$H$1:$H$4000,
  _xlpm.status_col, [1]SubmittalLog!$N$1:$N$4000,
  _xlpm.latest_date, _xlfn.MAXIFS(_xlpm.date_col, _xlpm.doc_col, M359),
  IF(_xlpm.latest_date=0, "NFS",
    _xlfn.LET(
      _xlpm.res, _xlfn.XLOOKUP(M359 &amp; "|" &amp; _xlpm.latest_date, _xlpm.doc_col &amp; "|" &amp; _xlpm.date_col, _xlpm.status_col, ""),
      IF(OR(_xlpm.res="", _xlpm.res=0), "", _xlpm.res)
    )
  )
))</f>
        <v>RTR</v>
      </c>
      <c r="X359" s="39">
        <f>IF(OR(M359="", M359="Deleted"), "", _xlfn.LET(
  _xlpm.doc_col, [1]SubmittalLog!$E$1:$E$4000,
  _xlpm.date_col, [1]SubmittalLog!$H$1:$H$4000,
  _xlpm.status_col, [1]SubmittalLog!$O$1:$O$4000,
  _xlpm.first_app_date, _xlfn.MINIFS(_xlpm.date_col, _xlpm.doc_col, M359, _xlpm.status_col, "APP"),
  _xlpm.first_awc_date, _xlfn.MINIFS(_xlpm.date_col, _xlpm.doc_col, M359, _xlpm.status_col, "AWC"),
  _xlpm.earliest_date, IF(
    AND(_xlpm.first_app_date=0, _xlpm.first_awc_date=0), 0,
    IF(_xlpm.first_app_date=0, _xlpm.first_awc_date,
    IF(_xlpm.first_awc_date=0, _xlpm.first_app_date,
    MIN(_xlpm.first_app_date, _xlpm.first_awc_date)))
  ),
  IF(_xlpm.earliest_date=0, "", _xlpm.earliest_date)
))</f>
        <v>45288</v>
      </c>
      <c r="Y359" s="40" t="str" cm="1">
        <f t="array" ref="Y359">IF(OR(M359="", M359="Deleted"), "", _xlfn.LET(
  _xlpm.doc_col, [1]SubmittalLog!$E$1:$E$4000,
  _xlpm.date_col, [1]SubmittalLog!$H$1:$H$4000,
  _xlpm.status_col, [1]SubmittalLog!$O$1:$O$4000,
  _xlpm.has_sub, COUNTIF(_xlpm.doc_col, M359),
  _xlpm.latest_reviewed_date, _xlfn.MAXIFS(_xlpm.date_col, _xlpm.doc_col, M359, _xlpm.status_col, "&lt;&gt;"),
  IF(_xlpm.has_sub=0, "",
    IF(_xlpm.latest_reviewed_date=0, "",
      _xlfn.LET(
        _xlpm.res, _xlfn.XLOOKUP(1, (_xlpm.doc_col=M359) * (_xlpm.date_col=_xlpm.latest_reviewed_date) * (_xlpm.status_col&lt;&gt;""), _xlpm.status_col, ""),
        IF(OR(_xlpm.res="", _xlpm.res=0), "", _xlpm.res)
      )
    )
  )
))</f>
        <v>REJ</v>
      </c>
    </row>
    <row r="360" spans="1:25" x14ac:dyDescent="0.35">
      <c r="A360" s="33">
        <f>IF($M360="","",MAX($A$1:A359)+1)</f>
        <v>338</v>
      </c>
      <c r="B360" s="23" t="s">
        <v>250</v>
      </c>
      <c r="C360" s="23" t="s">
        <v>257</v>
      </c>
      <c r="G360" s="33">
        <v>131236</v>
      </c>
      <c r="H360" s="33" t="s">
        <v>59</v>
      </c>
      <c r="I360" s="33" t="s">
        <v>297</v>
      </c>
      <c r="J360" s="33" t="s">
        <v>3496</v>
      </c>
      <c r="K360" s="51">
        <v>6050</v>
      </c>
      <c r="M360" s="34" t="str">
        <f t="shared" si="5"/>
        <v>131236-WIL21-DR-P-6050</v>
      </c>
      <c r="N360" s="26" t="s">
        <v>3888</v>
      </c>
      <c r="P360" s="34" t="s">
        <v>3498</v>
      </c>
      <c r="S360" s="35">
        <v>45260</v>
      </c>
      <c r="T360" s="35">
        <v>45301</v>
      </c>
      <c r="U360" s="64" cm="1">
        <f t="array" ref="U360">IF(OR(M360="", M360="Deleted"), "", _xlfn.LET(
  _xlpm.dates,
  _xlfn._xlws.FILTER(
    [1]SubmittalLog!$H$1:$H$4000,
    [1]SubmittalLog!$E$1:$E$4000=M360,
    ""
  ),
  _xlpm.min_date, IFERROR(MIN(_xlpm.dates), ""),
  IF(_xlpm.min_date=0, "", _xlpm.min_date)
))</f>
        <v>45301</v>
      </c>
      <c r="V360" s="63" t="str" cm="1">
        <f t="array" ref="V360">IF(OR(M360="", M360="Deleted"), "", IFERROR(
  _xlfn.TEXTJOIN(", ", TRUE,
    _xlfn.MAP(
      _xlfn.UNIQUE(
        _xlfn._xlws.FILTER(
          [1]SubmittalLog!$B$1:$B$4000,
          ([1]SubmittalLog!$E$1:$E$4000=M360) *
          ([1]SubmittalLog!$B$1:$B$4000&lt;&gt;""),
          ""
        )
      ),
      _xlfn.LAMBDA(_xlpm.val, TEXT(_xlpm.val, "000000"))
    )
  ),
""))</f>
        <v>000230</v>
      </c>
      <c r="W360" s="40" t="str" cm="1">
        <f t="array" ref="W360">IF(OR(M360="", M360="Deleted"), "", _xlfn.LET(
  _xlpm.doc_col, [1]SubmittalLog!$E$1:$E$4000,
  _xlpm.date_col, [1]SubmittalLog!$H$1:$H$4000,
  _xlpm.status_col, [1]SubmittalLog!$N$1:$N$4000,
  _xlpm.latest_date, _xlfn.MAXIFS(_xlpm.date_col, _xlpm.doc_col, M360),
  IF(_xlpm.latest_date=0, "NFS",
    _xlfn.LET(
      _xlpm.res, _xlfn.XLOOKUP(M360 &amp; "|" &amp; _xlpm.latest_date, _xlpm.doc_col &amp; "|" &amp; _xlpm.date_col, _xlpm.status_col, ""),
      IF(OR(_xlpm.res="", _xlpm.res=0), "", _xlpm.res)
    )
  )
))</f>
        <v>RTR</v>
      </c>
      <c r="X360" s="39">
        <f>IF(OR(M360="", M360="Deleted"), "", _xlfn.LET(
  _xlpm.doc_col, [1]SubmittalLog!$E$1:$E$4000,
  _xlpm.date_col, [1]SubmittalLog!$H$1:$H$4000,
  _xlpm.status_col, [1]SubmittalLog!$O$1:$O$4000,
  _xlpm.first_app_date, _xlfn.MINIFS(_xlpm.date_col, _xlpm.doc_col, M360, _xlpm.status_col, "APP"),
  _xlpm.first_awc_date, _xlfn.MINIFS(_xlpm.date_col, _xlpm.doc_col, M360, _xlpm.status_col, "AWC"),
  _xlpm.earliest_date, IF(
    AND(_xlpm.first_app_date=0, _xlpm.first_awc_date=0), 0,
    IF(_xlpm.first_app_date=0, _xlpm.first_awc_date,
    IF(_xlpm.first_awc_date=0, _xlpm.first_app_date,
    MIN(_xlpm.first_app_date, _xlpm.first_awc_date)))
  ),
  IF(_xlpm.earliest_date=0, "", _xlpm.earliest_date)
))</f>
        <v>45301</v>
      </c>
      <c r="Y360" s="40" t="str" cm="1">
        <f t="array" ref="Y360">IF(OR(M360="", M360="Deleted"), "", _xlfn.LET(
  _xlpm.doc_col, [1]SubmittalLog!$E$1:$E$4000,
  _xlpm.date_col, [1]SubmittalLog!$H$1:$H$4000,
  _xlpm.status_col, [1]SubmittalLog!$O$1:$O$4000,
  _xlpm.has_sub, COUNTIF(_xlpm.doc_col, M360),
  _xlpm.latest_reviewed_date, _xlfn.MAXIFS(_xlpm.date_col, _xlpm.doc_col, M360, _xlpm.status_col, "&lt;&gt;"),
  IF(_xlpm.has_sub=0, "",
    IF(_xlpm.latest_reviewed_date=0, "",
      _xlfn.LET(
        _xlpm.res, _xlfn.XLOOKUP(1, (_xlpm.doc_col=M360) * (_xlpm.date_col=_xlpm.latest_reviewed_date) * (_xlpm.status_col&lt;&gt;""), _xlpm.status_col, ""),
        IF(OR(_xlpm.res="", _xlpm.res=0), "", _xlpm.res)
      )
    )
  )
))</f>
        <v>AWC</v>
      </c>
    </row>
    <row r="361" spans="1:25" x14ac:dyDescent="0.35">
      <c r="A361" s="33">
        <f>IF($M361="","",MAX($A$1:A360)+1)</f>
        <v>339</v>
      </c>
      <c r="B361" s="23" t="s">
        <v>250</v>
      </c>
      <c r="C361" s="23" t="s">
        <v>257</v>
      </c>
      <c r="G361" s="33">
        <v>131236</v>
      </c>
      <c r="H361" s="33" t="s">
        <v>59</v>
      </c>
      <c r="I361" s="33" t="s">
        <v>297</v>
      </c>
      <c r="J361" s="33" t="s">
        <v>3496</v>
      </c>
      <c r="K361" s="51">
        <v>6400</v>
      </c>
      <c r="M361" s="34" t="str">
        <f t="shared" si="5"/>
        <v>131236-WIL21-DR-P-6400</v>
      </c>
      <c r="N361" s="26" t="s">
        <v>3889</v>
      </c>
      <c r="P361" s="34" t="s">
        <v>3498</v>
      </c>
      <c r="S361" s="35">
        <v>45260</v>
      </c>
      <c r="T361" s="35">
        <v>45288</v>
      </c>
      <c r="U361" s="64" cm="1">
        <f t="array" ref="U361">IF(OR(M361="", M361="Deleted"), "", _xlfn.LET(
  _xlpm.dates,
  _xlfn._xlws.FILTER(
    [1]SubmittalLog!$H$1:$H$4000,
    [1]SubmittalLog!$E$1:$E$4000=M361,
    ""
  ),
  _xlpm.min_date, IFERROR(MIN(_xlpm.dates), ""),
  IF(_xlpm.min_date=0, "", _xlpm.min_date)
))</f>
        <v>45288</v>
      </c>
      <c r="V361" s="63" t="str" cm="1">
        <f t="array" ref="V361">IF(OR(M361="", M361="Deleted"), "", IFERROR(
  _xlfn.TEXTJOIN(", ", TRUE,
    _xlfn.MAP(
      _xlfn.UNIQUE(
        _xlfn._xlws.FILTER(
          [1]SubmittalLog!$B$1:$B$4000,
          ([1]SubmittalLog!$E$1:$E$4000=M361) *
          ([1]SubmittalLog!$B$1:$B$4000&lt;&gt;""),
          ""
        )
      ),
      _xlfn.LAMBDA(_xlpm.val, TEXT(_xlpm.val, "000000"))
    )
  ),
""))</f>
        <v>000230</v>
      </c>
      <c r="W361" s="40" t="str" cm="1">
        <f t="array" ref="W361">IF(OR(M361="", M361="Deleted"), "", _xlfn.LET(
  _xlpm.doc_col, [1]SubmittalLog!$E$1:$E$4000,
  _xlpm.date_col, [1]SubmittalLog!$H$1:$H$4000,
  _xlpm.status_col, [1]SubmittalLog!$N$1:$N$4000,
  _xlpm.latest_date, _xlfn.MAXIFS(_xlpm.date_col, _xlpm.doc_col, M361),
  IF(_xlpm.latest_date=0, "NFS",
    _xlfn.LET(
      _xlpm.res, _xlfn.XLOOKUP(M361 &amp; "|" &amp; _xlpm.latest_date, _xlpm.doc_col &amp; "|" &amp; _xlpm.date_col, _xlpm.status_col, ""),
      IF(OR(_xlpm.res="", _xlpm.res=0), "", _xlpm.res)
    )
  )
))</f>
        <v>RTR</v>
      </c>
      <c r="X361" s="39">
        <f>IF(OR(M361="", M361="Deleted"), "", _xlfn.LET(
  _xlpm.doc_col, [1]SubmittalLog!$E$1:$E$4000,
  _xlpm.date_col, [1]SubmittalLog!$H$1:$H$4000,
  _xlpm.status_col, [1]SubmittalLog!$O$1:$O$4000,
  _xlpm.first_app_date, _xlfn.MINIFS(_xlpm.date_col, _xlpm.doc_col, M361, _xlpm.status_col, "APP"),
  _xlpm.first_awc_date, _xlfn.MINIFS(_xlpm.date_col, _xlpm.doc_col, M361, _xlpm.status_col, "AWC"),
  _xlpm.earliest_date, IF(
    AND(_xlpm.first_app_date=0, _xlpm.first_awc_date=0), 0,
    IF(_xlpm.first_app_date=0, _xlpm.first_awc_date,
    IF(_xlpm.first_awc_date=0, _xlpm.first_app_date,
    MIN(_xlpm.first_app_date, _xlpm.first_awc_date)))
  ),
  IF(_xlpm.earliest_date=0, "", _xlpm.earliest_date)
))</f>
        <v>45288</v>
      </c>
      <c r="Y361" s="40" t="str" cm="1">
        <f t="array" ref="Y361">IF(OR(M361="", M361="Deleted"), "", _xlfn.LET(
  _xlpm.doc_col, [1]SubmittalLog!$E$1:$E$4000,
  _xlpm.date_col, [1]SubmittalLog!$H$1:$H$4000,
  _xlpm.status_col, [1]SubmittalLog!$O$1:$O$4000,
  _xlpm.has_sub, COUNTIF(_xlpm.doc_col, M361),
  _xlpm.latest_reviewed_date, _xlfn.MAXIFS(_xlpm.date_col, _xlpm.doc_col, M361, _xlpm.status_col, "&lt;&gt;"),
  IF(_xlpm.has_sub=0, "",
    IF(_xlpm.latest_reviewed_date=0, "",
      _xlfn.LET(
        _xlpm.res, _xlfn.XLOOKUP(1, (_xlpm.doc_col=M361) * (_xlpm.date_col=_xlpm.latest_reviewed_date) * (_xlpm.status_col&lt;&gt;""), _xlpm.status_col, ""),
        IF(OR(_xlpm.res="", _xlpm.res=0), "", _xlpm.res)
      )
    )
  )
))</f>
        <v>AWC</v>
      </c>
    </row>
    <row r="362" spans="1:25" x14ac:dyDescent="0.35">
      <c r="A362" s="33">
        <f>IF($M362="","",MAX($A$1:A361)+1)</f>
        <v>340</v>
      </c>
      <c r="B362" s="23" t="s">
        <v>250</v>
      </c>
      <c r="C362" s="23" t="s">
        <v>257</v>
      </c>
      <c r="G362" s="33">
        <v>131236</v>
      </c>
      <c r="H362" s="33" t="s">
        <v>59</v>
      </c>
      <c r="I362" s="33" t="s">
        <v>297</v>
      </c>
      <c r="J362" s="33" t="s">
        <v>3496</v>
      </c>
      <c r="K362" s="51">
        <v>6200</v>
      </c>
      <c r="M362" s="34" t="str">
        <f t="shared" si="5"/>
        <v>131236-WIL21-DR-P-6200</v>
      </c>
      <c r="N362" s="26" t="s">
        <v>3890</v>
      </c>
      <c r="P362" s="34" t="s">
        <v>3498</v>
      </c>
      <c r="S362" s="35">
        <v>45260</v>
      </c>
      <c r="T362" s="35">
        <v>45288</v>
      </c>
      <c r="U362" s="64" cm="1">
        <f t="array" ref="U362">IF(OR(M362="", M362="Deleted"), "", _xlfn.LET(
  _xlpm.dates,
  _xlfn._xlws.FILTER(
    [1]SubmittalLog!$H$1:$H$4000,
    [1]SubmittalLog!$E$1:$E$4000=M362,
    ""
  ),
  _xlpm.min_date, IFERROR(MIN(_xlpm.dates), ""),
  IF(_xlpm.min_date=0, "", _xlpm.min_date)
))</f>
        <v>45288</v>
      </c>
      <c r="V362" s="63" t="str" cm="1">
        <f t="array" ref="V362">IF(OR(M362="", M362="Deleted"), "", IFERROR(
  _xlfn.TEXTJOIN(", ", TRUE,
    _xlfn.MAP(
      _xlfn.UNIQUE(
        _xlfn._xlws.FILTER(
          [1]SubmittalLog!$B$1:$B$4000,
          ([1]SubmittalLog!$E$1:$E$4000=M362) *
          ([1]SubmittalLog!$B$1:$B$4000&lt;&gt;""),
          ""
        )
      ),
      _xlfn.LAMBDA(_xlpm.val, TEXT(_xlpm.val, "000000"))
    )
  ),
""))</f>
        <v>000400, 000230</v>
      </c>
      <c r="W362" s="40" t="str" cm="1">
        <f t="array" ref="W362">IF(OR(M362="", M362="Deleted"), "", _xlfn.LET(
  _xlpm.doc_col, [1]SubmittalLog!$E$1:$E$4000,
  _xlpm.date_col, [1]SubmittalLog!$H$1:$H$4000,
  _xlpm.status_col, [1]SubmittalLog!$N$1:$N$4000,
  _xlpm.latest_date, _xlfn.MAXIFS(_xlpm.date_col, _xlpm.doc_col, M362),
  IF(_xlpm.latest_date=0, "NFS",
    _xlfn.LET(
      _xlpm.res, _xlfn.XLOOKUP(M362 &amp; "|" &amp; _xlpm.latest_date, _xlpm.doc_col &amp; "|" &amp; _xlpm.date_col, _xlpm.status_col, ""),
      IF(OR(_xlpm.res="", _xlpm.res=0), "", _xlpm.res)
    )
  )
))</f>
        <v>RTR</v>
      </c>
      <c r="X362" s="39">
        <f>IF(OR(M362="", M362="Deleted"), "", _xlfn.LET(
  _xlpm.doc_col, [1]SubmittalLog!$E$1:$E$4000,
  _xlpm.date_col, [1]SubmittalLog!$H$1:$H$4000,
  _xlpm.status_col, [1]SubmittalLog!$O$1:$O$4000,
  _xlpm.first_app_date, _xlfn.MINIFS(_xlpm.date_col, _xlpm.doc_col, M362, _xlpm.status_col, "APP"),
  _xlpm.first_awc_date, _xlfn.MINIFS(_xlpm.date_col, _xlpm.doc_col, M362, _xlpm.status_col, "AWC"),
  _xlpm.earliest_date, IF(
    AND(_xlpm.first_app_date=0, _xlpm.first_awc_date=0), 0,
    IF(_xlpm.first_app_date=0, _xlpm.first_awc_date,
    IF(_xlpm.first_awc_date=0, _xlpm.first_app_date,
    MIN(_xlpm.first_app_date, _xlpm.first_awc_date)))
  ),
  IF(_xlpm.earliest_date=0, "", _xlpm.earliest_date)
))</f>
        <v>45288</v>
      </c>
      <c r="Y362" s="40" t="str" cm="1">
        <f t="array" ref="Y362">IF(OR(M362="", M362="Deleted"), "", _xlfn.LET(
  _xlpm.doc_col, [1]SubmittalLog!$E$1:$E$4000,
  _xlpm.date_col, [1]SubmittalLog!$H$1:$H$4000,
  _xlpm.status_col, [1]SubmittalLog!$O$1:$O$4000,
  _xlpm.has_sub, COUNTIF(_xlpm.doc_col, M362),
  _xlpm.latest_reviewed_date, _xlfn.MAXIFS(_xlpm.date_col, _xlpm.doc_col, M362, _xlpm.status_col, "&lt;&gt;"),
  IF(_xlpm.has_sub=0, "",
    IF(_xlpm.latest_reviewed_date=0, "",
      _xlfn.LET(
        _xlpm.res, _xlfn.XLOOKUP(1, (_xlpm.doc_col=M362) * (_xlpm.date_col=_xlpm.latest_reviewed_date) * (_xlpm.status_col&lt;&gt;""), _xlpm.status_col, ""),
        IF(OR(_xlpm.res="", _xlpm.res=0), "", _xlpm.res)
      )
    )
  )
))</f>
        <v>AWC</v>
      </c>
    </row>
    <row r="363" spans="1:25" x14ac:dyDescent="0.35">
      <c r="A363" s="33">
        <f>IF($M363="","",MAX($A$1:A362)+1)</f>
        <v>341</v>
      </c>
      <c r="B363" s="23" t="s">
        <v>250</v>
      </c>
      <c r="C363" s="23" t="s">
        <v>257</v>
      </c>
      <c r="G363" s="33">
        <v>131236</v>
      </c>
      <c r="H363" s="33" t="s">
        <v>59</v>
      </c>
      <c r="I363" s="33" t="s">
        <v>297</v>
      </c>
      <c r="J363" s="33" t="s">
        <v>3496</v>
      </c>
      <c r="K363" s="51">
        <v>6300</v>
      </c>
      <c r="M363" s="34" t="str">
        <f t="shared" si="5"/>
        <v>131236-WIL21-DR-P-6300</v>
      </c>
      <c r="N363" s="26" t="s">
        <v>3891</v>
      </c>
      <c r="P363" s="34" t="s">
        <v>3498</v>
      </c>
      <c r="S363" s="35">
        <v>45260</v>
      </c>
      <c r="T363" s="35">
        <v>45288</v>
      </c>
      <c r="U363" s="64" cm="1">
        <f t="array" ref="U363">IF(OR(M363="", M363="Deleted"), "", _xlfn.LET(
  _xlpm.dates,
  _xlfn._xlws.FILTER(
    [1]SubmittalLog!$H$1:$H$4000,
    [1]SubmittalLog!$E$1:$E$4000=M363,
    ""
  ),
  _xlpm.min_date, IFERROR(MIN(_xlpm.dates), ""),
  IF(_xlpm.min_date=0, "", _xlpm.min_date)
))</f>
        <v>45245</v>
      </c>
      <c r="V363" s="63" t="str" cm="1">
        <f t="array" ref="V363">IF(OR(M363="", M363="Deleted"), "", IFERROR(
  _xlfn.TEXTJOIN(", ", TRUE,
    _xlfn.MAP(
      _xlfn.UNIQUE(
        _xlfn._xlws.FILTER(
          [1]SubmittalLog!$B$1:$B$4000,
          ([1]SubmittalLog!$E$1:$E$4000=M363) *
          ([1]SubmittalLog!$B$1:$B$4000&lt;&gt;""),
          ""
        )
      ),
      _xlfn.LAMBDA(_xlpm.val, TEXT(_xlpm.val, "000000"))
    )
  ),
""))</f>
        <v>000187, 000230</v>
      </c>
      <c r="W363" s="40" t="str" cm="1">
        <f t="array" ref="W363">IF(OR(M363="", M363="Deleted"), "", _xlfn.LET(
  _xlpm.doc_col, [1]SubmittalLog!$E$1:$E$4000,
  _xlpm.date_col, [1]SubmittalLog!$H$1:$H$4000,
  _xlpm.status_col, [1]SubmittalLog!$N$1:$N$4000,
  _xlpm.latest_date, _xlfn.MAXIFS(_xlpm.date_col, _xlpm.doc_col, M363),
  IF(_xlpm.latest_date=0, "NFS",
    _xlfn.LET(
      _xlpm.res, _xlfn.XLOOKUP(M363 &amp; "|" &amp; _xlpm.latest_date, _xlpm.doc_col &amp; "|" &amp; _xlpm.date_col, _xlpm.status_col, ""),
      IF(OR(_xlpm.res="", _xlpm.res=0), "", _xlpm.res)
    )
  )
))</f>
        <v>RTR</v>
      </c>
      <c r="X363" s="39">
        <f>IF(OR(M363="", M363="Deleted"), "", _xlfn.LET(
  _xlpm.doc_col, [1]SubmittalLog!$E$1:$E$4000,
  _xlpm.date_col, [1]SubmittalLog!$H$1:$H$4000,
  _xlpm.status_col, [1]SubmittalLog!$O$1:$O$4000,
  _xlpm.first_app_date, _xlfn.MINIFS(_xlpm.date_col, _xlpm.doc_col, M363, _xlpm.status_col, "APP"),
  _xlpm.first_awc_date, _xlfn.MINIFS(_xlpm.date_col, _xlpm.doc_col, M363, _xlpm.status_col, "AWC"),
  _xlpm.earliest_date, IF(
    AND(_xlpm.first_app_date=0, _xlpm.first_awc_date=0), 0,
    IF(_xlpm.first_app_date=0, _xlpm.first_awc_date,
    IF(_xlpm.first_awc_date=0, _xlpm.first_app_date,
    MIN(_xlpm.first_app_date, _xlpm.first_awc_date)))
  ),
  IF(_xlpm.earliest_date=0, "", _xlpm.earliest_date)
))</f>
        <v>45245</v>
      </c>
      <c r="Y363" s="40" t="str" cm="1">
        <f t="array" ref="Y363">IF(OR(M363="", M363="Deleted"), "", _xlfn.LET(
  _xlpm.doc_col, [1]SubmittalLog!$E$1:$E$4000,
  _xlpm.date_col, [1]SubmittalLog!$H$1:$H$4000,
  _xlpm.status_col, [1]SubmittalLog!$O$1:$O$4000,
  _xlpm.has_sub, COUNTIF(_xlpm.doc_col, M363),
  _xlpm.latest_reviewed_date, _xlfn.MAXIFS(_xlpm.date_col, _xlpm.doc_col, M363, _xlpm.status_col, "&lt;&gt;"),
  IF(_xlpm.has_sub=0, "",
    IF(_xlpm.latest_reviewed_date=0, "",
      _xlfn.LET(
        _xlpm.res, _xlfn.XLOOKUP(1, (_xlpm.doc_col=M363) * (_xlpm.date_col=_xlpm.latest_reviewed_date) * (_xlpm.status_col&lt;&gt;""), _xlpm.status_col, ""),
        IF(OR(_xlpm.res="", _xlpm.res=0), "", _xlpm.res)
      )
    )
  )
))</f>
        <v>AWC</v>
      </c>
    </row>
    <row r="364" spans="1:25" x14ac:dyDescent="0.35">
      <c r="A364" s="33">
        <f>IF($M364="","",MAX($A$1:A363)+1)</f>
        <v>342</v>
      </c>
      <c r="B364" s="23" t="s">
        <v>250</v>
      </c>
      <c r="C364" s="23" t="s">
        <v>257</v>
      </c>
      <c r="G364" s="33">
        <v>131236</v>
      </c>
      <c r="H364" s="33" t="s">
        <v>59</v>
      </c>
      <c r="I364" s="33" t="s">
        <v>297</v>
      </c>
      <c r="J364" s="33" t="s">
        <v>3496</v>
      </c>
      <c r="K364" s="51">
        <v>6063</v>
      </c>
      <c r="M364" s="34" t="str">
        <f t="shared" si="5"/>
        <v>131236-WIL21-DR-P-6063</v>
      </c>
      <c r="N364" s="26" t="s">
        <v>3892</v>
      </c>
      <c r="P364" s="34" t="s">
        <v>3498</v>
      </c>
      <c r="S364" s="35">
        <v>45260</v>
      </c>
      <c r="T364" s="35">
        <v>45301</v>
      </c>
      <c r="U364" s="64" cm="1">
        <f t="array" ref="U364">IF(OR(M364="", M364="Deleted"), "", _xlfn.LET(
  _xlpm.dates,
  _xlfn._xlws.FILTER(
    [1]SubmittalLog!$H$1:$H$4000,
    [1]SubmittalLog!$E$1:$E$4000=M364,
    ""
  ),
  _xlpm.min_date, IFERROR(MIN(_xlpm.dates), ""),
  IF(_xlpm.min_date=0, "", _xlpm.min_date)
))</f>
        <v>45301</v>
      </c>
      <c r="V364" s="63" t="str" cm="1">
        <f t="array" ref="V364">IF(OR(M364="", M364="Deleted"), "", IFERROR(
  _xlfn.TEXTJOIN(", ", TRUE,
    _xlfn.MAP(
      _xlfn.UNIQUE(
        _xlfn._xlws.FILTER(
          [1]SubmittalLog!$B$1:$B$4000,
          ([1]SubmittalLog!$E$1:$E$4000=M364) *
          ([1]SubmittalLog!$B$1:$B$4000&lt;&gt;""),
          ""
        )
      ),
      _xlfn.LAMBDA(_xlpm.val, TEXT(_xlpm.val, "000000"))
    )
  ),
""))</f>
        <v>000230</v>
      </c>
      <c r="W364" s="40" t="str" cm="1">
        <f t="array" ref="W364">IF(OR(M364="", M364="Deleted"), "", _xlfn.LET(
  _xlpm.doc_col, [1]SubmittalLog!$E$1:$E$4000,
  _xlpm.date_col, [1]SubmittalLog!$H$1:$H$4000,
  _xlpm.status_col, [1]SubmittalLog!$N$1:$N$4000,
  _xlpm.latest_date, _xlfn.MAXIFS(_xlpm.date_col, _xlpm.doc_col, M364),
  IF(_xlpm.latest_date=0, "NFS",
    _xlfn.LET(
      _xlpm.res, _xlfn.XLOOKUP(M364 &amp; "|" &amp; _xlpm.latest_date, _xlpm.doc_col &amp; "|" &amp; _xlpm.date_col, _xlpm.status_col, ""),
      IF(OR(_xlpm.res="", _xlpm.res=0), "", _xlpm.res)
    )
  )
))</f>
        <v>RTR</v>
      </c>
      <c r="X364" s="39">
        <f>IF(OR(M364="", M364="Deleted"), "", _xlfn.LET(
  _xlpm.doc_col, [1]SubmittalLog!$E$1:$E$4000,
  _xlpm.date_col, [1]SubmittalLog!$H$1:$H$4000,
  _xlpm.status_col, [1]SubmittalLog!$O$1:$O$4000,
  _xlpm.first_app_date, _xlfn.MINIFS(_xlpm.date_col, _xlpm.doc_col, M364, _xlpm.status_col, "APP"),
  _xlpm.first_awc_date, _xlfn.MINIFS(_xlpm.date_col, _xlpm.doc_col, M364, _xlpm.status_col, "AWC"),
  _xlpm.earliest_date, IF(
    AND(_xlpm.first_app_date=0, _xlpm.first_awc_date=0), 0,
    IF(_xlpm.first_app_date=0, _xlpm.first_awc_date,
    IF(_xlpm.first_awc_date=0, _xlpm.first_app_date,
    MIN(_xlpm.first_app_date, _xlpm.first_awc_date)))
  ),
  IF(_xlpm.earliest_date=0, "", _xlpm.earliest_date)
))</f>
        <v>45301</v>
      </c>
      <c r="Y364" s="40" t="str" cm="1">
        <f t="array" ref="Y364">IF(OR(M364="", M364="Deleted"), "", _xlfn.LET(
  _xlpm.doc_col, [1]SubmittalLog!$E$1:$E$4000,
  _xlpm.date_col, [1]SubmittalLog!$H$1:$H$4000,
  _xlpm.status_col, [1]SubmittalLog!$O$1:$O$4000,
  _xlpm.has_sub, COUNTIF(_xlpm.doc_col, M364),
  _xlpm.latest_reviewed_date, _xlfn.MAXIFS(_xlpm.date_col, _xlpm.doc_col, M364, _xlpm.status_col, "&lt;&gt;"),
  IF(_xlpm.has_sub=0, "",
    IF(_xlpm.latest_reviewed_date=0, "",
      _xlfn.LET(
        _xlpm.res, _xlfn.XLOOKUP(1, (_xlpm.doc_col=M364) * (_xlpm.date_col=_xlpm.latest_reviewed_date) * (_xlpm.status_col&lt;&gt;""), _xlpm.status_col, ""),
        IF(OR(_xlpm.res="", _xlpm.res=0), "", _xlpm.res)
      )
    )
  )
))</f>
        <v>AWC</v>
      </c>
    </row>
    <row r="365" spans="1:25" x14ac:dyDescent="0.35">
      <c r="A365" s="33">
        <f>IF($M365="","",MAX($A$1:A364)+1)</f>
        <v>343</v>
      </c>
      <c r="B365" s="23" t="s">
        <v>250</v>
      </c>
      <c r="C365" s="23" t="s">
        <v>257</v>
      </c>
      <c r="G365" s="33">
        <v>131236</v>
      </c>
      <c r="H365" s="33" t="s">
        <v>59</v>
      </c>
      <c r="I365" s="33" t="s">
        <v>297</v>
      </c>
      <c r="J365" s="33" t="s">
        <v>3496</v>
      </c>
      <c r="K365" s="51" t="s">
        <v>3893</v>
      </c>
      <c r="M365" s="34" t="str">
        <f t="shared" si="5"/>
        <v>131236-WIL21-DR-P-6070</v>
      </c>
      <c r="N365" s="26" t="s">
        <v>3894</v>
      </c>
      <c r="P365" s="34" t="s">
        <v>3498</v>
      </c>
      <c r="S365" s="35">
        <v>45260</v>
      </c>
      <c r="T365" s="35">
        <v>45301</v>
      </c>
      <c r="U365" s="64" cm="1">
        <f t="array" ref="U365">IF(OR(M365="", M365="Deleted"), "", _xlfn.LET(
  _xlpm.dates,
  _xlfn._xlws.FILTER(
    [1]SubmittalLog!$H$1:$H$4000,
    [1]SubmittalLog!$E$1:$E$4000=M365,
    ""
  ),
  _xlpm.min_date, IFERROR(MIN(_xlpm.dates), ""),
  IF(_xlpm.min_date=0, "", _xlpm.min_date)
))</f>
        <v>45301</v>
      </c>
      <c r="V365" s="63" t="str" cm="1">
        <f t="array" ref="V365">IF(OR(M365="", M365="Deleted"), "", IFERROR(
  _xlfn.TEXTJOIN(", ", TRUE,
    _xlfn.MAP(
      _xlfn.UNIQUE(
        _xlfn._xlws.FILTER(
          [1]SubmittalLog!$B$1:$B$4000,
          ([1]SubmittalLog!$E$1:$E$4000=M365) *
          ([1]SubmittalLog!$B$1:$B$4000&lt;&gt;""),
          ""
        )
      ),
      _xlfn.LAMBDA(_xlpm.val, TEXT(_xlpm.val, "000000"))
    )
  ),
""))</f>
        <v>000230</v>
      </c>
      <c r="W365" s="40" t="str" cm="1">
        <f t="array" ref="W365">IF(OR(M365="", M365="Deleted"), "", _xlfn.LET(
  _xlpm.doc_col, [1]SubmittalLog!$E$1:$E$4000,
  _xlpm.date_col, [1]SubmittalLog!$H$1:$H$4000,
  _xlpm.status_col, [1]SubmittalLog!$N$1:$N$4000,
  _xlpm.latest_date, _xlfn.MAXIFS(_xlpm.date_col, _xlpm.doc_col, M365),
  IF(_xlpm.latest_date=0, "NFS",
    _xlfn.LET(
      _xlpm.res, _xlfn.XLOOKUP(M365 &amp; "|" &amp; _xlpm.latest_date, _xlpm.doc_col &amp; "|" &amp; _xlpm.date_col, _xlpm.status_col, ""),
      IF(OR(_xlpm.res="", _xlpm.res=0), "", _xlpm.res)
    )
  )
))</f>
        <v>RTR</v>
      </c>
      <c r="X365" s="39">
        <f>IF(OR(M365="", M365="Deleted"), "", _xlfn.LET(
  _xlpm.doc_col, [1]SubmittalLog!$E$1:$E$4000,
  _xlpm.date_col, [1]SubmittalLog!$H$1:$H$4000,
  _xlpm.status_col, [1]SubmittalLog!$O$1:$O$4000,
  _xlpm.first_app_date, _xlfn.MINIFS(_xlpm.date_col, _xlpm.doc_col, M365, _xlpm.status_col, "APP"),
  _xlpm.first_awc_date, _xlfn.MINIFS(_xlpm.date_col, _xlpm.doc_col, M365, _xlpm.status_col, "AWC"),
  _xlpm.earliest_date, IF(
    AND(_xlpm.first_app_date=0, _xlpm.first_awc_date=0), 0,
    IF(_xlpm.first_app_date=0, _xlpm.first_awc_date,
    IF(_xlpm.first_awc_date=0, _xlpm.first_app_date,
    MIN(_xlpm.first_app_date, _xlpm.first_awc_date)))
  ),
  IF(_xlpm.earliest_date=0, "", _xlpm.earliest_date)
))</f>
        <v>45301</v>
      </c>
      <c r="Y365" s="40" t="str" cm="1">
        <f t="array" ref="Y365">IF(OR(M365="", M365="Deleted"), "", _xlfn.LET(
  _xlpm.doc_col, [1]SubmittalLog!$E$1:$E$4000,
  _xlpm.date_col, [1]SubmittalLog!$H$1:$H$4000,
  _xlpm.status_col, [1]SubmittalLog!$O$1:$O$4000,
  _xlpm.has_sub, COUNTIF(_xlpm.doc_col, M365),
  _xlpm.latest_reviewed_date, _xlfn.MAXIFS(_xlpm.date_col, _xlpm.doc_col, M365, _xlpm.status_col, "&lt;&gt;"),
  IF(_xlpm.has_sub=0, "",
    IF(_xlpm.latest_reviewed_date=0, "",
      _xlfn.LET(
        _xlpm.res, _xlfn.XLOOKUP(1, (_xlpm.doc_col=M365) * (_xlpm.date_col=_xlpm.latest_reviewed_date) * (_xlpm.status_col&lt;&gt;""), _xlpm.status_col, ""),
        IF(OR(_xlpm.res="", _xlpm.res=0), "", _xlpm.res)
      )
    )
  )
))</f>
        <v>AWC</v>
      </c>
    </row>
    <row r="366" spans="1:25" x14ac:dyDescent="0.35">
      <c r="A366" s="33">
        <f>IF($M366="","",MAX($A$1:A365)+1)</f>
        <v>344</v>
      </c>
      <c r="B366" s="23" t="s">
        <v>250</v>
      </c>
      <c r="C366" s="23" t="s">
        <v>257</v>
      </c>
      <c r="G366" s="33">
        <v>131236</v>
      </c>
      <c r="H366" s="33" t="s">
        <v>59</v>
      </c>
      <c r="I366" s="33" t="s">
        <v>297</v>
      </c>
      <c r="J366" s="33" t="s">
        <v>3496</v>
      </c>
      <c r="K366" s="51">
        <v>6051</v>
      </c>
      <c r="M366" s="34" t="str">
        <f t="shared" si="5"/>
        <v>131236-WIL21-DR-P-6051</v>
      </c>
      <c r="N366" s="26" t="s">
        <v>3888</v>
      </c>
      <c r="P366" s="34" t="s">
        <v>3467</v>
      </c>
      <c r="S366" s="35">
        <v>45260</v>
      </c>
      <c r="T366" s="35">
        <v>45301</v>
      </c>
      <c r="U366" s="64" cm="1">
        <f t="array" ref="U366">IF(OR(M366="", M366="Deleted"), "", _xlfn.LET(
  _xlpm.dates,
  _xlfn._xlws.FILTER(
    [1]SubmittalLog!$H$1:$H$4000,
    [1]SubmittalLog!$E$1:$E$4000=M366,
    ""
  ),
  _xlpm.min_date, IFERROR(MIN(_xlpm.dates), ""),
  IF(_xlpm.min_date=0, "", _xlpm.min_date)
))</f>
        <v>45825</v>
      </c>
      <c r="V366" s="63" t="str" cm="1">
        <f t="array" ref="V366">IF(OR(M366="", M366="Deleted"), "", IFERROR(
  _xlfn.TEXTJOIN(", ", TRUE,
    _xlfn.MAP(
      _xlfn.UNIQUE(
        _xlfn._xlws.FILTER(
          [1]SubmittalLog!$B$1:$B$4000,
          ([1]SubmittalLog!$E$1:$E$4000=M366) *
          ([1]SubmittalLog!$B$1:$B$4000&lt;&gt;""),
          ""
        )
      ),
      _xlfn.LAMBDA(_xlpm.val, TEXT(_xlpm.val, "000000"))
    )
  ),
""))</f>
        <v>000230</v>
      </c>
      <c r="W366" s="40" t="str" cm="1">
        <f t="array" ref="W366">IF(OR(M366="", M366="Deleted"), "", _xlfn.LET(
  _xlpm.doc_col, [1]SubmittalLog!$E$1:$E$4000,
  _xlpm.date_col, [1]SubmittalLog!$H$1:$H$4000,
  _xlpm.status_col, [1]SubmittalLog!$N$1:$N$4000,
  _xlpm.latest_date, _xlfn.MAXIFS(_xlpm.date_col, _xlpm.doc_col, M366),
  IF(_xlpm.latest_date=0, "NFS",
    _xlfn.LET(
      _xlpm.res, _xlfn.XLOOKUP(M366 &amp; "|" &amp; _xlpm.latest_date, _xlpm.doc_col &amp; "|" &amp; _xlpm.date_col, _xlpm.status_col, ""),
      IF(OR(_xlpm.res="", _xlpm.res=0), "", _xlpm.res)
    )
  )
))</f>
        <v>RTR</v>
      </c>
      <c r="X366" s="39">
        <f>IF(OR(M366="", M366="Deleted"), "", _xlfn.LET(
  _xlpm.doc_col, [1]SubmittalLog!$E$1:$E$4000,
  _xlpm.date_col, [1]SubmittalLog!$H$1:$H$4000,
  _xlpm.status_col, [1]SubmittalLog!$O$1:$O$4000,
  _xlpm.first_app_date, _xlfn.MINIFS(_xlpm.date_col, _xlpm.doc_col, M366, _xlpm.status_col, "APP"),
  _xlpm.first_awc_date, _xlfn.MINIFS(_xlpm.date_col, _xlpm.doc_col, M366, _xlpm.status_col, "AWC"),
  _xlpm.earliest_date, IF(
    AND(_xlpm.first_app_date=0, _xlpm.first_awc_date=0), 0,
    IF(_xlpm.first_app_date=0, _xlpm.first_awc_date,
    IF(_xlpm.first_awc_date=0, _xlpm.first_app_date,
    MIN(_xlpm.first_app_date, _xlpm.first_awc_date)))
  ),
  IF(_xlpm.earliest_date=0, "", _xlpm.earliest_date)
))</f>
        <v>45825</v>
      </c>
      <c r="Y366" s="40" t="str" cm="1">
        <f t="array" ref="Y366">IF(OR(M366="", M366="Deleted"), "", _xlfn.LET(
  _xlpm.doc_col, [1]SubmittalLog!$E$1:$E$4000,
  _xlpm.date_col, [1]SubmittalLog!$H$1:$H$4000,
  _xlpm.status_col, [1]SubmittalLog!$O$1:$O$4000,
  _xlpm.has_sub, COUNTIF(_xlpm.doc_col, M366),
  _xlpm.latest_reviewed_date, _xlfn.MAXIFS(_xlpm.date_col, _xlpm.doc_col, M366, _xlpm.status_col, "&lt;&gt;"),
  IF(_xlpm.has_sub=0, "",
    IF(_xlpm.latest_reviewed_date=0, "",
      _xlfn.LET(
        _xlpm.res, _xlfn.XLOOKUP(1, (_xlpm.doc_col=M366) * (_xlpm.date_col=_xlpm.latest_reviewed_date) * (_xlpm.status_col&lt;&gt;""), _xlpm.status_col, ""),
        IF(OR(_xlpm.res="", _xlpm.res=0), "", _xlpm.res)
      )
    )
  )
))</f>
        <v>AWC</v>
      </c>
    </row>
    <row r="367" spans="1:25" x14ac:dyDescent="0.35">
      <c r="A367" s="33">
        <f>IF($M367="","",MAX($A$1:A366)+1)</f>
        <v>345</v>
      </c>
      <c r="B367" s="23" t="s">
        <v>54</v>
      </c>
      <c r="C367" s="23" t="s">
        <v>257</v>
      </c>
      <c r="G367" s="33">
        <v>131236</v>
      </c>
      <c r="H367" s="33" t="s">
        <v>59</v>
      </c>
      <c r="I367" s="33" t="s">
        <v>297</v>
      </c>
      <c r="J367" s="33" t="s">
        <v>3496</v>
      </c>
      <c r="M367" s="34" t="str">
        <f t="shared" si="5"/>
        <v>Deleted</v>
      </c>
      <c r="N367" s="26" t="s">
        <v>3895</v>
      </c>
      <c r="P367" s="34" t="s">
        <v>3467</v>
      </c>
      <c r="U367" s="64" t="str" cm="1">
        <f t="array" ref="U367">IF(OR(M367="", M367="Deleted"), "", _xlfn.LET(
  _xlpm.dates,
  _xlfn._xlws.FILTER(
    [1]SubmittalLog!$H$1:$H$4000,
    [1]SubmittalLog!$E$1:$E$4000=M367,
    ""
  ),
  _xlpm.min_date, IFERROR(MIN(_xlpm.dates), ""),
  IF(_xlpm.min_date=0, "", _xlpm.min_date)
))</f>
        <v/>
      </c>
      <c r="V367" s="63" t="str" cm="1">
        <f t="array" ref="V367">IF(OR(M367="", M367="Deleted"), "", IFERROR(
  _xlfn.TEXTJOIN(", ", TRUE,
    _xlfn.MAP(
      _xlfn.UNIQUE(
        _xlfn._xlws.FILTER(
          [1]SubmittalLog!$B$1:$B$4000,
          ([1]SubmittalLog!$E$1:$E$4000=M367) *
          ([1]SubmittalLog!$B$1:$B$4000&lt;&gt;""),
          ""
        )
      ),
      _xlfn.LAMBDA(_xlpm.val, TEXT(_xlpm.val, "000000"))
    )
  ),
""))</f>
        <v/>
      </c>
      <c r="W367" s="40" t="str" cm="1">
        <f t="array" ref="W367">IF(OR(M367="", M367="Deleted"), "", _xlfn.LET(
  _xlpm.doc_col, [1]SubmittalLog!$E$1:$E$4000,
  _xlpm.date_col, [1]SubmittalLog!$H$1:$H$4000,
  _xlpm.status_col, [1]SubmittalLog!$N$1:$N$4000,
  _xlpm.latest_date, _xlfn.MAXIFS(_xlpm.date_col, _xlpm.doc_col, M367),
  IF(_xlpm.latest_date=0, "NFS",
    _xlfn.LET(
      _xlpm.res, _xlfn.XLOOKUP(M367 &amp; "|" &amp; _xlpm.latest_date, _xlpm.doc_col &amp; "|" &amp; _xlpm.date_col, _xlpm.status_col, ""),
      IF(OR(_xlpm.res="", _xlpm.res=0), "", _xlpm.res)
    )
  )
))</f>
        <v/>
      </c>
      <c r="X367" s="39" t="str">
        <f>IF(OR(M367="", M367="Deleted"), "", _xlfn.LET(
  _xlpm.doc_col, [1]SubmittalLog!$E$1:$E$4000,
  _xlpm.date_col, [1]SubmittalLog!$H$1:$H$4000,
  _xlpm.status_col, [1]SubmittalLog!$O$1:$O$4000,
  _xlpm.first_app_date, _xlfn.MINIFS(_xlpm.date_col, _xlpm.doc_col, M367, _xlpm.status_col, "APP"),
  _xlpm.first_awc_date, _xlfn.MINIFS(_xlpm.date_col, _xlpm.doc_col, M367, _xlpm.status_col, "AWC"),
  _xlpm.earliest_date, IF(
    AND(_xlpm.first_app_date=0, _xlpm.first_awc_date=0), 0,
    IF(_xlpm.first_app_date=0, _xlpm.first_awc_date,
    IF(_xlpm.first_awc_date=0, _xlpm.first_app_date,
    MIN(_xlpm.first_app_date, _xlpm.first_awc_date)))
  ),
  IF(_xlpm.earliest_date=0, "", _xlpm.earliest_date)
))</f>
        <v/>
      </c>
      <c r="Y367" s="40" t="str" cm="1">
        <f t="array" ref="Y367">IF(OR(M367="", M367="Deleted"), "", _xlfn.LET(
  _xlpm.doc_col, [1]SubmittalLog!$E$1:$E$4000,
  _xlpm.date_col, [1]SubmittalLog!$H$1:$H$4000,
  _xlpm.status_col, [1]SubmittalLog!$O$1:$O$4000,
  _xlpm.has_sub, COUNTIF(_xlpm.doc_col, M367),
  _xlpm.latest_reviewed_date, _xlfn.MAXIFS(_xlpm.date_col, _xlpm.doc_col, M367, _xlpm.status_col, "&lt;&gt;"),
  IF(_xlpm.has_sub=0, "",
    IF(_xlpm.latest_reviewed_date=0, "",
      _xlfn.LET(
        _xlpm.res, _xlfn.XLOOKUP(1, (_xlpm.doc_col=M367) * (_xlpm.date_col=_xlpm.latest_reviewed_date) * (_xlpm.status_col&lt;&gt;""), _xlpm.status_col, ""),
        IF(OR(_xlpm.res="", _xlpm.res=0), "", _xlpm.res)
      )
    )
  )
))</f>
        <v/>
      </c>
    </row>
    <row r="368" spans="1:25" x14ac:dyDescent="0.35">
      <c r="A368" s="33" t="str">
        <f>IF($M368="","",MAX($A$1:A367)+1)</f>
        <v/>
      </c>
      <c r="M368" s="34" t="str">
        <f t="shared" si="5"/>
        <v/>
      </c>
      <c r="N368" s="26" t="s">
        <v>3652</v>
      </c>
      <c r="U368" s="64" t="str" cm="1">
        <f t="array" ref="U368">IF(OR(M368="", M368="Deleted"), "", _xlfn.LET(
  _xlpm.dates,
  _xlfn._xlws.FILTER(
    [1]SubmittalLog!$H$1:$H$4000,
    [1]SubmittalLog!$E$1:$E$4000=M368,
    ""
  ),
  _xlpm.min_date, IFERROR(MIN(_xlpm.dates), ""),
  IF(_xlpm.min_date=0, "", _xlpm.min_date)
))</f>
        <v/>
      </c>
      <c r="V368" s="63" t="str" cm="1">
        <f t="array" ref="V368">IF(OR(M368="", M368="Deleted"), "", IFERROR(
  _xlfn.TEXTJOIN(", ", TRUE,
    _xlfn.MAP(
      _xlfn.UNIQUE(
        _xlfn._xlws.FILTER(
          [1]SubmittalLog!$B$1:$B$4000,
          ([1]SubmittalLog!$E$1:$E$4000=M368) *
          ([1]SubmittalLog!$B$1:$B$4000&lt;&gt;""),
          ""
        )
      ),
      _xlfn.LAMBDA(_xlpm.val, TEXT(_xlpm.val, "000000"))
    )
  ),
""))</f>
        <v/>
      </c>
      <c r="W368" s="40" t="str" cm="1">
        <f t="array" ref="W368">IF(OR(M368="", M368="Deleted"), "", _xlfn.LET(
  _xlpm.doc_col, [1]SubmittalLog!$E$1:$E$4000,
  _xlpm.date_col, [1]SubmittalLog!$H$1:$H$4000,
  _xlpm.status_col, [1]SubmittalLog!$N$1:$N$4000,
  _xlpm.latest_date, _xlfn.MAXIFS(_xlpm.date_col, _xlpm.doc_col, M368),
  IF(_xlpm.latest_date=0, "NFS",
    _xlfn.LET(
      _xlpm.res, _xlfn.XLOOKUP(M368 &amp; "|" &amp; _xlpm.latest_date, _xlpm.doc_col &amp; "|" &amp; _xlpm.date_col, _xlpm.status_col, ""),
      IF(OR(_xlpm.res="", _xlpm.res=0), "", _xlpm.res)
    )
  )
))</f>
        <v/>
      </c>
      <c r="X368" s="39" t="str">
        <f>IF(OR(M368="", M368="Deleted"), "", _xlfn.LET(
  _xlpm.doc_col, [1]SubmittalLog!$E$1:$E$4000,
  _xlpm.date_col, [1]SubmittalLog!$H$1:$H$4000,
  _xlpm.status_col, [1]SubmittalLog!$O$1:$O$4000,
  _xlpm.first_app_date, _xlfn.MINIFS(_xlpm.date_col, _xlpm.doc_col, M368, _xlpm.status_col, "APP"),
  _xlpm.first_awc_date, _xlfn.MINIFS(_xlpm.date_col, _xlpm.doc_col, M368, _xlpm.status_col, "AWC"),
  _xlpm.earliest_date, IF(
    AND(_xlpm.first_app_date=0, _xlpm.first_awc_date=0), 0,
    IF(_xlpm.first_app_date=0, _xlpm.first_awc_date,
    IF(_xlpm.first_awc_date=0, _xlpm.first_app_date,
    MIN(_xlpm.first_app_date, _xlpm.first_awc_date)))
  ),
  IF(_xlpm.earliest_date=0, "", _xlpm.earliest_date)
))</f>
        <v/>
      </c>
      <c r="Y368" s="40" t="str" cm="1">
        <f t="array" ref="Y368">IF(OR(M368="", M368="Deleted"), "", _xlfn.LET(
  _xlpm.doc_col, [1]SubmittalLog!$E$1:$E$4000,
  _xlpm.date_col, [1]SubmittalLog!$H$1:$H$4000,
  _xlpm.status_col, [1]SubmittalLog!$O$1:$O$4000,
  _xlpm.has_sub, COUNTIF(_xlpm.doc_col, M368),
  _xlpm.latest_reviewed_date, _xlfn.MAXIFS(_xlpm.date_col, _xlpm.doc_col, M368, _xlpm.status_col, "&lt;&gt;"),
  IF(_xlpm.has_sub=0, "",
    IF(_xlpm.latest_reviewed_date=0, "",
      _xlfn.LET(
        _xlpm.res, _xlfn.XLOOKUP(1, (_xlpm.doc_col=M368) * (_xlpm.date_col=_xlpm.latest_reviewed_date) * (_xlpm.status_col&lt;&gt;""), _xlpm.status_col, ""),
        IF(OR(_xlpm.res="", _xlpm.res=0), "", _xlpm.res)
      )
    )
  )
))</f>
        <v/>
      </c>
    </row>
    <row r="369" spans="1:25" x14ac:dyDescent="0.35">
      <c r="A369" s="33">
        <f>IF($M369="","",MAX($A$1:A368)+1)</f>
        <v>346</v>
      </c>
      <c r="B369" s="23" t="s">
        <v>54</v>
      </c>
      <c r="C369" s="23" t="s">
        <v>257</v>
      </c>
      <c r="G369" s="33">
        <v>131236</v>
      </c>
      <c r="H369" s="33" t="s">
        <v>59</v>
      </c>
      <c r="I369" s="33" t="s">
        <v>297</v>
      </c>
      <c r="J369" s="33" t="s">
        <v>3496</v>
      </c>
      <c r="K369" s="51">
        <v>8001</v>
      </c>
      <c r="M369" s="34" t="str">
        <f t="shared" si="5"/>
        <v>Deleted</v>
      </c>
      <c r="N369" s="26" t="s">
        <v>3896</v>
      </c>
      <c r="P369" s="34" t="s">
        <v>3467</v>
      </c>
      <c r="U369" s="64" t="str" cm="1">
        <f t="array" ref="U369">IF(OR(M369="", M369="Deleted"), "", _xlfn.LET(
  _xlpm.dates,
  _xlfn._xlws.FILTER(
    [1]SubmittalLog!$H$1:$H$4000,
    [1]SubmittalLog!$E$1:$E$4000=M369,
    ""
  ),
  _xlpm.min_date, IFERROR(MIN(_xlpm.dates), ""),
  IF(_xlpm.min_date=0, "", _xlpm.min_date)
))</f>
        <v/>
      </c>
      <c r="V369" s="63" t="str" cm="1">
        <f t="array" ref="V369">IF(OR(M369="", M369="Deleted"), "", IFERROR(
  _xlfn.TEXTJOIN(", ", TRUE,
    _xlfn.MAP(
      _xlfn.UNIQUE(
        _xlfn._xlws.FILTER(
          [1]SubmittalLog!$B$1:$B$4000,
          ([1]SubmittalLog!$E$1:$E$4000=M369) *
          ([1]SubmittalLog!$B$1:$B$4000&lt;&gt;""),
          ""
        )
      ),
      _xlfn.LAMBDA(_xlpm.val, TEXT(_xlpm.val, "000000"))
    )
  ),
""))</f>
        <v/>
      </c>
      <c r="W369" s="40" t="str" cm="1">
        <f t="array" ref="W369">IF(OR(M369="", M369="Deleted"), "", _xlfn.LET(
  _xlpm.doc_col, [1]SubmittalLog!$E$1:$E$4000,
  _xlpm.date_col, [1]SubmittalLog!$H$1:$H$4000,
  _xlpm.status_col, [1]SubmittalLog!$N$1:$N$4000,
  _xlpm.latest_date, _xlfn.MAXIFS(_xlpm.date_col, _xlpm.doc_col, M369),
  IF(_xlpm.latest_date=0, "NFS",
    _xlfn.LET(
      _xlpm.res, _xlfn.XLOOKUP(M369 &amp; "|" &amp; _xlpm.latest_date, _xlpm.doc_col &amp; "|" &amp; _xlpm.date_col, _xlpm.status_col, ""),
      IF(OR(_xlpm.res="", _xlpm.res=0), "", _xlpm.res)
    )
  )
))</f>
        <v/>
      </c>
      <c r="X369" s="39" t="str">
        <f>IF(OR(M369="", M369="Deleted"), "", _xlfn.LET(
  _xlpm.doc_col, [1]SubmittalLog!$E$1:$E$4000,
  _xlpm.date_col, [1]SubmittalLog!$H$1:$H$4000,
  _xlpm.status_col, [1]SubmittalLog!$O$1:$O$4000,
  _xlpm.first_app_date, _xlfn.MINIFS(_xlpm.date_col, _xlpm.doc_col, M369, _xlpm.status_col, "APP"),
  _xlpm.first_awc_date, _xlfn.MINIFS(_xlpm.date_col, _xlpm.doc_col, M369, _xlpm.status_col, "AWC"),
  _xlpm.earliest_date, IF(
    AND(_xlpm.first_app_date=0, _xlpm.first_awc_date=0), 0,
    IF(_xlpm.first_app_date=0, _xlpm.first_awc_date,
    IF(_xlpm.first_awc_date=0, _xlpm.first_app_date,
    MIN(_xlpm.first_app_date, _xlpm.first_awc_date)))
  ),
  IF(_xlpm.earliest_date=0, "", _xlpm.earliest_date)
))</f>
        <v/>
      </c>
      <c r="Y369" s="40" t="str" cm="1">
        <f t="array" ref="Y369">IF(OR(M369="", M369="Deleted"), "", _xlfn.LET(
  _xlpm.doc_col, [1]SubmittalLog!$E$1:$E$4000,
  _xlpm.date_col, [1]SubmittalLog!$H$1:$H$4000,
  _xlpm.status_col, [1]SubmittalLog!$O$1:$O$4000,
  _xlpm.has_sub, COUNTIF(_xlpm.doc_col, M369),
  _xlpm.latest_reviewed_date, _xlfn.MAXIFS(_xlpm.date_col, _xlpm.doc_col, M369, _xlpm.status_col, "&lt;&gt;"),
  IF(_xlpm.has_sub=0, "",
    IF(_xlpm.latest_reviewed_date=0, "",
      _xlfn.LET(
        _xlpm.res, _xlfn.XLOOKUP(1, (_xlpm.doc_col=M369) * (_xlpm.date_col=_xlpm.latest_reviewed_date) * (_xlpm.status_col&lt;&gt;""), _xlpm.status_col, ""),
        IF(OR(_xlpm.res="", _xlpm.res=0), "", _xlpm.res)
      )
    )
  )
))</f>
        <v/>
      </c>
    </row>
    <row r="370" spans="1:25" x14ac:dyDescent="0.35">
      <c r="A370" s="33" t="str">
        <f>IF($M370="","",MAX($A$1:A369)+1)</f>
        <v/>
      </c>
      <c r="M370" s="34" t="str">
        <f t="shared" si="5"/>
        <v/>
      </c>
      <c r="N370" s="26" t="s">
        <v>3584</v>
      </c>
      <c r="U370" s="64" t="str" cm="1">
        <f t="array" ref="U370">IF(OR(M370="", M370="Deleted"), "", _xlfn.LET(
  _xlpm.dates,
  _xlfn._xlws.FILTER(
    [1]SubmittalLog!$H$1:$H$4000,
    [1]SubmittalLog!$E$1:$E$4000=M370,
    ""
  ),
  _xlpm.min_date, IFERROR(MIN(_xlpm.dates), ""),
  IF(_xlpm.min_date=0, "", _xlpm.min_date)
))</f>
        <v/>
      </c>
      <c r="V370" s="63" t="str" cm="1">
        <f t="array" ref="V370">IF(OR(M370="", M370="Deleted"), "", IFERROR(
  _xlfn.TEXTJOIN(", ", TRUE,
    _xlfn.MAP(
      _xlfn.UNIQUE(
        _xlfn._xlws.FILTER(
          [1]SubmittalLog!$B$1:$B$4000,
          ([1]SubmittalLog!$E$1:$E$4000=M370) *
          ([1]SubmittalLog!$B$1:$B$4000&lt;&gt;""),
          ""
        )
      ),
      _xlfn.LAMBDA(_xlpm.val, TEXT(_xlpm.val, "000000"))
    )
  ),
""))</f>
        <v/>
      </c>
      <c r="W370" s="40" t="str" cm="1">
        <f t="array" ref="W370">IF(OR(M370="", M370="Deleted"), "", _xlfn.LET(
  _xlpm.doc_col, [1]SubmittalLog!$E$1:$E$4000,
  _xlpm.date_col, [1]SubmittalLog!$H$1:$H$4000,
  _xlpm.status_col, [1]SubmittalLog!$N$1:$N$4000,
  _xlpm.latest_date, _xlfn.MAXIFS(_xlpm.date_col, _xlpm.doc_col, M370),
  IF(_xlpm.latest_date=0, "NFS",
    _xlfn.LET(
      _xlpm.res, _xlfn.XLOOKUP(M370 &amp; "|" &amp; _xlpm.latest_date, _xlpm.doc_col &amp; "|" &amp; _xlpm.date_col, _xlpm.status_col, ""),
      IF(OR(_xlpm.res="", _xlpm.res=0), "", _xlpm.res)
    )
  )
))</f>
        <v/>
      </c>
      <c r="X370" s="39" t="str">
        <f>IF(OR(M370="", M370="Deleted"), "", _xlfn.LET(
  _xlpm.doc_col, [1]SubmittalLog!$E$1:$E$4000,
  _xlpm.date_col, [1]SubmittalLog!$H$1:$H$4000,
  _xlpm.status_col, [1]SubmittalLog!$O$1:$O$4000,
  _xlpm.first_app_date, _xlfn.MINIFS(_xlpm.date_col, _xlpm.doc_col, M370, _xlpm.status_col, "APP"),
  _xlpm.first_awc_date, _xlfn.MINIFS(_xlpm.date_col, _xlpm.doc_col, M370, _xlpm.status_col, "AWC"),
  _xlpm.earliest_date, IF(
    AND(_xlpm.first_app_date=0, _xlpm.first_awc_date=0), 0,
    IF(_xlpm.first_app_date=0, _xlpm.first_awc_date,
    IF(_xlpm.first_awc_date=0, _xlpm.first_app_date,
    MIN(_xlpm.first_app_date, _xlpm.first_awc_date)))
  ),
  IF(_xlpm.earliest_date=0, "", _xlpm.earliest_date)
))</f>
        <v/>
      </c>
      <c r="Y370" s="40" t="str" cm="1">
        <f t="array" ref="Y370">IF(OR(M370="", M370="Deleted"), "", _xlfn.LET(
  _xlpm.doc_col, [1]SubmittalLog!$E$1:$E$4000,
  _xlpm.date_col, [1]SubmittalLog!$H$1:$H$4000,
  _xlpm.status_col, [1]SubmittalLog!$O$1:$O$4000,
  _xlpm.has_sub, COUNTIF(_xlpm.doc_col, M370),
  _xlpm.latest_reviewed_date, _xlfn.MAXIFS(_xlpm.date_col, _xlpm.doc_col, M370, _xlpm.status_col, "&lt;&gt;"),
  IF(_xlpm.has_sub=0, "",
    IF(_xlpm.latest_reviewed_date=0, "",
      _xlfn.LET(
        _xlpm.res, _xlfn.XLOOKUP(1, (_xlpm.doc_col=M370) * (_xlpm.date_col=_xlpm.latest_reviewed_date) * (_xlpm.status_col&lt;&gt;""), _xlpm.status_col, ""),
        IF(OR(_xlpm.res="", _xlpm.res=0), "", _xlpm.res)
      )
    )
  )
))</f>
        <v/>
      </c>
    </row>
    <row r="371" spans="1:25" x14ac:dyDescent="0.35">
      <c r="A371" s="33">
        <f>IF($M371="","",MAX($A$1:A370)+1)</f>
        <v>347</v>
      </c>
      <c r="B371" s="23" t="s">
        <v>213</v>
      </c>
      <c r="C371" s="23" t="s">
        <v>257</v>
      </c>
      <c r="G371" s="33">
        <v>131236</v>
      </c>
      <c r="H371" s="33" t="s">
        <v>59</v>
      </c>
      <c r="I371" s="33" t="s">
        <v>416</v>
      </c>
      <c r="J371" s="33" t="s">
        <v>3496</v>
      </c>
      <c r="K371" s="51" t="s">
        <v>3503</v>
      </c>
      <c r="M371" s="34" t="str">
        <f t="shared" si="5"/>
        <v>131236-WIL21-PS-P-0002</v>
      </c>
      <c r="N371" s="26" t="s">
        <v>3897</v>
      </c>
      <c r="S371" s="35">
        <v>45945</v>
      </c>
      <c r="T371" s="35">
        <v>45976</v>
      </c>
      <c r="U371" s="64" cm="1">
        <f t="array" ref="U371">IF(OR(M371="", M371="Deleted"), "", _xlfn.LET(
  _xlpm.dates,
  _xlfn._xlws.FILTER(
    [1]SubmittalLog!$H$1:$H$4000,
    [1]SubmittalLog!$E$1:$E$4000=M371,
    ""
  ),
  _xlpm.min_date, IFERROR(MIN(_xlpm.dates), ""),
  IF(_xlpm.min_date=0, "", _xlpm.min_date)
))</f>
        <v>45961</v>
      </c>
      <c r="V371" s="63" t="str" cm="1">
        <f t="array" ref="V371">IF(OR(M371="", M371="Deleted"), "", IFERROR(
  _xlfn.TEXTJOIN(", ", TRUE,
    _xlfn.MAP(
      _xlfn.UNIQUE(
        _xlfn._xlws.FILTER(
          [1]SubmittalLog!$B$1:$B$4000,
          ([1]SubmittalLog!$E$1:$E$4000=M371) *
          ([1]SubmittalLog!$B$1:$B$4000&lt;&gt;""),
          ""
        )
      ),
      _xlfn.LAMBDA(_xlpm.val, TEXT(_xlpm.val, "000000"))
    )
  ),
""))</f>
        <v>001804</v>
      </c>
      <c r="W371" s="40" t="str" cm="1">
        <f t="array" ref="W371">IF(OR(M371="", M371="Deleted"), "", _xlfn.LET(
  _xlpm.doc_col, [1]SubmittalLog!$E$1:$E$4000,
  _xlpm.date_col, [1]SubmittalLog!$H$1:$H$4000,
  _xlpm.status_col, [1]SubmittalLog!$N$1:$N$4000,
  _xlpm.latest_date, _xlfn.MAXIFS(_xlpm.date_col, _xlpm.doc_col, M371),
  IF(_xlpm.latest_date=0, "NFS",
    _xlfn.LET(
      _xlpm.res, _xlfn.XLOOKUP(M371 &amp; "|" &amp; _xlpm.latest_date, _xlpm.doc_col &amp; "|" &amp; _xlpm.date_col, _xlpm.status_col, ""),
      IF(OR(_xlpm.res="", _xlpm.res=0), "", _xlpm.res)
    )
  )
))</f>
        <v>RTR</v>
      </c>
      <c r="X371" s="39">
        <f>IF(OR(M371="", M371="Deleted"), "", _xlfn.LET(
  _xlpm.doc_col, [1]SubmittalLog!$E$1:$E$4000,
  _xlpm.date_col, [1]SubmittalLog!$H$1:$H$4000,
  _xlpm.status_col, [1]SubmittalLog!$O$1:$O$4000,
  _xlpm.first_app_date, _xlfn.MINIFS(_xlpm.date_col, _xlpm.doc_col, M371, _xlpm.status_col, "APP"),
  _xlpm.first_awc_date, _xlfn.MINIFS(_xlpm.date_col, _xlpm.doc_col, M371, _xlpm.status_col, "AWC"),
  _xlpm.earliest_date, IF(
    AND(_xlpm.first_app_date=0, _xlpm.first_awc_date=0), 0,
    IF(_xlpm.first_app_date=0, _xlpm.first_awc_date,
    IF(_xlpm.first_awc_date=0, _xlpm.first_app_date,
    MIN(_xlpm.first_app_date, _xlpm.first_awc_date)))
  ),
  IF(_xlpm.earliest_date=0, "", _xlpm.earliest_date)
))</f>
        <v>45961</v>
      </c>
      <c r="Y371" s="40" t="str" cm="1">
        <f t="array" ref="Y371">IF(OR(M371="", M371="Deleted"), "", _xlfn.LET(
  _xlpm.doc_col, [1]SubmittalLog!$E$1:$E$4000,
  _xlpm.date_col, [1]SubmittalLog!$H$1:$H$4000,
  _xlpm.status_col, [1]SubmittalLog!$O$1:$O$4000,
  _xlpm.has_sub, COUNTIF(_xlpm.doc_col, M371),
  _xlpm.latest_reviewed_date, _xlfn.MAXIFS(_xlpm.date_col, _xlpm.doc_col, M371, _xlpm.status_col, "&lt;&gt;"),
  IF(_xlpm.has_sub=0, "",
    IF(_xlpm.latest_reviewed_date=0, "",
      _xlfn.LET(
        _xlpm.res, _xlfn.XLOOKUP(1, (_xlpm.doc_col=M371) * (_xlpm.date_col=_xlpm.latest_reviewed_date) * (_xlpm.status_col&lt;&gt;""), _xlpm.status_col, ""),
        IF(OR(_xlpm.res="", _xlpm.res=0), "", _xlpm.res)
      )
    )
  )
))</f>
        <v>APP</v>
      </c>
    </row>
    <row r="372" spans="1:25" x14ac:dyDescent="0.35">
      <c r="A372" s="33">
        <f>IF($M372="","",MAX($A$1:A371)+1)</f>
        <v>348</v>
      </c>
      <c r="B372" s="23" t="s">
        <v>250</v>
      </c>
      <c r="C372" s="23" t="s">
        <v>257</v>
      </c>
      <c r="G372" s="33">
        <v>131236</v>
      </c>
      <c r="H372" s="33" t="s">
        <v>59</v>
      </c>
      <c r="I372" s="33" t="s">
        <v>444</v>
      </c>
      <c r="J372" s="33" t="s">
        <v>193</v>
      </c>
      <c r="K372" s="51" t="s">
        <v>3523</v>
      </c>
      <c r="M372" s="34" t="str">
        <f t="shared" si="5"/>
        <v>131236-WIL21-SP-I-0005</v>
      </c>
      <c r="N372" s="26" t="s">
        <v>3898</v>
      </c>
      <c r="S372" s="35">
        <v>45910</v>
      </c>
      <c r="T372" s="35">
        <v>45910</v>
      </c>
      <c r="U372" s="64" cm="1">
        <f t="array" ref="U372">IF(OR(M372="", M372="Deleted"), "", _xlfn.LET(
  _xlpm.dates,
  _xlfn._xlws.FILTER(
    [1]SubmittalLog!$H$1:$H$4000,
    [1]SubmittalLog!$E$1:$E$4000=M372,
    ""
  ),
  _xlpm.min_date, IFERROR(MIN(_xlpm.dates), ""),
  IF(_xlpm.min_date=0, "", _xlpm.min_date)
))</f>
        <v>45910</v>
      </c>
      <c r="V372" s="63" t="str" cm="1">
        <f t="array" ref="V372">IF(OR(M372="", M372="Deleted"), "", IFERROR(
  _xlfn.TEXTJOIN(", ", TRUE,
    _xlfn.MAP(
      _xlfn.UNIQUE(
        _xlfn._xlws.FILTER(
          [1]SubmittalLog!$B$1:$B$4000,
          ([1]SubmittalLog!$E$1:$E$4000=M372) *
          ([1]SubmittalLog!$B$1:$B$4000&lt;&gt;""),
          ""
        )
      ),
      _xlfn.LAMBDA(_xlpm.val, TEXT(_xlpm.val, "000000"))
    )
  ),
""))</f>
        <v>001668</v>
      </c>
      <c r="W372" s="40" t="str" cm="1">
        <f t="array" ref="W372">IF(OR(M372="", M372="Deleted"), "", _xlfn.LET(
  _xlpm.doc_col, [1]SubmittalLog!$E$1:$E$4000,
  _xlpm.date_col, [1]SubmittalLog!$H$1:$H$4000,
  _xlpm.status_col, [1]SubmittalLog!$N$1:$N$4000,
  _xlpm.latest_date, _xlfn.MAXIFS(_xlpm.date_col, _xlpm.doc_col, M372),
  IF(_xlpm.latest_date=0, "NFS",
    _xlfn.LET(
      _xlpm.res, _xlfn.XLOOKUP(M372 &amp; "|" &amp; _xlpm.latest_date, _xlpm.doc_col &amp; "|" &amp; _xlpm.date_col, _xlpm.status_col, ""),
      IF(OR(_xlpm.res="", _xlpm.res=0), "", _xlpm.res)
    )
  )
))</f>
        <v>RTR</v>
      </c>
      <c r="X372" s="39" t="str">
        <f>IF(OR(M372="", M372="Deleted"), "", _xlfn.LET(
  _xlpm.doc_col, [1]SubmittalLog!$E$1:$E$4000,
  _xlpm.date_col, [1]SubmittalLog!$H$1:$H$4000,
  _xlpm.status_col, [1]SubmittalLog!$O$1:$O$4000,
  _xlpm.first_app_date, _xlfn.MINIFS(_xlpm.date_col, _xlpm.doc_col, M372, _xlpm.status_col, "APP"),
  _xlpm.first_awc_date, _xlfn.MINIFS(_xlpm.date_col, _xlpm.doc_col, M372, _xlpm.status_col, "AWC"),
  _xlpm.earliest_date, IF(
    AND(_xlpm.first_app_date=0, _xlpm.first_awc_date=0), 0,
    IF(_xlpm.first_app_date=0, _xlpm.first_awc_date,
    IF(_xlpm.first_awc_date=0, _xlpm.first_app_date,
    MIN(_xlpm.first_app_date, _xlpm.first_awc_date)))
  ),
  IF(_xlpm.earliest_date=0, "", _xlpm.earliest_date)
))</f>
        <v/>
      </c>
      <c r="Y372" s="40" t="str" cm="1">
        <f t="array" ref="Y372">IF(OR(M372="", M372="Deleted"), "", _xlfn.LET(
  _xlpm.doc_col, [1]SubmittalLog!$E$1:$E$4000,
  _xlpm.date_col, [1]SubmittalLog!$H$1:$H$4000,
  _xlpm.status_col, [1]SubmittalLog!$O$1:$O$4000,
  _xlpm.has_sub, COUNTIF(_xlpm.doc_col, M372),
  _xlpm.latest_reviewed_date, _xlfn.MAXIFS(_xlpm.date_col, _xlpm.doc_col, M372, _xlpm.status_col, "&lt;&gt;"),
  IF(_xlpm.has_sub=0, "",
    IF(_xlpm.latest_reviewed_date=0, "",
      _xlfn.LET(
        _xlpm.res, _xlfn.XLOOKUP(1, (_xlpm.doc_col=M372) * (_xlpm.date_col=_xlpm.latest_reviewed_date) * (_xlpm.status_col&lt;&gt;""), _xlpm.status_col, ""),
        IF(OR(_xlpm.res="", _xlpm.res=0), "", _xlpm.res)
      )
    )
  )
))</f>
        <v>REJ</v>
      </c>
    </row>
    <row r="373" spans="1:25" x14ac:dyDescent="0.35">
      <c r="A373" s="33">
        <f>IF($M373="","",MAX($A$1:A372)+1)</f>
        <v>349</v>
      </c>
      <c r="B373" s="23" t="s">
        <v>250</v>
      </c>
      <c r="C373" s="23" t="s">
        <v>257</v>
      </c>
      <c r="G373" s="33">
        <v>131236</v>
      </c>
      <c r="H373" s="33" t="s">
        <v>59</v>
      </c>
      <c r="I373" s="33" t="s">
        <v>432</v>
      </c>
      <c r="J373" s="33" t="s">
        <v>323</v>
      </c>
      <c r="K373" s="51" t="s">
        <v>3505</v>
      </c>
      <c r="M373" s="34" t="str">
        <f t="shared" si="5"/>
        <v>131236-WIL21-RT-Z-0003</v>
      </c>
      <c r="N373" s="26" t="s">
        <v>3899</v>
      </c>
      <c r="S373" s="35">
        <v>45883</v>
      </c>
      <c r="T373" s="35">
        <v>45883</v>
      </c>
      <c r="U373" s="64" cm="1">
        <f t="array" ref="U373">IF(OR(M373="", M373="Deleted"), "", _xlfn.LET(
  _xlpm.dates,
  _xlfn._xlws.FILTER(
    [1]SubmittalLog!$H$1:$H$4000,
    [1]SubmittalLog!$E$1:$E$4000=M373,
    ""
  ),
  _xlpm.min_date, IFERROR(MIN(_xlpm.dates), ""),
  IF(_xlpm.min_date=0, "", _xlpm.min_date)
))</f>
        <v>45883</v>
      </c>
      <c r="V373" s="63" t="str" cm="1">
        <f t="array" ref="V373">IF(OR(M373="", M373="Deleted"), "", IFERROR(
  _xlfn.TEXTJOIN(", ", TRUE,
    _xlfn.MAP(
      _xlfn.UNIQUE(
        _xlfn._xlws.FILTER(
          [1]SubmittalLog!$B$1:$B$4000,
          ([1]SubmittalLog!$E$1:$E$4000=M373) *
          ([1]SubmittalLog!$B$1:$B$4000&lt;&gt;""),
          ""
        )
      ),
      _xlfn.LAMBDA(_xlpm.val, TEXT(_xlpm.val, "000000"))
    )
  ),
""))</f>
        <v>001591</v>
      </c>
      <c r="W373" s="40" t="str" cm="1">
        <f t="array" ref="W373">IF(OR(M373="", M373="Deleted"), "", _xlfn.LET(
  _xlpm.doc_col, [1]SubmittalLog!$E$1:$E$4000,
  _xlpm.date_col, [1]SubmittalLog!$H$1:$H$4000,
  _xlpm.status_col, [1]SubmittalLog!$N$1:$N$4000,
  _xlpm.latest_date, _xlfn.MAXIFS(_xlpm.date_col, _xlpm.doc_col, M373),
  IF(_xlpm.latest_date=0, "NFS",
    _xlfn.LET(
      _xlpm.res, _xlfn.XLOOKUP(M373 &amp; "|" &amp; _xlpm.latest_date, _xlpm.doc_col &amp; "|" &amp; _xlpm.date_col, _xlpm.status_col, ""),
      IF(OR(_xlpm.res="", _xlpm.res=0), "", _xlpm.res)
    )
  )
))</f>
        <v>RTR</v>
      </c>
      <c r="X373" s="39">
        <f>IF(OR(M373="", M373="Deleted"), "", _xlfn.LET(
  _xlpm.doc_col, [1]SubmittalLog!$E$1:$E$4000,
  _xlpm.date_col, [1]SubmittalLog!$H$1:$H$4000,
  _xlpm.status_col, [1]SubmittalLog!$O$1:$O$4000,
  _xlpm.first_app_date, _xlfn.MINIFS(_xlpm.date_col, _xlpm.doc_col, M373, _xlpm.status_col, "APP"),
  _xlpm.first_awc_date, _xlfn.MINIFS(_xlpm.date_col, _xlpm.doc_col, M373, _xlpm.status_col, "AWC"),
  _xlpm.earliest_date, IF(
    AND(_xlpm.first_app_date=0, _xlpm.first_awc_date=0), 0,
    IF(_xlpm.first_app_date=0, _xlpm.first_awc_date,
    IF(_xlpm.first_awc_date=0, _xlpm.first_app_date,
    MIN(_xlpm.first_app_date, _xlpm.first_awc_date)))
  ),
  IF(_xlpm.earliest_date=0, "", _xlpm.earliest_date)
))</f>
        <v>45883</v>
      </c>
      <c r="Y373" s="40" t="str" cm="1">
        <f t="array" ref="Y373">IF(OR(M373="", M373="Deleted"), "", _xlfn.LET(
  _xlpm.doc_col, [1]SubmittalLog!$E$1:$E$4000,
  _xlpm.date_col, [1]SubmittalLog!$H$1:$H$4000,
  _xlpm.status_col, [1]SubmittalLog!$O$1:$O$4000,
  _xlpm.has_sub, COUNTIF(_xlpm.doc_col, M373),
  _xlpm.latest_reviewed_date, _xlfn.MAXIFS(_xlpm.date_col, _xlpm.doc_col, M373, _xlpm.status_col, "&lt;&gt;"),
  IF(_xlpm.has_sub=0, "",
    IF(_xlpm.latest_reviewed_date=0, "",
      _xlfn.LET(
        _xlpm.res, _xlfn.XLOOKUP(1, (_xlpm.doc_col=M373) * (_xlpm.date_col=_xlpm.latest_reviewed_date) * (_xlpm.status_col&lt;&gt;""), _xlpm.status_col, ""),
        IF(OR(_xlpm.res="", _xlpm.res=0), "", _xlpm.res)
      )
    )
  )
))</f>
        <v>AWC</v>
      </c>
    </row>
    <row r="374" spans="1:25" x14ac:dyDescent="0.35">
      <c r="A374" s="33">
        <f>IF($M374="","",MAX($A$1:A373)+1)</f>
        <v>350</v>
      </c>
      <c r="B374" s="23" t="s">
        <v>250</v>
      </c>
      <c r="C374" s="23" t="s">
        <v>234</v>
      </c>
      <c r="G374" s="33">
        <v>131236</v>
      </c>
      <c r="H374" s="33" t="s">
        <v>59</v>
      </c>
      <c r="I374" s="33" t="s">
        <v>147</v>
      </c>
      <c r="J374" s="33" t="s">
        <v>3496</v>
      </c>
      <c r="K374" s="51" t="s">
        <v>3505</v>
      </c>
      <c r="M374" s="34" t="str">
        <f t="shared" si="5"/>
        <v>131236-WIL21-BQ-P-0003</v>
      </c>
      <c r="N374" s="26" t="s">
        <v>3900</v>
      </c>
      <c r="P374" s="34" t="s">
        <v>3467</v>
      </c>
      <c r="S374" s="35">
        <v>45462</v>
      </c>
      <c r="T374" s="35">
        <v>45462</v>
      </c>
      <c r="U374" s="64" cm="1">
        <f t="array" ref="U374">IF(OR(M374="", M374="Deleted"), "", _xlfn.LET(
  _xlpm.dates,
  _xlfn._xlws.FILTER(
    [1]SubmittalLog!$H$1:$H$4000,
    [1]SubmittalLog!$E$1:$E$4000=M374,
    ""
  ),
  _xlpm.min_date, IFERROR(MIN(_xlpm.dates), ""),
  IF(_xlpm.min_date=0, "", _xlpm.min_date)
))</f>
        <v>45469</v>
      </c>
      <c r="V374" s="63" t="str" cm="1">
        <f t="array" ref="V374">IF(OR(M374="", M374="Deleted"), "", IFERROR(
  _xlfn.TEXTJOIN(", ", TRUE,
    _xlfn.MAP(
      _xlfn.UNIQUE(
        _xlfn._xlws.FILTER(
          [1]SubmittalLog!$B$1:$B$4000,
          ([1]SubmittalLog!$E$1:$E$4000=M374) *
          ([1]SubmittalLog!$B$1:$B$4000&lt;&gt;""),
          ""
        )
      ),
      _xlfn.LAMBDA(_xlpm.val, TEXT(_xlpm.val, "000000"))
    )
  ),
""))</f>
        <v>000535</v>
      </c>
      <c r="W374" s="40" t="str" cm="1">
        <f t="array" ref="W374">IF(OR(M374="", M374="Deleted"), "", _xlfn.LET(
  _xlpm.doc_col, [1]SubmittalLog!$E$1:$E$4000,
  _xlpm.date_col, [1]SubmittalLog!$H$1:$H$4000,
  _xlpm.status_col, [1]SubmittalLog!$N$1:$N$4000,
  _xlpm.latest_date, _xlfn.MAXIFS(_xlpm.date_col, _xlpm.doc_col, M374),
  IF(_xlpm.latest_date=0, "NFS",
    _xlfn.LET(
      _xlpm.res, _xlfn.XLOOKUP(M374 &amp; "|" &amp; _xlpm.latest_date, _xlpm.doc_col &amp; "|" &amp; _xlpm.date_col, _xlpm.status_col, ""),
      IF(OR(_xlpm.res="", _xlpm.res=0), "", _xlpm.res)
    )
  )
))</f>
        <v>RTR</v>
      </c>
      <c r="X374" s="39">
        <f>IF(OR(M374="", M374="Deleted"), "", _xlfn.LET(
  _xlpm.doc_col, [1]SubmittalLog!$E$1:$E$4000,
  _xlpm.date_col, [1]SubmittalLog!$H$1:$H$4000,
  _xlpm.status_col, [1]SubmittalLog!$O$1:$O$4000,
  _xlpm.first_app_date, _xlfn.MINIFS(_xlpm.date_col, _xlpm.doc_col, M374, _xlpm.status_col, "APP"),
  _xlpm.first_awc_date, _xlfn.MINIFS(_xlpm.date_col, _xlpm.doc_col, M374, _xlpm.status_col, "AWC"),
  _xlpm.earliest_date, IF(
    AND(_xlpm.first_app_date=0, _xlpm.first_awc_date=0), 0,
    IF(_xlpm.first_app_date=0, _xlpm.first_awc_date,
    IF(_xlpm.first_awc_date=0, _xlpm.first_app_date,
    MIN(_xlpm.first_app_date, _xlpm.first_awc_date)))
  ),
  IF(_xlpm.earliest_date=0, "", _xlpm.earliest_date)
))</f>
        <v>45469</v>
      </c>
      <c r="Y374" s="40" t="str" cm="1">
        <f t="array" ref="Y374">IF(OR(M374="", M374="Deleted"), "", _xlfn.LET(
  _xlpm.doc_col, [1]SubmittalLog!$E$1:$E$4000,
  _xlpm.date_col, [1]SubmittalLog!$H$1:$H$4000,
  _xlpm.status_col, [1]SubmittalLog!$O$1:$O$4000,
  _xlpm.has_sub, COUNTIF(_xlpm.doc_col, M374),
  _xlpm.latest_reviewed_date, _xlfn.MAXIFS(_xlpm.date_col, _xlpm.doc_col, M374, _xlpm.status_col, "&lt;&gt;"),
  IF(_xlpm.has_sub=0, "",
    IF(_xlpm.latest_reviewed_date=0, "",
      _xlfn.LET(
        _xlpm.res, _xlfn.XLOOKUP(1, (_xlpm.doc_col=M374) * (_xlpm.date_col=_xlpm.latest_reviewed_date) * (_xlpm.status_col&lt;&gt;""), _xlpm.status_col, ""),
        IF(OR(_xlpm.res="", _xlpm.res=0), "", _xlpm.res)
      )
    )
  )
))</f>
        <v>AWC</v>
      </c>
    </row>
    <row r="375" spans="1:25" x14ac:dyDescent="0.35">
      <c r="A375" s="33">
        <f>IF($M375="","",MAX($A$1:A374)+1)</f>
        <v>351</v>
      </c>
      <c r="B375" s="23" t="s">
        <v>250</v>
      </c>
      <c r="C375" s="23" t="s">
        <v>257</v>
      </c>
      <c r="G375" s="33">
        <v>131236</v>
      </c>
      <c r="H375" s="33" t="s">
        <v>59</v>
      </c>
      <c r="I375" s="33" t="s">
        <v>147</v>
      </c>
      <c r="J375" s="33" t="s">
        <v>3496</v>
      </c>
      <c r="K375" s="51" t="s">
        <v>3469</v>
      </c>
      <c r="M375" s="34" t="str">
        <f t="shared" si="5"/>
        <v>131236-WIL21-BQ-P-0001</v>
      </c>
      <c r="N375" s="26" t="s">
        <v>3901</v>
      </c>
      <c r="P375" s="34" t="s">
        <v>3467</v>
      </c>
      <c r="S375" s="35">
        <v>45219</v>
      </c>
      <c r="T375" s="35">
        <v>45219</v>
      </c>
      <c r="U375" s="64" cm="1">
        <f t="array" ref="U375">IF(OR(M375="", M375="Deleted"), "", _xlfn.LET(
  _xlpm.dates,
  _xlfn._xlws.FILTER(
    [1]SubmittalLog!$H$1:$H$4000,
    [1]SubmittalLog!$E$1:$E$4000=M375,
    ""
  ),
  _xlpm.min_date, IFERROR(MIN(_xlpm.dates), ""),
  IF(_xlpm.min_date=0, "", _xlpm.min_date)
))</f>
        <v>45219</v>
      </c>
      <c r="V375" s="63" t="str" cm="1">
        <f t="array" ref="V375">IF(OR(M375="", M375="Deleted"), "", IFERROR(
  _xlfn.TEXTJOIN(", ", TRUE,
    _xlfn.MAP(
      _xlfn.UNIQUE(
        _xlfn._xlws.FILTER(
          [1]SubmittalLog!$B$1:$B$4000,
          ([1]SubmittalLog!$E$1:$E$4000=M375) *
          ([1]SubmittalLog!$B$1:$B$4000&lt;&gt;""),
          ""
        )
      ),
      _xlfn.LAMBDA(_xlpm.val, TEXT(_xlpm.val, "000000"))
    )
  ),
""))</f>
        <v>000358, 000133</v>
      </c>
      <c r="W375" s="40" t="str" cm="1">
        <f t="array" ref="W375">IF(OR(M375="", M375="Deleted"), "", _xlfn.LET(
  _xlpm.doc_col, [1]SubmittalLog!$E$1:$E$4000,
  _xlpm.date_col, [1]SubmittalLog!$H$1:$H$4000,
  _xlpm.status_col, [1]SubmittalLog!$N$1:$N$4000,
  _xlpm.latest_date, _xlfn.MAXIFS(_xlpm.date_col, _xlpm.doc_col, M375),
  IF(_xlpm.latest_date=0, "NFS",
    _xlfn.LET(
      _xlpm.res, _xlfn.XLOOKUP(M375 &amp; "|" &amp; _xlpm.latest_date, _xlpm.doc_col &amp; "|" &amp; _xlpm.date_col, _xlpm.status_col, ""),
      IF(OR(_xlpm.res="", _xlpm.res=0), "", _xlpm.res)
    )
  )
))</f>
        <v>RTR</v>
      </c>
      <c r="X375" s="39">
        <f>IF(OR(M375="", M375="Deleted"), "", _xlfn.LET(
  _xlpm.doc_col, [1]SubmittalLog!$E$1:$E$4000,
  _xlpm.date_col, [1]SubmittalLog!$H$1:$H$4000,
  _xlpm.status_col, [1]SubmittalLog!$O$1:$O$4000,
  _xlpm.first_app_date, _xlfn.MINIFS(_xlpm.date_col, _xlpm.doc_col, M375, _xlpm.status_col, "APP"),
  _xlpm.first_awc_date, _xlfn.MINIFS(_xlpm.date_col, _xlpm.doc_col, M375, _xlpm.status_col, "AWC"),
  _xlpm.earliest_date, IF(
    AND(_xlpm.first_app_date=0, _xlpm.first_awc_date=0), 0,
    IF(_xlpm.first_app_date=0, _xlpm.first_awc_date,
    IF(_xlpm.first_awc_date=0, _xlpm.first_app_date,
    MIN(_xlpm.first_app_date, _xlpm.first_awc_date)))
  ),
  IF(_xlpm.earliest_date=0, "", _xlpm.earliest_date)
))</f>
        <v>45219</v>
      </c>
      <c r="Y375" s="40" t="str" cm="1">
        <f t="array" ref="Y375">IF(OR(M375="", M375="Deleted"), "", _xlfn.LET(
  _xlpm.doc_col, [1]SubmittalLog!$E$1:$E$4000,
  _xlpm.date_col, [1]SubmittalLog!$H$1:$H$4000,
  _xlpm.status_col, [1]SubmittalLog!$O$1:$O$4000,
  _xlpm.has_sub, COUNTIF(_xlpm.doc_col, M375),
  _xlpm.latest_reviewed_date, _xlfn.MAXIFS(_xlpm.date_col, _xlpm.doc_col, M375, _xlpm.status_col, "&lt;&gt;"),
  IF(_xlpm.has_sub=0, "",
    IF(_xlpm.latest_reviewed_date=0, "",
      _xlfn.LET(
        _xlpm.res, _xlfn.XLOOKUP(1, (_xlpm.doc_col=M375) * (_xlpm.date_col=_xlpm.latest_reviewed_date) * (_xlpm.status_col&lt;&gt;""), _xlpm.status_col, ""),
        IF(OR(_xlpm.res="", _xlpm.res=0), "", _xlpm.res)
      )
    )
  )
))</f>
        <v>APP</v>
      </c>
    </row>
    <row r="376" spans="1:25" x14ac:dyDescent="0.35">
      <c r="A376" s="33">
        <f>IF($M376="","",MAX($A$1:A375)+1)</f>
        <v>352</v>
      </c>
      <c r="B376" s="23" t="s">
        <v>250</v>
      </c>
      <c r="C376" s="23" t="s">
        <v>257</v>
      </c>
      <c r="G376" s="33">
        <v>131236</v>
      </c>
      <c r="H376" s="33" t="s">
        <v>59</v>
      </c>
      <c r="I376" s="33" t="s">
        <v>147</v>
      </c>
      <c r="J376" s="33" t="s">
        <v>3496</v>
      </c>
      <c r="K376" s="51" t="s">
        <v>3503</v>
      </c>
      <c r="M376" s="34" t="str">
        <f t="shared" si="5"/>
        <v>131236-WIL21-BQ-P-0002</v>
      </c>
      <c r="N376" s="26" t="s">
        <v>3902</v>
      </c>
      <c r="P376" s="34" t="s">
        <v>3467</v>
      </c>
      <c r="S376" s="35">
        <v>45394</v>
      </c>
      <c r="T376" s="35">
        <v>45394</v>
      </c>
      <c r="U376" s="64" cm="1">
        <f t="array" ref="U376">IF(OR(M376="", M376="Deleted"), "", _xlfn.LET(
  _xlpm.dates,
  _xlfn._xlws.FILTER(
    [1]SubmittalLog!$H$1:$H$4000,
    [1]SubmittalLog!$E$1:$E$4000=M376,
    ""
  ),
  _xlpm.min_date, IFERROR(MIN(_xlpm.dates), ""),
  IF(_xlpm.min_date=0, "", _xlpm.min_date)
))</f>
        <v>45394</v>
      </c>
      <c r="V376" s="63" t="str" cm="1">
        <f t="array" ref="V376">IF(OR(M376="", M376="Deleted"), "", IFERROR(
  _xlfn.TEXTJOIN(", ", TRUE,
    _xlfn.MAP(
      _xlfn.UNIQUE(
        _xlfn._xlws.FILTER(
          [1]SubmittalLog!$B$1:$B$4000,
          ([1]SubmittalLog!$E$1:$E$4000=M376) *
          ([1]SubmittalLog!$B$1:$B$4000&lt;&gt;""),
          ""
        )
      ),
      _xlfn.LAMBDA(_xlpm.val, TEXT(_xlpm.val, "000000"))
    )
  ),
""))</f>
        <v>000432</v>
      </c>
      <c r="W376" s="40" t="str" cm="1">
        <f t="array" ref="W376">IF(OR(M376="", M376="Deleted"), "", _xlfn.LET(
  _xlpm.doc_col, [1]SubmittalLog!$E$1:$E$4000,
  _xlpm.date_col, [1]SubmittalLog!$H$1:$H$4000,
  _xlpm.status_col, [1]SubmittalLog!$N$1:$N$4000,
  _xlpm.latest_date, _xlfn.MAXIFS(_xlpm.date_col, _xlpm.doc_col, M376),
  IF(_xlpm.latest_date=0, "NFS",
    _xlfn.LET(
      _xlpm.res, _xlfn.XLOOKUP(M376 &amp; "|" &amp; _xlpm.latest_date, _xlpm.doc_col &amp; "|" &amp; _xlpm.date_col, _xlpm.status_col, ""),
      IF(OR(_xlpm.res="", _xlpm.res=0), "", _xlpm.res)
    )
  )
))</f>
        <v>RTR</v>
      </c>
      <c r="X376" s="39">
        <f>IF(OR(M376="", M376="Deleted"), "", _xlfn.LET(
  _xlpm.doc_col, [1]SubmittalLog!$E$1:$E$4000,
  _xlpm.date_col, [1]SubmittalLog!$H$1:$H$4000,
  _xlpm.status_col, [1]SubmittalLog!$O$1:$O$4000,
  _xlpm.first_app_date, _xlfn.MINIFS(_xlpm.date_col, _xlpm.doc_col, M376, _xlpm.status_col, "APP"),
  _xlpm.first_awc_date, _xlfn.MINIFS(_xlpm.date_col, _xlpm.doc_col, M376, _xlpm.status_col, "AWC"),
  _xlpm.earliest_date, IF(
    AND(_xlpm.first_app_date=0, _xlpm.first_awc_date=0), 0,
    IF(_xlpm.first_app_date=0, _xlpm.first_awc_date,
    IF(_xlpm.first_awc_date=0, _xlpm.first_app_date,
    MIN(_xlpm.first_app_date, _xlpm.first_awc_date)))
  ),
  IF(_xlpm.earliest_date=0, "", _xlpm.earliest_date)
))</f>
        <v>45394</v>
      </c>
      <c r="Y376" s="40" t="str" cm="1">
        <f t="array" ref="Y376">IF(OR(M376="", M376="Deleted"), "", _xlfn.LET(
  _xlpm.doc_col, [1]SubmittalLog!$E$1:$E$4000,
  _xlpm.date_col, [1]SubmittalLog!$H$1:$H$4000,
  _xlpm.status_col, [1]SubmittalLog!$O$1:$O$4000,
  _xlpm.has_sub, COUNTIF(_xlpm.doc_col, M376),
  _xlpm.latest_reviewed_date, _xlfn.MAXIFS(_xlpm.date_col, _xlpm.doc_col, M376, _xlpm.status_col, "&lt;&gt;"),
  IF(_xlpm.has_sub=0, "",
    IF(_xlpm.latest_reviewed_date=0, "",
      _xlfn.LET(
        _xlpm.res, _xlfn.XLOOKUP(1, (_xlpm.doc_col=M376) * (_xlpm.date_col=_xlpm.latest_reviewed_date) * (_xlpm.status_col&lt;&gt;""), _xlpm.status_col, ""),
        IF(OR(_xlpm.res="", _xlpm.res=0), "", _xlpm.res)
      )
    )
  )
))</f>
        <v>APP</v>
      </c>
    </row>
    <row r="377" spans="1:25" x14ac:dyDescent="0.35">
      <c r="A377" s="33">
        <f>IF($M377="","",MAX($A$1:A376)+1)</f>
        <v>353</v>
      </c>
      <c r="B377" s="23" t="s">
        <v>54</v>
      </c>
      <c r="C377" s="23" t="s">
        <v>257</v>
      </c>
      <c r="G377" s="33">
        <v>131236</v>
      </c>
      <c r="H377" s="33" t="s">
        <v>59</v>
      </c>
      <c r="I377" s="33" t="s">
        <v>147</v>
      </c>
      <c r="J377" s="33" t="s">
        <v>3496</v>
      </c>
      <c r="K377" s="51" t="s">
        <v>3469</v>
      </c>
      <c r="M377" s="34" t="str">
        <f t="shared" si="5"/>
        <v>Deleted</v>
      </c>
      <c r="N377" s="26" t="s">
        <v>3903</v>
      </c>
      <c r="P377" s="34" t="s">
        <v>3467</v>
      </c>
      <c r="U377" s="64" t="str" cm="1">
        <f t="array" ref="U377">IF(OR(M377="", M377="Deleted"), "", _xlfn.LET(
  _xlpm.dates,
  _xlfn._xlws.FILTER(
    [1]SubmittalLog!$H$1:$H$4000,
    [1]SubmittalLog!$E$1:$E$4000=M377,
    ""
  ),
  _xlpm.min_date, IFERROR(MIN(_xlpm.dates), ""),
  IF(_xlpm.min_date=0, "", _xlpm.min_date)
))</f>
        <v/>
      </c>
      <c r="V377" s="63" t="str" cm="1">
        <f t="array" ref="V377">IF(OR(M377="", M377="Deleted"), "", IFERROR(
  _xlfn.TEXTJOIN(", ", TRUE,
    _xlfn.MAP(
      _xlfn.UNIQUE(
        _xlfn._xlws.FILTER(
          [1]SubmittalLog!$B$1:$B$4000,
          ([1]SubmittalLog!$E$1:$E$4000=M377) *
          ([1]SubmittalLog!$B$1:$B$4000&lt;&gt;""),
          ""
        )
      ),
      _xlfn.LAMBDA(_xlpm.val, TEXT(_xlpm.val, "000000"))
    )
  ),
""))</f>
        <v/>
      </c>
      <c r="W377" s="40" t="str" cm="1">
        <f t="array" ref="W377">IF(OR(M377="", M377="Deleted"), "", _xlfn.LET(
  _xlpm.doc_col, [1]SubmittalLog!$E$1:$E$4000,
  _xlpm.date_col, [1]SubmittalLog!$H$1:$H$4000,
  _xlpm.status_col, [1]SubmittalLog!$N$1:$N$4000,
  _xlpm.latest_date, _xlfn.MAXIFS(_xlpm.date_col, _xlpm.doc_col, M377),
  IF(_xlpm.latest_date=0, "NFS",
    _xlfn.LET(
      _xlpm.res, _xlfn.XLOOKUP(M377 &amp; "|" &amp; _xlpm.latest_date, _xlpm.doc_col &amp; "|" &amp; _xlpm.date_col, _xlpm.status_col, ""),
      IF(OR(_xlpm.res="", _xlpm.res=0), "", _xlpm.res)
    )
  )
))</f>
        <v/>
      </c>
      <c r="X377" s="39" t="str">
        <f>IF(OR(M377="", M377="Deleted"), "", _xlfn.LET(
  _xlpm.doc_col, [1]SubmittalLog!$E$1:$E$4000,
  _xlpm.date_col, [1]SubmittalLog!$H$1:$H$4000,
  _xlpm.status_col, [1]SubmittalLog!$O$1:$O$4000,
  _xlpm.first_app_date, _xlfn.MINIFS(_xlpm.date_col, _xlpm.doc_col, M377, _xlpm.status_col, "APP"),
  _xlpm.first_awc_date, _xlfn.MINIFS(_xlpm.date_col, _xlpm.doc_col, M377, _xlpm.status_col, "AWC"),
  _xlpm.earliest_date, IF(
    AND(_xlpm.first_app_date=0, _xlpm.first_awc_date=0), 0,
    IF(_xlpm.first_app_date=0, _xlpm.first_awc_date,
    IF(_xlpm.first_awc_date=0, _xlpm.first_app_date,
    MIN(_xlpm.first_app_date, _xlpm.first_awc_date)))
  ),
  IF(_xlpm.earliest_date=0, "", _xlpm.earliest_date)
))</f>
        <v/>
      </c>
      <c r="Y377" s="40" t="str" cm="1">
        <f t="array" ref="Y377">IF(OR(M377="", M377="Deleted"), "", _xlfn.LET(
  _xlpm.doc_col, [1]SubmittalLog!$E$1:$E$4000,
  _xlpm.date_col, [1]SubmittalLog!$H$1:$H$4000,
  _xlpm.status_col, [1]SubmittalLog!$O$1:$O$4000,
  _xlpm.has_sub, COUNTIF(_xlpm.doc_col, M377),
  _xlpm.latest_reviewed_date, _xlfn.MAXIFS(_xlpm.date_col, _xlpm.doc_col, M377, _xlpm.status_col, "&lt;&gt;"),
  IF(_xlpm.has_sub=0, "",
    IF(_xlpm.latest_reviewed_date=0, "",
      _xlfn.LET(
        _xlpm.res, _xlfn.XLOOKUP(1, (_xlpm.doc_col=M377) * (_xlpm.date_col=_xlpm.latest_reviewed_date) * (_xlpm.status_col&lt;&gt;""), _xlpm.status_col, ""),
        IF(OR(_xlpm.res="", _xlpm.res=0), "", _xlpm.res)
      )
    )
  )
))</f>
        <v/>
      </c>
    </row>
    <row r="378" spans="1:25" x14ac:dyDescent="0.35">
      <c r="A378" s="33">
        <f>IF($M378="","",MAX($A$1:A377)+1)</f>
        <v>354</v>
      </c>
      <c r="B378" s="23" t="s">
        <v>54</v>
      </c>
      <c r="C378" s="23" t="s">
        <v>257</v>
      </c>
      <c r="M378" s="34" t="str">
        <f t="shared" si="5"/>
        <v>Deleted</v>
      </c>
      <c r="N378" s="26" t="s">
        <v>3904</v>
      </c>
      <c r="P378" s="34" t="s">
        <v>3467</v>
      </c>
      <c r="U378" s="64" t="str" cm="1">
        <f t="array" ref="U378">IF(OR(M378="", M378="Deleted"), "", _xlfn.LET(
  _xlpm.dates,
  _xlfn._xlws.FILTER(
    [1]SubmittalLog!$H$1:$H$4000,
    [1]SubmittalLog!$E$1:$E$4000=M378,
    ""
  ),
  _xlpm.min_date, IFERROR(MIN(_xlpm.dates), ""),
  IF(_xlpm.min_date=0, "", _xlpm.min_date)
))</f>
        <v/>
      </c>
      <c r="V378" s="63" t="str" cm="1">
        <f t="array" ref="V378">IF(OR(M378="", M378="Deleted"), "", IFERROR(
  _xlfn.TEXTJOIN(", ", TRUE,
    _xlfn.MAP(
      _xlfn.UNIQUE(
        _xlfn._xlws.FILTER(
          [1]SubmittalLog!$B$1:$B$4000,
          ([1]SubmittalLog!$E$1:$E$4000=M378) *
          ([1]SubmittalLog!$B$1:$B$4000&lt;&gt;""),
          ""
        )
      ),
      _xlfn.LAMBDA(_xlpm.val, TEXT(_xlpm.val, "000000"))
    )
  ),
""))</f>
        <v/>
      </c>
      <c r="W378" s="40" t="str" cm="1">
        <f t="array" ref="W378">IF(OR(M378="", M378="Deleted"), "", _xlfn.LET(
  _xlpm.doc_col, [1]SubmittalLog!$E$1:$E$4000,
  _xlpm.date_col, [1]SubmittalLog!$H$1:$H$4000,
  _xlpm.status_col, [1]SubmittalLog!$N$1:$N$4000,
  _xlpm.latest_date, _xlfn.MAXIFS(_xlpm.date_col, _xlpm.doc_col, M378),
  IF(_xlpm.latest_date=0, "NFS",
    _xlfn.LET(
      _xlpm.res, _xlfn.XLOOKUP(M378 &amp; "|" &amp; _xlpm.latest_date, _xlpm.doc_col &amp; "|" &amp; _xlpm.date_col, _xlpm.status_col, ""),
      IF(OR(_xlpm.res="", _xlpm.res=0), "", _xlpm.res)
    )
  )
))</f>
        <v/>
      </c>
      <c r="X378" s="39" t="str">
        <f>IF(OR(M378="", M378="Deleted"), "", _xlfn.LET(
  _xlpm.doc_col, [1]SubmittalLog!$E$1:$E$4000,
  _xlpm.date_col, [1]SubmittalLog!$H$1:$H$4000,
  _xlpm.status_col, [1]SubmittalLog!$O$1:$O$4000,
  _xlpm.first_app_date, _xlfn.MINIFS(_xlpm.date_col, _xlpm.doc_col, M378, _xlpm.status_col, "APP"),
  _xlpm.first_awc_date, _xlfn.MINIFS(_xlpm.date_col, _xlpm.doc_col, M378, _xlpm.status_col, "AWC"),
  _xlpm.earliest_date, IF(
    AND(_xlpm.first_app_date=0, _xlpm.first_awc_date=0), 0,
    IF(_xlpm.first_app_date=0, _xlpm.first_awc_date,
    IF(_xlpm.first_awc_date=0, _xlpm.first_app_date,
    MIN(_xlpm.first_app_date, _xlpm.first_awc_date)))
  ),
  IF(_xlpm.earliest_date=0, "", _xlpm.earliest_date)
))</f>
        <v/>
      </c>
      <c r="Y378" s="40" t="str" cm="1">
        <f t="array" ref="Y378">IF(OR(M378="", M378="Deleted"), "", _xlfn.LET(
  _xlpm.doc_col, [1]SubmittalLog!$E$1:$E$4000,
  _xlpm.date_col, [1]SubmittalLog!$H$1:$H$4000,
  _xlpm.status_col, [1]SubmittalLog!$O$1:$O$4000,
  _xlpm.has_sub, COUNTIF(_xlpm.doc_col, M378),
  _xlpm.latest_reviewed_date, _xlfn.MAXIFS(_xlpm.date_col, _xlpm.doc_col, M378, _xlpm.status_col, "&lt;&gt;"),
  IF(_xlpm.has_sub=0, "",
    IF(_xlpm.latest_reviewed_date=0, "",
      _xlfn.LET(
        _xlpm.res, _xlfn.XLOOKUP(1, (_xlpm.doc_col=M378) * (_xlpm.date_col=_xlpm.latest_reviewed_date) * (_xlpm.status_col&lt;&gt;""), _xlpm.status_col, ""),
        IF(OR(_xlpm.res="", _xlpm.res=0), "", _xlpm.res)
      )
    )
  )
))</f>
        <v/>
      </c>
    </row>
    <row r="379" spans="1:25" x14ac:dyDescent="0.35">
      <c r="A379" s="33">
        <f>IF($M379="","",MAX($A$1:A378)+1)</f>
        <v>355</v>
      </c>
      <c r="B379" s="23" t="s">
        <v>54</v>
      </c>
      <c r="C379" s="23" t="s">
        <v>257</v>
      </c>
      <c r="M379" s="34" t="str">
        <f t="shared" si="5"/>
        <v>Deleted</v>
      </c>
      <c r="N379" s="26" t="s">
        <v>3905</v>
      </c>
      <c r="P379" s="34" t="s">
        <v>3467</v>
      </c>
      <c r="U379" s="64" t="str" cm="1">
        <f t="array" ref="U379">IF(OR(M379="", M379="Deleted"), "", _xlfn.LET(
  _xlpm.dates,
  _xlfn._xlws.FILTER(
    [1]SubmittalLog!$H$1:$H$4000,
    [1]SubmittalLog!$E$1:$E$4000=M379,
    ""
  ),
  _xlpm.min_date, IFERROR(MIN(_xlpm.dates), ""),
  IF(_xlpm.min_date=0, "", _xlpm.min_date)
))</f>
        <v/>
      </c>
      <c r="V379" s="63" t="str" cm="1">
        <f t="array" ref="V379">IF(OR(M379="", M379="Deleted"), "", IFERROR(
  _xlfn.TEXTJOIN(", ", TRUE,
    _xlfn.MAP(
      _xlfn.UNIQUE(
        _xlfn._xlws.FILTER(
          [1]SubmittalLog!$B$1:$B$4000,
          ([1]SubmittalLog!$E$1:$E$4000=M379) *
          ([1]SubmittalLog!$B$1:$B$4000&lt;&gt;""),
          ""
        )
      ),
      _xlfn.LAMBDA(_xlpm.val, TEXT(_xlpm.val, "000000"))
    )
  ),
""))</f>
        <v/>
      </c>
      <c r="W379" s="40" t="str" cm="1">
        <f t="array" ref="W379">IF(OR(M379="", M379="Deleted"), "", _xlfn.LET(
  _xlpm.doc_col, [1]SubmittalLog!$E$1:$E$4000,
  _xlpm.date_col, [1]SubmittalLog!$H$1:$H$4000,
  _xlpm.status_col, [1]SubmittalLog!$N$1:$N$4000,
  _xlpm.latest_date, _xlfn.MAXIFS(_xlpm.date_col, _xlpm.doc_col, M379),
  IF(_xlpm.latest_date=0, "NFS",
    _xlfn.LET(
      _xlpm.res, _xlfn.XLOOKUP(M379 &amp; "|" &amp; _xlpm.latest_date, _xlpm.doc_col &amp; "|" &amp; _xlpm.date_col, _xlpm.status_col, ""),
      IF(OR(_xlpm.res="", _xlpm.res=0), "", _xlpm.res)
    )
  )
))</f>
        <v/>
      </c>
      <c r="X379" s="39" t="str">
        <f>IF(OR(M379="", M379="Deleted"), "", _xlfn.LET(
  _xlpm.doc_col, [1]SubmittalLog!$E$1:$E$4000,
  _xlpm.date_col, [1]SubmittalLog!$H$1:$H$4000,
  _xlpm.status_col, [1]SubmittalLog!$O$1:$O$4000,
  _xlpm.first_app_date, _xlfn.MINIFS(_xlpm.date_col, _xlpm.doc_col, M379, _xlpm.status_col, "APP"),
  _xlpm.first_awc_date, _xlfn.MINIFS(_xlpm.date_col, _xlpm.doc_col, M379, _xlpm.status_col, "AWC"),
  _xlpm.earliest_date, IF(
    AND(_xlpm.first_app_date=0, _xlpm.first_awc_date=0), 0,
    IF(_xlpm.first_app_date=0, _xlpm.first_awc_date,
    IF(_xlpm.first_awc_date=0, _xlpm.first_app_date,
    MIN(_xlpm.first_app_date, _xlpm.first_awc_date)))
  ),
  IF(_xlpm.earliest_date=0, "", _xlpm.earliest_date)
))</f>
        <v/>
      </c>
      <c r="Y379" s="40" t="str" cm="1">
        <f t="array" ref="Y379">IF(OR(M379="", M379="Deleted"), "", _xlfn.LET(
  _xlpm.doc_col, [1]SubmittalLog!$E$1:$E$4000,
  _xlpm.date_col, [1]SubmittalLog!$H$1:$H$4000,
  _xlpm.status_col, [1]SubmittalLog!$O$1:$O$4000,
  _xlpm.has_sub, COUNTIF(_xlpm.doc_col, M379),
  _xlpm.latest_reviewed_date, _xlfn.MAXIFS(_xlpm.date_col, _xlpm.doc_col, M379, _xlpm.status_col, "&lt;&gt;"),
  IF(_xlpm.has_sub=0, "",
    IF(_xlpm.latest_reviewed_date=0, "",
      _xlfn.LET(
        _xlpm.res, _xlfn.XLOOKUP(1, (_xlpm.doc_col=M379) * (_xlpm.date_col=_xlpm.latest_reviewed_date) * (_xlpm.status_col&lt;&gt;""), _xlpm.status_col, ""),
        IF(OR(_xlpm.res="", _xlpm.res=0), "", _xlpm.res)
      )
    )
  )
))</f>
        <v/>
      </c>
    </row>
    <row r="380" spans="1:25" x14ac:dyDescent="0.35">
      <c r="A380" s="33">
        <f>IF($M380="","",MAX($A$1:A379)+1)</f>
        <v>356</v>
      </c>
      <c r="B380" s="23" t="s">
        <v>54</v>
      </c>
      <c r="C380" s="23" t="s">
        <v>257</v>
      </c>
      <c r="M380" s="34" t="str">
        <f t="shared" si="5"/>
        <v>Deleted</v>
      </c>
      <c r="N380" s="26" t="s">
        <v>3906</v>
      </c>
      <c r="P380" s="34" t="s">
        <v>3467</v>
      </c>
      <c r="U380" s="64" t="str" cm="1">
        <f t="array" ref="U380">IF(OR(M380="", M380="Deleted"), "", _xlfn.LET(
  _xlpm.dates,
  _xlfn._xlws.FILTER(
    [1]SubmittalLog!$H$1:$H$4000,
    [1]SubmittalLog!$E$1:$E$4000=M380,
    ""
  ),
  _xlpm.min_date, IFERROR(MIN(_xlpm.dates), ""),
  IF(_xlpm.min_date=0, "", _xlpm.min_date)
))</f>
        <v/>
      </c>
      <c r="V380" s="63" t="str" cm="1">
        <f t="array" ref="V380">IF(OR(M380="", M380="Deleted"), "", IFERROR(
  _xlfn.TEXTJOIN(", ", TRUE,
    _xlfn.MAP(
      _xlfn.UNIQUE(
        _xlfn._xlws.FILTER(
          [1]SubmittalLog!$B$1:$B$4000,
          ([1]SubmittalLog!$E$1:$E$4000=M380) *
          ([1]SubmittalLog!$B$1:$B$4000&lt;&gt;""),
          ""
        )
      ),
      _xlfn.LAMBDA(_xlpm.val, TEXT(_xlpm.val, "000000"))
    )
  ),
""))</f>
        <v/>
      </c>
      <c r="W380" s="40" t="str" cm="1">
        <f t="array" ref="W380">IF(OR(M380="", M380="Deleted"), "", _xlfn.LET(
  _xlpm.doc_col, [1]SubmittalLog!$E$1:$E$4000,
  _xlpm.date_col, [1]SubmittalLog!$H$1:$H$4000,
  _xlpm.status_col, [1]SubmittalLog!$N$1:$N$4000,
  _xlpm.latest_date, _xlfn.MAXIFS(_xlpm.date_col, _xlpm.doc_col, M380),
  IF(_xlpm.latest_date=0, "NFS",
    _xlfn.LET(
      _xlpm.res, _xlfn.XLOOKUP(M380 &amp; "|" &amp; _xlpm.latest_date, _xlpm.doc_col &amp; "|" &amp; _xlpm.date_col, _xlpm.status_col, ""),
      IF(OR(_xlpm.res="", _xlpm.res=0), "", _xlpm.res)
    )
  )
))</f>
        <v/>
      </c>
      <c r="X380" s="39" t="str">
        <f>IF(OR(M380="", M380="Deleted"), "", _xlfn.LET(
  _xlpm.doc_col, [1]SubmittalLog!$E$1:$E$4000,
  _xlpm.date_col, [1]SubmittalLog!$H$1:$H$4000,
  _xlpm.status_col, [1]SubmittalLog!$O$1:$O$4000,
  _xlpm.first_app_date, _xlfn.MINIFS(_xlpm.date_col, _xlpm.doc_col, M380, _xlpm.status_col, "APP"),
  _xlpm.first_awc_date, _xlfn.MINIFS(_xlpm.date_col, _xlpm.doc_col, M380, _xlpm.status_col, "AWC"),
  _xlpm.earliest_date, IF(
    AND(_xlpm.first_app_date=0, _xlpm.first_awc_date=0), 0,
    IF(_xlpm.first_app_date=0, _xlpm.first_awc_date,
    IF(_xlpm.first_awc_date=0, _xlpm.first_app_date,
    MIN(_xlpm.first_app_date, _xlpm.first_awc_date)))
  ),
  IF(_xlpm.earliest_date=0, "", _xlpm.earliest_date)
))</f>
        <v/>
      </c>
      <c r="Y380" s="40" t="str" cm="1">
        <f t="array" ref="Y380">IF(OR(M380="", M380="Deleted"), "", _xlfn.LET(
  _xlpm.doc_col, [1]SubmittalLog!$E$1:$E$4000,
  _xlpm.date_col, [1]SubmittalLog!$H$1:$H$4000,
  _xlpm.status_col, [1]SubmittalLog!$O$1:$O$4000,
  _xlpm.has_sub, COUNTIF(_xlpm.doc_col, M380),
  _xlpm.latest_reviewed_date, _xlfn.MAXIFS(_xlpm.date_col, _xlpm.doc_col, M380, _xlpm.status_col, "&lt;&gt;"),
  IF(_xlpm.has_sub=0, "",
    IF(_xlpm.latest_reviewed_date=0, "",
      _xlfn.LET(
        _xlpm.res, _xlfn.XLOOKUP(1, (_xlpm.doc_col=M380) * (_xlpm.date_col=_xlpm.latest_reviewed_date) * (_xlpm.status_col&lt;&gt;""), _xlpm.status_col, ""),
        IF(OR(_xlpm.res="", _xlpm.res=0), "", _xlpm.res)
      )
    )
  )
))</f>
        <v/>
      </c>
    </row>
    <row r="381" spans="1:25" x14ac:dyDescent="0.35">
      <c r="A381" s="33">
        <f>IF($M381="","",MAX($A$1:A380)+1)</f>
        <v>357</v>
      </c>
      <c r="B381" s="23" t="s">
        <v>54</v>
      </c>
      <c r="C381" s="23" t="s">
        <v>257</v>
      </c>
      <c r="M381" s="34" t="str">
        <f t="shared" si="5"/>
        <v>Deleted</v>
      </c>
      <c r="N381" s="26" t="s">
        <v>3907</v>
      </c>
      <c r="P381" s="34" t="s">
        <v>3467</v>
      </c>
      <c r="U381" s="64" t="str" cm="1">
        <f t="array" ref="U381">IF(OR(M381="", M381="Deleted"), "", _xlfn.LET(
  _xlpm.dates,
  _xlfn._xlws.FILTER(
    [1]SubmittalLog!$H$1:$H$4000,
    [1]SubmittalLog!$E$1:$E$4000=M381,
    ""
  ),
  _xlpm.min_date, IFERROR(MIN(_xlpm.dates), ""),
  IF(_xlpm.min_date=0, "", _xlpm.min_date)
))</f>
        <v/>
      </c>
      <c r="V381" s="63" t="str" cm="1">
        <f t="array" ref="V381">IF(OR(M381="", M381="Deleted"), "", IFERROR(
  _xlfn.TEXTJOIN(", ", TRUE,
    _xlfn.MAP(
      _xlfn.UNIQUE(
        _xlfn._xlws.FILTER(
          [1]SubmittalLog!$B$1:$B$4000,
          ([1]SubmittalLog!$E$1:$E$4000=M381) *
          ([1]SubmittalLog!$B$1:$B$4000&lt;&gt;""),
          ""
        )
      ),
      _xlfn.LAMBDA(_xlpm.val, TEXT(_xlpm.val, "000000"))
    )
  ),
""))</f>
        <v/>
      </c>
      <c r="W381" s="40" t="str" cm="1">
        <f t="array" ref="W381">IF(OR(M381="", M381="Deleted"), "", _xlfn.LET(
  _xlpm.doc_col, [1]SubmittalLog!$E$1:$E$4000,
  _xlpm.date_col, [1]SubmittalLog!$H$1:$H$4000,
  _xlpm.status_col, [1]SubmittalLog!$N$1:$N$4000,
  _xlpm.latest_date, _xlfn.MAXIFS(_xlpm.date_col, _xlpm.doc_col, M381),
  IF(_xlpm.latest_date=0, "NFS",
    _xlfn.LET(
      _xlpm.res, _xlfn.XLOOKUP(M381 &amp; "|" &amp; _xlpm.latest_date, _xlpm.doc_col &amp; "|" &amp; _xlpm.date_col, _xlpm.status_col, ""),
      IF(OR(_xlpm.res="", _xlpm.res=0), "", _xlpm.res)
    )
  )
))</f>
        <v/>
      </c>
      <c r="X381" s="39" t="str">
        <f>IF(OR(M381="", M381="Deleted"), "", _xlfn.LET(
  _xlpm.doc_col, [1]SubmittalLog!$E$1:$E$4000,
  _xlpm.date_col, [1]SubmittalLog!$H$1:$H$4000,
  _xlpm.status_col, [1]SubmittalLog!$O$1:$O$4000,
  _xlpm.first_app_date, _xlfn.MINIFS(_xlpm.date_col, _xlpm.doc_col, M381, _xlpm.status_col, "APP"),
  _xlpm.first_awc_date, _xlfn.MINIFS(_xlpm.date_col, _xlpm.doc_col, M381, _xlpm.status_col, "AWC"),
  _xlpm.earliest_date, IF(
    AND(_xlpm.first_app_date=0, _xlpm.first_awc_date=0), 0,
    IF(_xlpm.first_app_date=0, _xlpm.first_awc_date,
    IF(_xlpm.first_awc_date=0, _xlpm.first_app_date,
    MIN(_xlpm.first_app_date, _xlpm.first_awc_date)))
  ),
  IF(_xlpm.earliest_date=0, "", _xlpm.earliest_date)
))</f>
        <v/>
      </c>
      <c r="Y381" s="40" t="str" cm="1">
        <f t="array" ref="Y381">IF(OR(M381="", M381="Deleted"), "", _xlfn.LET(
  _xlpm.doc_col, [1]SubmittalLog!$E$1:$E$4000,
  _xlpm.date_col, [1]SubmittalLog!$H$1:$H$4000,
  _xlpm.status_col, [1]SubmittalLog!$O$1:$O$4000,
  _xlpm.has_sub, COUNTIF(_xlpm.doc_col, M381),
  _xlpm.latest_reviewed_date, _xlfn.MAXIFS(_xlpm.date_col, _xlpm.doc_col, M381, _xlpm.status_col, "&lt;&gt;"),
  IF(_xlpm.has_sub=0, "",
    IF(_xlpm.latest_reviewed_date=0, "",
      _xlfn.LET(
        _xlpm.res, _xlfn.XLOOKUP(1, (_xlpm.doc_col=M381) * (_xlpm.date_col=_xlpm.latest_reviewed_date) * (_xlpm.status_col&lt;&gt;""), _xlpm.status_col, ""),
        IF(OR(_xlpm.res="", _xlpm.res=0), "", _xlpm.res)
      )
    )
  )
))</f>
        <v/>
      </c>
    </row>
    <row r="382" spans="1:25" x14ac:dyDescent="0.35">
      <c r="A382" s="33">
        <f>IF($M382="","",MAX($A$1:A381)+1)</f>
        <v>358</v>
      </c>
      <c r="B382" s="23" t="s">
        <v>54</v>
      </c>
      <c r="C382" s="23" t="s">
        <v>257</v>
      </c>
      <c r="M382" s="34" t="str">
        <f t="shared" si="5"/>
        <v>Deleted</v>
      </c>
      <c r="N382" s="26" t="s">
        <v>3908</v>
      </c>
      <c r="P382" s="34" t="s">
        <v>3467</v>
      </c>
      <c r="U382" s="64" t="str" cm="1">
        <f t="array" ref="U382">IF(OR(M382="", M382="Deleted"), "", _xlfn.LET(
  _xlpm.dates,
  _xlfn._xlws.FILTER(
    [1]SubmittalLog!$H$1:$H$4000,
    [1]SubmittalLog!$E$1:$E$4000=M382,
    ""
  ),
  _xlpm.min_date, IFERROR(MIN(_xlpm.dates), ""),
  IF(_xlpm.min_date=0, "", _xlpm.min_date)
))</f>
        <v/>
      </c>
      <c r="V382" s="63" t="str" cm="1">
        <f t="array" ref="V382">IF(OR(M382="", M382="Deleted"), "", IFERROR(
  _xlfn.TEXTJOIN(", ", TRUE,
    _xlfn.MAP(
      _xlfn.UNIQUE(
        _xlfn._xlws.FILTER(
          [1]SubmittalLog!$B$1:$B$4000,
          ([1]SubmittalLog!$E$1:$E$4000=M382) *
          ([1]SubmittalLog!$B$1:$B$4000&lt;&gt;""),
          ""
        )
      ),
      _xlfn.LAMBDA(_xlpm.val, TEXT(_xlpm.val, "000000"))
    )
  ),
""))</f>
        <v/>
      </c>
      <c r="W382" s="40" t="str" cm="1">
        <f t="array" ref="W382">IF(OR(M382="", M382="Deleted"), "", _xlfn.LET(
  _xlpm.doc_col, [1]SubmittalLog!$E$1:$E$4000,
  _xlpm.date_col, [1]SubmittalLog!$H$1:$H$4000,
  _xlpm.status_col, [1]SubmittalLog!$N$1:$N$4000,
  _xlpm.latest_date, _xlfn.MAXIFS(_xlpm.date_col, _xlpm.doc_col, M382),
  IF(_xlpm.latest_date=0, "NFS",
    _xlfn.LET(
      _xlpm.res, _xlfn.XLOOKUP(M382 &amp; "|" &amp; _xlpm.latest_date, _xlpm.doc_col &amp; "|" &amp; _xlpm.date_col, _xlpm.status_col, ""),
      IF(OR(_xlpm.res="", _xlpm.res=0), "", _xlpm.res)
    )
  )
))</f>
        <v/>
      </c>
      <c r="X382" s="39" t="str">
        <f>IF(OR(M382="", M382="Deleted"), "", _xlfn.LET(
  _xlpm.doc_col, [1]SubmittalLog!$E$1:$E$4000,
  _xlpm.date_col, [1]SubmittalLog!$H$1:$H$4000,
  _xlpm.status_col, [1]SubmittalLog!$O$1:$O$4000,
  _xlpm.first_app_date, _xlfn.MINIFS(_xlpm.date_col, _xlpm.doc_col, M382, _xlpm.status_col, "APP"),
  _xlpm.first_awc_date, _xlfn.MINIFS(_xlpm.date_col, _xlpm.doc_col, M382, _xlpm.status_col, "AWC"),
  _xlpm.earliest_date, IF(
    AND(_xlpm.first_app_date=0, _xlpm.first_awc_date=0), 0,
    IF(_xlpm.first_app_date=0, _xlpm.first_awc_date,
    IF(_xlpm.first_awc_date=0, _xlpm.first_app_date,
    MIN(_xlpm.first_app_date, _xlpm.first_awc_date)))
  ),
  IF(_xlpm.earliest_date=0, "", _xlpm.earliest_date)
))</f>
        <v/>
      </c>
      <c r="Y382" s="40" t="str" cm="1">
        <f t="array" ref="Y382">IF(OR(M382="", M382="Deleted"), "", _xlfn.LET(
  _xlpm.doc_col, [1]SubmittalLog!$E$1:$E$4000,
  _xlpm.date_col, [1]SubmittalLog!$H$1:$H$4000,
  _xlpm.status_col, [1]SubmittalLog!$O$1:$O$4000,
  _xlpm.has_sub, COUNTIF(_xlpm.doc_col, M382),
  _xlpm.latest_reviewed_date, _xlfn.MAXIFS(_xlpm.date_col, _xlpm.doc_col, M382, _xlpm.status_col, "&lt;&gt;"),
  IF(_xlpm.has_sub=0, "",
    IF(_xlpm.latest_reviewed_date=0, "",
      _xlfn.LET(
        _xlpm.res, _xlfn.XLOOKUP(1, (_xlpm.doc_col=M382) * (_xlpm.date_col=_xlpm.latest_reviewed_date) * (_xlpm.status_col&lt;&gt;""), _xlpm.status_col, ""),
        IF(OR(_xlpm.res="", _xlpm.res=0), "", _xlpm.res)
      )
    )
  )
))</f>
        <v/>
      </c>
    </row>
    <row r="383" spans="1:25" x14ac:dyDescent="0.35">
      <c r="A383" s="33">
        <f>IF($M383="","",MAX($A$1:A382)+1)</f>
        <v>359</v>
      </c>
      <c r="B383" s="23" t="s">
        <v>54</v>
      </c>
      <c r="C383" s="23" t="s">
        <v>257</v>
      </c>
      <c r="M383" s="34" t="str">
        <f t="shared" si="5"/>
        <v>Deleted</v>
      </c>
      <c r="N383" s="26" t="s">
        <v>3909</v>
      </c>
      <c r="P383" s="34" t="s">
        <v>3467</v>
      </c>
      <c r="U383" s="64" t="str" cm="1">
        <f t="array" ref="U383">IF(OR(M383="", M383="Deleted"), "", _xlfn.LET(
  _xlpm.dates,
  _xlfn._xlws.FILTER(
    [1]SubmittalLog!$H$1:$H$4000,
    [1]SubmittalLog!$E$1:$E$4000=M383,
    ""
  ),
  _xlpm.min_date, IFERROR(MIN(_xlpm.dates), ""),
  IF(_xlpm.min_date=0, "", _xlpm.min_date)
))</f>
        <v/>
      </c>
      <c r="V383" s="63" t="str" cm="1">
        <f t="array" ref="V383">IF(OR(M383="", M383="Deleted"), "", IFERROR(
  _xlfn.TEXTJOIN(", ", TRUE,
    _xlfn.MAP(
      _xlfn.UNIQUE(
        _xlfn._xlws.FILTER(
          [1]SubmittalLog!$B$1:$B$4000,
          ([1]SubmittalLog!$E$1:$E$4000=M383) *
          ([1]SubmittalLog!$B$1:$B$4000&lt;&gt;""),
          ""
        )
      ),
      _xlfn.LAMBDA(_xlpm.val, TEXT(_xlpm.val, "000000"))
    )
  ),
""))</f>
        <v/>
      </c>
      <c r="W383" s="40" t="str" cm="1">
        <f t="array" ref="W383">IF(OR(M383="", M383="Deleted"), "", _xlfn.LET(
  _xlpm.doc_col, [1]SubmittalLog!$E$1:$E$4000,
  _xlpm.date_col, [1]SubmittalLog!$H$1:$H$4000,
  _xlpm.status_col, [1]SubmittalLog!$N$1:$N$4000,
  _xlpm.latest_date, _xlfn.MAXIFS(_xlpm.date_col, _xlpm.doc_col, M383),
  IF(_xlpm.latest_date=0, "NFS",
    _xlfn.LET(
      _xlpm.res, _xlfn.XLOOKUP(M383 &amp; "|" &amp; _xlpm.latest_date, _xlpm.doc_col &amp; "|" &amp; _xlpm.date_col, _xlpm.status_col, ""),
      IF(OR(_xlpm.res="", _xlpm.res=0), "", _xlpm.res)
    )
  )
))</f>
        <v/>
      </c>
      <c r="X383" s="39" t="str">
        <f>IF(OR(M383="", M383="Deleted"), "", _xlfn.LET(
  _xlpm.doc_col, [1]SubmittalLog!$E$1:$E$4000,
  _xlpm.date_col, [1]SubmittalLog!$H$1:$H$4000,
  _xlpm.status_col, [1]SubmittalLog!$O$1:$O$4000,
  _xlpm.first_app_date, _xlfn.MINIFS(_xlpm.date_col, _xlpm.doc_col, M383, _xlpm.status_col, "APP"),
  _xlpm.first_awc_date, _xlfn.MINIFS(_xlpm.date_col, _xlpm.doc_col, M383, _xlpm.status_col, "AWC"),
  _xlpm.earliest_date, IF(
    AND(_xlpm.first_app_date=0, _xlpm.first_awc_date=0), 0,
    IF(_xlpm.first_app_date=0, _xlpm.first_awc_date,
    IF(_xlpm.first_awc_date=0, _xlpm.first_app_date,
    MIN(_xlpm.first_app_date, _xlpm.first_awc_date)))
  ),
  IF(_xlpm.earliest_date=0, "", _xlpm.earliest_date)
))</f>
        <v/>
      </c>
      <c r="Y383" s="40" t="str" cm="1">
        <f t="array" ref="Y383">IF(OR(M383="", M383="Deleted"), "", _xlfn.LET(
  _xlpm.doc_col, [1]SubmittalLog!$E$1:$E$4000,
  _xlpm.date_col, [1]SubmittalLog!$H$1:$H$4000,
  _xlpm.status_col, [1]SubmittalLog!$O$1:$O$4000,
  _xlpm.has_sub, COUNTIF(_xlpm.doc_col, M383),
  _xlpm.latest_reviewed_date, _xlfn.MAXIFS(_xlpm.date_col, _xlpm.doc_col, M383, _xlpm.status_col, "&lt;&gt;"),
  IF(_xlpm.has_sub=0, "",
    IF(_xlpm.latest_reviewed_date=0, "",
      _xlfn.LET(
        _xlpm.res, _xlfn.XLOOKUP(1, (_xlpm.doc_col=M383) * (_xlpm.date_col=_xlpm.latest_reviewed_date) * (_xlpm.status_col&lt;&gt;""), _xlpm.status_col, ""),
        IF(OR(_xlpm.res="", _xlpm.res=0), "", _xlpm.res)
      )
    )
  )
))</f>
        <v/>
      </c>
    </row>
    <row r="384" spans="1:25" x14ac:dyDescent="0.35">
      <c r="A384" s="33">
        <f>IF($M384="","",MAX($A$1:A383)+1)</f>
        <v>360</v>
      </c>
      <c r="B384" s="23" t="s">
        <v>54</v>
      </c>
      <c r="C384" s="23" t="s">
        <v>257</v>
      </c>
      <c r="M384" s="34" t="str">
        <f t="shared" si="5"/>
        <v>Deleted</v>
      </c>
      <c r="N384" s="26" t="s">
        <v>3910</v>
      </c>
      <c r="P384" s="34" t="s">
        <v>3467</v>
      </c>
      <c r="U384" s="64" t="str" cm="1">
        <f t="array" ref="U384">IF(OR(M384="", M384="Deleted"), "", _xlfn.LET(
  _xlpm.dates,
  _xlfn._xlws.FILTER(
    [1]SubmittalLog!$H$1:$H$4000,
    [1]SubmittalLog!$E$1:$E$4000=M384,
    ""
  ),
  _xlpm.min_date, IFERROR(MIN(_xlpm.dates), ""),
  IF(_xlpm.min_date=0, "", _xlpm.min_date)
))</f>
        <v/>
      </c>
      <c r="V384" s="63" t="str" cm="1">
        <f t="array" ref="V384">IF(OR(M384="", M384="Deleted"), "", IFERROR(
  _xlfn.TEXTJOIN(", ", TRUE,
    _xlfn.MAP(
      _xlfn.UNIQUE(
        _xlfn._xlws.FILTER(
          [1]SubmittalLog!$B$1:$B$4000,
          ([1]SubmittalLog!$E$1:$E$4000=M384) *
          ([1]SubmittalLog!$B$1:$B$4000&lt;&gt;""),
          ""
        )
      ),
      _xlfn.LAMBDA(_xlpm.val, TEXT(_xlpm.val, "000000"))
    )
  ),
""))</f>
        <v/>
      </c>
      <c r="W384" s="40" t="str" cm="1">
        <f t="array" ref="W384">IF(OR(M384="", M384="Deleted"), "", _xlfn.LET(
  _xlpm.doc_col, [1]SubmittalLog!$E$1:$E$4000,
  _xlpm.date_col, [1]SubmittalLog!$H$1:$H$4000,
  _xlpm.status_col, [1]SubmittalLog!$N$1:$N$4000,
  _xlpm.latest_date, _xlfn.MAXIFS(_xlpm.date_col, _xlpm.doc_col, M384),
  IF(_xlpm.latest_date=0, "NFS",
    _xlfn.LET(
      _xlpm.res, _xlfn.XLOOKUP(M384 &amp; "|" &amp; _xlpm.latest_date, _xlpm.doc_col &amp; "|" &amp; _xlpm.date_col, _xlpm.status_col, ""),
      IF(OR(_xlpm.res="", _xlpm.res=0), "", _xlpm.res)
    )
  )
))</f>
        <v/>
      </c>
      <c r="X384" s="39" t="str">
        <f>IF(OR(M384="", M384="Deleted"), "", _xlfn.LET(
  _xlpm.doc_col, [1]SubmittalLog!$E$1:$E$4000,
  _xlpm.date_col, [1]SubmittalLog!$H$1:$H$4000,
  _xlpm.status_col, [1]SubmittalLog!$O$1:$O$4000,
  _xlpm.first_app_date, _xlfn.MINIFS(_xlpm.date_col, _xlpm.doc_col, M384, _xlpm.status_col, "APP"),
  _xlpm.first_awc_date, _xlfn.MINIFS(_xlpm.date_col, _xlpm.doc_col, M384, _xlpm.status_col, "AWC"),
  _xlpm.earliest_date, IF(
    AND(_xlpm.first_app_date=0, _xlpm.first_awc_date=0), 0,
    IF(_xlpm.first_app_date=0, _xlpm.first_awc_date,
    IF(_xlpm.first_awc_date=0, _xlpm.first_app_date,
    MIN(_xlpm.first_app_date, _xlpm.first_awc_date)))
  ),
  IF(_xlpm.earliest_date=0, "", _xlpm.earliest_date)
))</f>
        <v/>
      </c>
      <c r="Y384" s="40" t="str" cm="1">
        <f t="array" ref="Y384">IF(OR(M384="", M384="Deleted"), "", _xlfn.LET(
  _xlpm.doc_col, [1]SubmittalLog!$E$1:$E$4000,
  _xlpm.date_col, [1]SubmittalLog!$H$1:$H$4000,
  _xlpm.status_col, [1]SubmittalLog!$O$1:$O$4000,
  _xlpm.has_sub, COUNTIF(_xlpm.doc_col, M384),
  _xlpm.latest_reviewed_date, _xlfn.MAXIFS(_xlpm.date_col, _xlpm.doc_col, M384, _xlpm.status_col, "&lt;&gt;"),
  IF(_xlpm.has_sub=0, "",
    IF(_xlpm.latest_reviewed_date=0, "",
      _xlfn.LET(
        _xlpm.res, _xlfn.XLOOKUP(1, (_xlpm.doc_col=M384) * (_xlpm.date_col=_xlpm.latest_reviewed_date) * (_xlpm.status_col&lt;&gt;""), _xlpm.status_col, ""),
        IF(OR(_xlpm.res="", _xlpm.res=0), "", _xlpm.res)
      )
    )
  )
))</f>
        <v/>
      </c>
    </row>
    <row r="385" spans="1:25" x14ac:dyDescent="0.35">
      <c r="A385" s="33">
        <f>IF($M385="","",MAX($A$1:A384)+1)</f>
        <v>361</v>
      </c>
      <c r="B385" s="23" t="s">
        <v>54</v>
      </c>
      <c r="C385" s="23" t="s">
        <v>257</v>
      </c>
      <c r="M385" s="34" t="str">
        <f t="shared" si="5"/>
        <v>Deleted</v>
      </c>
      <c r="N385" s="26" t="s">
        <v>3911</v>
      </c>
      <c r="P385" s="34" t="s">
        <v>3467</v>
      </c>
      <c r="U385" s="64" t="str" cm="1">
        <f t="array" ref="U385">IF(OR(M385="", M385="Deleted"), "", _xlfn.LET(
  _xlpm.dates,
  _xlfn._xlws.FILTER(
    [1]SubmittalLog!$H$1:$H$4000,
    [1]SubmittalLog!$E$1:$E$4000=M385,
    ""
  ),
  _xlpm.min_date, IFERROR(MIN(_xlpm.dates), ""),
  IF(_xlpm.min_date=0, "", _xlpm.min_date)
))</f>
        <v/>
      </c>
      <c r="V385" s="63" t="str" cm="1">
        <f t="array" ref="V385">IF(OR(M385="", M385="Deleted"), "", IFERROR(
  _xlfn.TEXTJOIN(", ", TRUE,
    _xlfn.MAP(
      _xlfn.UNIQUE(
        _xlfn._xlws.FILTER(
          [1]SubmittalLog!$B$1:$B$4000,
          ([1]SubmittalLog!$E$1:$E$4000=M385) *
          ([1]SubmittalLog!$B$1:$B$4000&lt;&gt;""),
          ""
        )
      ),
      _xlfn.LAMBDA(_xlpm.val, TEXT(_xlpm.val, "000000"))
    )
  ),
""))</f>
        <v/>
      </c>
      <c r="W385" s="40" t="str" cm="1">
        <f t="array" ref="W385">IF(OR(M385="", M385="Deleted"), "", _xlfn.LET(
  _xlpm.doc_col, [1]SubmittalLog!$E$1:$E$4000,
  _xlpm.date_col, [1]SubmittalLog!$H$1:$H$4000,
  _xlpm.status_col, [1]SubmittalLog!$N$1:$N$4000,
  _xlpm.latest_date, _xlfn.MAXIFS(_xlpm.date_col, _xlpm.doc_col, M385),
  IF(_xlpm.latest_date=0, "NFS",
    _xlfn.LET(
      _xlpm.res, _xlfn.XLOOKUP(M385 &amp; "|" &amp; _xlpm.latest_date, _xlpm.doc_col &amp; "|" &amp; _xlpm.date_col, _xlpm.status_col, ""),
      IF(OR(_xlpm.res="", _xlpm.res=0), "", _xlpm.res)
    )
  )
))</f>
        <v/>
      </c>
      <c r="X385" s="39" t="str">
        <f>IF(OR(M385="", M385="Deleted"), "", _xlfn.LET(
  _xlpm.doc_col, [1]SubmittalLog!$E$1:$E$4000,
  _xlpm.date_col, [1]SubmittalLog!$H$1:$H$4000,
  _xlpm.status_col, [1]SubmittalLog!$O$1:$O$4000,
  _xlpm.first_app_date, _xlfn.MINIFS(_xlpm.date_col, _xlpm.doc_col, M385, _xlpm.status_col, "APP"),
  _xlpm.first_awc_date, _xlfn.MINIFS(_xlpm.date_col, _xlpm.doc_col, M385, _xlpm.status_col, "AWC"),
  _xlpm.earliest_date, IF(
    AND(_xlpm.first_app_date=0, _xlpm.first_awc_date=0), 0,
    IF(_xlpm.first_app_date=0, _xlpm.first_awc_date,
    IF(_xlpm.first_awc_date=0, _xlpm.first_app_date,
    MIN(_xlpm.first_app_date, _xlpm.first_awc_date)))
  ),
  IF(_xlpm.earliest_date=0, "", _xlpm.earliest_date)
))</f>
        <v/>
      </c>
      <c r="Y385" s="40" t="str" cm="1">
        <f t="array" ref="Y385">IF(OR(M385="", M385="Deleted"), "", _xlfn.LET(
  _xlpm.doc_col, [1]SubmittalLog!$E$1:$E$4000,
  _xlpm.date_col, [1]SubmittalLog!$H$1:$H$4000,
  _xlpm.status_col, [1]SubmittalLog!$O$1:$O$4000,
  _xlpm.has_sub, COUNTIF(_xlpm.doc_col, M385),
  _xlpm.latest_reviewed_date, _xlfn.MAXIFS(_xlpm.date_col, _xlpm.doc_col, M385, _xlpm.status_col, "&lt;&gt;"),
  IF(_xlpm.has_sub=0, "",
    IF(_xlpm.latest_reviewed_date=0, "",
      _xlfn.LET(
        _xlpm.res, _xlfn.XLOOKUP(1, (_xlpm.doc_col=M385) * (_xlpm.date_col=_xlpm.latest_reviewed_date) * (_xlpm.status_col&lt;&gt;""), _xlpm.status_col, ""),
        IF(OR(_xlpm.res="", _xlpm.res=0), "", _xlpm.res)
      )
    )
  )
))</f>
        <v/>
      </c>
    </row>
    <row r="386" spans="1:25" x14ac:dyDescent="0.35">
      <c r="A386" s="33">
        <f>IF($M386="","",MAX($A$1:A385)+1)</f>
        <v>362</v>
      </c>
      <c r="B386" s="23" t="s">
        <v>54</v>
      </c>
      <c r="C386" s="23" t="s">
        <v>257</v>
      </c>
      <c r="M386" s="34" t="str">
        <f t="shared" si="5"/>
        <v>Deleted</v>
      </c>
      <c r="N386" s="26" t="s">
        <v>3912</v>
      </c>
      <c r="P386" s="34" t="s">
        <v>3467</v>
      </c>
      <c r="U386" s="64" t="str" cm="1">
        <f t="array" ref="U386">IF(OR(M386="", M386="Deleted"), "", _xlfn.LET(
  _xlpm.dates,
  _xlfn._xlws.FILTER(
    [1]SubmittalLog!$H$1:$H$4000,
    [1]SubmittalLog!$E$1:$E$4000=M386,
    ""
  ),
  _xlpm.min_date, IFERROR(MIN(_xlpm.dates), ""),
  IF(_xlpm.min_date=0, "", _xlpm.min_date)
))</f>
        <v/>
      </c>
      <c r="V386" s="63" t="str" cm="1">
        <f t="array" ref="V386">IF(OR(M386="", M386="Deleted"), "", IFERROR(
  _xlfn.TEXTJOIN(", ", TRUE,
    _xlfn.MAP(
      _xlfn.UNIQUE(
        _xlfn._xlws.FILTER(
          [1]SubmittalLog!$B$1:$B$4000,
          ([1]SubmittalLog!$E$1:$E$4000=M386) *
          ([1]SubmittalLog!$B$1:$B$4000&lt;&gt;""),
          ""
        )
      ),
      _xlfn.LAMBDA(_xlpm.val, TEXT(_xlpm.val, "000000"))
    )
  ),
""))</f>
        <v/>
      </c>
      <c r="W386" s="40" t="str" cm="1">
        <f t="array" ref="W386">IF(OR(M386="", M386="Deleted"), "", _xlfn.LET(
  _xlpm.doc_col, [1]SubmittalLog!$E$1:$E$4000,
  _xlpm.date_col, [1]SubmittalLog!$H$1:$H$4000,
  _xlpm.status_col, [1]SubmittalLog!$N$1:$N$4000,
  _xlpm.latest_date, _xlfn.MAXIFS(_xlpm.date_col, _xlpm.doc_col, M386),
  IF(_xlpm.latest_date=0, "NFS",
    _xlfn.LET(
      _xlpm.res, _xlfn.XLOOKUP(M386 &amp; "|" &amp; _xlpm.latest_date, _xlpm.doc_col &amp; "|" &amp; _xlpm.date_col, _xlpm.status_col, ""),
      IF(OR(_xlpm.res="", _xlpm.res=0), "", _xlpm.res)
    )
  )
))</f>
        <v/>
      </c>
      <c r="X386" s="39" t="str">
        <f>IF(OR(M386="", M386="Deleted"), "", _xlfn.LET(
  _xlpm.doc_col, [1]SubmittalLog!$E$1:$E$4000,
  _xlpm.date_col, [1]SubmittalLog!$H$1:$H$4000,
  _xlpm.status_col, [1]SubmittalLog!$O$1:$O$4000,
  _xlpm.first_app_date, _xlfn.MINIFS(_xlpm.date_col, _xlpm.doc_col, M386, _xlpm.status_col, "APP"),
  _xlpm.first_awc_date, _xlfn.MINIFS(_xlpm.date_col, _xlpm.doc_col, M386, _xlpm.status_col, "AWC"),
  _xlpm.earliest_date, IF(
    AND(_xlpm.first_app_date=0, _xlpm.first_awc_date=0), 0,
    IF(_xlpm.first_app_date=0, _xlpm.first_awc_date,
    IF(_xlpm.first_awc_date=0, _xlpm.first_app_date,
    MIN(_xlpm.first_app_date, _xlpm.first_awc_date)))
  ),
  IF(_xlpm.earliest_date=0, "", _xlpm.earliest_date)
))</f>
        <v/>
      </c>
      <c r="Y386" s="40" t="str" cm="1">
        <f t="array" ref="Y386">IF(OR(M386="", M386="Deleted"), "", _xlfn.LET(
  _xlpm.doc_col, [1]SubmittalLog!$E$1:$E$4000,
  _xlpm.date_col, [1]SubmittalLog!$H$1:$H$4000,
  _xlpm.status_col, [1]SubmittalLog!$O$1:$O$4000,
  _xlpm.has_sub, COUNTIF(_xlpm.doc_col, M386),
  _xlpm.latest_reviewed_date, _xlfn.MAXIFS(_xlpm.date_col, _xlpm.doc_col, M386, _xlpm.status_col, "&lt;&gt;"),
  IF(_xlpm.has_sub=0, "",
    IF(_xlpm.latest_reviewed_date=0, "",
      _xlfn.LET(
        _xlpm.res, _xlfn.XLOOKUP(1, (_xlpm.doc_col=M386) * (_xlpm.date_col=_xlpm.latest_reviewed_date) * (_xlpm.status_col&lt;&gt;""), _xlpm.status_col, ""),
        IF(OR(_xlpm.res="", _xlpm.res=0), "", _xlpm.res)
      )
    )
  )
))</f>
        <v/>
      </c>
    </row>
    <row r="387" spans="1:25" x14ac:dyDescent="0.35">
      <c r="A387" s="33">
        <f>IF($M387="","",MAX($A$1:A386)+1)</f>
        <v>363</v>
      </c>
      <c r="B387" s="23" t="s">
        <v>54</v>
      </c>
      <c r="C387" s="23" t="s">
        <v>257</v>
      </c>
      <c r="G387" s="33">
        <v>131236</v>
      </c>
      <c r="H387" s="33" t="s">
        <v>59</v>
      </c>
      <c r="I387" s="33" t="s">
        <v>147</v>
      </c>
      <c r="J387" s="33" t="s">
        <v>3496</v>
      </c>
      <c r="M387" s="34" t="str">
        <f t="shared" ref="M387:M404" si="6">IF(B387="Deleted","Deleted",_xlfn.TEXTJOIN("-",TRUE,G387,H387,I387,J387,IF(K387="","",TEXT(K387,"0000"))))</f>
        <v>Deleted</v>
      </c>
      <c r="N387" s="26" t="s">
        <v>3913</v>
      </c>
      <c r="P387" s="34" t="s">
        <v>3467</v>
      </c>
      <c r="U387" s="64" t="str" cm="1">
        <f t="array" ref="U387">IF(OR(M387="", M387="Deleted"), "", _xlfn.LET(
  _xlpm.dates,
  _xlfn._xlws.FILTER(
    [1]SubmittalLog!$H$1:$H$4000,
    [1]SubmittalLog!$E$1:$E$4000=M387,
    ""
  ),
  _xlpm.min_date, IFERROR(MIN(_xlpm.dates), ""),
  IF(_xlpm.min_date=0, "", _xlpm.min_date)
))</f>
        <v/>
      </c>
      <c r="V387" s="63" t="str" cm="1">
        <f t="array" ref="V387">IF(OR(M387="", M387="Deleted"), "", IFERROR(
  _xlfn.TEXTJOIN(", ", TRUE,
    _xlfn.MAP(
      _xlfn.UNIQUE(
        _xlfn._xlws.FILTER(
          [1]SubmittalLog!$B$1:$B$4000,
          ([1]SubmittalLog!$E$1:$E$4000=M387) *
          ([1]SubmittalLog!$B$1:$B$4000&lt;&gt;""),
          ""
        )
      ),
      _xlfn.LAMBDA(_xlpm.val, TEXT(_xlpm.val, "000000"))
    )
  ),
""))</f>
        <v/>
      </c>
      <c r="W387" s="40" t="str" cm="1">
        <f t="array" ref="W387">IF(OR(M387="", M387="Deleted"), "", _xlfn.LET(
  _xlpm.doc_col, [1]SubmittalLog!$E$1:$E$4000,
  _xlpm.date_col, [1]SubmittalLog!$H$1:$H$4000,
  _xlpm.status_col, [1]SubmittalLog!$N$1:$N$4000,
  _xlpm.latest_date, _xlfn.MAXIFS(_xlpm.date_col, _xlpm.doc_col, M387),
  IF(_xlpm.latest_date=0, "NFS",
    _xlfn.LET(
      _xlpm.res, _xlfn.XLOOKUP(M387 &amp; "|" &amp; _xlpm.latest_date, _xlpm.doc_col &amp; "|" &amp; _xlpm.date_col, _xlpm.status_col, ""),
      IF(OR(_xlpm.res="", _xlpm.res=0), "", _xlpm.res)
    )
  )
))</f>
        <v/>
      </c>
      <c r="X387" s="39" t="str">
        <f>IF(OR(M387="", M387="Deleted"), "", _xlfn.LET(
  _xlpm.doc_col, [1]SubmittalLog!$E$1:$E$4000,
  _xlpm.date_col, [1]SubmittalLog!$H$1:$H$4000,
  _xlpm.status_col, [1]SubmittalLog!$O$1:$O$4000,
  _xlpm.first_app_date, _xlfn.MINIFS(_xlpm.date_col, _xlpm.doc_col, M387, _xlpm.status_col, "APP"),
  _xlpm.first_awc_date, _xlfn.MINIFS(_xlpm.date_col, _xlpm.doc_col, M387, _xlpm.status_col, "AWC"),
  _xlpm.earliest_date, IF(
    AND(_xlpm.first_app_date=0, _xlpm.first_awc_date=0), 0,
    IF(_xlpm.first_app_date=0, _xlpm.first_awc_date,
    IF(_xlpm.first_awc_date=0, _xlpm.first_app_date,
    MIN(_xlpm.first_app_date, _xlpm.first_awc_date)))
  ),
  IF(_xlpm.earliest_date=0, "", _xlpm.earliest_date)
))</f>
        <v/>
      </c>
      <c r="Y387" s="40" t="str" cm="1">
        <f t="array" ref="Y387">IF(OR(M387="", M387="Deleted"), "", _xlfn.LET(
  _xlpm.doc_col, [1]SubmittalLog!$E$1:$E$4000,
  _xlpm.date_col, [1]SubmittalLog!$H$1:$H$4000,
  _xlpm.status_col, [1]SubmittalLog!$O$1:$O$4000,
  _xlpm.has_sub, COUNTIF(_xlpm.doc_col, M387),
  _xlpm.latest_reviewed_date, _xlfn.MAXIFS(_xlpm.date_col, _xlpm.doc_col, M387, _xlpm.status_col, "&lt;&gt;"),
  IF(_xlpm.has_sub=0, "",
    IF(_xlpm.latest_reviewed_date=0, "",
      _xlfn.LET(
        _xlpm.res, _xlfn.XLOOKUP(1, (_xlpm.doc_col=M387) * (_xlpm.date_col=_xlpm.latest_reviewed_date) * (_xlpm.status_col&lt;&gt;""), _xlpm.status_col, ""),
        IF(OR(_xlpm.res="", _xlpm.res=0), "", _xlpm.res)
      )
    )
  )
))</f>
        <v/>
      </c>
    </row>
    <row r="388" spans="1:25" x14ac:dyDescent="0.35">
      <c r="A388" s="33">
        <f>IF($M388="","",MAX($A$1:A387)+1)</f>
        <v>364</v>
      </c>
      <c r="B388" s="23" t="s">
        <v>54</v>
      </c>
      <c r="C388" s="23" t="s">
        <v>257</v>
      </c>
      <c r="G388" s="33">
        <v>131236</v>
      </c>
      <c r="H388" s="33" t="s">
        <v>59</v>
      </c>
      <c r="I388" s="33" t="s">
        <v>147</v>
      </c>
      <c r="J388" s="33" t="s">
        <v>3496</v>
      </c>
      <c r="M388" s="34" t="str">
        <f t="shared" si="6"/>
        <v>Deleted</v>
      </c>
      <c r="N388" s="26" t="s">
        <v>3914</v>
      </c>
      <c r="P388" s="34" t="s">
        <v>3467</v>
      </c>
      <c r="U388" s="64" t="str" cm="1">
        <f t="array" ref="U388">IF(OR(M388="", M388="Deleted"), "", _xlfn.LET(
  _xlpm.dates,
  _xlfn._xlws.FILTER(
    [1]SubmittalLog!$H$1:$H$4000,
    [1]SubmittalLog!$E$1:$E$4000=M388,
    ""
  ),
  _xlpm.min_date, IFERROR(MIN(_xlpm.dates), ""),
  IF(_xlpm.min_date=0, "", _xlpm.min_date)
))</f>
        <v/>
      </c>
      <c r="V388" s="63" t="str" cm="1">
        <f t="array" ref="V388">IF(OR(M388="", M388="Deleted"), "", IFERROR(
  _xlfn.TEXTJOIN(", ", TRUE,
    _xlfn.MAP(
      _xlfn.UNIQUE(
        _xlfn._xlws.FILTER(
          [1]SubmittalLog!$B$1:$B$4000,
          ([1]SubmittalLog!$E$1:$E$4000=M388) *
          ([1]SubmittalLog!$B$1:$B$4000&lt;&gt;""),
          ""
        )
      ),
      _xlfn.LAMBDA(_xlpm.val, TEXT(_xlpm.val, "000000"))
    )
  ),
""))</f>
        <v/>
      </c>
      <c r="W388" s="40" t="str" cm="1">
        <f t="array" ref="W388">IF(OR(M388="", M388="Deleted"), "", _xlfn.LET(
  _xlpm.doc_col, [1]SubmittalLog!$E$1:$E$4000,
  _xlpm.date_col, [1]SubmittalLog!$H$1:$H$4000,
  _xlpm.status_col, [1]SubmittalLog!$N$1:$N$4000,
  _xlpm.latest_date, _xlfn.MAXIFS(_xlpm.date_col, _xlpm.doc_col, M388),
  IF(_xlpm.latest_date=0, "NFS",
    _xlfn.LET(
      _xlpm.res, _xlfn.XLOOKUP(M388 &amp; "|" &amp; _xlpm.latest_date, _xlpm.doc_col &amp; "|" &amp; _xlpm.date_col, _xlpm.status_col, ""),
      IF(OR(_xlpm.res="", _xlpm.res=0), "", _xlpm.res)
    )
  )
))</f>
        <v/>
      </c>
      <c r="X388" s="39" t="str">
        <f>IF(OR(M388="", M388="Deleted"), "", _xlfn.LET(
  _xlpm.doc_col, [1]SubmittalLog!$E$1:$E$4000,
  _xlpm.date_col, [1]SubmittalLog!$H$1:$H$4000,
  _xlpm.status_col, [1]SubmittalLog!$O$1:$O$4000,
  _xlpm.first_app_date, _xlfn.MINIFS(_xlpm.date_col, _xlpm.doc_col, M388, _xlpm.status_col, "APP"),
  _xlpm.first_awc_date, _xlfn.MINIFS(_xlpm.date_col, _xlpm.doc_col, M388, _xlpm.status_col, "AWC"),
  _xlpm.earliest_date, IF(
    AND(_xlpm.first_app_date=0, _xlpm.first_awc_date=0), 0,
    IF(_xlpm.first_app_date=0, _xlpm.first_awc_date,
    IF(_xlpm.first_awc_date=0, _xlpm.first_app_date,
    MIN(_xlpm.first_app_date, _xlpm.first_awc_date)))
  ),
  IF(_xlpm.earliest_date=0, "", _xlpm.earliest_date)
))</f>
        <v/>
      </c>
      <c r="Y388" s="40" t="str" cm="1">
        <f t="array" ref="Y388">IF(OR(M388="", M388="Deleted"), "", _xlfn.LET(
  _xlpm.doc_col, [1]SubmittalLog!$E$1:$E$4000,
  _xlpm.date_col, [1]SubmittalLog!$H$1:$H$4000,
  _xlpm.status_col, [1]SubmittalLog!$O$1:$O$4000,
  _xlpm.has_sub, COUNTIF(_xlpm.doc_col, M388),
  _xlpm.latest_reviewed_date, _xlfn.MAXIFS(_xlpm.date_col, _xlpm.doc_col, M388, _xlpm.status_col, "&lt;&gt;"),
  IF(_xlpm.has_sub=0, "",
    IF(_xlpm.latest_reviewed_date=0, "",
      _xlfn.LET(
        _xlpm.res, _xlfn.XLOOKUP(1, (_xlpm.doc_col=M388) * (_xlpm.date_col=_xlpm.latest_reviewed_date) * (_xlpm.status_col&lt;&gt;""), _xlpm.status_col, ""),
        IF(OR(_xlpm.res="", _xlpm.res=0), "", _xlpm.res)
      )
    )
  )
))</f>
        <v/>
      </c>
    </row>
    <row r="389" spans="1:25" x14ac:dyDescent="0.35">
      <c r="A389" s="33">
        <f>IF($M389="","",MAX($A$1:A388)+1)</f>
        <v>365</v>
      </c>
      <c r="B389" s="23" t="s">
        <v>54</v>
      </c>
      <c r="C389" s="23" t="s">
        <v>257</v>
      </c>
      <c r="G389" s="33">
        <v>131236</v>
      </c>
      <c r="H389" s="33" t="s">
        <v>59</v>
      </c>
      <c r="I389" s="33" t="s">
        <v>204</v>
      </c>
      <c r="J389" s="33" t="s">
        <v>3496</v>
      </c>
      <c r="M389" s="34" t="str">
        <f t="shared" si="6"/>
        <v>Deleted</v>
      </c>
      <c r="N389" s="26" t="s">
        <v>3600</v>
      </c>
      <c r="P389" s="34" t="s">
        <v>3467</v>
      </c>
      <c r="U389" s="64" t="str" cm="1">
        <f t="array" ref="U389">IF(OR(M389="", M389="Deleted"), "", _xlfn.LET(
  _xlpm.dates,
  _xlfn._xlws.FILTER(
    [1]SubmittalLog!$H$1:$H$4000,
    [1]SubmittalLog!$E$1:$E$4000=M389,
    ""
  ),
  _xlpm.min_date, IFERROR(MIN(_xlpm.dates), ""),
  IF(_xlpm.min_date=0, "", _xlpm.min_date)
))</f>
        <v/>
      </c>
      <c r="V389" s="63" t="str" cm="1">
        <f t="array" ref="V389">IF(OR(M389="", M389="Deleted"), "", IFERROR(
  _xlfn.TEXTJOIN(", ", TRUE,
    _xlfn.MAP(
      _xlfn.UNIQUE(
        _xlfn._xlws.FILTER(
          [1]SubmittalLog!$B$1:$B$4000,
          ([1]SubmittalLog!$E$1:$E$4000=M389) *
          ([1]SubmittalLog!$B$1:$B$4000&lt;&gt;""),
          ""
        )
      ),
      _xlfn.LAMBDA(_xlpm.val, TEXT(_xlpm.val, "000000"))
    )
  ),
""))</f>
        <v/>
      </c>
      <c r="W389" s="40" t="str" cm="1">
        <f t="array" ref="W389">IF(OR(M389="", M389="Deleted"), "", _xlfn.LET(
  _xlpm.doc_col, [1]SubmittalLog!$E$1:$E$4000,
  _xlpm.date_col, [1]SubmittalLog!$H$1:$H$4000,
  _xlpm.status_col, [1]SubmittalLog!$N$1:$N$4000,
  _xlpm.latest_date, _xlfn.MAXIFS(_xlpm.date_col, _xlpm.doc_col, M389),
  IF(_xlpm.latest_date=0, "NFS",
    _xlfn.LET(
      _xlpm.res, _xlfn.XLOOKUP(M389 &amp; "|" &amp; _xlpm.latest_date, _xlpm.doc_col &amp; "|" &amp; _xlpm.date_col, _xlpm.status_col, ""),
      IF(OR(_xlpm.res="", _xlpm.res=0), "", _xlpm.res)
    )
  )
))</f>
        <v/>
      </c>
      <c r="X389" s="39" t="str">
        <f>IF(OR(M389="", M389="Deleted"), "", _xlfn.LET(
  _xlpm.doc_col, [1]SubmittalLog!$E$1:$E$4000,
  _xlpm.date_col, [1]SubmittalLog!$H$1:$H$4000,
  _xlpm.status_col, [1]SubmittalLog!$O$1:$O$4000,
  _xlpm.first_app_date, _xlfn.MINIFS(_xlpm.date_col, _xlpm.doc_col, M389, _xlpm.status_col, "APP"),
  _xlpm.first_awc_date, _xlfn.MINIFS(_xlpm.date_col, _xlpm.doc_col, M389, _xlpm.status_col, "AWC"),
  _xlpm.earliest_date, IF(
    AND(_xlpm.first_app_date=0, _xlpm.first_awc_date=0), 0,
    IF(_xlpm.first_app_date=0, _xlpm.first_awc_date,
    IF(_xlpm.first_awc_date=0, _xlpm.first_app_date,
    MIN(_xlpm.first_app_date, _xlpm.first_awc_date)))
  ),
  IF(_xlpm.earliest_date=0, "", _xlpm.earliest_date)
))</f>
        <v/>
      </c>
      <c r="Y389" s="40" t="str" cm="1">
        <f t="array" ref="Y389">IF(OR(M389="", M389="Deleted"), "", _xlfn.LET(
  _xlpm.doc_col, [1]SubmittalLog!$E$1:$E$4000,
  _xlpm.date_col, [1]SubmittalLog!$H$1:$H$4000,
  _xlpm.status_col, [1]SubmittalLog!$O$1:$O$4000,
  _xlpm.has_sub, COUNTIF(_xlpm.doc_col, M389),
  _xlpm.latest_reviewed_date, _xlfn.MAXIFS(_xlpm.date_col, _xlpm.doc_col, M389, _xlpm.status_col, "&lt;&gt;"),
  IF(_xlpm.has_sub=0, "",
    IF(_xlpm.latest_reviewed_date=0, "",
      _xlfn.LET(
        _xlpm.res, _xlfn.XLOOKUP(1, (_xlpm.doc_col=M389) * (_xlpm.date_col=_xlpm.latest_reviewed_date) * (_xlpm.status_col&lt;&gt;""), _xlpm.status_col, ""),
        IF(OR(_xlpm.res="", _xlpm.res=0), "", _xlpm.res)
      )
    )
  )
))</f>
        <v/>
      </c>
    </row>
    <row r="390" spans="1:25" x14ac:dyDescent="0.35">
      <c r="A390" s="33">
        <f>IF($M390="","",MAX($A$1:A389)+1)</f>
        <v>366</v>
      </c>
      <c r="B390" s="23" t="s">
        <v>54</v>
      </c>
      <c r="C390" s="23" t="s">
        <v>257</v>
      </c>
      <c r="G390" s="33">
        <v>131236</v>
      </c>
      <c r="H390" s="33" t="s">
        <v>59</v>
      </c>
      <c r="I390" s="33" t="s">
        <v>204</v>
      </c>
      <c r="J390" s="33" t="s">
        <v>3496</v>
      </c>
      <c r="M390" s="34" t="str">
        <f t="shared" si="6"/>
        <v>Deleted</v>
      </c>
      <c r="N390" s="26" t="s">
        <v>3915</v>
      </c>
      <c r="P390" s="34" t="s">
        <v>3467</v>
      </c>
      <c r="U390" s="64" t="str" cm="1">
        <f t="array" ref="U390">IF(OR(M390="", M390="Deleted"), "", _xlfn.LET(
  _xlpm.dates,
  _xlfn._xlws.FILTER(
    [1]SubmittalLog!$H$1:$H$4000,
    [1]SubmittalLog!$E$1:$E$4000=M390,
    ""
  ),
  _xlpm.min_date, IFERROR(MIN(_xlpm.dates), ""),
  IF(_xlpm.min_date=0, "", _xlpm.min_date)
))</f>
        <v/>
      </c>
      <c r="V390" s="63" t="str" cm="1">
        <f t="array" ref="V390">IF(OR(M390="", M390="Deleted"), "", IFERROR(
  _xlfn.TEXTJOIN(", ", TRUE,
    _xlfn.MAP(
      _xlfn.UNIQUE(
        _xlfn._xlws.FILTER(
          [1]SubmittalLog!$B$1:$B$4000,
          ([1]SubmittalLog!$E$1:$E$4000=M390) *
          ([1]SubmittalLog!$B$1:$B$4000&lt;&gt;""),
          ""
        )
      ),
      _xlfn.LAMBDA(_xlpm.val, TEXT(_xlpm.val, "000000"))
    )
  ),
""))</f>
        <v/>
      </c>
      <c r="W390" s="40" t="str" cm="1">
        <f t="array" ref="W390">IF(OR(M390="", M390="Deleted"), "", _xlfn.LET(
  _xlpm.doc_col, [1]SubmittalLog!$E$1:$E$4000,
  _xlpm.date_col, [1]SubmittalLog!$H$1:$H$4000,
  _xlpm.status_col, [1]SubmittalLog!$N$1:$N$4000,
  _xlpm.latest_date, _xlfn.MAXIFS(_xlpm.date_col, _xlpm.doc_col, M390),
  IF(_xlpm.latest_date=0, "NFS",
    _xlfn.LET(
      _xlpm.res, _xlfn.XLOOKUP(M390 &amp; "|" &amp; _xlpm.latest_date, _xlpm.doc_col &amp; "|" &amp; _xlpm.date_col, _xlpm.status_col, ""),
      IF(OR(_xlpm.res="", _xlpm.res=0), "", _xlpm.res)
    )
  )
))</f>
        <v/>
      </c>
      <c r="X390" s="39" t="str">
        <f>IF(OR(M390="", M390="Deleted"), "", _xlfn.LET(
  _xlpm.doc_col, [1]SubmittalLog!$E$1:$E$4000,
  _xlpm.date_col, [1]SubmittalLog!$H$1:$H$4000,
  _xlpm.status_col, [1]SubmittalLog!$O$1:$O$4000,
  _xlpm.first_app_date, _xlfn.MINIFS(_xlpm.date_col, _xlpm.doc_col, M390, _xlpm.status_col, "APP"),
  _xlpm.first_awc_date, _xlfn.MINIFS(_xlpm.date_col, _xlpm.doc_col, M390, _xlpm.status_col, "AWC"),
  _xlpm.earliest_date, IF(
    AND(_xlpm.first_app_date=0, _xlpm.first_awc_date=0), 0,
    IF(_xlpm.first_app_date=0, _xlpm.first_awc_date,
    IF(_xlpm.first_awc_date=0, _xlpm.first_app_date,
    MIN(_xlpm.first_app_date, _xlpm.first_awc_date)))
  ),
  IF(_xlpm.earliest_date=0, "", _xlpm.earliest_date)
))</f>
        <v/>
      </c>
      <c r="Y390" s="40" t="str" cm="1">
        <f t="array" ref="Y390">IF(OR(M390="", M390="Deleted"), "", _xlfn.LET(
  _xlpm.doc_col, [1]SubmittalLog!$E$1:$E$4000,
  _xlpm.date_col, [1]SubmittalLog!$H$1:$H$4000,
  _xlpm.status_col, [1]SubmittalLog!$O$1:$O$4000,
  _xlpm.has_sub, COUNTIF(_xlpm.doc_col, M390),
  _xlpm.latest_reviewed_date, _xlfn.MAXIFS(_xlpm.date_col, _xlpm.doc_col, M390, _xlpm.status_col, "&lt;&gt;"),
  IF(_xlpm.has_sub=0, "",
    IF(_xlpm.latest_reviewed_date=0, "",
      _xlfn.LET(
        _xlpm.res, _xlfn.XLOOKUP(1, (_xlpm.doc_col=M390) * (_xlpm.date_col=_xlpm.latest_reviewed_date) * (_xlpm.status_col&lt;&gt;""), _xlpm.status_col, ""),
        IF(OR(_xlpm.res="", _xlpm.res=0), "", _xlpm.res)
      )
    )
  )
))</f>
        <v/>
      </c>
    </row>
    <row r="391" spans="1:25" x14ac:dyDescent="0.35">
      <c r="A391" s="33" t="str">
        <f>IF($M391="","",MAX($A$1:A390)+1)</f>
        <v/>
      </c>
      <c r="M391" s="34" t="str">
        <f t="shared" si="6"/>
        <v/>
      </c>
      <c r="N391" s="26" t="s">
        <v>310</v>
      </c>
      <c r="U391" s="64" t="str" cm="1">
        <f t="array" ref="U391">IF(OR(M391="", M391="Deleted"), "", _xlfn.LET(
  _xlpm.dates,
  _xlfn._xlws.FILTER(
    [1]SubmittalLog!$H$1:$H$4000,
    [1]SubmittalLog!$E$1:$E$4000=M391,
    ""
  ),
  _xlpm.min_date, IFERROR(MIN(_xlpm.dates), ""),
  IF(_xlpm.min_date=0, "", _xlpm.min_date)
))</f>
        <v/>
      </c>
      <c r="V391" s="63" t="str" cm="1">
        <f t="array" ref="V391">IF(OR(M391="", M391="Deleted"), "", IFERROR(
  _xlfn.TEXTJOIN(", ", TRUE,
    _xlfn.MAP(
      _xlfn.UNIQUE(
        _xlfn._xlws.FILTER(
          [1]SubmittalLog!$B$1:$B$4000,
          ([1]SubmittalLog!$E$1:$E$4000=M391) *
          ([1]SubmittalLog!$B$1:$B$4000&lt;&gt;""),
          ""
        )
      ),
      _xlfn.LAMBDA(_xlpm.val, TEXT(_xlpm.val, "000000"))
    )
  ),
""))</f>
        <v/>
      </c>
      <c r="W391" s="40" t="str" cm="1">
        <f t="array" ref="W391">IF(OR(M391="", M391="Deleted"), "", _xlfn.LET(
  _xlpm.doc_col, [1]SubmittalLog!$E$1:$E$4000,
  _xlpm.date_col, [1]SubmittalLog!$H$1:$H$4000,
  _xlpm.status_col, [1]SubmittalLog!$N$1:$N$4000,
  _xlpm.latest_date, _xlfn.MAXIFS(_xlpm.date_col, _xlpm.doc_col, M391),
  IF(_xlpm.latest_date=0, "NFS",
    _xlfn.LET(
      _xlpm.res, _xlfn.XLOOKUP(M391 &amp; "|" &amp; _xlpm.latest_date, _xlpm.doc_col &amp; "|" &amp; _xlpm.date_col, _xlpm.status_col, ""),
      IF(OR(_xlpm.res="", _xlpm.res=0), "", _xlpm.res)
    )
  )
))</f>
        <v/>
      </c>
      <c r="X391" s="39" t="str">
        <f>IF(OR(M391="", M391="Deleted"), "", _xlfn.LET(
  _xlpm.doc_col, [1]SubmittalLog!$E$1:$E$4000,
  _xlpm.date_col, [1]SubmittalLog!$H$1:$H$4000,
  _xlpm.status_col, [1]SubmittalLog!$O$1:$O$4000,
  _xlpm.first_app_date, _xlfn.MINIFS(_xlpm.date_col, _xlpm.doc_col, M391, _xlpm.status_col, "APP"),
  _xlpm.first_awc_date, _xlfn.MINIFS(_xlpm.date_col, _xlpm.doc_col, M391, _xlpm.status_col, "AWC"),
  _xlpm.earliest_date, IF(
    AND(_xlpm.first_app_date=0, _xlpm.first_awc_date=0), 0,
    IF(_xlpm.first_app_date=0, _xlpm.first_awc_date,
    IF(_xlpm.first_awc_date=0, _xlpm.first_app_date,
    MIN(_xlpm.first_app_date, _xlpm.first_awc_date)))
  ),
  IF(_xlpm.earliest_date=0, "", _xlpm.earliest_date)
))</f>
        <v/>
      </c>
      <c r="Y391" s="40" t="str" cm="1">
        <f t="array" ref="Y391">IF(OR(M391="", M391="Deleted"), "", _xlfn.LET(
  _xlpm.doc_col, [1]SubmittalLog!$E$1:$E$4000,
  _xlpm.date_col, [1]SubmittalLog!$H$1:$H$4000,
  _xlpm.status_col, [1]SubmittalLog!$O$1:$O$4000,
  _xlpm.has_sub, COUNTIF(_xlpm.doc_col, M391),
  _xlpm.latest_reviewed_date, _xlfn.MAXIFS(_xlpm.date_col, _xlpm.doc_col, M391, _xlpm.status_col, "&lt;&gt;"),
  IF(_xlpm.has_sub=0, "",
    IF(_xlpm.latest_reviewed_date=0, "",
      _xlfn.LET(
        _xlpm.res, _xlfn.XLOOKUP(1, (_xlpm.doc_col=M391) * (_xlpm.date_col=_xlpm.latest_reviewed_date) * (_xlpm.status_col&lt;&gt;""), _xlpm.status_col, ""),
        IF(OR(_xlpm.res="", _xlpm.res=0), "", _xlpm.res)
      )
    )
  )
))</f>
        <v/>
      </c>
    </row>
    <row r="392" spans="1:25" x14ac:dyDescent="0.35">
      <c r="A392" s="33">
        <f>IF($M392="","",MAX($A$1:A391)+1)</f>
        <v>367</v>
      </c>
      <c r="B392" s="23" t="s">
        <v>250</v>
      </c>
      <c r="C392" s="23" t="s">
        <v>234</v>
      </c>
      <c r="G392" s="33">
        <v>131236</v>
      </c>
      <c r="H392" s="33" t="s">
        <v>59</v>
      </c>
      <c r="I392" s="33" t="s">
        <v>309</v>
      </c>
      <c r="J392" s="33" t="s">
        <v>233</v>
      </c>
      <c r="K392" s="51" t="s">
        <v>3469</v>
      </c>
      <c r="M392" s="34" t="str">
        <f t="shared" si="6"/>
        <v>131236-WIL21-DS-M-0001</v>
      </c>
      <c r="N392" s="26" t="s">
        <v>3916</v>
      </c>
      <c r="P392" s="34" t="s">
        <v>3467</v>
      </c>
      <c r="S392" s="35">
        <v>45245</v>
      </c>
      <c r="T392" s="35">
        <v>45239</v>
      </c>
      <c r="U392" s="64" cm="1">
        <f t="array" ref="U392">IF(OR(M392="", M392="Deleted"), "", _xlfn.LET(
  _xlpm.dates,
  _xlfn._xlws.FILTER(
    [1]SubmittalLog!$H$1:$H$4000,
    [1]SubmittalLog!$E$1:$E$4000=M392,
    ""
  ),
  _xlpm.min_date, IFERROR(MIN(_xlpm.dates), ""),
  IF(_xlpm.min_date=0, "", _xlpm.min_date)
))</f>
        <v>45239</v>
      </c>
      <c r="V392" s="63" t="str" cm="1">
        <f t="array" ref="V392">IF(OR(M392="", M392="Deleted"), "", IFERROR(
  _xlfn.TEXTJOIN(", ", TRUE,
    _xlfn.MAP(
      _xlfn.UNIQUE(
        _xlfn._xlws.FILTER(
          [1]SubmittalLog!$B$1:$B$4000,
          ([1]SubmittalLog!$E$1:$E$4000=M392) *
          ([1]SubmittalLog!$B$1:$B$4000&lt;&gt;""),
          ""
        )
      ),
      _xlfn.LAMBDA(_xlpm.val, TEXT(_xlpm.val, "000000"))
    )
  ),
""))</f>
        <v>000177</v>
      </c>
      <c r="W392" s="40" t="str" cm="1">
        <f t="array" ref="W392">IF(OR(M392="", M392="Deleted"), "", _xlfn.LET(
  _xlpm.doc_col, [1]SubmittalLog!$E$1:$E$4000,
  _xlpm.date_col, [1]SubmittalLog!$H$1:$H$4000,
  _xlpm.status_col, [1]SubmittalLog!$N$1:$N$4000,
  _xlpm.latest_date, _xlfn.MAXIFS(_xlpm.date_col, _xlpm.doc_col, M392),
  IF(_xlpm.latest_date=0, "NFS",
    _xlfn.LET(
      _xlpm.res, _xlfn.XLOOKUP(M392 &amp; "|" &amp; _xlpm.latest_date, _xlpm.doc_col &amp; "|" &amp; _xlpm.date_col, _xlpm.status_col, ""),
      IF(OR(_xlpm.res="", _xlpm.res=0), "", _xlpm.res)
    )
  )
))</f>
        <v>RTR</v>
      </c>
      <c r="X392" s="39">
        <f>IF(OR(M392="", M392="Deleted"), "", _xlfn.LET(
  _xlpm.doc_col, [1]SubmittalLog!$E$1:$E$4000,
  _xlpm.date_col, [1]SubmittalLog!$H$1:$H$4000,
  _xlpm.status_col, [1]SubmittalLog!$O$1:$O$4000,
  _xlpm.first_app_date, _xlfn.MINIFS(_xlpm.date_col, _xlpm.doc_col, M392, _xlpm.status_col, "APP"),
  _xlpm.first_awc_date, _xlfn.MINIFS(_xlpm.date_col, _xlpm.doc_col, M392, _xlpm.status_col, "AWC"),
  _xlpm.earliest_date, IF(
    AND(_xlpm.first_app_date=0, _xlpm.first_awc_date=0), 0,
    IF(_xlpm.first_app_date=0, _xlpm.first_awc_date,
    IF(_xlpm.first_awc_date=0, _xlpm.first_app_date,
    MIN(_xlpm.first_app_date, _xlpm.first_awc_date)))
  ),
  IF(_xlpm.earliest_date=0, "", _xlpm.earliest_date)
))</f>
        <v>45239</v>
      </c>
      <c r="Y392" s="40" t="str" cm="1">
        <f t="array" ref="Y392">IF(OR(M392="", M392="Deleted"), "", _xlfn.LET(
  _xlpm.doc_col, [1]SubmittalLog!$E$1:$E$4000,
  _xlpm.date_col, [1]SubmittalLog!$H$1:$H$4000,
  _xlpm.status_col, [1]SubmittalLog!$O$1:$O$4000,
  _xlpm.has_sub, COUNTIF(_xlpm.doc_col, M392),
  _xlpm.latest_reviewed_date, _xlfn.MAXIFS(_xlpm.date_col, _xlpm.doc_col, M392, _xlpm.status_col, "&lt;&gt;"),
  IF(_xlpm.has_sub=0, "",
    IF(_xlpm.latest_reviewed_date=0, "",
      _xlfn.LET(
        _xlpm.res, _xlfn.XLOOKUP(1, (_xlpm.doc_col=M392) * (_xlpm.date_col=_xlpm.latest_reviewed_date) * (_xlpm.status_col&lt;&gt;""), _xlpm.status_col, ""),
        IF(OR(_xlpm.res="", _xlpm.res=0), "", _xlpm.res)
      )
    )
  )
))</f>
        <v>APP</v>
      </c>
    </row>
    <row r="393" spans="1:25" ht="29" x14ac:dyDescent="0.35">
      <c r="A393" s="33">
        <f>IF($M393="","",MAX($A$1:A392)+1)</f>
        <v>368</v>
      </c>
      <c r="B393" s="23" t="s">
        <v>250</v>
      </c>
      <c r="C393" s="23" t="s">
        <v>234</v>
      </c>
      <c r="G393" s="33">
        <v>131236</v>
      </c>
      <c r="H393" s="33" t="s">
        <v>59</v>
      </c>
      <c r="I393" s="33" t="s">
        <v>309</v>
      </c>
      <c r="J393" s="33" t="s">
        <v>233</v>
      </c>
      <c r="K393" s="51" t="s">
        <v>3917</v>
      </c>
      <c r="M393" s="34" t="str">
        <f t="shared" si="6"/>
        <v>131236-WIL21-DS-M-0047</v>
      </c>
      <c r="N393" s="26" t="s">
        <v>3918</v>
      </c>
      <c r="P393" s="34" t="s">
        <v>3467</v>
      </c>
      <c r="S393" s="35">
        <v>45807</v>
      </c>
      <c r="T393" s="35">
        <v>46042</v>
      </c>
      <c r="U393" s="64" cm="1">
        <f t="array" ref="U393">IF(OR(M393="", M393="Deleted"), "", _xlfn.LET(
  _xlpm.dates,
  _xlfn._xlws.FILTER(
    [1]SubmittalLog!$H$1:$H$4000,
    [1]SubmittalLog!$E$1:$E$4000=M393,
    ""
  ),
  _xlpm.min_date, IFERROR(MIN(_xlpm.dates), ""),
  IF(_xlpm.min_date=0, "", _xlpm.min_date)
))</f>
        <v>45930</v>
      </c>
      <c r="V393" s="63" t="str" cm="1">
        <f t="array" ref="V393">IF(OR(M393="", M393="Deleted"), "", IFERROR(
  _xlfn.TEXTJOIN(", ", TRUE,
    _xlfn.MAP(
      _xlfn.UNIQUE(
        _xlfn._xlws.FILTER(
          [1]SubmittalLog!$B$1:$B$4000,
          ([1]SubmittalLog!$E$1:$E$4000=M393) *
          ([1]SubmittalLog!$B$1:$B$4000&lt;&gt;""),
          ""
        )
      ),
      _xlfn.LAMBDA(_xlpm.val, TEXT(_xlpm.val, "000000"))
    )
  ),
""))</f>
        <v>001715</v>
      </c>
      <c r="W393" s="40" t="str" cm="1">
        <f t="array" ref="W393">IF(OR(M393="", M393="Deleted"), "", _xlfn.LET(
  _xlpm.doc_col, [1]SubmittalLog!$E$1:$E$4000,
  _xlpm.date_col, [1]SubmittalLog!$H$1:$H$4000,
  _xlpm.status_col, [1]SubmittalLog!$N$1:$N$4000,
  _xlpm.latest_date, _xlfn.MAXIFS(_xlpm.date_col, _xlpm.doc_col, M393),
  IF(_xlpm.latest_date=0, "NFS",
    _xlfn.LET(
      _xlpm.res, _xlfn.XLOOKUP(M393 &amp; "|" &amp; _xlpm.latest_date, _xlpm.doc_col &amp; "|" &amp; _xlpm.date_col, _xlpm.status_col, ""),
      IF(OR(_xlpm.res="", _xlpm.res=0), "", _xlpm.res)
    )
  )
))</f>
        <v>RTR</v>
      </c>
      <c r="X393" s="39">
        <f>IF(OR(M393="", M393="Deleted"), "", _xlfn.LET(
  _xlpm.doc_col, [1]SubmittalLog!$E$1:$E$4000,
  _xlpm.date_col, [1]SubmittalLog!$H$1:$H$4000,
  _xlpm.status_col, [1]SubmittalLog!$O$1:$O$4000,
  _xlpm.first_app_date, _xlfn.MINIFS(_xlpm.date_col, _xlpm.doc_col, M393, _xlpm.status_col, "APP"),
  _xlpm.first_awc_date, _xlfn.MINIFS(_xlpm.date_col, _xlpm.doc_col, M393, _xlpm.status_col, "AWC"),
  _xlpm.earliest_date, IF(
    AND(_xlpm.first_app_date=0, _xlpm.first_awc_date=0), 0,
    IF(_xlpm.first_app_date=0, _xlpm.first_awc_date,
    IF(_xlpm.first_awc_date=0, _xlpm.first_app_date,
    MIN(_xlpm.first_app_date, _xlpm.first_awc_date)))
  ),
  IF(_xlpm.earliest_date=0, "", _xlpm.earliest_date)
))</f>
        <v>45930</v>
      </c>
      <c r="Y393" s="40" t="str" cm="1">
        <f t="array" ref="Y393">IF(OR(M393="", M393="Deleted"), "", _xlfn.LET(
  _xlpm.doc_col, [1]SubmittalLog!$E$1:$E$4000,
  _xlpm.date_col, [1]SubmittalLog!$H$1:$H$4000,
  _xlpm.status_col, [1]SubmittalLog!$O$1:$O$4000,
  _xlpm.has_sub, COUNTIF(_xlpm.doc_col, M393),
  _xlpm.latest_reviewed_date, _xlfn.MAXIFS(_xlpm.date_col, _xlpm.doc_col, M393, _xlpm.status_col, "&lt;&gt;"),
  IF(_xlpm.has_sub=0, "",
    IF(_xlpm.latest_reviewed_date=0, "",
      _xlfn.LET(
        _xlpm.res, _xlfn.XLOOKUP(1, (_xlpm.doc_col=M393) * (_xlpm.date_col=_xlpm.latest_reviewed_date) * (_xlpm.status_col&lt;&gt;""), _xlpm.status_col, ""),
        IF(OR(_xlpm.res="", _xlpm.res=0), "", _xlpm.res)
      )
    )
  )
))</f>
        <v>APP</v>
      </c>
    </row>
    <row r="394" spans="1:25" ht="29" x14ac:dyDescent="0.35">
      <c r="A394" s="33">
        <f>IF($M394="","",MAX($A$1:A393)+1)</f>
        <v>369</v>
      </c>
      <c r="B394" s="23" t="s">
        <v>54</v>
      </c>
      <c r="C394" s="23" t="s">
        <v>234</v>
      </c>
      <c r="G394" s="33">
        <v>131236</v>
      </c>
      <c r="H394" s="33" t="s">
        <v>59</v>
      </c>
      <c r="I394" s="33" t="s">
        <v>309</v>
      </c>
      <c r="J394" s="33" t="s">
        <v>233</v>
      </c>
      <c r="K394" s="51">
        <v>5754</v>
      </c>
      <c r="M394" s="34" t="str">
        <f t="shared" si="6"/>
        <v>Deleted</v>
      </c>
      <c r="N394" s="26" t="s">
        <v>3919</v>
      </c>
      <c r="P394" s="34" t="s">
        <v>3467</v>
      </c>
      <c r="S394" s="35">
        <v>45807</v>
      </c>
      <c r="T394" s="35">
        <v>45899</v>
      </c>
      <c r="U394" s="64" t="str" cm="1">
        <f t="array" ref="U394">IF(OR(M394="", M394="Deleted"), "", _xlfn.LET(
  _xlpm.dates,
  _xlfn._xlws.FILTER(
    [1]SubmittalLog!$H$1:$H$4000,
    [1]SubmittalLog!$E$1:$E$4000=M394,
    ""
  ),
  _xlpm.min_date, IFERROR(MIN(_xlpm.dates), ""),
  IF(_xlpm.min_date=0, "", _xlpm.min_date)
))</f>
        <v/>
      </c>
      <c r="V394" s="63" t="str" cm="1">
        <f t="array" ref="V394">IF(OR(M394="", M394="Deleted"), "", IFERROR(
  _xlfn.TEXTJOIN(", ", TRUE,
    _xlfn.MAP(
      _xlfn.UNIQUE(
        _xlfn._xlws.FILTER(
          [1]SubmittalLog!$B$1:$B$4000,
          ([1]SubmittalLog!$E$1:$E$4000=M394) *
          ([1]SubmittalLog!$B$1:$B$4000&lt;&gt;""),
          ""
        )
      ),
      _xlfn.LAMBDA(_xlpm.val, TEXT(_xlpm.val, "000000"))
    )
  ),
""))</f>
        <v/>
      </c>
      <c r="W394" s="40" t="str" cm="1">
        <f t="array" ref="W394">IF(OR(M394="", M394="Deleted"), "", _xlfn.LET(
  _xlpm.doc_col, [1]SubmittalLog!$E$1:$E$4000,
  _xlpm.date_col, [1]SubmittalLog!$H$1:$H$4000,
  _xlpm.status_col, [1]SubmittalLog!$N$1:$N$4000,
  _xlpm.latest_date, _xlfn.MAXIFS(_xlpm.date_col, _xlpm.doc_col, M394),
  IF(_xlpm.latest_date=0, "NFS",
    _xlfn.LET(
      _xlpm.res, _xlfn.XLOOKUP(M394 &amp; "|" &amp; _xlpm.latest_date, _xlpm.doc_col &amp; "|" &amp; _xlpm.date_col, _xlpm.status_col, ""),
      IF(OR(_xlpm.res="", _xlpm.res=0), "", _xlpm.res)
    )
  )
))</f>
        <v/>
      </c>
      <c r="X394" s="39" t="str">
        <f>IF(OR(M394="", M394="Deleted"), "", _xlfn.LET(
  _xlpm.doc_col, [1]SubmittalLog!$E$1:$E$4000,
  _xlpm.date_col, [1]SubmittalLog!$H$1:$H$4000,
  _xlpm.status_col, [1]SubmittalLog!$O$1:$O$4000,
  _xlpm.first_app_date, _xlfn.MINIFS(_xlpm.date_col, _xlpm.doc_col, M394, _xlpm.status_col, "APP"),
  _xlpm.first_awc_date, _xlfn.MINIFS(_xlpm.date_col, _xlpm.doc_col, M394, _xlpm.status_col, "AWC"),
  _xlpm.earliest_date, IF(
    AND(_xlpm.first_app_date=0, _xlpm.first_awc_date=0), 0,
    IF(_xlpm.first_app_date=0, _xlpm.first_awc_date,
    IF(_xlpm.first_awc_date=0, _xlpm.first_app_date,
    MIN(_xlpm.first_app_date, _xlpm.first_awc_date)))
  ),
  IF(_xlpm.earliest_date=0, "", _xlpm.earliest_date)
))</f>
        <v/>
      </c>
      <c r="Y394" s="40" t="str" cm="1">
        <f t="array" ref="Y394">IF(OR(M394="", M394="Deleted"), "", _xlfn.LET(
  _xlpm.doc_col, [1]SubmittalLog!$E$1:$E$4000,
  _xlpm.date_col, [1]SubmittalLog!$H$1:$H$4000,
  _xlpm.status_col, [1]SubmittalLog!$O$1:$O$4000,
  _xlpm.has_sub, COUNTIF(_xlpm.doc_col, M394),
  _xlpm.latest_reviewed_date, _xlfn.MAXIFS(_xlpm.date_col, _xlpm.doc_col, M394, _xlpm.status_col, "&lt;&gt;"),
  IF(_xlpm.has_sub=0, "",
    IF(_xlpm.latest_reviewed_date=0, "",
      _xlfn.LET(
        _xlpm.res, _xlfn.XLOOKUP(1, (_xlpm.doc_col=M394) * (_xlpm.date_col=_xlpm.latest_reviewed_date) * (_xlpm.status_col&lt;&gt;""), _xlpm.status_col, ""),
        IF(OR(_xlpm.res="", _xlpm.res=0), "", _xlpm.res)
      )
    )
  )
))</f>
        <v/>
      </c>
    </row>
    <row r="395" spans="1:25" x14ac:dyDescent="0.35">
      <c r="A395" s="33">
        <f>IF($M395="","",MAX($A$1:A394)+1)</f>
        <v>370</v>
      </c>
      <c r="B395" s="23" t="s">
        <v>250</v>
      </c>
      <c r="C395" s="23" t="s">
        <v>234</v>
      </c>
      <c r="G395" s="33">
        <v>131236</v>
      </c>
      <c r="H395" s="33" t="s">
        <v>59</v>
      </c>
      <c r="I395" s="33" t="s">
        <v>309</v>
      </c>
      <c r="J395" s="33" t="s">
        <v>233</v>
      </c>
      <c r="K395" s="51" t="s">
        <v>3920</v>
      </c>
      <c r="M395" s="34" t="str">
        <f t="shared" si="6"/>
        <v>131236-WIL21-DS-M-0040</v>
      </c>
      <c r="N395" s="26" t="s">
        <v>3921</v>
      </c>
      <c r="P395" s="34" t="s">
        <v>3467</v>
      </c>
      <c r="S395" s="35">
        <v>45787</v>
      </c>
      <c r="T395" s="35">
        <v>45787</v>
      </c>
      <c r="U395" s="64" cm="1">
        <f t="array" ref="U395">IF(OR(M395="", M395="Deleted"), "", _xlfn.LET(
  _xlpm.dates,
  _xlfn._xlws.FILTER(
    [1]SubmittalLog!$H$1:$H$4000,
    [1]SubmittalLog!$E$1:$E$4000=M395,
    ""
  ),
  _xlpm.min_date, IFERROR(MIN(_xlpm.dates), ""),
  IF(_xlpm.min_date=0, "", _xlpm.min_date)
))</f>
        <v>45787</v>
      </c>
      <c r="V395" s="63" t="str" cm="1">
        <f t="array" ref="V395">IF(OR(M395="", M395="Deleted"), "", IFERROR(
  _xlfn.TEXTJOIN(", ", TRUE,
    _xlfn.MAP(
      _xlfn.UNIQUE(
        _xlfn._xlws.FILTER(
          [1]SubmittalLog!$B$1:$B$4000,
          ([1]SubmittalLog!$E$1:$E$4000=M395) *
          ([1]SubmittalLog!$B$1:$B$4000&lt;&gt;""),
          ""
        )
      ),
      _xlfn.LAMBDA(_xlpm.val, TEXT(_xlpm.val, "000000"))
    )
  ),
""))</f>
        <v>001276</v>
      </c>
      <c r="W395" s="40" t="str" cm="1">
        <f t="array" ref="W395">IF(OR(M395="", M395="Deleted"), "", _xlfn.LET(
  _xlpm.doc_col, [1]SubmittalLog!$E$1:$E$4000,
  _xlpm.date_col, [1]SubmittalLog!$H$1:$H$4000,
  _xlpm.status_col, [1]SubmittalLog!$N$1:$N$4000,
  _xlpm.latest_date, _xlfn.MAXIFS(_xlpm.date_col, _xlpm.doc_col, M395),
  IF(_xlpm.latest_date=0, "NFS",
    _xlfn.LET(
      _xlpm.res, _xlfn.XLOOKUP(M395 &amp; "|" &amp; _xlpm.latest_date, _xlpm.doc_col &amp; "|" &amp; _xlpm.date_col, _xlpm.status_col, ""),
      IF(OR(_xlpm.res="", _xlpm.res=0), "", _xlpm.res)
    )
  )
))</f>
        <v>RTR</v>
      </c>
      <c r="X395" s="39">
        <f>IF(OR(M395="", M395="Deleted"), "", _xlfn.LET(
  _xlpm.doc_col, [1]SubmittalLog!$E$1:$E$4000,
  _xlpm.date_col, [1]SubmittalLog!$H$1:$H$4000,
  _xlpm.status_col, [1]SubmittalLog!$O$1:$O$4000,
  _xlpm.first_app_date, _xlfn.MINIFS(_xlpm.date_col, _xlpm.doc_col, M395, _xlpm.status_col, "APP"),
  _xlpm.first_awc_date, _xlfn.MINIFS(_xlpm.date_col, _xlpm.doc_col, M395, _xlpm.status_col, "AWC"),
  _xlpm.earliest_date, IF(
    AND(_xlpm.first_app_date=0, _xlpm.first_awc_date=0), 0,
    IF(_xlpm.first_app_date=0, _xlpm.first_awc_date,
    IF(_xlpm.first_awc_date=0, _xlpm.first_app_date,
    MIN(_xlpm.first_app_date, _xlpm.first_awc_date)))
  ),
  IF(_xlpm.earliest_date=0, "", _xlpm.earliest_date)
))</f>
        <v>45787</v>
      </c>
      <c r="Y395" s="40" t="str" cm="1">
        <f t="array" ref="Y395">IF(OR(M395="", M395="Deleted"), "", _xlfn.LET(
  _xlpm.doc_col, [1]SubmittalLog!$E$1:$E$4000,
  _xlpm.date_col, [1]SubmittalLog!$H$1:$H$4000,
  _xlpm.status_col, [1]SubmittalLog!$O$1:$O$4000,
  _xlpm.has_sub, COUNTIF(_xlpm.doc_col, M395),
  _xlpm.latest_reviewed_date, _xlfn.MAXIFS(_xlpm.date_col, _xlpm.doc_col, M395, _xlpm.status_col, "&lt;&gt;"),
  IF(_xlpm.has_sub=0, "",
    IF(_xlpm.latest_reviewed_date=0, "",
      _xlfn.LET(
        _xlpm.res, _xlfn.XLOOKUP(1, (_xlpm.doc_col=M395) * (_xlpm.date_col=_xlpm.latest_reviewed_date) * (_xlpm.status_col&lt;&gt;""), _xlpm.status_col, ""),
        IF(OR(_xlpm.res="", _xlpm.res=0), "", _xlpm.res)
      )
    )
  )
))</f>
        <v>AWC</v>
      </c>
    </row>
    <row r="396" spans="1:25" x14ac:dyDescent="0.35">
      <c r="A396" s="33">
        <f>IF($M396="","",MAX($A$1:A395)+1)</f>
        <v>371</v>
      </c>
      <c r="B396" s="23" t="s">
        <v>54</v>
      </c>
      <c r="C396" s="23" t="s">
        <v>234</v>
      </c>
      <c r="G396" s="33">
        <v>131236</v>
      </c>
      <c r="H396" s="33" t="s">
        <v>59</v>
      </c>
      <c r="I396" s="33" t="s">
        <v>309</v>
      </c>
      <c r="J396" s="33" t="s">
        <v>3496</v>
      </c>
      <c r="K396" s="51" t="s">
        <v>3469</v>
      </c>
      <c r="M396" s="34" t="str">
        <f t="shared" si="6"/>
        <v>Deleted</v>
      </c>
      <c r="N396" s="26" t="s">
        <v>3922</v>
      </c>
      <c r="P396" s="34" t="s">
        <v>3467</v>
      </c>
      <c r="U396" s="64" t="str" cm="1">
        <f t="array" ref="U396">IF(OR(M396="", M396="Deleted"), "", _xlfn.LET(
  _xlpm.dates,
  _xlfn._xlws.FILTER(
    [1]SubmittalLog!$H$1:$H$4000,
    [1]SubmittalLog!$E$1:$E$4000=M396,
    ""
  ),
  _xlpm.min_date, IFERROR(MIN(_xlpm.dates), ""),
  IF(_xlpm.min_date=0, "", _xlpm.min_date)
))</f>
        <v/>
      </c>
      <c r="V396" s="63" t="str" cm="1">
        <f t="array" ref="V396">IF(OR(M396="", M396="Deleted"), "", IFERROR(
  _xlfn.TEXTJOIN(", ", TRUE,
    _xlfn.MAP(
      _xlfn.UNIQUE(
        _xlfn._xlws.FILTER(
          [1]SubmittalLog!$B$1:$B$4000,
          ([1]SubmittalLog!$E$1:$E$4000=M396) *
          ([1]SubmittalLog!$B$1:$B$4000&lt;&gt;""),
          ""
        )
      ),
      _xlfn.LAMBDA(_xlpm.val, TEXT(_xlpm.val, "000000"))
    )
  ),
""))</f>
        <v/>
      </c>
      <c r="W396" s="40" t="str" cm="1">
        <f t="array" ref="W396">IF(OR(M396="", M396="Deleted"), "", _xlfn.LET(
  _xlpm.doc_col, [1]SubmittalLog!$E$1:$E$4000,
  _xlpm.date_col, [1]SubmittalLog!$H$1:$H$4000,
  _xlpm.status_col, [1]SubmittalLog!$N$1:$N$4000,
  _xlpm.latest_date, _xlfn.MAXIFS(_xlpm.date_col, _xlpm.doc_col, M396),
  IF(_xlpm.latest_date=0, "NFS",
    _xlfn.LET(
      _xlpm.res, _xlfn.XLOOKUP(M396 &amp; "|" &amp; _xlpm.latest_date, _xlpm.doc_col &amp; "|" &amp; _xlpm.date_col, _xlpm.status_col, ""),
      IF(OR(_xlpm.res="", _xlpm.res=0), "", _xlpm.res)
    )
  )
))</f>
        <v/>
      </c>
      <c r="X396" s="39" t="str">
        <f>IF(OR(M396="", M396="Deleted"), "", _xlfn.LET(
  _xlpm.doc_col, [1]SubmittalLog!$E$1:$E$4000,
  _xlpm.date_col, [1]SubmittalLog!$H$1:$H$4000,
  _xlpm.status_col, [1]SubmittalLog!$O$1:$O$4000,
  _xlpm.first_app_date, _xlfn.MINIFS(_xlpm.date_col, _xlpm.doc_col, M396, _xlpm.status_col, "APP"),
  _xlpm.first_awc_date, _xlfn.MINIFS(_xlpm.date_col, _xlpm.doc_col, M396, _xlpm.status_col, "AWC"),
  _xlpm.earliest_date, IF(
    AND(_xlpm.first_app_date=0, _xlpm.first_awc_date=0), 0,
    IF(_xlpm.first_app_date=0, _xlpm.first_awc_date,
    IF(_xlpm.first_awc_date=0, _xlpm.first_app_date,
    MIN(_xlpm.first_app_date, _xlpm.first_awc_date)))
  ),
  IF(_xlpm.earliest_date=0, "", _xlpm.earliest_date)
))</f>
        <v/>
      </c>
      <c r="Y396" s="40" t="str" cm="1">
        <f t="array" ref="Y396">IF(OR(M396="", M396="Deleted"), "", _xlfn.LET(
  _xlpm.doc_col, [1]SubmittalLog!$E$1:$E$4000,
  _xlpm.date_col, [1]SubmittalLog!$H$1:$H$4000,
  _xlpm.status_col, [1]SubmittalLog!$O$1:$O$4000,
  _xlpm.has_sub, COUNTIF(_xlpm.doc_col, M396),
  _xlpm.latest_reviewed_date, _xlfn.MAXIFS(_xlpm.date_col, _xlpm.doc_col, M396, _xlpm.status_col, "&lt;&gt;"),
  IF(_xlpm.has_sub=0, "",
    IF(_xlpm.latest_reviewed_date=0, "",
      _xlfn.LET(
        _xlpm.res, _xlfn.XLOOKUP(1, (_xlpm.doc_col=M396) * (_xlpm.date_col=_xlpm.latest_reviewed_date) * (_xlpm.status_col&lt;&gt;""), _xlpm.status_col, ""),
        IF(OR(_xlpm.res="", _xlpm.res=0), "", _xlpm.res)
      )
    )
  )
))</f>
        <v/>
      </c>
    </row>
    <row r="397" spans="1:25" x14ac:dyDescent="0.35">
      <c r="A397" s="33">
        <f>IF($M397="","",MAX($A$1:A396)+1)</f>
        <v>372</v>
      </c>
      <c r="B397" s="23" t="s">
        <v>54</v>
      </c>
      <c r="C397" s="23" t="s">
        <v>257</v>
      </c>
      <c r="G397" s="33">
        <v>131236</v>
      </c>
      <c r="H397" s="33" t="s">
        <v>59</v>
      </c>
      <c r="I397" s="33" t="s">
        <v>309</v>
      </c>
      <c r="J397" s="33" t="s">
        <v>3496</v>
      </c>
      <c r="M397" s="34" t="str">
        <f t="shared" si="6"/>
        <v>Deleted</v>
      </c>
      <c r="N397" s="26" t="s">
        <v>3923</v>
      </c>
      <c r="P397" s="34" t="s">
        <v>3467</v>
      </c>
      <c r="U397" s="64" t="str" cm="1">
        <f t="array" ref="U397">IF(OR(M397="", M397="Deleted"), "", _xlfn.LET(
  _xlpm.dates,
  _xlfn._xlws.FILTER(
    [1]SubmittalLog!$H$1:$H$4000,
    [1]SubmittalLog!$E$1:$E$4000=M397,
    ""
  ),
  _xlpm.min_date, IFERROR(MIN(_xlpm.dates), ""),
  IF(_xlpm.min_date=0, "", _xlpm.min_date)
))</f>
        <v/>
      </c>
      <c r="V397" s="63" t="str" cm="1">
        <f t="array" ref="V397">IF(OR(M397="", M397="Deleted"), "", IFERROR(
  _xlfn.TEXTJOIN(", ", TRUE,
    _xlfn.MAP(
      _xlfn.UNIQUE(
        _xlfn._xlws.FILTER(
          [1]SubmittalLog!$B$1:$B$4000,
          ([1]SubmittalLog!$E$1:$E$4000=M397) *
          ([1]SubmittalLog!$B$1:$B$4000&lt;&gt;""),
          ""
        )
      ),
      _xlfn.LAMBDA(_xlpm.val, TEXT(_xlpm.val, "000000"))
    )
  ),
""))</f>
        <v/>
      </c>
      <c r="W397" s="40" t="str" cm="1">
        <f t="array" ref="W397">IF(OR(M397="", M397="Deleted"), "", _xlfn.LET(
  _xlpm.doc_col, [1]SubmittalLog!$E$1:$E$4000,
  _xlpm.date_col, [1]SubmittalLog!$H$1:$H$4000,
  _xlpm.status_col, [1]SubmittalLog!$N$1:$N$4000,
  _xlpm.latest_date, _xlfn.MAXIFS(_xlpm.date_col, _xlpm.doc_col, M397),
  IF(_xlpm.latest_date=0, "NFS",
    _xlfn.LET(
      _xlpm.res, _xlfn.XLOOKUP(M397 &amp; "|" &amp; _xlpm.latest_date, _xlpm.doc_col &amp; "|" &amp; _xlpm.date_col, _xlpm.status_col, ""),
      IF(OR(_xlpm.res="", _xlpm.res=0), "", _xlpm.res)
    )
  )
))</f>
        <v/>
      </c>
      <c r="X397" s="39" t="str">
        <f>IF(OR(M397="", M397="Deleted"), "", _xlfn.LET(
  _xlpm.doc_col, [1]SubmittalLog!$E$1:$E$4000,
  _xlpm.date_col, [1]SubmittalLog!$H$1:$H$4000,
  _xlpm.status_col, [1]SubmittalLog!$O$1:$O$4000,
  _xlpm.first_app_date, _xlfn.MINIFS(_xlpm.date_col, _xlpm.doc_col, M397, _xlpm.status_col, "APP"),
  _xlpm.first_awc_date, _xlfn.MINIFS(_xlpm.date_col, _xlpm.doc_col, M397, _xlpm.status_col, "AWC"),
  _xlpm.earliest_date, IF(
    AND(_xlpm.first_app_date=0, _xlpm.first_awc_date=0), 0,
    IF(_xlpm.first_app_date=0, _xlpm.first_awc_date,
    IF(_xlpm.first_awc_date=0, _xlpm.first_app_date,
    MIN(_xlpm.first_app_date, _xlpm.first_awc_date)))
  ),
  IF(_xlpm.earliest_date=0, "", _xlpm.earliest_date)
))</f>
        <v/>
      </c>
      <c r="Y397" s="40" t="str" cm="1">
        <f t="array" ref="Y397">IF(OR(M397="", M397="Deleted"), "", _xlfn.LET(
  _xlpm.doc_col, [1]SubmittalLog!$E$1:$E$4000,
  _xlpm.date_col, [1]SubmittalLog!$H$1:$H$4000,
  _xlpm.status_col, [1]SubmittalLog!$O$1:$O$4000,
  _xlpm.has_sub, COUNTIF(_xlpm.doc_col, M397),
  _xlpm.latest_reviewed_date, _xlfn.MAXIFS(_xlpm.date_col, _xlpm.doc_col, M397, _xlpm.status_col, "&lt;&gt;"),
  IF(_xlpm.has_sub=0, "",
    IF(_xlpm.latest_reviewed_date=0, "",
      _xlfn.LET(
        _xlpm.res, _xlfn.XLOOKUP(1, (_xlpm.doc_col=M397) * (_xlpm.date_col=_xlpm.latest_reviewed_date) * (_xlpm.status_col&lt;&gt;""), _xlpm.status_col, ""),
        IF(OR(_xlpm.res="", _xlpm.res=0), "", _xlpm.res)
      )
    )
  )
))</f>
        <v/>
      </c>
    </row>
    <row r="398" spans="1:25" x14ac:dyDescent="0.35">
      <c r="A398" s="33">
        <f>IF($M398="","",MAX($A$1:A397)+1)</f>
        <v>373</v>
      </c>
      <c r="B398" s="23" t="s">
        <v>54</v>
      </c>
      <c r="C398" s="23" t="s">
        <v>257</v>
      </c>
      <c r="G398" s="33">
        <v>131236</v>
      </c>
      <c r="H398" s="33" t="s">
        <v>59</v>
      </c>
      <c r="I398" s="33" t="s">
        <v>309</v>
      </c>
      <c r="J398" s="33" t="s">
        <v>3496</v>
      </c>
      <c r="M398" s="34" t="str">
        <f t="shared" si="6"/>
        <v>Deleted</v>
      </c>
      <c r="N398" s="26" t="s">
        <v>3924</v>
      </c>
      <c r="P398" s="34" t="s">
        <v>3467</v>
      </c>
      <c r="U398" s="64" t="str" cm="1">
        <f t="array" ref="U398">IF(OR(M398="", M398="Deleted"), "", _xlfn.LET(
  _xlpm.dates,
  _xlfn._xlws.FILTER(
    [1]SubmittalLog!$H$1:$H$4000,
    [1]SubmittalLog!$E$1:$E$4000=M398,
    ""
  ),
  _xlpm.min_date, IFERROR(MIN(_xlpm.dates), ""),
  IF(_xlpm.min_date=0, "", _xlpm.min_date)
))</f>
        <v/>
      </c>
      <c r="V398" s="63" t="str" cm="1">
        <f t="array" ref="V398">IF(OR(M398="", M398="Deleted"), "", IFERROR(
  _xlfn.TEXTJOIN(", ", TRUE,
    _xlfn.MAP(
      _xlfn.UNIQUE(
        _xlfn._xlws.FILTER(
          [1]SubmittalLog!$B$1:$B$4000,
          ([1]SubmittalLog!$E$1:$E$4000=M398) *
          ([1]SubmittalLog!$B$1:$B$4000&lt;&gt;""),
          ""
        )
      ),
      _xlfn.LAMBDA(_xlpm.val, TEXT(_xlpm.val, "000000"))
    )
  ),
""))</f>
        <v/>
      </c>
      <c r="W398" s="40" t="str" cm="1">
        <f t="array" ref="W398">IF(OR(M398="", M398="Deleted"), "", _xlfn.LET(
  _xlpm.doc_col, [1]SubmittalLog!$E$1:$E$4000,
  _xlpm.date_col, [1]SubmittalLog!$H$1:$H$4000,
  _xlpm.status_col, [1]SubmittalLog!$N$1:$N$4000,
  _xlpm.latest_date, _xlfn.MAXIFS(_xlpm.date_col, _xlpm.doc_col, M398),
  IF(_xlpm.latest_date=0, "NFS",
    _xlfn.LET(
      _xlpm.res, _xlfn.XLOOKUP(M398 &amp; "|" &amp; _xlpm.latest_date, _xlpm.doc_col &amp; "|" &amp; _xlpm.date_col, _xlpm.status_col, ""),
      IF(OR(_xlpm.res="", _xlpm.res=0), "", _xlpm.res)
    )
  )
))</f>
        <v/>
      </c>
      <c r="X398" s="39" t="str">
        <f>IF(OR(M398="", M398="Deleted"), "", _xlfn.LET(
  _xlpm.doc_col, [1]SubmittalLog!$E$1:$E$4000,
  _xlpm.date_col, [1]SubmittalLog!$H$1:$H$4000,
  _xlpm.status_col, [1]SubmittalLog!$O$1:$O$4000,
  _xlpm.first_app_date, _xlfn.MINIFS(_xlpm.date_col, _xlpm.doc_col, M398, _xlpm.status_col, "APP"),
  _xlpm.first_awc_date, _xlfn.MINIFS(_xlpm.date_col, _xlpm.doc_col, M398, _xlpm.status_col, "AWC"),
  _xlpm.earliest_date, IF(
    AND(_xlpm.first_app_date=0, _xlpm.first_awc_date=0), 0,
    IF(_xlpm.first_app_date=0, _xlpm.first_awc_date,
    IF(_xlpm.first_awc_date=0, _xlpm.first_app_date,
    MIN(_xlpm.first_app_date, _xlpm.first_awc_date)))
  ),
  IF(_xlpm.earliest_date=0, "", _xlpm.earliest_date)
))</f>
        <v/>
      </c>
      <c r="Y398" s="40" t="str" cm="1">
        <f t="array" ref="Y398">IF(OR(M398="", M398="Deleted"), "", _xlfn.LET(
  _xlpm.doc_col, [1]SubmittalLog!$E$1:$E$4000,
  _xlpm.date_col, [1]SubmittalLog!$H$1:$H$4000,
  _xlpm.status_col, [1]SubmittalLog!$O$1:$O$4000,
  _xlpm.has_sub, COUNTIF(_xlpm.doc_col, M398),
  _xlpm.latest_reviewed_date, _xlfn.MAXIFS(_xlpm.date_col, _xlpm.doc_col, M398, _xlpm.status_col, "&lt;&gt;"),
  IF(_xlpm.has_sub=0, "",
    IF(_xlpm.latest_reviewed_date=0, "",
      _xlfn.LET(
        _xlpm.res, _xlfn.XLOOKUP(1, (_xlpm.doc_col=M398) * (_xlpm.date_col=_xlpm.latest_reviewed_date) * (_xlpm.status_col&lt;&gt;""), _xlpm.status_col, ""),
        IF(OR(_xlpm.res="", _xlpm.res=0), "", _xlpm.res)
      )
    )
  )
))</f>
        <v/>
      </c>
    </row>
    <row r="399" spans="1:25" x14ac:dyDescent="0.35">
      <c r="A399" s="33">
        <f>IF($M399="","",MAX($A$1:A398)+1)</f>
        <v>374</v>
      </c>
      <c r="B399" s="23" t="s">
        <v>54</v>
      </c>
      <c r="C399" s="23" t="s">
        <v>257</v>
      </c>
      <c r="G399" s="33">
        <v>131236</v>
      </c>
      <c r="H399" s="33" t="s">
        <v>59</v>
      </c>
      <c r="I399" s="33" t="s">
        <v>309</v>
      </c>
      <c r="J399" s="33" t="s">
        <v>3496</v>
      </c>
      <c r="M399" s="34" t="str">
        <f t="shared" si="6"/>
        <v>Deleted</v>
      </c>
      <c r="N399" s="26" t="s">
        <v>3925</v>
      </c>
      <c r="P399" s="34" t="s">
        <v>3467</v>
      </c>
      <c r="U399" s="64" t="str" cm="1">
        <f t="array" ref="U399">IF(OR(M399="", M399="Deleted"), "", _xlfn.LET(
  _xlpm.dates,
  _xlfn._xlws.FILTER(
    [1]SubmittalLog!$H$1:$H$4000,
    [1]SubmittalLog!$E$1:$E$4000=M399,
    ""
  ),
  _xlpm.min_date, IFERROR(MIN(_xlpm.dates), ""),
  IF(_xlpm.min_date=0, "", _xlpm.min_date)
))</f>
        <v/>
      </c>
      <c r="V399" s="63" t="str" cm="1">
        <f t="array" ref="V399">IF(OR(M399="", M399="Deleted"), "", IFERROR(
  _xlfn.TEXTJOIN(", ", TRUE,
    _xlfn.MAP(
      _xlfn.UNIQUE(
        _xlfn._xlws.FILTER(
          [1]SubmittalLog!$B$1:$B$4000,
          ([1]SubmittalLog!$E$1:$E$4000=M399) *
          ([1]SubmittalLog!$B$1:$B$4000&lt;&gt;""),
          ""
        )
      ),
      _xlfn.LAMBDA(_xlpm.val, TEXT(_xlpm.val, "000000"))
    )
  ),
""))</f>
        <v/>
      </c>
      <c r="W399" s="40" t="str" cm="1">
        <f t="array" ref="W399">IF(OR(M399="", M399="Deleted"), "", _xlfn.LET(
  _xlpm.doc_col, [1]SubmittalLog!$E$1:$E$4000,
  _xlpm.date_col, [1]SubmittalLog!$H$1:$H$4000,
  _xlpm.status_col, [1]SubmittalLog!$N$1:$N$4000,
  _xlpm.latest_date, _xlfn.MAXIFS(_xlpm.date_col, _xlpm.doc_col, M399),
  IF(_xlpm.latest_date=0, "NFS",
    _xlfn.LET(
      _xlpm.res, _xlfn.XLOOKUP(M399 &amp; "|" &amp; _xlpm.latest_date, _xlpm.doc_col &amp; "|" &amp; _xlpm.date_col, _xlpm.status_col, ""),
      IF(OR(_xlpm.res="", _xlpm.res=0), "", _xlpm.res)
    )
  )
))</f>
        <v/>
      </c>
      <c r="X399" s="39" t="str">
        <f>IF(OR(M399="", M399="Deleted"), "", _xlfn.LET(
  _xlpm.doc_col, [1]SubmittalLog!$E$1:$E$4000,
  _xlpm.date_col, [1]SubmittalLog!$H$1:$H$4000,
  _xlpm.status_col, [1]SubmittalLog!$O$1:$O$4000,
  _xlpm.first_app_date, _xlfn.MINIFS(_xlpm.date_col, _xlpm.doc_col, M399, _xlpm.status_col, "APP"),
  _xlpm.first_awc_date, _xlfn.MINIFS(_xlpm.date_col, _xlpm.doc_col, M399, _xlpm.status_col, "AWC"),
  _xlpm.earliest_date, IF(
    AND(_xlpm.first_app_date=0, _xlpm.first_awc_date=0), 0,
    IF(_xlpm.first_app_date=0, _xlpm.first_awc_date,
    IF(_xlpm.first_awc_date=0, _xlpm.first_app_date,
    MIN(_xlpm.first_app_date, _xlpm.first_awc_date)))
  ),
  IF(_xlpm.earliest_date=0, "", _xlpm.earliest_date)
))</f>
        <v/>
      </c>
      <c r="Y399" s="40" t="str" cm="1">
        <f t="array" ref="Y399">IF(OR(M399="", M399="Deleted"), "", _xlfn.LET(
  _xlpm.doc_col, [1]SubmittalLog!$E$1:$E$4000,
  _xlpm.date_col, [1]SubmittalLog!$H$1:$H$4000,
  _xlpm.status_col, [1]SubmittalLog!$O$1:$O$4000,
  _xlpm.has_sub, COUNTIF(_xlpm.doc_col, M399),
  _xlpm.latest_reviewed_date, _xlfn.MAXIFS(_xlpm.date_col, _xlpm.doc_col, M399, _xlpm.status_col, "&lt;&gt;"),
  IF(_xlpm.has_sub=0, "",
    IF(_xlpm.latest_reviewed_date=0, "",
      _xlfn.LET(
        _xlpm.res, _xlfn.XLOOKUP(1, (_xlpm.doc_col=M399) * (_xlpm.date_col=_xlpm.latest_reviewed_date) * (_xlpm.status_col&lt;&gt;""), _xlpm.status_col, ""),
        IF(OR(_xlpm.res="", _xlpm.res=0), "", _xlpm.res)
      )
    )
  )
))</f>
        <v/>
      </c>
    </row>
    <row r="400" spans="1:25" x14ac:dyDescent="0.35">
      <c r="A400" s="33" t="str">
        <f>IF($M400="","",MAX($A$1:A399)+1)</f>
        <v/>
      </c>
      <c r="M400" s="34" t="str">
        <f t="shared" si="6"/>
        <v/>
      </c>
      <c r="N400" s="26" t="s">
        <v>3488</v>
      </c>
      <c r="U400" s="64" t="str" cm="1">
        <f t="array" ref="U400">IF(OR(M400="", M400="Deleted"), "", _xlfn.LET(
  _xlpm.dates,
  _xlfn._xlws.FILTER(
    [1]SubmittalLog!$H$1:$H$4000,
    [1]SubmittalLog!$E$1:$E$4000=M400,
    ""
  ),
  _xlpm.min_date, IFERROR(MIN(_xlpm.dates), ""),
  IF(_xlpm.min_date=0, "", _xlpm.min_date)
))</f>
        <v/>
      </c>
      <c r="V400" s="63" t="str" cm="1">
        <f t="array" ref="V400">IF(OR(M400="", M400="Deleted"), "", IFERROR(
  _xlfn.TEXTJOIN(", ", TRUE,
    _xlfn.MAP(
      _xlfn.UNIQUE(
        _xlfn._xlws.FILTER(
          [1]SubmittalLog!$B$1:$B$4000,
          ([1]SubmittalLog!$E$1:$E$4000=M400) *
          ([1]SubmittalLog!$B$1:$B$4000&lt;&gt;""),
          ""
        )
      ),
      _xlfn.LAMBDA(_xlpm.val, TEXT(_xlpm.val, "000000"))
    )
  ),
""))</f>
        <v/>
      </c>
      <c r="W400" s="40" t="str" cm="1">
        <f t="array" ref="W400">IF(OR(M400="", M400="Deleted"), "", _xlfn.LET(
  _xlpm.doc_col, [1]SubmittalLog!$E$1:$E$4000,
  _xlpm.date_col, [1]SubmittalLog!$H$1:$H$4000,
  _xlpm.status_col, [1]SubmittalLog!$N$1:$N$4000,
  _xlpm.latest_date, _xlfn.MAXIFS(_xlpm.date_col, _xlpm.doc_col, M400),
  IF(_xlpm.latest_date=0, "NFS",
    _xlfn.LET(
      _xlpm.res, _xlfn.XLOOKUP(M400 &amp; "|" &amp; _xlpm.latest_date, _xlpm.doc_col &amp; "|" &amp; _xlpm.date_col, _xlpm.status_col, ""),
      IF(OR(_xlpm.res="", _xlpm.res=0), "", _xlpm.res)
    )
  )
))</f>
        <v/>
      </c>
      <c r="X400" s="39" t="str">
        <f>IF(OR(M400="", M400="Deleted"), "", _xlfn.LET(
  _xlpm.doc_col, [1]SubmittalLog!$E$1:$E$4000,
  _xlpm.date_col, [1]SubmittalLog!$H$1:$H$4000,
  _xlpm.status_col, [1]SubmittalLog!$O$1:$O$4000,
  _xlpm.first_app_date, _xlfn.MINIFS(_xlpm.date_col, _xlpm.doc_col, M400, _xlpm.status_col, "APP"),
  _xlpm.first_awc_date, _xlfn.MINIFS(_xlpm.date_col, _xlpm.doc_col, M400, _xlpm.status_col, "AWC"),
  _xlpm.earliest_date, IF(
    AND(_xlpm.first_app_date=0, _xlpm.first_awc_date=0), 0,
    IF(_xlpm.first_app_date=0, _xlpm.first_awc_date,
    IF(_xlpm.first_awc_date=0, _xlpm.first_app_date,
    MIN(_xlpm.first_app_date, _xlpm.first_awc_date)))
  ),
  IF(_xlpm.earliest_date=0, "", _xlpm.earliest_date)
))</f>
        <v/>
      </c>
      <c r="Y400" s="40" t="str" cm="1">
        <f t="array" ref="Y400">IF(OR(M400="", M400="Deleted"), "", _xlfn.LET(
  _xlpm.doc_col, [1]SubmittalLog!$E$1:$E$4000,
  _xlpm.date_col, [1]SubmittalLog!$H$1:$H$4000,
  _xlpm.status_col, [1]SubmittalLog!$O$1:$O$4000,
  _xlpm.has_sub, COUNTIF(_xlpm.doc_col, M400),
  _xlpm.latest_reviewed_date, _xlfn.MAXIFS(_xlpm.date_col, _xlpm.doc_col, M400, _xlpm.status_col, "&lt;&gt;"),
  IF(_xlpm.has_sub=0, "",
    IF(_xlpm.latest_reviewed_date=0, "",
      _xlfn.LET(
        _xlpm.res, _xlfn.XLOOKUP(1, (_xlpm.doc_col=M400) * (_xlpm.date_col=_xlpm.latest_reviewed_date) * (_xlpm.status_col&lt;&gt;""), _xlpm.status_col, ""),
        IF(OR(_xlpm.res="", _xlpm.res=0), "", _xlpm.res)
      )
    )
  )
))</f>
        <v/>
      </c>
    </row>
    <row r="401" spans="1:25" x14ac:dyDescent="0.35">
      <c r="A401" s="33">
        <f>IF($M401="","",MAX($A$1:A400)+1)</f>
        <v>375</v>
      </c>
      <c r="B401" s="23" t="s">
        <v>54</v>
      </c>
      <c r="C401" s="23" t="s">
        <v>257</v>
      </c>
      <c r="G401" s="33">
        <v>131236</v>
      </c>
      <c r="H401" s="33" t="s">
        <v>59</v>
      </c>
      <c r="I401" s="33" t="s">
        <v>397</v>
      </c>
      <c r="J401" s="33" t="s">
        <v>3496</v>
      </c>
      <c r="K401" s="51" t="s">
        <v>3469</v>
      </c>
      <c r="M401" s="34" t="str">
        <f t="shared" si="6"/>
        <v>Deleted</v>
      </c>
      <c r="N401" s="26" t="s">
        <v>3926</v>
      </c>
      <c r="P401" s="34" t="s">
        <v>3467</v>
      </c>
      <c r="U401" s="64" t="str" cm="1">
        <f t="array" ref="U401">IF(OR(M401="", M401="Deleted"), "", _xlfn.LET(
  _xlpm.dates,
  _xlfn._xlws.FILTER(
    [1]SubmittalLog!$H$1:$H$4000,
    [1]SubmittalLog!$E$1:$E$4000=M401,
    ""
  ),
  _xlpm.min_date, IFERROR(MIN(_xlpm.dates), ""),
  IF(_xlpm.min_date=0, "", _xlpm.min_date)
))</f>
        <v/>
      </c>
      <c r="V401" s="63" t="str" cm="1">
        <f t="array" ref="V401">IF(OR(M401="", M401="Deleted"), "", IFERROR(
  _xlfn.TEXTJOIN(", ", TRUE,
    _xlfn.MAP(
      _xlfn.UNIQUE(
        _xlfn._xlws.FILTER(
          [1]SubmittalLog!$B$1:$B$4000,
          ([1]SubmittalLog!$E$1:$E$4000=M401) *
          ([1]SubmittalLog!$B$1:$B$4000&lt;&gt;""),
          ""
        )
      ),
      _xlfn.LAMBDA(_xlpm.val, TEXT(_xlpm.val, "000000"))
    )
  ),
""))</f>
        <v/>
      </c>
      <c r="W401" s="40" t="str" cm="1">
        <f t="array" ref="W401">IF(OR(M401="", M401="Deleted"), "", _xlfn.LET(
  _xlpm.doc_col, [1]SubmittalLog!$E$1:$E$4000,
  _xlpm.date_col, [1]SubmittalLog!$H$1:$H$4000,
  _xlpm.status_col, [1]SubmittalLog!$N$1:$N$4000,
  _xlpm.latest_date, _xlfn.MAXIFS(_xlpm.date_col, _xlpm.doc_col, M401),
  IF(_xlpm.latest_date=0, "NFS",
    _xlfn.LET(
      _xlpm.res, _xlfn.XLOOKUP(M401 &amp; "|" &amp; _xlpm.latest_date, _xlpm.doc_col &amp; "|" &amp; _xlpm.date_col, _xlpm.status_col, ""),
      IF(OR(_xlpm.res="", _xlpm.res=0), "", _xlpm.res)
    )
  )
))</f>
        <v/>
      </c>
      <c r="X401" s="39" t="str">
        <f>IF(OR(M401="", M401="Deleted"), "", _xlfn.LET(
  _xlpm.doc_col, [1]SubmittalLog!$E$1:$E$4000,
  _xlpm.date_col, [1]SubmittalLog!$H$1:$H$4000,
  _xlpm.status_col, [1]SubmittalLog!$O$1:$O$4000,
  _xlpm.first_app_date, _xlfn.MINIFS(_xlpm.date_col, _xlpm.doc_col, M401, _xlpm.status_col, "APP"),
  _xlpm.first_awc_date, _xlfn.MINIFS(_xlpm.date_col, _xlpm.doc_col, M401, _xlpm.status_col, "AWC"),
  _xlpm.earliest_date, IF(
    AND(_xlpm.first_app_date=0, _xlpm.first_awc_date=0), 0,
    IF(_xlpm.first_app_date=0, _xlpm.first_awc_date,
    IF(_xlpm.first_awc_date=0, _xlpm.first_app_date,
    MIN(_xlpm.first_app_date, _xlpm.first_awc_date)))
  ),
  IF(_xlpm.earliest_date=0, "", _xlpm.earliest_date)
))</f>
        <v/>
      </c>
      <c r="Y401" s="40" t="str" cm="1">
        <f t="array" ref="Y401">IF(OR(M401="", M401="Deleted"), "", _xlfn.LET(
  _xlpm.doc_col, [1]SubmittalLog!$E$1:$E$4000,
  _xlpm.date_col, [1]SubmittalLog!$H$1:$H$4000,
  _xlpm.status_col, [1]SubmittalLog!$O$1:$O$4000,
  _xlpm.has_sub, COUNTIF(_xlpm.doc_col, M401),
  _xlpm.latest_reviewed_date, _xlfn.MAXIFS(_xlpm.date_col, _xlpm.doc_col, M401, _xlpm.status_col, "&lt;&gt;"),
  IF(_xlpm.has_sub=0, "",
    IF(_xlpm.latest_reviewed_date=0, "",
      _xlfn.LET(
        _xlpm.res, _xlfn.XLOOKUP(1, (_xlpm.doc_col=M401) * (_xlpm.date_col=_xlpm.latest_reviewed_date) * (_xlpm.status_col&lt;&gt;""), _xlpm.status_col, ""),
        IF(OR(_xlpm.res="", _xlpm.res=0), "", _xlpm.res)
      )
    )
  )
))</f>
        <v/>
      </c>
    </row>
    <row r="402" spans="1:25" x14ac:dyDescent="0.35">
      <c r="A402" s="33">
        <f>IF($M402="","",MAX($A$1:A401)+1)</f>
        <v>376</v>
      </c>
      <c r="B402" s="23" t="s">
        <v>54</v>
      </c>
      <c r="C402" s="23" t="s">
        <v>257</v>
      </c>
      <c r="G402" s="33">
        <v>131236</v>
      </c>
      <c r="H402" s="33" t="s">
        <v>59</v>
      </c>
      <c r="I402" s="33" t="s">
        <v>397</v>
      </c>
      <c r="J402" s="33" t="s">
        <v>3496</v>
      </c>
      <c r="K402" s="51" t="s">
        <v>3503</v>
      </c>
      <c r="M402" s="34" t="str">
        <f t="shared" si="6"/>
        <v>Deleted</v>
      </c>
      <c r="N402" s="26" t="s">
        <v>3783</v>
      </c>
      <c r="P402" s="34" t="s">
        <v>3467</v>
      </c>
      <c r="U402" s="64" t="str" cm="1">
        <f t="array" ref="U402">IF(OR(M402="", M402="Deleted"), "", _xlfn.LET(
  _xlpm.dates,
  _xlfn._xlws.FILTER(
    [1]SubmittalLog!$H$1:$H$4000,
    [1]SubmittalLog!$E$1:$E$4000=M402,
    ""
  ),
  _xlpm.min_date, IFERROR(MIN(_xlpm.dates), ""),
  IF(_xlpm.min_date=0, "", _xlpm.min_date)
))</f>
        <v/>
      </c>
      <c r="V402" s="63" t="str" cm="1">
        <f t="array" ref="V402">IF(OR(M402="", M402="Deleted"), "", IFERROR(
  _xlfn.TEXTJOIN(", ", TRUE,
    _xlfn.MAP(
      _xlfn.UNIQUE(
        _xlfn._xlws.FILTER(
          [1]SubmittalLog!$B$1:$B$4000,
          ([1]SubmittalLog!$E$1:$E$4000=M402) *
          ([1]SubmittalLog!$B$1:$B$4000&lt;&gt;""),
          ""
        )
      ),
      _xlfn.LAMBDA(_xlpm.val, TEXT(_xlpm.val, "000000"))
    )
  ),
""))</f>
        <v/>
      </c>
      <c r="W402" s="40" t="str" cm="1">
        <f t="array" ref="W402">IF(OR(M402="", M402="Deleted"), "", _xlfn.LET(
  _xlpm.doc_col, [1]SubmittalLog!$E$1:$E$4000,
  _xlpm.date_col, [1]SubmittalLog!$H$1:$H$4000,
  _xlpm.status_col, [1]SubmittalLog!$N$1:$N$4000,
  _xlpm.latest_date, _xlfn.MAXIFS(_xlpm.date_col, _xlpm.doc_col, M402),
  IF(_xlpm.latest_date=0, "NFS",
    _xlfn.LET(
      _xlpm.res, _xlfn.XLOOKUP(M402 &amp; "|" &amp; _xlpm.latest_date, _xlpm.doc_col &amp; "|" &amp; _xlpm.date_col, _xlpm.status_col, ""),
      IF(OR(_xlpm.res="", _xlpm.res=0), "", _xlpm.res)
    )
  )
))</f>
        <v/>
      </c>
      <c r="X402" s="39" t="str">
        <f>IF(OR(M402="", M402="Deleted"), "", _xlfn.LET(
  _xlpm.doc_col, [1]SubmittalLog!$E$1:$E$4000,
  _xlpm.date_col, [1]SubmittalLog!$H$1:$H$4000,
  _xlpm.status_col, [1]SubmittalLog!$O$1:$O$4000,
  _xlpm.first_app_date, _xlfn.MINIFS(_xlpm.date_col, _xlpm.doc_col, M402, _xlpm.status_col, "APP"),
  _xlpm.first_awc_date, _xlfn.MINIFS(_xlpm.date_col, _xlpm.doc_col, M402, _xlpm.status_col, "AWC"),
  _xlpm.earliest_date, IF(
    AND(_xlpm.first_app_date=0, _xlpm.first_awc_date=0), 0,
    IF(_xlpm.first_app_date=0, _xlpm.first_awc_date,
    IF(_xlpm.first_awc_date=0, _xlpm.first_app_date,
    MIN(_xlpm.first_app_date, _xlpm.first_awc_date)))
  ),
  IF(_xlpm.earliest_date=0, "", _xlpm.earliest_date)
))</f>
        <v/>
      </c>
      <c r="Y402" s="40" t="str" cm="1">
        <f t="array" ref="Y402">IF(OR(M402="", M402="Deleted"), "", _xlfn.LET(
  _xlpm.doc_col, [1]SubmittalLog!$E$1:$E$4000,
  _xlpm.date_col, [1]SubmittalLog!$H$1:$H$4000,
  _xlpm.status_col, [1]SubmittalLog!$O$1:$O$4000,
  _xlpm.has_sub, COUNTIF(_xlpm.doc_col, M402),
  _xlpm.latest_reviewed_date, _xlfn.MAXIFS(_xlpm.date_col, _xlpm.doc_col, M402, _xlpm.status_col, "&lt;&gt;"),
  IF(_xlpm.has_sub=0, "",
    IF(_xlpm.latest_reviewed_date=0, "",
      _xlfn.LET(
        _xlpm.res, _xlfn.XLOOKUP(1, (_xlpm.doc_col=M402) * (_xlpm.date_col=_xlpm.latest_reviewed_date) * (_xlpm.status_col&lt;&gt;""), _xlpm.status_col, ""),
        IF(OR(_xlpm.res="", _xlpm.res=0), "", _xlpm.res)
      )
    )
  )
))</f>
        <v/>
      </c>
    </row>
    <row r="403" spans="1:25" x14ac:dyDescent="0.35">
      <c r="A403" s="33">
        <f>IF($M403="","",MAX($A$1:A402)+1)</f>
        <v>377</v>
      </c>
      <c r="B403" s="23" t="s">
        <v>54</v>
      </c>
      <c r="C403" s="23" t="s">
        <v>257</v>
      </c>
      <c r="G403" s="33">
        <v>131236</v>
      </c>
      <c r="H403" s="33" t="s">
        <v>59</v>
      </c>
      <c r="I403" s="33" t="s">
        <v>397</v>
      </c>
      <c r="J403" s="33" t="s">
        <v>3496</v>
      </c>
      <c r="K403" s="51" t="s">
        <v>3505</v>
      </c>
      <c r="M403" s="34" t="str">
        <f t="shared" si="6"/>
        <v>Deleted</v>
      </c>
      <c r="N403" s="26" t="s">
        <v>3785</v>
      </c>
      <c r="P403" s="34" t="s">
        <v>3467</v>
      </c>
      <c r="U403" s="64" t="str" cm="1">
        <f t="array" ref="U403">IF(OR(M403="", M403="Deleted"), "", _xlfn.LET(
  _xlpm.dates,
  _xlfn._xlws.FILTER(
    [1]SubmittalLog!$H$1:$H$4000,
    [1]SubmittalLog!$E$1:$E$4000=M403,
    ""
  ),
  _xlpm.min_date, IFERROR(MIN(_xlpm.dates), ""),
  IF(_xlpm.min_date=0, "", _xlpm.min_date)
))</f>
        <v/>
      </c>
      <c r="V403" s="63" t="str" cm="1">
        <f t="array" ref="V403">IF(OR(M403="", M403="Deleted"), "", IFERROR(
  _xlfn.TEXTJOIN(", ", TRUE,
    _xlfn.MAP(
      _xlfn.UNIQUE(
        _xlfn._xlws.FILTER(
          [1]SubmittalLog!$B$1:$B$4000,
          ([1]SubmittalLog!$E$1:$E$4000=M403) *
          ([1]SubmittalLog!$B$1:$B$4000&lt;&gt;""),
          ""
        )
      ),
      _xlfn.LAMBDA(_xlpm.val, TEXT(_xlpm.val, "000000"))
    )
  ),
""))</f>
        <v/>
      </c>
      <c r="W403" s="40" t="str" cm="1">
        <f t="array" ref="W403">IF(OR(M403="", M403="Deleted"), "", _xlfn.LET(
  _xlpm.doc_col, [1]SubmittalLog!$E$1:$E$4000,
  _xlpm.date_col, [1]SubmittalLog!$H$1:$H$4000,
  _xlpm.status_col, [1]SubmittalLog!$N$1:$N$4000,
  _xlpm.latest_date, _xlfn.MAXIFS(_xlpm.date_col, _xlpm.doc_col, M403),
  IF(_xlpm.latest_date=0, "NFS",
    _xlfn.LET(
      _xlpm.res, _xlfn.XLOOKUP(M403 &amp; "|" &amp; _xlpm.latest_date, _xlpm.doc_col &amp; "|" &amp; _xlpm.date_col, _xlpm.status_col, ""),
      IF(OR(_xlpm.res="", _xlpm.res=0), "", _xlpm.res)
    )
  )
))</f>
        <v/>
      </c>
      <c r="X403" s="39" t="str">
        <f>IF(OR(M403="", M403="Deleted"), "", _xlfn.LET(
  _xlpm.doc_col, [1]SubmittalLog!$E$1:$E$4000,
  _xlpm.date_col, [1]SubmittalLog!$H$1:$H$4000,
  _xlpm.status_col, [1]SubmittalLog!$O$1:$O$4000,
  _xlpm.first_app_date, _xlfn.MINIFS(_xlpm.date_col, _xlpm.doc_col, M403, _xlpm.status_col, "APP"),
  _xlpm.first_awc_date, _xlfn.MINIFS(_xlpm.date_col, _xlpm.doc_col, M403, _xlpm.status_col, "AWC"),
  _xlpm.earliest_date, IF(
    AND(_xlpm.first_app_date=0, _xlpm.first_awc_date=0), 0,
    IF(_xlpm.first_app_date=0, _xlpm.first_awc_date,
    IF(_xlpm.first_awc_date=0, _xlpm.first_app_date,
    MIN(_xlpm.first_app_date, _xlpm.first_awc_date)))
  ),
  IF(_xlpm.earliest_date=0, "", _xlpm.earliest_date)
))</f>
        <v/>
      </c>
      <c r="Y403" s="40" t="str" cm="1">
        <f t="array" ref="Y403">IF(OR(M403="", M403="Deleted"), "", _xlfn.LET(
  _xlpm.doc_col, [1]SubmittalLog!$E$1:$E$4000,
  _xlpm.date_col, [1]SubmittalLog!$H$1:$H$4000,
  _xlpm.status_col, [1]SubmittalLog!$O$1:$O$4000,
  _xlpm.has_sub, COUNTIF(_xlpm.doc_col, M403),
  _xlpm.latest_reviewed_date, _xlfn.MAXIFS(_xlpm.date_col, _xlpm.doc_col, M403, _xlpm.status_col, "&lt;&gt;"),
  IF(_xlpm.has_sub=0, "",
    IF(_xlpm.latest_reviewed_date=0, "",
      _xlfn.LET(
        _xlpm.res, _xlfn.XLOOKUP(1, (_xlpm.doc_col=M403) * (_xlpm.date_col=_xlpm.latest_reviewed_date) * (_xlpm.status_col&lt;&gt;""), _xlpm.status_col, ""),
        IF(OR(_xlpm.res="", _xlpm.res=0), "", _xlpm.res)
      )
    )
  )
))</f>
        <v/>
      </c>
    </row>
    <row r="404" spans="1:25" x14ac:dyDescent="0.35">
      <c r="A404" s="33">
        <f>IF($M404="","",MAX($A$1:A403)+1)</f>
        <v>378</v>
      </c>
      <c r="B404" s="23" t="s">
        <v>54</v>
      </c>
      <c r="C404" s="23" t="s">
        <v>257</v>
      </c>
      <c r="G404" s="33">
        <v>131236</v>
      </c>
      <c r="H404" s="33" t="s">
        <v>59</v>
      </c>
      <c r="I404" s="33" t="s">
        <v>397</v>
      </c>
      <c r="J404" s="33" t="s">
        <v>3496</v>
      </c>
      <c r="K404" s="51" t="s">
        <v>3521</v>
      </c>
      <c r="M404" s="34" t="str">
        <f t="shared" si="6"/>
        <v>Deleted</v>
      </c>
      <c r="N404" s="26" t="s">
        <v>3782</v>
      </c>
      <c r="P404" s="34" t="s">
        <v>3467</v>
      </c>
      <c r="U404" s="64" t="str" cm="1">
        <f t="array" ref="U404">IF(OR(M404="", M404="Deleted"), "", _xlfn.LET(
  _xlpm.dates,
  _xlfn._xlws.FILTER(
    [1]SubmittalLog!$H$1:$H$4000,
    [1]SubmittalLog!$E$1:$E$4000=M404,
    ""
  ),
  _xlpm.min_date, IFERROR(MIN(_xlpm.dates), ""),
  IF(_xlpm.min_date=0, "", _xlpm.min_date)
))</f>
        <v/>
      </c>
      <c r="V404" s="63" t="str" cm="1">
        <f t="array" ref="V404">IF(OR(M404="", M404="Deleted"), "", IFERROR(
  _xlfn.TEXTJOIN(", ", TRUE,
    _xlfn.MAP(
      _xlfn.UNIQUE(
        _xlfn._xlws.FILTER(
          [1]SubmittalLog!$B$1:$B$4000,
          ([1]SubmittalLog!$E$1:$E$4000=M404) *
          ([1]SubmittalLog!$B$1:$B$4000&lt;&gt;""),
          ""
        )
      ),
      _xlfn.LAMBDA(_xlpm.val, TEXT(_xlpm.val, "000000"))
    )
  ),
""))</f>
        <v/>
      </c>
      <c r="W404" s="40" t="str" cm="1">
        <f t="array" ref="W404">IF(OR(M404="", M404="Deleted"), "", _xlfn.LET(
  _xlpm.doc_col, [1]SubmittalLog!$E$1:$E$4000,
  _xlpm.date_col, [1]SubmittalLog!$H$1:$H$4000,
  _xlpm.status_col, [1]SubmittalLog!$N$1:$N$4000,
  _xlpm.latest_date, _xlfn.MAXIFS(_xlpm.date_col, _xlpm.doc_col, M404),
  IF(_xlpm.latest_date=0, "NFS",
    _xlfn.LET(
      _xlpm.res, _xlfn.XLOOKUP(M404 &amp; "|" &amp; _xlpm.latest_date, _xlpm.doc_col &amp; "|" &amp; _xlpm.date_col, _xlpm.status_col, ""),
      IF(OR(_xlpm.res="", _xlpm.res=0), "", _xlpm.res)
    )
  )
))</f>
        <v/>
      </c>
      <c r="X404" s="39" t="str">
        <f>IF(OR(M404="", M404="Deleted"), "", _xlfn.LET(
  _xlpm.doc_col, [1]SubmittalLog!$E$1:$E$4000,
  _xlpm.date_col, [1]SubmittalLog!$H$1:$H$4000,
  _xlpm.status_col, [1]SubmittalLog!$O$1:$O$4000,
  _xlpm.first_app_date, _xlfn.MINIFS(_xlpm.date_col, _xlpm.doc_col, M404, _xlpm.status_col, "APP"),
  _xlpm.first_awc_date, _xlfn.MINIFS(_xlpm.date_col, _xlpm.doc_col, M404, _xlpm.status_col, "AWC"),
  _xlpm.earliest_date, IF(
    AND(_xlpm.first_app_date=0, _xlpm.first_awc_date=0), 0,
    IF(_xlpm.first_app_date=0, _xlpm.first_awc_date,
    IF(_xlpm.first_awc_date=0, _xlpm.first_app_date,
    MIN(_xlpm.first_app_date, _xlpm.first_awc_date)))
  ),
  IF(_xlpm.earliest_date=0, "", _xlpm.earliest_date)
))</f>
        <v/>
      </c>
      <c r="Y404" s="40" t="str" cm="1">
        <f t="array" ref="Y404">IF(OR(M404="", M404="Deleted"), "", _xlfn.LET(
  _xlpm.doc_col, [1]SubmittalLog!$E$1:$E$4000,
  _xlpm.date_col, [1]SubmittalLog!$H$1:$H$4000,
  _xlpm.status_col, [1]SubmittalLog!$O$1:$O$4000,
  _xlpm.has_sub, COUNTIF(_xlpm.doc_col, M404),
  _xlpm.latest_reviewed_date, _xlfn.MAXIFS(_xlpm.date_col, _xlpm.doc_col, M404, _xlpm.status_col, "&lt;&gt;"),
  IF(_xlpm.has_sub=0, "",
    IF(_xlpm.latest_reviewed_date=0, "",
      _xlfn.LET(
        _xlpm.res, _xlfn.XLOOKUP(1, (_xlpm.doc_col=M404) * (_xlpm.date_col=_xlpm.latest_reviewed_date) * (_xlpm.status_col&lt;&gt;""), _xlpm.status_col, ""),
        IF(OR(_xlpm.res="", _xlpm.res=0), "", _xlpm.res)
      )
    )
  )
))</f>
        <v/>
      </c>
    </row>
  </sheetData>
  <autoFilter ref="A1:Y404" xr:uid="{7CECDA1E-5E6C-4081-96D8-4BE17D5DCF24}"/>
  <conditionalFormatting sqref="A1:XFD1048576">
    <cfRule type="expression" dxfId="5" priority="1">
      <formula>_xlfn.ISFORMULA(A1)</formula>
    </cfRule>
  </conditionalFormatting>
  <dataValidations count="2">
    <dataValidation type="list" allowBlank="1" showInputMessage="1" showErrorMessage="1" sqref="R2:R1048576 P2:P1048576" xr:uid="{A97A29D6-EAC7-4F77-87BE-E72BEE572B7D}">
      <formula1>"YES,NO"</formula1>
    </dataValidation>
    <dataValidation type="date" operator="greaterThan" allowBlank="1" showInputMessage="1" showErrorMessage="1" sqref="S2:T1048576 U405:U1048576" xr:uid="{D52C58E3-E9E1-4C11-AEEF-EBDB42D0B5D8}">
      <formula1>45658</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8">
        <x14:dataValidation type="list" allowBlank="1" showInputMessage="1" showErrorMessage="1" xr:uid="{00028E9B-E830-48FF-8EA0-1CDB9CCBDC77}">
          <x14:formula1>
            <xm:f>BQ!$A:$A</xm:f>
          </x14:formula1>
          <xm:sqref>E2:E1048576</xm:sqref>
        </x14:dataValidation>
        <x14:dataValidation type="list" allowBlank="1" showInputMessage="1" showErrorMessage="1" xr:uid="{3DCE8EB0-2D61-4C5F-B3B4-126C1B2D723D}">
          <x14:formula1>
            <xm:f>Code!$Z:$Z</xm:f>
          </x14:formula1>
          <xm:sqref>Q2:Q1048576</xm:sqref>
        </x14:dataValidation>
        <x14:dataValidation type="list" allowBlank="1" showInputMessage="1" showErrorMessage="1" xr:uid="{3BBFFBDD-EFF1-4124-9EF3-C682184D9F0D}">
          <x14:formula1>
            <xm:f>Code!$K:$K</xm:f>
          </x14:formula1>
          <xm:sqref>G2:G1048576</xm:sqref>
        </x14:dataValidation>
        <x14:dataValidation type="list" allowBlank="1" showInputMessage="1" showErrorMessage="1" xr:uid="{89F33319-F619-4B1A-8B25-1EAE156AF07E}">
          <x14:formula1>
            <xm:f>Code!$T:$T</xm:f>
          </x14:formula1>
          <xm:sqref>J2:J1048576</xm:sqref>
        </x14:dataValidation>
        <x14:dataValidation type="list" allowBlank="1" showInputMessage="1" showErrorMessage="1" xr:uid="{BBCC5BC1-EA2D-4408-89EF-D8F9C8E3D0A5}">
          <x14:formula1>
            <xm:f>Code!$Q:$Q</xm:f>
          </x14:formula1>
          <xm:sqref>I2:I1048576</xm:sqref>
        </x14:dataValidation>
        <x14:dataValidation type="list" allowBlank="1" showInputMessage="1" showErrorMessage="1" xr:uid="{BED59041-84E6-4143-9940-2967AFB7BA6B}">
          <x14:formula1>
            <xm:f>Code!$N:$N</xm:f>
          </x14:formula1>
          <xm:sqref>H2:H1048576</xm:sqref>
        </x14:dataValidation>
        <x14:dataValidation type="list" allowBlank="1" showInputMessage="1" showErrorMessage="1" xr:uid="{399D1C36-A642-4B2E-8FE4-170E8D68B5FD}">
          <x14:formula1>
            <xm:f>Code!$H:$H</xm:f>
          </x14:formula1>
          <xm:sqref>C2:C1048576</xm:sqref>
        </x14:dataValidation>
        <x14:dataValidation type="list" allowBlank="1" showInputMessage="1" showErrorMessage="1" xr:uid="{E68263DD-7225-464D-B4F9-5382D701E1D7}">
          <x14:formula1>
            <xm:f>Code!$E:$E</xm:f>
          </x14:formula1>
          <xm:sqref>B2:B1048576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C2D238-8923-4002-A8C9-8E198E36BFAA}">
  <dimension ref="A1:Y38"/>
  <sheetViews>
    <sheetView topLeftCell="J1" workbookViewId="0">
      <selection activeCell="U2" sqref="U2:Y15"/>
    </sheetView>
  </sheetViews>
  <sheetFormatPr defaultRowHeight="14.5" x14ac:dyDescent="0.35"/>
  <cols>
    <col min="3" max="3" width="14.1796875" bestFit="1" customWidth="1"/>
    <col min="4" max="4" width="12" bestFit="1" customWidth="1"/>
    <col min="5" max="5" width="10.7265625" style="23" bestFit="1" customWidth="1"/>
    <col min="6" max="6" width="7.1796875" bestFit="1" customWidth="1"/>
    <col min="7" max="7" width="11.7265625" style="11" bestFit="1" customWidth="1"/>
    <col min="8" max="8" width="12.54296875" style="11" bestFit="1" customWidth="1"/>
    <col min="9" max="9" width="8.54296875" style="11" bestFit="1" customWidth="1"/>
    <col min="10" max="10" width="9.26953125" style="11" bestFit="1" customWidth="1"/>
    <col min="11" max="11" width="8.7265625" style="11"/>
    <col min="12" max="12" width="5.1796875" style="11" customWidth="1"/>
    <col min="13" max="13" width="23.1796875" style="15" bestFit="1" customWidth="1"/>
    <col min="14" max="14" width="29.1796875" style="15" customWidth="1"/>
    <col min="15" max="16" width="8.453125" style="15" customWidth="1"/>
    <col min="17" max="17" width="9" style="15" bestFit="1" customWidth="1"/>
    <col min="18" max="18" width="11.453125" style="15" bestFit="1" customWidth="1"/>
    <col min="19" max="19" width="20.1796875" style="17" bestFit="1" customWidth="1"/>
    <col min="20" max="20" width="24.54296875" style="17" customWidth="1"/>
    <col min="21" max="21" width="18.54296875" style="17" bestFit="1" customWidth="1"/>
    <col min="22" max="22" width="13.81640625" style="11" bestFit="1" customWidth="1"/>
    <col min="23" max="23" width="22.453125" style="11" bestFit="1" customWidth="1"/>
    <col min="24" max="24" width="18.54296875" style="17" bestFit="1" customWidth="1"/>
    <col min="25" max="25" width="19.81640625" style="11" bestFit="1" customWidth="1"/>
  </cols>
  <sheetData>
    <row r="1" spans="1:25" s="12" customFormat="1" x14ac:dyDescent="0.35">
      <c r="A1" s="13" t="s">
        <v>225</v>
      </c>
      <c r="B1" s="14" t="s">
        <v>237</v>
      </c>
      <c r="C1" s="14" t="s">
        <v>30</v>
      </c>
      <c r="D1" s="14" t="s">
        <v>260</v>
      </c>
      <c r="E1" s="30" t="s">
        <v>270</v>
      </c>
      <c r="F1" s="14" t="s">
        <v>281</v>
      </c>
      <c r="G1" s="13" t="s">
        <v>75</v>
      </c>
      <c r="H1" s="13" t="s">
        <v>303</v>
      </c>
      <c r="I1" s="13" t="s">
        <v>315</v>
      </c>
      <c r="J1" s="13" t="s">
        <v>327</v>
      </c>
      <c r="K1" s="13" t="s">
        <v>334</v>
      </c>
      <c r="L1" s="13" t="s">
        <v>340</v>
      </c>
      <c r="M1" s="13" t="s">
        <v>346</v>
      </c>
      <c r="N1" s="13" t="s">
        <v>352</v>
      </c>
      <c r="O1" s="13" t="s">
        <v>358</v>
      </c>
      <c r="P1" s="14" t="s">
        <v>364</v>
      </c>
      <c r="Q1" s="14" t="s">
        <v>370</v>
      </c>
      <c r="R1" s="14" t="s">
        <v>376</v>
      </c>
      <c r="S1" s="27" t="s">
        <v>380</v>
      </c>
      <c r="T1" s="27" t="s">
        <v>384</v>
      </c>
      <c r="U1" s="27" t="s">
        <v>388</v>
      </c>
      <c r="V1" s="14" t="s">
        <v>392</v>
      </c>
      <c r="W1" s="14" t="s">
        <v>44</v>
      </c>
      <c r="X1" s="16" t="s">
        <v>399</v>
      </c>
      <c r="Y1" s="14" t="s">
        <v>403</v>
      </c>
    </row>
    <row r="2" spans="1:25" x14ac:dyDescent="0.35">
      <c r="A2" s="11" t="str">
        <f>IF($M2="","",MAX($A$1:A1)+1)</f>
        <v/>
      </c>
      <c r="M2" s="34" t="str">
        <f t="shared" ref="M2:M15" si="0">IF(B2="Deleted","Deleted",_xlfn.TEXTJOIN("-",TRUE,G2,H2,I2,J2,IF(K2="","",TEXT(K2,"0000"))))</f>
        <v/>
      </c>
      <c r="U2" s="21" t="str" cm="1">
        <f t="array" ref="U2">IF(OR(M2="", M2="Deleted"), "", _xlfn.LET(
  _xlpm.dates,
  _xlfn._xlws.FILTER(
    [1]SubmittalLog!$H$1:$H$4000,
    [1]SubmittalLog!$E$1:$E$4000=M2,
    ""
  ),
  _xlpm.min_date, IFERROR(MIN(_xlpm.dates), ""),
  IF(_xlpm.min_date=0, "", _xlpm.min_date)
))</f>
        <v/>
      </c>
      <c r="V2" s="63" t="str" cm="1">
        <f t="array" ref="V2">IF(OR(M2="", M2="Deleted"), "", IFERROR(
  _xlfn.TEXTJOIN(", ", TRUE,
    _xlfn.MAP(
      _xlfn.UNIQUE(
        _xlfn._xlws.FILTER(
          [1]SubmittalLog!$B$1:$B$4000,
          ([1]SubmittalLog!$E$1:$E$4000=M2) *
          ([1]SubmittalLog!$B$1:$B$4000&lt;&gt;""),
          ""
        )
      ),
      _xlfn.LAMBDA(_xlpm.val, TEXT(_xlpm.val, "000000"))
    )
  ),
""))</f>
        <v/>
      </c>
      <c r="W2" s="40" t="str" cm="1">
        <f t="array" ref="W2">IF(OR(M2="", M2="Deleted"), "", _xlfn.LET(
  _xlpm.doc_col, [1]SubmittalLog!$E$1:$E$4000,
  _xlpm.date_col, [1]SubmittalLog!$H$1:$H$4000,
  _xlpm.status_col, [1]SubmittalLog!$N$1:$N$4000,
  _xlpm.latest_date, _xlfn.MAXIFS(_xlpm.date_col, _xlpm.doc_col, M2),
  IF(_xlpm.latest_date=0, "NFS",
    _xlfn.LET(
      _xlpm.res, _xlfn.XLOOKUP(M2 &amp; "|" &amp; _xlpm.latest_date, _xlpm.doc_col &amp; "|" &amp; _xlpm.date_col, _xlpm.status_col, ""),
      IF(OR(_xlpm.res="", _xlpm.res=0), "", _xlpm.res)
    )
  )
))</f>
        <v/>
      </c>
      <c r="X2" s="39" t="str">
        <f>IF(OR(M2="", M2="Deleted"), "", _xlfn.LET(
  _xlpm.doc_col, [1]SubmittalLog!$E$1:$E$4000,
  _xlpm.date_col, [1]SubmittalLog!$H$1:$H$4000,
  _xlpm.status_col, [1]SubmittalLog!$O$1:$O$4000,
  _xlpm.first_app_date, _xlfn.MINIFS(_xlpm.date_col, _xlpm.doc_col, M2, _xlpm.status_col, "APP"),
  _xlpm.first_awc_date, _xlfn.MINIFS(_xlpm.date_col, _xlpm.doc_col, M2, _xlpm.status_col, "AWC"),
  _xlpm.earliest_date, IF(
    AND(_xlpm.first_app_date=0, _xlpm.first_awc_date=0), 0,
    IF(_xlpm.first_app_date=0, _xlpm.first_awc_date,
    IF(_xlpm.first_awc_date=0, _xlpm.first_app_date,
    MIN(_xlpm.first_app_date, _xlpm.first_awc_date)))
  ),
  IF(_xlpm.earliest_date=0, "", _xlpm.earliest_date)
))</f>
        <v/>
      </c>
      <c r="Y2" s="40" t="str" cm="1">
        <f t="array" ref="Y2">IF(OR(M2="", M2="Deleted"), "", _xlfn.LET(
  _xlpm.doc_col, [1]SubmittalLog!$E$1:$E$4000,
  _xlpm.date_col, [1]SubmittalLog!$H$1:$H$4000,
  _xlpm.status_col, [1]SubmittalLog!$O$1:$O$4000,
  _xlpm.has_sub, COUNTIF(_xlpm.doc_col, M2),
  _xlpm.latest_reviewed_date, _xlfn.MAXIFS(_xlpm.date_col, _xlpm.doc_col, M2, _xlpm.status_col, "&lt;&gt;"),
  IF(_xlpm.has_sub=0, "",
    IF(_xlpm.latest_reviewed_date=0, "",
      _xlfn.LET(
        _xlpm.res, _xlfn.XLOOKUP(1, (_xlpm.doc_col=M2) * (_xlpm.date_col=_xlpm.latest_reviewed_date) * (_xlpm.status_col&lt;&gt;""), _xlpm.status_col, ""),
        IF(OR(_xlpm.res="", _xlpm.res=0), "", _xlpm.res)
      )
    )
  )
))</f>
        <v/>
      </c>
    </row>
    <row r="3" spans="1:25" x14ac:dyDescent="0.35">
      <c r="A3" s="11">
        <f>IF($M3="","",MAX($A$1:A2)+1)</f>
        <v>1</v>
      </c>
      <c r="B3" t="s">
        <v>213</v>
      </c>
      <c r="C3" t="s">
        <v>274</v>
      </c>
      <c r="G3" s="11">
        <v>131236</v>
      </c>
      <c r="H3" s="11" t="s">
        <v>59</v>
      </c>
      <c r="I3" s="11" t="s">
        <v>442</v>
      </c>
      <c r="J3" s="11" t="s">
        <v>206</v>
      </c>
      <c r="K3" s="11" t="s">
        <v>3466</v>
      </c>
      <c r="M3" s="34" t="str">
        <f t="shared" si="0"/>
        <v>131236-WIL21-SN-IM-xxxx</v>
      </c>
      <c r="P3" s="15" t="s">
        <v>3467</v>
      </c>
      <c r="R3" s="15" t="s">
        <v>3467</v>
      </c>
      <c r="S3" s="17">
        <v>46024</v>
      </c>
      <c r="U3" s="21" t="str" cm="1">
        <f t="array" ref="U3">IF(OR(M3="", M3="Deleted"), "", _xlfn.LET(
  _xlpm.dates,
  _xlfn._xlws.FILTER(
    [1]SubmittalLog!$H$1:$H$4000,
    [1]SubmittalLog!$E$1:$E$4000=M3,
    ""
  ),
  _xlpm.min_date, IFERROR(MIN(_xlpm.dates), ""),
  IF(_xlpm.min_date=0, "", _xlpm.min_date)
))</f>
        <v/>
      </c>
      <c r="V3" s="63" t="str" cm="1">
        <f t="array" ref="V3">IF(OR(M3="", M3="Deleted"), "", IFERROR(
  _xlfn.TEXTJOIN(", ", TRUE,
    _xlfn.MAP(
      _xlfn.UNIQUE(
        _xlfn._xlws.FILTER(
          [1]SubmittalLog!$B$1:$B$4000,
          ([1]SubmittalLog!$E$1:$E$4000=M3) *
          ([1]SubmittalLog!$B$1:$B$4000&lt;&gt;""),
          ""
        )
      ),
      _xlfn.LAMBDA(_xlpm.val, TEXT(_xlpm.val, "000000"))
    )
  ),
""))</f>
        <v/>
      </c>
      <c r="W3" s="40" t="str" cm="1">
        <f t="array" ref="W3">IF(OR(M3="", M3="Deleted"), "", _xlfn.LET(
  _xlpm.doc_col, [1]SubmittalLog!$E$1:$E$4000,
  _xlpm.date_col, [1]SubmittalLog!$H$1:$H$4000,
  _xlpm.status_col, [1]SubmittalLog!$N$1:$N$4000,
  _xlpm.latest_date, _xlfn.MAXIFS(_xlpm.date_col, _xlpm.doc_col, M3),
  IF(_xlpm.latest_date=0, "NFS",
    _xlfn.LET(
      _xlpm.res, _xlfn.XLOOKUP(M3 &amp; "|" &amp; _xlpm.latest_date, _xlpm.doc_col &amp; "|" &amp; _xlpm.date_col, _xlpm.status_col, ""),
      IF(OR(_xlpm.res="", _xlpm.res=0), "", _xlpm.res)
    )
  )
))</f>
        <v>NFS</v>
      </c>
      <c r="X3" s="39" t="str">
        <f>IF(OR(M3="", M3="Deleted"), "", _xlfn.LET(
  _xlpm.doc_col, [1]SubmittalLog!$E$1:$E$4000,
  _xlpm.date_col, [1]SubmittalLog!$H$1:$H$4000,
  _xlpm.status_col, [1]SubmittalLog!$O$1:$O$4000,
  _xlpm.first_app_date, _xlfn.MINIFS(_xlpm.date_col, _xlpm.doc_col, M3, _xlpm.status_col, "APP"),
  _xlpm.first_awc_date, _xlfn.MINIFS(_xlpm.date_col, _xlpm.doc_col, M3, _xlpm.status_col, "AWC"),
  _xlpm.earliest_date, IF(
    AND(_xlpm.first_app_date=0, _xlpm.first_awc_date=0), 0,
    IF(_xlpm.first_app_date=0, _xlpm.first_awc_date,
    IF(_xlpm.first_awc_date=0, _xlpm.first_app_date,
    MIN(_xlpm.first_app_date, _xlpm.first_awc_date)))
  ),
  IF(_xlpm.earliest_date=0, "", _xlpm.earliest_date)
))</f>
        <v/>
      </c>
      <c r="Y3" s="40" t="str" cm="1">
        <f t="array" ref="Y3">IF(OR(M3="", M3="Deleted"), "", _xlfn.LET(
  _xlpm.doc_col, [1]SubmittalLog!$E$1:$E$4000,
  _xlpm.date_col, [1]SubmittalLog!$H$1:$H$4000,
  _xlpm.status_col, [1]SubmittalLog!$O$1:$O$4000,
  _xlpm.has_sub, COUNTIF(_xlpm.doc_col, M3),
  _xlpm.latest_reviewed_date, _xlfn.MAXIFS(_xlpm.date_col, _xlpm.doc_col, M3, _xlpm.status_col, "&lt;&gt;"),
  IF(_xlpm.has_sub=0, "",
    IF(_xlpm.latest_reviewed_date=0, "",
      _xlfn.LET(
        _xlpm.res, _xlfn.XLOOKUP(1, (_xlpm.doc_col=M3) * (_xlpm.date_col=_xlpm.latest_reviewed_date) * (_xlpm.status_col&lt;&gt;""), _xlpm.status_col, ""),
        IF(OR(_xlpm.res="", _xlpm.res=0), "", _xlpm.res)
      )
    )
  )
))</f>
        <v/>
      </c>
    </row>
    <row r="4" spans="1:25" x14ac:dyDescent="0.35">
      <c r="A4" s="11">
        <f>IF($M4="","",MAX($A$1:A3)+1)</f>
        <v>2</v>
      </c>
      <c r="B4" t="s">
        <v>213</v>
      </c>
      <c r="C4" t="s">
        <v>274</v>
      </c>
      <c r="G4" s="11">
        <v>131236</v>
      </c>
      <c r="H4" s="11" t="s">
        <v>59</v>
      </c>
      <c r="I4" s="11" t="s">
        <v>442</v>
      </c>
      <c r="J4" s="11" t="s">
        <v>206</v>
      </c>
      <c r="K4" s="11" t="s">
        <v>3466</v>
      </c>
      <c r="M4" s="34" t="str">
        <f t="shared" si="0"/>
        <v>131236-WIL21-SN-IM-xxxx</v>
      </c>
      <c r="P4" s="15" t="s">
        <v>3467</v>
      </c>
      <c r="R4" s="15" t="s">
        <v>3467</v>
      </c>
      <c r="S4" s="17">
        <v>46025</v>
      </c>
      <c r="U4" s="21" t="str" cm="1">
        <f t="array" ref="U4">IF(OR(M4="", M4="Deleted"), "", _xlfn.LET(
  _xlpm.dates,
  _xlfn._xlws.FILTER(
    [1]SubmittalLog!$H$1:$H$4000,
    [1]SubmittalLog!$E$1:$E$4000=M4,
    ""
  ),
  _xlpm.min_date, IFERROR(MIN(_xlpm.dates), ""),
  IF(_xlpm.min_date=0, "", _xlpm.min_date)
))</f>
        <v/>
      </c>
      <c r="V4" s="63" t="str" cm="1">
        <f t="array" ref="V4">IF(OR(M4="", M4="Deleted"), "", IFERROR(
  _xlfn.TEXTJOIN(", ", TRUE,
    _xlfn.MAP(
      _xlfn.UNIQUE(
        _xlfn._xlws.FILTER(
          [1]SubmittalLog!$B$1:$B$4000,
          ([1]SubmittalLog!$E$1:$E$4000=M4) *
          ([1]SubmittalLog!$B$1:$B$4000&lt;&gt;""),
          ""
        )
      ),
      _xlfn.LAMBDA(_xlpm.val, TEXT(_xlpm.val, "000000"))
    )
  ),
""))</f>
        <v/>
      </c>
      <c r="W4" s="40" t="str" cm="1">
        <f t="array" ref="W4">IF(OR(M4="", M4="Deleted"), "", _xlfn.LET(
  _xlpm.doc_col, [1]SubmittalLog!$E$1:$E$4000,
  _xlpm.date_col, [1]SubmittalLog!$H$1:$H$4000,
  _xlpm.status_col, [1]SubmittalLog!$N$1:$N$4000,
  _xlpm.latest_date, _xlfn.MAXIFS(_xlpm.date_col, _xlpm.doc_col, M4),
  IF(_xlpm.latest_date=0, "NFS",
    _xlfn.LET(
      _xlpm.res, _xlfn.XLOOKUP(M4 &amp; "|" &amp; _xlpm.latest_date, _xlpm.doc_col &amp; "|" &amp; _xlpm.date_col, _xlpm.status_col, ""),
      IF(OR(_xlpm.res="", _xlpm.res=0), "", _xlpm.res)
    )
  )
))</f>
        <v>NFS</v>
      </c>
      <c r="X4" s="39" t="str">
        <f>IF(OR(M4="", M4="Deleted"), "", _xlfn.LET(
  _xlpm.doc_col, [1]SubmittalLog!$E$1:$E$4000,
  _xlpm.date_col, [1]SubmittalLog!$H$1:$H$4000,
  _xlpm.status_col, [1]SubmittalLog!$O$1:$O$4000,
  _xlpm.first_app_date, _xlfn.MINIFS(_xlpm.date_col, _xlpm.doc_col, M4, _xlpm.status_col, "APP"),
  _xlpm.first_awc_date, _xlfn.MINIFS(_xlpm.date_col, _xlpm.doc_col, M4, _xlpm.status_col, "AWC"),
  _xlpm.earliest_date, IF(
    AND(_xlpm.first_app_date=0, _xlpm.first_awc_date=0), 0,
    IF(_xlpm.first_app_date=0, _xlpm.first_awc_date,
    IF(_xlpm.first_awc_date=0, _xlpm.first_app_date,
    MIN(_xlpm.first_app_date, _xlpm.first_awc_date)))
  ),
  IF(_xlpm.earliest_date=0, "", _xlpm.earliest_date)
))</f>
        <v/>
      </c>
      <c r="Y4" s="40" t="str" cm="1">
        <f t="array" ref="Y4">IF(OR(M4="", M4="Deleted"), "", _xlfn.LET(
  _xlpm.doc_col, [1]SubmittalLog!$E$1:$E$4000,
  _xlpm.date_col, [1]SubmittalLog!$H$1:$H$4000,
  _xlpm.status_col, [1]SubmittalLog!$O$1:$O$4000,
  _xlpm.has_sub, COUNTIF(_xlpm.doc_col, M4),
  _xlpm.latest_reviewed_date, _xlfn.MAXIFS(_xlpm.date_col, _xlpm.doc_col, M4, _xlpm.status_col, "&lt;&gt;"),
  IF(_xlpm.has_sub=0, "",
    IF(_xlpm.latest_reviewed_date=0, "",
      _xlfn.LET(
        _xlpm.res, _xlfn.XLOOKUP(1, (_xlpm.doc_col=M4) * (_xlpm.date_col=_xlpm.latest_reviewed_date) * (_xlpm.status_col&lt;&gt;""), _xlpm.status_col, ""),
        IF(OR(_xlpm.res="", _xlpm.res=0), "", _xlpm.res)
      )
    )
  )
))</f>
        <v/>
      </c>
    </row>
    <row r="5" spans="1:25" x14ac:dyDescent="0.35">
      <c r="A5" s="11">
        <f>IF($M5="","",MAX($A$1:A4)+1)</f>
        <v>3</v>
      </c>
      <c r="B5" t="s">
        <v>213</v>
      </c>
      <c r="C5" t="s">
        <v>274</v>
      </c>
      <c r="G5" s="11">
        <v>131236</v>
      </c>
      <c r="H5" s="11" t="s">
        <v>59</v>
      </c>
      <c r="I5" s="11" t="s">
        <v>442</v>
      </c>
      <c r="J5" s="11" t="s">
        <v>206</v>
      </c>
      <c r="K5" s="11" t="s">
        <v>3466</v>
      </c>
      <c r="M5" s="34" t="str">
        <f t="shared" si="0"/>
        <v>131236-WIL21-SN-IM-xxxx</v>
      </c>
      <c r="P5" s="15" t="s">
        <v>3467</v>
      </c>
      <c r="R5" s="15" t="s">
        <v>3467</v>
      </c>
      <c r="S5" s="17">
        <v>46026</v>
      </c>
      <c r="U5" s="21" t="str" cm="1">
        <f t="array" ref="U5">IF(OR(M5="", M5="Deleted"), "", _xlfn.LET(
  _xlpm.dates,
  _xlfn._xlws.FILTER(
    [1]SubmittalLog!$H$1:$H$4000,
    [1]SubmittalLog!$E$1:$E$4000=M5,
    ""
  ),
  _xlpm.min_date, IFERROR(MIN(_xlpm.dates), ""),
  IF(_xlpm.min_date=0, "", _xlpm.min_date)
))</f>
        <v/>
      </c>
      <c r="V5" s="63" t="str" cm="1">
        <f t="array" ref="V5">IF(OR(M5="", M5="Deleted"), "", IFERROR(
  _xlfn.TEXTJOIN(", ", TRUE,
    _xlfn.MAP(
      _xlfn.UNIQUE(
        _xlfn._xlws.FILTER(
          [1]SubmittalLog!$B$1:$B$4000,
          ([1]SubmittalLog!$E$1:$E$4000=M5) *
          ([1]SubmittalLog!$B$1:$B$4000&lt;&gt;""),
          ""
        )
      ),
      _xlfn.LAMBDA(_xlpm.val, TEXT(_xlpm.val, "000000"))
    )
  ),
""))</f>
        <v/>
      </c>
      <c r="W5" s="40" t="str" cm="1">
        <f t="array" ref="W5">IF(OR(M5="", M5="Deleted"), "", _xlfn.LET(
  _xlpm.doc_col, [1]SubmittalLog!$E$1:$E$4000,
  _xlpm.date_col, [1]SubmittalLog!$H$1:$H$4000,
  _xlpm.status_col, [1]SubmittalLog!$N$1:$N$4000,
  _xlpm.latest_date, _xlfn.MAXIFS(_xlpm.date_col, _xlpm.doc_col, M5),
  IF(_xlpm.latest_date=0, "NFS",
    _xlfn.LET(
      _xlpm.res, _xlfn.XLOOKUP(M5 &amp; "|" &amp; _xlpm.latest_date, _xlpm.doc_col &amp; "|" &amp; _xlpm.date_col, _xlpm.status_col, ""),
      IF(OR(_xlpm.res="", _xlpm.res=0), "", _xlpm.res)
    )
  )
))</f>
        <v>NFS</v>
      </c>
      <c r="X5" s="39" t="str">
        <f>IF(OR(M5="", M5="Deleted"), "", _xlfn.LET(
  _xlpm.doc_col, [1]SubmittalLog!$E$1:$E$4000,
  _xlpm.date_col, [1]SubmittalLog!$H$1:$H$4000,
  _xlpm.status_col, [1]SubmittalLog!$O$1:$O$4000,
  _xlpm.first_app_date, _xlfn.MINIFS(_xlpm.date_col, _xlpm.doc_col, M5, _xlpm.status_col, "APP"),
  _xlpm.first_awc_date, _xlfn.MINIFS(_xlpm.date_col, _xlpm.doc_col, M5, _xlpm.status_col, "AWC"),
  _xlpm.earliest_date, IF(
    AND(_xlpm.first_app_date=0, _xlpm.first_awc_date=0), 0,
    IF(_xlpm.first_app_date=0, _xlpm.first_awc_date,
    IF(_xlpm.first_awc_date=0, _xlpm.first_app_date,
    MIN(_xlpm.first_app_date, _xlpm.first_awc_date)))
  ),
  IF(_xlpm.earliest_date=0, "", _xlpm.earliest_date)
))</f>
        <v/>
      </c>
      <c r="Y5" s="40" t="str" cm="1">
        <f t="array" ref="Y5">IF(OR(M5="", M5="Deleted"), "", _xlfn.LET(
  _xlpm.doc_col, [1]SubmittalLog!$E$1:$E$4000,
  _xlpm.date_col, [1]SubmittalLog!$H$1:$H$4000,
  _xlpm.status_col, [1]SubmittalLog!$O$1:$O$4000,
  _xlpm.has_sub, COUNTIF(_xlpm.doc_col, M5),
  _xlpm.latest_reviewed_date, _xlfn.MAXIFS(_xlpm.date_col, _xlpm.doc_col, M5, _xlpm.status_col, "&lt;&gt;"),
  IF(_xlpm.has_sub=0, "",
    IF(_xlpm.latest_reviewed_date=0, "",
      _xlfn.LET(
        _xlpm.res, _xlfn.XLOOKUP(1, (_xlpm.doc_col=M5) * (_xlpm.date_col=_xlpm.latest_reviewed_date) * (_xlpm.status_col&lt;&gt;""), _xlpm.status_col, ""),
        IF(OR(_xlpm.res="", _xlpm.res=0), "", _xlpm.res)
      )
    )
  )
))</f>
        <v/>
      </c>
    </row>
    <row r="6" spans="1:25" x14ac:dyDescent="0.35">
      <c r="A6" s="11">
        <f>IF($M6="","",MAX($A$1:A5)+1)</f>
        <v>4</v>
      </c>
      <c r="B6" t="s">
        <v>213</v>
      </c>
      <c r="C6" t="s">
        <v>274</v>
      </c>
      <c r="G6" s="11">
        <v>131236</v>
      </c>
      <c r="H6" s="11" t="s">
        <v>59</v>
      </c>
      <c r="I6" s="11" t="s">
        <v>442</v>
      </c>
      <c r="J6" s="11" t="s">
        <v>206</v>
      </c>
      <c r="K6" s="11" t="s">
        <v>3466</v>
      </c>
      <c r="M6" s="34" t="str">
        <f t="shared" si="0"/>
        <v>131236-WIL21-SN-IM-xxxx</v>
      </c>
      <c r="P6" s="15" t="s">
        <v>3467</v>
      </c>
      <c r="R6" s="15" t="s">
        <v>3467</v>
      </c>
      <c r="S6" s="17">
        <v>46027</v>
      </c>
      <c r="U6" s="21" t="str" cm="1">
        <f t="array" ref="U6">IF(OR(M6="", M6="Deleted"), "", _xlfn.LET(
  _xlpm.dates,
  _xlfn._xlws.FILTER(
    [1]SubmittalLog!$H$1:$H$4000,
    [1]SubmittalLog!$E$1:$E$4000=M6,
    ""
  ),
  _xlpm.min_date, IFERROR(MIN(_xlpm.dates), ""),
  IF(_xlpm.min_date=0, "", _xlpm.min_date)
))</f>
        <v/>
      </c>
      <c r="V6" s="63" t="str" cm="1">
        <f t="array" ref="V6">IF(OR(M6="", M6="Deleted"), "", IFERROR(
  _xlfn.TEXTJOIN(", ", TRUE,
    _xlfn.MAP(
      _xlfn.UNIQUE(
        _xlfn._xlws.FILTER(
          [1]SubmittalLog!$B$1:$B$4000,
          ([1]SubmittalLog!$E$1:$E$4000=M6) *
          ([1]SubmittalLog!$B$1:$B$4000&lt;&gt;""),
          ""
        )
      ),
      _xlfn.LAMBDA(_xlpm.val, TEXT(_xlpm.val, "000000"))
    )
  ),
""))</f>
        <v/>
      </c>
      <c r="W6" s="40" t="str" cm="1">
        <f t="array" ref="W6">IF(OR(M6="", M6="Deleted"), "", _xlfn.LET(
  _xlpm.doc_col, [1]SubmittalLog!$E$1:$E$4000,
  _xlpm.date_col, [1]SubmittalLog!$H$1:$H$4000,
  _xlpm.status_col, [1]SubmittalLog!$N$1:$N$4000,
  _xlpm.latest_date, _xlfn.MAXIFS(_xlpm.date_col, _xlpm.doc_col, M6),
  IF(_xlpm.latest_date=0, "NFS",
    _xlfn.LET(
      _xlpm.res, _xlfn.XLOOKUP(M6 &amp; "|" &amp; _xlpm.latest_date, _xlpm.doc_col &amp; "|" &amp; _xlpm.date_col, _xlpm.status_col, ""),
      IF(OR(_xlpm.res="", _xlpm.res=0), "", _xlpm.res)
    )
  )
))</f>
        <v>NFS</v>
      </c>
      <c r="X6" s="39" t="str">
        <f>IF(OR(M6="", M6="Deleted"), "", _xlfn.LET(
  _xlpm.doc_col, [1]SubmittalLog!$E$1:$E$4000,
  _xlpm.date_col, [1]SubmittalLog!$H$1:$H$4000,
  _xlpm.status_col, [1]SubmittalLog!$O$1:$O$4000,
  _xlpm.first_app_date, _xlfn.MINIFS(_xlpm.date_col, _xlpm.doc_col, M6, _xlpm.status_col, "APP"),
  _xlpm.first_awc_date, _xlfn.MINIFS(_xlpm.date_col, _xlpm.doc_col, M6, _xlpm.status_col, "AWC"),
  _xlpm.earliest_date, IF(
    AND(_xlpm.first_app_date=0, _xlpm.first_awc_date=0), 0,
    IF(_xlpm.first_app_date=0, _xlpm.first_awc_date,
    IF(_xlpm.first_awc_date=0, _xlpm.first_app_date,
    MIN(_xlpm.first_app_date, _xlpm.first_awc_date)))
  ),
  IF(_xlpm.earliest_date=0, "", _xlpm.earliest_date)
))</f>
        <v/>
      </c>
      <c r="Y6" s="40" t="str" cm="1">
        <f t="array" ref="Y6">IF(OR(M6="", M6="Deleted"), "", _xlfn.LET(
  _xlpm.doc_col, [1]SubmittalLog!$E$1:$E$4000,
  _xlpm.date_col, [1]SubmittalLog!$H$1:$H$4000,
  _xlpm.status_col, [1]SubmittalLog!$O$1:$O$4000,
  _xlpm.has_sub, COUNTIF(_xlpm.doc_col, M6),
  _xlpm.latest_reviewed_date, _xlfn.MAXIFS(_xlpm.date_col, _xlpm.doc_col, M6, _xlpm.status_col, "&lt;&gt;"),
  IF(_xlpm.has_sub=0, "",
    IF(_xlpm.latest_reviewed_date=0, "",
      _xlfn.LET(
        _xlpm.res, _xlfn.XLOOKUP(1, (_xlpm.doc_col=M6) * (_xlpm.date_col=_xlpm.latest_reviewed_date) * (_xlpm.status_col&lt;&gt;""), _xlpm.status_col, ""),
        IF(OR(_xlpm.res="", _xlpm.res=0), "", _xlpm.res)
      )
    )
  )
))</f>
        <v/>
      </c>
    </row>
    <row r="7" spans="1:25" x14ac:dyDescent="0.35">
      <c r="A7" s="11">
        <f>IF($M7="","",MAX($A$1:A6)+1)</f>
        <v>5</v>
      </c>
      <c r="B7" t="s">
        <v>213</v>
      </c>
      <c r="C7" t="s">
        <v>274</v>
      </c>
      <c r="G7" s="11">
        <v>131236</v>
      </c>
      <c r="H7" s="11" t="s">
        <v>59</v>
      </c>
      <c r="I7" s="11" t="s">
        <v>442</v>
      </c>
      <c r="J7" s="11" t="s">
        <v>206</v>
      </c>
      <c r="K7" s="11" t="s">
        <v>3466</v>
      </c>
      <c r="M7" s="34" t="str">
        <f t="shared" si="0"/>
        <v>131236-WIL21-SN-IM-xxxx</v>
      </c>
      <c r="P7" s="15" t="s">
        <v>3467</v>
      </c>
      <c r="R7" s="15" t="s">
        <v>3467</v>
      </c>
      <c r="S7" s="17">
        <v>46028</v>
      </c>
      <c r="U7" s="21" t="str" cm="1">
        <f t="array" ref="U7">IF(OR(M7="", M7="Deleted"), "", _xlfn.LET(
  _xlpm.dates,
  _xlfn._xlws.FILTER(
    [1]SubmittalLog!$H$1:$H$4000,
    [1]SubmittalLog!$E$1:$E$4000=M7,
    ""
  ),
  _xlpm.min_date, IFERROR(MIN(_xlpm.dates), ""),
  IF(_xlpm.min_date=0, "", _xlpm.min_date)
))</f>
        <v/>
      </c>
      <c r="V7" s="63" t="str" cm="1">
        <f t="array" ref="V7">IF(OR(M7="", M7="Deleted"), "", IFERROR(
  _xlfn.TEXTJOIN(", ", TRUE,
    _xlfn.MAP(
      _xlfn.UNIQUE(
        _xlfn._xlws.FILTER(
          [1]SubmittalLog!$B$1:$B$4000,
          ([1]SubmittalLog!$E$1:$E$4000=M7) *
          ([1]SubmittalLog!$B$1:$B$4000&lt;&gt;""),
          ""
        )
      ),
      _xlfn.LAMBDA(_xlpm.val, TEXT(_xlpm.val, "000000"))
    )
  ),
""))</f>
        <v/>
      </c>
      <c r="W7" s="40" t="str" cm="1">
        <f t="array" ref="W7">IF(OR(M7="", M7="Deleted"), "", _xlfn.LET(
  _xlpm.doc_col, [1]SubmittalLog!$E$1:$E$4000,
  _xlpm.date_col, [1]SubmittalLog!$H$1:$H$4000,
  _xlpm.status_col, [1]SubmittalLog!$N$1:$N$4000,
  _xlpm.latest_date, _xlfn.MAXIFS(_xlpm.date_col, _xlpm.doc_col, M7),
  IF(_xlpm.latest_date=0, "NFS",
    _xlfn.LET(
      _xlpm.res, _xlfn.XLOOKUP(M7 &amp; "|" &amp; _xlpm.latest_date, _xlpm.doc_col &amp; "|" &amp; _xlpm.date_col, _xlpm.status_col, ""),
      IF(OR(_xlpm.res="", _xlpm.res=0), "", _xlpm.res)
    )
  )
))</f>
        <v>NFS</v>
      </c>
      <c r="X7" s="39" t="str">
        <f>IF(OR(M7="", M7="Deleted"), "", _xlfn.LET(
  _xlpm.doc_col, [1]SubmittalLog!$E$1:$E$4000,
  _xlpm.date_col, [1]SubmittalLog!$H$1:$H$4000,
  _xlpm.status_col, [1]SubmittalLog!$O$1:$O$4000,
  _xlpm.first_app_date, _xlfn.MINIFS(_xlpm.date_col, _xlpm.doc_col, M7, _xlpm.status_col, "APP"),
  _xlpm.first_awc_date, _xlfn.MINIFS(_xlpm.date_col, _xlpm.doc_col, M7, _xlpm.status_col, "AWC"),
  _xlpm.earliest_date, IF(
    AND(_xlpm.first_app_date=0, _xlpm.first_awc_date=0), 0,
    IF(_xlpm.first_app_date=0, _xlpm.first_awc_date,
    IF(_xlpm.first_awc_date=0, _xlpm.first_app_date,
    MIN(_xlpm.first_app_date, _xlpm.first_awc_date)))
  ),
  IF(_xlpm.earliest_date=0, "", _xlpm.earliest_date)
))</f>
        <v/>
      </c>
      <c r="Y7" s="40" t="str" cm="1">
        <f t="array" ref="Y7">IF(OR(M7="", M7="Deleted"), "", _xlfn.LET(
  _xlpm.doc_col, [1]SubmittalLog!$E$1:$E$4000,
  _xlpm.date_col, [1]SubmittalLog!$H$1:$H$4000,
  _xlpm.status_col, [1]SubmittalLog!$O$1:$O$4000,
  _xlpm.has_sub, COUNTIF(_xlpm.doc_col, M7),
  _xlpm.latest_reviewed_date, _xlfn.MAXIFS(_xlpm.date_col, _xlpm.doc_col, M7, _xlpm.status_col, "&lt;&gt;"),
  IF(_xlpm.has_sub=0, "",
    IF(_xlpm.latest_reviewed_date=0, "",
      _xlfn.LET(
        _xlpm.res, _xlfn.XLOOKUP(1, (_xlpm.doc_col=M7) * (_xlpm.date_col=_xlpm.latest_reviewed_date) * (_xlpm.status_col&lt;&gt;""), _xlpm.status_col, ""),
        IF(OR(_xlpm.res="", _xlpm.res=0), "", _xlpm.res)
      )
    )
  )
))</f>
        <v/>
      </c>
    </row>
    <row r="8" spans="1:25" x14ac:dyDescent="0.35">
      <c r="A8" s="11">
        <f>IF($M8="","",MAX($A$1:A7)+1)</f>
        <v>6</v>
      </c>
      <c r="B8" t="s">
        <v>213</v>
      </c>
      <c r="C8" t="s">
        <v>274</v>
      </c>
      <c r="G8" s="11">
        <v>131236</v>
      </c>
      <c r="H8" s="11" t="s">
        <v>59</v>
      </c>
      <c r="I8" s="11" t="s">
        <v>442</v>
      </c>
      <c r="J8" s="11" t="s">
        <v>206</v>
      </c>
      <c r="K8" s="11" t="s">
        <v>3466</v>
      </c>
      <c r="M8" s="34" t="str">
        <f t="shared" si="0"/>
        <v>131236-WIL21-SN-IM-xxxx</v>
      </c>
      <c r="P8" s="15" t="s">
        <v>3467</v>
      </c>
      <c r="R8" s="15" t="s">
        <v>3467</v>
      </c>
      <c r="S8" s="17">
        <v>46029</v>
      </c>
      <c r="U8" s="21" t="str" cm="1">
        <f t="array" ref="U8">IF(OR(M8="", M8="Deleted"), "", _xlfn.LET(
  _xlpm.dates,
  _xlfn._xlws.FILTER(
    [1]SubmittalLog!$H$1:$H$4000,
    [1]SubmittalLog!$E$1:$E$4000=M8,
    ""
  ),
  _xlpm.min_date, IFERROR(MIN(_xlpm.dates), ""),
  IF(_xlpm.min_date=0, "", _xlpm.min_date)
))</f>
        <v/>
      </c>
      <c r="V8" s="63" t="str" cm="1">
        <f t="array" ref="V8">IF(OR(M8="", M8="Deleted"), "", IFERROR(
  _xlfn.TEXTJOIN(", ", TRUE,
    _xlfn.MAP(
      _xlfn.UNIQUE(
        _xlfn._xlws.FILTER(
          [1]SubmittalLog!$B$1:$B$4000,
          ([1]SubmittalLog!$E$1:$E$4000=M8) *
          ([1]SubmittalLog!$B$1:$B$4000&lt;&gt;""),
          ""
        )
      ),
      _xlfn.LAMBDA(_xlpm.val, TEXT(_xlpm.val, "000000"))
    )
  ),
""))</f>
        <v/>
      </c>
      <c r="W8" s="40" t="str" cm="1">
        <f t="array" ref="W8">IF(OR(M8="", M8="Deleted"), "", _xlfn.LET(
  _xlpm.doc_col, [1]SubmittalLog!$E$1:$E$4000,
  _xlpm.date_col, [1]SubmittalLog!$H$1:$H$4000,
  _xlpm.status_col, [1]SubmittalLog!$N$1:$N$4000,
  _xlpm.latest_date, _xlfn.MAXIFS(_xlpm.date_col, _xlpm.doc_col, M8),
  IF(_xlpm.latest_date=0, "NFS",
    _xlfn.LET(
      _xlpm.res, _xlfn.XLOOKUP(M8 &amp; "|" &amp; _xlpm.latest_date, _xlpm.doc_col &amp; "|" &amp; _xlpm.date_col, _xlpm.status_col, ""),
      IF(OR(_xlpm.res="", _xlpm.res=0), "", _xlpm.res)
    )
  )
))</f>
        <v>NFS</v>
      </c>
      <c r="X8" s="39" t="str">
        <f>IF(OR(M8="", M8="Deleted"), "", _xlfn.LET(
  _xlpm.doc_col, [1]SubmittalLog!$E$1:$E$4000,
  _xlpm.date_col, [1]SubmittalLog!$H$1:$H$4000,
  _xlpm.status_col, [1]SubmittalLog!$O$1:$O$4000,
  _xlpm.first_app_date, _xlfn.MINIFS(_xlpm.date_col, _xlpm.doc_col, M8, _xlpm.status_col, "APP"),
  _xlpm.first_awc_date, _xlfn.MINIFS(_xlpm.date_col, _xlpm.doc_col, M8, _xlpm.status_col, "AWC"),
  _xlpm.earliest_date, IF(
    AND(_xlpm.first_app_date=0, _xlpm.first_awc_date=0), 0,
    IF(_xlpm.first_app_date=0, _xlpm.first_awc_date,
    IF(_xlpm.first_awc_date=0, _xlpm.first_app_date,
    MIN(_xlpm.first_app_date, _xlpm.first_awc_date)))
  ),
  IF(_xlpm.earliest_date=0, "", _xlpm.earliest_date)
))</f>
        <v/>
      </c>
      <c r="Y8" s="40" t="str" cm="1">
        <f t="array" ref="Y8">IF(OR(M8="", M8="Deleted"), "", _xlfn.LET(
  _xlpm.doc_col, [1]SubmittalLog!$E$1:$E$4000,
  _xlpm.date_col, [1]SubmittalLog!$H$1:$H$4000,
  _xlpm.status_col, [1]SubmittalLog!$O$1:$O$4000,
  _xlpm.has_sub, COUNTIF(_xlpm.doc_col, M8),
  _xlpm.latest_reviewed_date, _xlfn.MAXIFS(_xlpm.date_col, _xlpm.doc_col, M8, _xlpm.status_col, "&lt;&gt;"),
  IF(_xlpm.has_sub=0, "",
    IF(_xlpm.latest_reviewed_date=0, "",
      _xlfn.LET(
        _xlpm.res, _xlfn.XLOOKUP(1, (_xlpm.doc_col=M8) * (_xlpm.date_col=_xlpm.latest_reviewed_date) * (_xlpm.status_col&lt;&gt;""), _xlpm.status_col, ""),
        IF(OR(_xlpm.res="", _xlpm.res=0), "", _xlpm.res)
      )
    )
  )
))</f>
        <v/>
      </c>
    </row>
    <row r="9" spans="1:25" x14ac:dyDescent="0.35">
      <c r="A9" s="11" t="str">
        <f>IF($M9="","",MAX($A$1:A8)+1)</f>
        <v/>
      </c>
      <c r="M9" s="34" t="str">
        <f t="shared" si="0"/>
        <v/>
      </c>
      <c r="U9" s="21" t="str" cm="1">
        <f t="array" ref="U9">IF(OR(M9="", M9="Deleted"), "", _xlfn.LET(
  _xlpm.dates,
  _xlfn._xlws.FILTER(
    [1]SubmittalLog!$H$1:$H$4000,
    [1]SubmittalLog!$E$1:$E$4000=M9,
    ""
  ),
  _xlpm.min_date, IFERROR(MIN(_xlpm.dates), ""),
  IF(_xlpm.min_date=0, "", _xlpm.min_date)
))</f>
        <v/>
      </c>
      <c r="V9" s="63" t="str" cm="1">
        <f t="array" ref="V9">IF(OR(M9="", M9="Deleted"), "", IFERROR(
  _xlfn.TEXTJOIN(", ", TRUE,
    _xlfn.MAP(
      _xlfn.UNIQUE(
        _xlfn._xlws.FILTER(
          [1]SubmittalLog!$B$1:$B$4000,
          ([1]SubmittalLog!$E$1:$E$4000=M9) *
          ([1]SubmittalLog!$B$1:$B$4000&lt;&gt;""),
          ""
        )
      ),
      _xlfn.LAMBDA(_xlpm.val, TEXT(_xlpm.val, "000000"))
    )
  ),
""))</f>
        <v/>
      </c>
      <c r="W9" s="40" t="str" cm="1">
        <f t="array" ref="W9">IF(OR(M9="", M9="Deleted"), "", _xlfn.LET(
  _xlpm.doc_col, [1]SubmittalLog!$E$1:$E$4000,
  _xlpm.date_col, [1]SubmittalLog!$H$1:$H$4000,
  _xlpm.status_col, [1]SubmittalLog!$N$1:$N$4000,
  _xlpm.latest_date, _xlfn.MAXIFS(_xlpm.date_col, _xlpm.doc_col, M9),
  IF(_xlpm.latest_date=0, "NFS",
    _xlfn.LET(
      _xlpm.res, _xlfn.XLOOKUP(M9 &amp; "|" &amp; _xlpm.latest_date, _xlpm.doc_col &amp; "|" &amp; _xlpm.date_col, _xlpm.status_col, ""),
      IF(OR(_xlpm.res="", _xlpm.res=0), "", _xlpm.res)
    )
  )
))</f>
        <v/>
      </c>
      <c r="X9" s="39" t="str">
        <f>IF(OR(M9="", M9="Deleted"), "", _xlfn.LET(
  _xlpm.doc_col, [1]SubmittalLog!$E$1:$E$4000,
  _xlpm.date_col, [1]SubmittalLog!$H$1:$H$4000,
  _xlpm.status_col, [1]SubmittalLog!$O$1:$O$4000,
  _xlpm.first_app_date, _xlfn.MINIFS(_xlpm.date_col, _xlpm.doc_col, M9, _xlpm.status_col, "APP"),
  _xlpm.first_awc_date, _xlfn.MINIFS(_xlpm.date_col, _xlpm.doc_col, M9, _xlpm.status_col, "AWC"),
  _xlpm.earliest_date, IF(
    AND(_xlpm.first_app_date=0, _xlpm.first_awc_date=0), 0,
    IF(_xlpm.first_app_date=0, _xlpm.first_awc_date,
    IF(_xlpm.first_awc_date=0, _xlpm.first_app_date,
    MIN(_xlpm.first_app_date, _xlpm.first_awc_date)))
  ),
  IF(_xlpm.earliest_date=0, "", _xlpm.earliest_date)
))</f>
        <v/>
      </c>
      <c r="Y9" s="40" t="str" cm="1">
        <f t="array" ref="Y9">IF(OR(M9="", M9="Deleted"), "", _xlfn.LET(
  _xlpm.doc_col, [1]SubmittalLog!$E$1:$E$4000,
  _xlpm.date_col, [1]SubmittalLog!$H$1:$H$4000,
  _xlpm.status_col, [1]SubmittalLog!$O$1:$O$4000,
  _xlpm.has_sub, COUNTIF(_xlpm.doc_col, M9),
  _xlpm.latest_reviewed_date, _xlfn.MAXIFS(_xlpm.date_col, _xlpm.doc_col, M9, _xlpm.status_col, "&lt;&gt;"),
  IF(_xlpm.has_sub=0, "",
    IF(_xlpm.latest_reviewed_date=0, "",
      _xlfn.LET(
        _xlpm.res, _xlfn.XLOOKUP(1, (_xlpm.doc_col=M9) * (_xlpm.date_col=_xlpm.latest_reviewed_date) * (_xlpm.status_col&lt;&gt;""), _xlpm.status_col, ""),
        IF(OR(_xlpm.res="", _xlpm.res=0), "", _xlpm.res)
      )
    )
  )
))</f>
        <v/>
      </c>
    </row>
    <row r="10" spans="1:25" x14ac:dyDescent="0.35">
      <c r="A10" s="11">
        <f>IF($M10="","",MAX($A$1:A9)+1)</f>
        <v>7</v>
      </c>
      <c r="B10" t="s">
        <v>213</v>
      </c>
      <c r="C10" t="s">
        <v>274</v>
      </c>
      <c r="G10" s="11">
        <v>131236</v>
      </c>
      <c r="H10" s="11" t="s">
        <v>59</v>
      </c>
      <c r="I10" s="11" t="s">
        <v>442</v>
      </c>
      <c r="J10" s="11" t="s">
        <v>206</v>
      </c>
      <c r="K10" s="11" t="s">
        <v>3466</v>
      </c>
      <c r="M10" s="34" t="str">
        <f t="shared" si="0"/>
        <v>131236-WIL21-SN-IM-xxxx</v>
      </c>
      <c r="P10" s="15" t="s">
        <v>3467</v>
      </c>
      <c r="R10" s="15" t="s">
        <v>3467</v>
      </c>
      <c r="S10" s="17">
        <v>46031</v>
      </c>
      <c r="U10" s="21" t="str" cm="1">
        <f t="array" ref="U10">IF(OR(M10="", M10="Deleted"), "", _xlfn.LET(
  _xlpm.dates,
  _xlfn._xlws.FILTER(
    [1]SubmittalLog!$H$1:$H$4000,
    [1]SubmittalLog!$E$1:$E$4000=M10,
    ""
  ),
  _xlpm.min_date, IFERROR(MIN(_xlpm.dates), ""),
  IF(_xlpm.min_date=0, "", _xlpm.min_date)
))</f>
        <v/>
      </c>
      <c r="V10" s="63" t="str" cm="1">
        <f t="array" ref="V10">IF(OR(M10="", M10="Deleted"), "", IFERROR(
  _xlfn.TEXTJOIN(", ", TRUE,
    _xlfn.MAP(
      _xlfn.UNIQUE(
        _xlfn._xlws.FILTER(
          [1]SubmittalLog!$B$1:$B$4000,
          ([1]SubmittalLog!$E$1:$E$4000=M10) *
          ([1]SubmittalLog!$B$1:$B$4000&lt;&gt;""),
          ""
        )
      ),
      _xlfn.LAMBDA(_xlpm.val, TEXT(_xlpm.val, "000000"))
    )
  ),
""))</f>
        <v/>
      </c>
      <c r="W10" s="40" t="str" cm="1">
        <f t="array" ref="W10">IF(OR(M10="", M10="Deleted"), "", _xlfn.LET(
  _xlpm.doc_col, [1]SubmittalLog!$E$1:$E$4000,
  _xlpm.date_col, [1]SubmittalLog!$H$1:$H$4000,
  _xlpm.status_col, [1]SubmittalLog!$N$1:$N$4000,
  _xlpm.latest_date, _xlfn.MAXIFS(_xlpm.date_col, _xlpm.doc_col, M10),
  IF(_xlpm.latest_date=0, "NFS",
    _xlfn.LET(
      _xlpm.res, _xlfn.XLOOKUP(M10 &amp; "|" &amp; _xlpm.latest_date, _xlpm.doc_col &amp; "|" &amp; _xlpm.date_col, _xlpm.status_col, ""),
      IF(OR(_xlpm.res="", _xlpm.res=0), "", _xlpm.res)
    )
  )
))</f>
        <v>NFS</v>
      </c>
      <c r="X10" s="39" t="str">
        <f>IF(OR(M10="", M10="Deleted"), "", _xlfn.LET(
  _xlpm.doc_col, [1]SubmittalLog!$E$1:$E$4000,
  _xlpm.date_col, [1]SubmittalLog!$H$1:$H$4000,
  _xlpm.status_col, [1]SubmittalLog!$O$1:$O$4000,
  _xlpm.first_app_date, _xlfn.MINIFS(_xlpm.date_col, _xlpm.doc_col, M10, _xlpm.status_col, "APP"),
  _xlpm.first_awc_date, _xlfn.MINIFS(_xlpm.date_col, _xlpm.doc_col, M10, _xlpm.status_col, "AWC"),
  _xlpm.earliest_date, IF(
    AND(_xlpm.first_app_date=0, _xlpm.first_awc_date=0), 0,
    IF(_xlpm.first_app_date=0, _xlpm.first_awc_date,
    IF(_xlpm.first_awc_date=0, _xlpm.first_app_date,
    MIN(_xlpm.first_app_date, _xlpm.first_awc_date)))
  ),
  IF(_xlpm.earliest_date=0, "", _xlpm.earliest_date)
))</f>
        <v/>
      </c>
      <c r="Y10" s="40" t="str" cm="1">
        <f t="array" ref="Y10">IF(OR(M10="", M10="Deleted"), "", _xlfn.LET(
  _xlpm.doc_col, [1]SubmittalLog!$E$1:$E$4000,
  _xlpm.date_col, [1]SubmittalLog!$H$1:$H$4000,
  _xlpm.status_col, [1]SubmittalLog!$O$1:$O$4000,
  _xlpm.has_sub, COUNTIF(_xlpm.doc_col, M10),
  _xlpm.latest_reviewed_date, _xlfn.MAXIFS(_xlpm.date_col, _xlpm.doc_col, M10, _xlpm.status_col, "&lt;&gt;"),
  IF(_xlpm.has_sub=0, "",
    IF(_xlpm.latest_reviewed_date=0, "",
      _xlfn.LET(
        _xlpm.res, _xlfn.XLOOKUP(1, (_xlpm.doc_col=M10) * (_xlpm.date_col=_xlpm.latest_reviewed_date) * (_xlpm.status_col&lt;&gt;""), _xlpm.status_col, ""),
        IF(OR(_xlpm.res="", _xlpm.res=0), "", _xlpm.res)
      )
    )
  )
))</f>
        <v/>
      </c>
    </row>
    <row r="11" spans="1:25" x14ac:dyDescent="0.35">
      <c r="A11" s="11">
        <f>IF($M11="","",MAX($A$1:A10)+1)</f>
        <v>8</v>
      </c>
      <c r="B11" t="s">
        <v>213</v>
      </c>
      <c r="C11" t="s">
        <v>274</v>
      </c>
      <c r="G11" s="11">
        <v>131236</v>
      </c>
      <c r="H11" s="11" t="s">
        <v>59</v>
      </c>
      <c r="I11" s="11" t="s">
        <v>442</v>
      </c>
      <c r="J11" s="11" t="s">
        <v>206</v>
      </c>
      <c r="K11" s="11" t="s">
        <v>3466</v>
      </c>
      <c r="M11" s="34" t="str">
        <f t="shared" si="0"/>
        <v>131236-WIL21-SN-IM-xxxx</v>
      </c>
      <c r="P11" s="15" t="s">
        <v>3467</v>
      </c>
      <c r="R11" s="15" t="s">
        <v>3467</v>
      </c>
      <c r="S11" s="17">
        <v>46032</v>
      </c>
      <c r="U11" s="21" t="str" cm="1">
        <f t="array" ref="U11">IF(OR(M11="", M11="Deleted"), "", _xlfn.LET(
  _xlpm.dates,
  _xlfn._xlws.FILTER(
    [1]SubmittalLog!$H$1:$H$4000,
    [1]SubmittalLog!$E$1:$E$4000=M11,
    ""
  ),
  _xlpm.min_date, IFERROR(MIN(_xlpm.dates), ""),
  IF(_xlpm.min_date=0, "", _xlpm.min_date)
))</f>
        <v/>
      </c>
      <c r="V11" s="63" t="str" cm="1">
        <f t="array" ref="V11">IF(OR(M11="", M11="Deleted"), "", IFERROR(
  _xlfn.TEXTJOIN(", ", TRUE,
    _xlfn.MAP(
      _xlfn.UNIQUE(
        _xlfn._xlws.FILTER(
          [1]SubmittalLog!$B$1:$B$4000,
          ([1]SubmittalLog!$E$1:$E$4000=M11) *
          ([1]SubmittalLog!$B$1:$B$4000&lt;&gt;""),
          ""
        )
      ),
      _xlfn.LAMBDA(_xlpm.val, TEXT(_xlpm.val, "000000"))
    )
  ),
""))</f>
        <v/>
      </c>
      <c r="W11" s="40" t="str" cm="1">
        <f t="array" ref="W11">IF(OR(M11="", M11="Deleted"), "", _xlfn.LET(
  _xlpm.doc_col, [1]SubmittalLog!$E$1:$E$4000,
  _xlpm.date_col, [1]SubmittalLog!$H$1:$H$4000,
  _xlpm.status_col, [1]SubmittalLog!$N$1:$N$4000,
  _xlpm.latest_date, _xlfn.MAXIFS(_xlpm.date_col, _xlpm.doc_col, M11),
  IF(_xlpm.latest_date=0, "NFS",
    _xlfn.LET(
      _xlpm.res, _xlfn.XLOOKUP(M11 &amp; "|" &amp; _xlpm.latest_date, _xlpm.doc_col &amp; "|" &amp; _xlpm.date_col, _xlpm.status_col, ""),
      IF(OR(_xlpm.res="", _xlpm.res=0), "", _xlpm.res)
    )
  )
))</f>
        <v>NFS</v>
      </c>
      <c r="X11" s="39" t="str">
        <f>IF(OR(M11="", M11="Deleted"), "", _xlfn.LET(
  _xlpm.doc_col, [1]SubmittalLog!$E$1:$E$4000,
  _xlpm.date_col, [1]SubmittalLog!$H$1:$H$4000,
  _xlpm.status_col, [1]SubmittalLog!$O$1:$O$4000,
  _xlpm.first_app_date, _xlfn.MINIFS(_xlpm.date_col, _xlpm.doc_col, M11, _xlpm.status_col, "APP"),
  _xlpm.first_awc_date, _xlfn.MINIFS(_xlpm.date_col, _xlpm.doc_col, M11, _xlpm.status_col, "AWC"),
  _xlpm.earliest_date, IF(
    AND(_xlpm.first_app_date=0, _xlpm.first_awc_date=0), 0,
    IF(_xlpm.first_app_date=0, _xlpm.first_awc_date,
    IF(_xlpm.first_awc_date=0, _xlpm.first_app_date,
    MIN(_xlpm.first_app_date, _xlpm.first_awc_date)))
  ),
  IF(_xlpm.earliest_date=0, "", _xlpm.earliest_date)
))</f>
        <v/>
      </c>
      <c r="Y11" s="40" t="str" cm="1">
        <f t="array" ref="Y11">IF(OR(M11="", M11="Deleted"), "", _xlfn.LET(
  _xlpm.doc_col, [1]SubmittalLog!$E$1:$E$4000,
  _xlpm.date_col, [1]SubmittalLog!$H$1:$H$4000,
  _xlpm.status_col, [1]SubmittalLog!$O$1:$O$4000,
  _xlpm.has_sub, COUNTIF(_xlpm.doc_col, M11),
  _xlpm.latest_reviewed_date, _xlfn.MAXIFS(_xlpm.date_col, _xlpm.doc_col, M11, _xlpm.status_col, "&lt;&gt;"),
  IF(_xlpm.has_sub=0, "",
    IF(_xlpm.latest_reviewed_date=0, "",
      _xlfn.LET(
        _xlpm.res, _xlfn.XLOOKUP(1, (_xlpm.doc_col=M11) * (_xlpm.date_col=_xlpm.latest_reviewed_date) * (_xlpm.status_col&lt;&gt;""), _xlpm.status_col, ""),
        IF(OR(_xlpm.res="", _xlpm.res=0), "", _xlpm.res)
      )
    )
  )
))</f>
        <v/>
      </c>
    </row>
    <row r="12" spans="1:25" x14ac:dyDescent="0.35">
      <c r="A12" s="11">
        <f>IF($M12="","",MAX($A$1:A11)+1)</f>
        <v>9</v>
      </c>
      <c r="B12" t="s">
        <v>213</v>
      </c>
      <c r="C12" t="s">
        <v>274</v>
      </c>
      <c r="G12" s="11">
        <v>131236</v>
      </c>
      <c r="H12" s="11" t="s">
        <v>59</v>
      </c>
      <c r="I12" s="11" t="s">
        <v>442</v>
      </c>
      <c r="J12" s="11" t="s">
        <v>206</v>
      </c>
      <c r="K12" s="11" t="s">
        <v>3466</v>
      </c>
      <c r="M12" s="34" t="str">
        <f t="shared" si="0"/>
        <v>131236-WIL21-SN-IM-xxxx</v>
      </c>
      <c r="P12" s="15" t="s">
        <v>3467</v>
      </c>
      <c r="R12" s="15" t="s">
        <v>3467</v>
      </c>
      <c r="S12" s="17">
        <v>46033</v>
      </c>
      <c r="U12" s="21" t="str" cm="1">
        <f t="array" ref="U12">IF(OR(M12="", M12="Deleted"), "", _xlfn.LET(
  _xlpm.dates,
  _xlfn._xlws.FILTER(
    [1]SubmittalLog!$H$1:$H$4000,
    [1]SubmittalLog!$E$1:$E$4000=M12,
    ""
  ),
  _xlpm.min_date, IFERROR(MIN(_xlpm.dates), ""),
  IF(_xlpm.min_date=0, "", _xlpm.min_date)
))</f>
        <v/>
      </c>
      <c r="V12" s="63" t="str" cm="1">
        <f t="array" ref="V12">IF(OR(M12="", M12="Deleted"), "", IFERROR(
  _xlfn.TEXTJOIN(", ", TRUE,
    _xlfn.MAP(
      _xlfn.UNIQUE(
        _xlfn._xlws.FILTER(
          [1]SubmittalLog!$B$1:$B$4000,
          ([1]SubmittalLog!$E$1:$E$4000=M12) *
          ([1]SubmittalLog!$B$1:$B$4000&lt;&gt;""),
          ""
        )
      ),
      _xlfn.LAMBDA(_xlpm.val, TEXT(_xlpm.val, "000000"))
    )
  ),
""))</f>
        <v/>
      </c>
      <c r="W12" s="40" t="str" cm="1">
        <f t="array" ref="W12">IF(OR(M12="", M12="Deleted"), "", _xlfn.LET(
  _xlpm.doc_col, [1]SubmittalLog!$E$1:$E$4000,
  _xlpm.date_col, [1]SubmittalLog!$H$1:$H$4000,
  _xlpm.status_col, [1]SubmittalLog!$N$1:$N$4000,
  _xlpm.latest_date, _xlfn.MAXIFS(_xlpm.date_col, _xlpm.doc_col, M12),
  IF(_xlpm.latest_date=0, "NFS",
    _xlfn.LET(
      _xlpm.res, _xlfn.XLOOKUP(M12 &amp; "|" &amp; _xlpm.latest_date, _xlpm.doc_col &amp; "|" &amp; _xlpm.date_col, _xlpm.status_col, ""),
      IF(OR(_xlpm.res="", _xlpm.res=0), "", _xlpm.res)
    )
  )
))</f>
        <v>NFS</v>
      </c>
      <c r="X12" s="39" t="str">
        <f>IF(OR(M12="", M12="Deleted"), "", _xlfn.LET(
  _xlpm.doc_col, [1]SubmittalLog!$E$1:$E$4000,
  _xlpm.date_col, [1]SubmittalLog!$H$1:$H$4000,
  _xlpm.status_col, [1]SubmittalLog!$O$1:$O$4000,
  _xlpm.first_app_date, _xlfn.MINIFS(_xlpm.date_col, _xlpm.doc_col, M12, _xlpm.status_col, "APP"),
  _xlpm.first_awc_date, _xlfn.MINIFS(_xlpm.date_col, _xlpm.doc_col, M12, _xlpm.status_col, "AWC"),
  _xlpm.earliest_date, IF(
    AND(_xlpm.first_app_date=0, _xlpm.first_awc_date=0), 0,
    IF(_xlpm.first_app_date=0, _xlpm.first_awc_date,
    IF(_xlpm.first_awc_date=0, _xlpm.first_app_date,
    MIN(_xlpm.first_app_date, _xlpm.first_awc_date)))
  ),
  IF(_xlpm.earliest_date=0, "", _xlpm.earliest_date)
))</f>
        <v/>
      </c>
      <c r="Y12" s="40" t="str" cm="1">
        <f t="array" ref="Y12">IF(OR(M12="", M12="Deleted"), "", _xlfn.LET(
  _xlpm.doc_col, [1]SubmittalLog!$E$1:$E$4000,
  _xlpm.date_col, [1]SubmittalLog!$H$1:$H$4000,
  _xlpm.status_col, [1]SubmittalLog!$O$1:$O$4000,
  _xlpm.has_sub, COUNTIF(_xlpm.doc_col, M12),
  _xlpm.latest_reviewed_date, _xlfn.MAXIFS(_xlpm.date_col, _xlpm.doc_col, M12, _xlpm.status_col, "&lt;&gt;"),
  IF(_xlpm.has_sub=0, "",
    IF(_xlpm.latest_reviewed_date=0, "",
      _xlfn.LET(
        _xlpm.res, _xlfn.XLOOKUP(1, (_xlpm.doc_col=M12) * (_xlpm.date_col=_xlpm.latest_reviewed_date) * (_xlpm.status_col&lt;&gt;""), _xlpm.status_col, ""),
        IF(OR(_xlpm.res="", _xlpm.res=0), "", _xlpm.res)
      )
    )
  )
))</f>
        <v/>
      </c>
    </row>
    <row r="13" spans="1:25" x14ac:dyDescent="0.35">
      <c r="A13" s="11">
        <f>IF($M13="","",MAX($A$1:A12)+1)</f>
        <v>10</v>
      </c>
      <c r="B13" t="s">
        <v>213</v>
      </c>
      <c r="C13" t="s">
        <v>274</v>
      </c>
      <c r="G13" s="11">
        <v>131236</v>
      </c>
      <c r="H13" s="11" t="s">
        <v>59</v>
      </c>
      <c r="I13" s="11" t="s">
        <v>442</v>
      </c>
      <c r="J13" s="11" t="s">
        <v>206</v>
      </c>
      <c r="K13" s="11" t="s">
        <v>3466</v>
      </c>
      <c r="M13" s="34" t="str">
        <f t="shared" si="0"/>
        <v>131236-WIL21-SN-IM-xxxx</v>
      </c>
      <c r="P13" s="15" t="s">
        <v>3467</v>
      </c>
      <c r="R13" s="15" t="s">
        <v>3467</v>
      </c>
      <c r="S13" s="17">
        <v>46034</v>
      </c>
      <c r="U13" s="21" t="str" cm="1">
        <f t="array" ref="U13">IF(OR(M13="", M13="Deleted"), "", _xlfn.LET(
  _xlpm.dates,
  _xlfn._xlws.FILTER(
    [1]SubmittalLog!$H$1:$H$4000,
    [1]SubmittalLog!$E$1:$E$4000=M13,
    ""
  ),
  _xlpm.min_date, IFERROR(MIN(_xlpm.dates), ""),
  IF(_xlpm.min_date=0, "", _xlpm.min_date)
))</f>
        <v/>
      </c>
      <c r="V13" s="63" t="str" cm="1">
        <f t="array" ref="V13">IF(OR(M13="", M13="Deleted"), "", IFERROR(
  _xlfn.TEXTJOIN(", ", TRUE,
    _xlfn.MAP(
      _xlfn.UNIQUE(
        _xlfn._xlws.FILTER(
          [1]SubmittalLog!$B$1:$B$4000,
          ([1]SubmittalLog!$E$1:$E$4000=M13) *
          ([1]SubmittalLog!$B$1:$B$4000&lt;&gt;""),
          ""
        )
      ),
      _xlfn.LAMBDA(_xlpm.val, TEXT(_xlpm.val, "000000"))
    )
  ),
""))</f>
        <v/>
      </c>
      <c r="W13" s="40" t="str" cm="1">
        <f t="array" ref="W13">IF(OR(M13="", M13="Deleted"), "", _xlfn.LET(
  _xlpm.doc_col, [1]SubmittalLog!$E$1:$E$4000,
  _xlpm.date_col, [1]SubmittalLog!$H$1:$H$4000,
  _xlpm.status_col, [1]SubmittalLog!$N$1:$N$4000,
  _xlpm.latest_date, _xlfn.MAXIFS(_xlpm.date_col, _xlpm.doc_col, M13),
  IF(_xlpm.latest_date=0, "NFS",
    _xlfn.LET(
      _xlpm.res, _xlfn.XLOOKUP(M13 &amp; "|" &amp; _xlpm.latest_date, _xlpm.doc_col &amp; "|" &amp; _xlpm.date_col, _xlpm.status_col, ""),
      IF(OR(_xlpm.res="", _xlpm.res=0), "", _xlpm.res)
    )
  )
))</f>
        <v>NFS</v>
      </c>
      <c r="X13" s="39" t="str">
        <f>IF(OR(M13="", M13="Deleted"), "", _xlfn.LET(
  _xlpm.doc_col, [1]SubmittalLog!$E$1:$E$4000,
  _xlpm.date_col, [1]SubmittalLog!$H$1:$H$4000,
  _xlpm.status_col, [1]SubmittalLog!$O$1:$O$4000,
  _xlpm.first_app_date, _xlfn.MINIFS(_xlpm.date_col, _xlpm.doc_col, M13, _xlpm.status_col, "APP"),
  _xlpm.first_awc_date, _xlfn.MINIFS(_xlpm.date_col, _xlpm.doc_col, M13, _xlpm.status_col, "AWC"),
  _xlpm.earliest_date, IF(
    AND(_xlpm.first_app_date=0, _xlpm.first_awc_date=0), 0,
    IF(_xlpm.first_app_date=0, _xlpm.first_awc_date,
    IF(_xlpm.first_awc_date=0, _xlpm.first_app_date,
    MIN(_xlpm.first_app_date, _xlpm.first_awc_date)))
  ),
  IF(_xlpm.earliest_date=0, "", _xlpm.earliest_date)
))</f>
        <v/>
      </c>
      <c r="Y13" s="40" t="str" cm="1">
        <f t="array" ref="Y13">IF(OR(M13="", M13="Deleted"), "", _xlfn.LET(
  _xlpm.doc_col, [1]SubmittalLog!$E$1:$E$4000,
  _xlpm.date_col, [1]SubmittalLog!$H$1:$H$4000,
  _xlpm.status_col, [1]SubmittalLog!$O$1:$O$4000,
  _xlpm.has_sub, COUNTIF(_xlpm.doc_col, M13),
  _xlpm.latest_reviewed_date, _xlfn.MAXIFS(_xlpm.date_col, _xlpm.doc_col, M13, _xlpm.status_col, "&lt;&gt;"),
  IF(_xlpm.has_sub=0, "",
    IF(_xlpm.latest_reviewed_date=0, "",
      _xlfn.LET(
        _xlpm.res, _xlfn.XLOOKUP(1, (_xlpm.doc_col=M13) * (_xlpm.date_col=_xlpm.latest_reviewed_date) * (_xlpm.status_col&lt;&gt;""), _xlpm.status_col, ""),
        IF(OR(_xlpm.res="", _xlpm.res=0), "", _xlpm.res)
      )
    )
  )
))</f>
        <v/>
      </c>
    </row>
    <row r="14" spans="1:25" x14ac:dyDescent="0.35">
      <c r="A14" s="11">
        <f>IF($M14="","",MAX($A$1:A13)+1)</f>
        <v>11</v>
      </c>
      <c r="B14" t="s">
        <v>213</v>
      </c>
      <c r="C14" t="s">
        <v>274</v>
      </c>
      <c r="G14" s="11">
        <v>131236</v>
      </c>
      <c r="H14" s="11" t="s">
        <v>59</v>
      </c>
      <c r="I14" s="11" t="s">
        <v>442</v>
      </c>
      <c r="J14" s="11" t="s">
        <v>206</v>
      </c>
      <c r="K14" s="11" t="s">
        <v>3466</v>
      </c>
      <c r="M14" s="34" t="str">
        <f t="shared" si="0"/>
        <v>131236-WIL21-SN-IM-xxxx</v>
      </c>
      <c r="P14" s="15" t="s">
        <v>3467</v>
      </c>
      <c r="R14" s="15" t="s">
        <v>3467</v>
      </c>
      <c r="S14" s="17">
        <v>46035</v>
      </c>
      <c r="U14" s="21" t="str" cm="1">
        <f t="array" ref="U14">IF(OR(M14="", M14="Deleted"), "", _xlfn.LET(
  _xlpm.dates,
  _xlfn._xlws.FILTER(
    [1]SubmittalLog!$H$1:$H$4000,
    [1]SubmittalLog!$E$1:$E$4000=M14,
    ""
  ),
  _xlpm.min_date, IFERROR(MIN(_xlpm.dates), ""),
  IF(_xlpm.min_date=0, "", _xlpm.min_date)
))</f>
        <v/>
      </c>
      <c r="V14" s="63" t="str" cm="1">
        <f t="array" ref="V14">IF(OR(M14="", M14="Deleted"), "", IFERROR(
  _xlfn.TEXTJOIN(", ", TRUE,
    _xlfn.MAP(
      _xlfn.UNIQUE(
        _xlfn._xlws.FILTER(
          [1]SubmittalLog!$B$1:$B$4000,
          ([1]SubmittalLog!$E$1:$E$4000=M14) *
          ([1]SubmittalLog!$B$1:$B$4000&lt;&gt;""),
          ""
        )
      ),
      _xlfn.LAMBDA(_xlpm.val, TEXT(_xlpm.val, "000000"))
    )
  ),
""))</f>
        <v/>
      </c>
      <c r="W14" s="40" t="str" cm="1">
        <f t="array" ref="W14">IF(OR(M14="", M14="Deleted"), "", _xlfn.LET(
  _xlpm.doc_col, [1]SubmittalLog!$E$1:$E$4000,
  _xlpm.date_col, [1]SubmittalLog!$H$1:$H$4000,
  _xlpm.status_col, [1]SubmittalLog!$N$1:$N$4000,
  _xlpm.latest_date, _xlfn.MAXIFS(_xlpm.date_col, _xlpm.doc_col, M14),
  IF(_xlpm.latest_date=0, "NFS",
    _xlfn.LET(
      _xlpm.res, _xlfn.XLOOKUP(M14 &amp; "|" &amp; _xlpm.latest_date, _xlpm.doc_col &amp; "|" &amp; _xlpm.date_col, _xlpm.status_col, ""),
      IF(OR(_xlpm.res="", _xlpm.res=0), "", _xlpm.res)
    )
  )
))</f>
        <v>NFS</v>
      </c>
      <c r="X14" s="39" t="str">
        <f>IF(OR(M14="", M14="Deleted"), "", _xlfn.LET(
  _xlpm.doc_col, [1]SubmittalLog!$E$1:$E$4000,
  _xlpm.date_col, [1]SubmittalLog!$H$1:$H$4000,
  _xlpm.status_col, [1]SubmittalLog!$O$1:$O$4000,
  _xlpm.first_app_date, _xlfn.MINIFS(_xlpm.date_col, _xlpm.doc_col, M14, _xlpm.status_col, "APP"),
  _xlpm.first_awc_date, _xlfn.MINIFS(_xlpm.date_col, _xlpm.doc_col, M14, _xlpm.status_col, "AWC"),
  _xlpm.earliest_date, IF(
    AND(_xlpm.first_app_date=0, _xlpm.first_awc_date=0), 0,
    IF(_xlpm.first_app_date=0, _xlpm.first_awc_date,
    IF(_xlpm.first_awc_date=0, _xlpm.first_app_date,
    MIN(_xlpm.first_app_date, _xlpm.first_awc_date)))
  ),
  IF(_xlpm.earliest_date=0, "", _xlpm.earliest_date)
))</f>
        <v/>
      </c>
      <c r="Y14" s="40" t="str" cm="1">
        <f t="array" ref="Y14">IF(OR(M14="", M14="Deleted"), "", _xlfn.LET(
  _xlpm.doc_col, [1]SubmittalLog!$E$1:$E$4000,
  _xlpm.date_col, [1]SubmittalLog!$H$1:$H$4000,
  _xlpm.status_col, [1]SubmittalLog!$O$1:$O$4000,
  _xlpm.has_sub, COUNTIF(_xlpm.doc_col, M14),
  _xlpm.latest_reviewed_date, _xlfn.MAXIFS(_xlpm.date_col, _xlpm.doc_col, M14, _xlpm.status_col, "&lt;&gt;"),
  IF(_xlpm.has_sub=0, "",
    IF(_xlpm.latest_reviewed_date=0, "",
      _xlfn.LET(
        _xlpm.res, _xlfn.XLOOKUP(1, (_xlpm.doc_col=M14) * (_xlpm.date_col=_xlpm.latest_reviewed_date) * (_xlpm.status_col&lt;&gt;""), _xlpm.status_col, ""),
        IF(OR(_xlpm.res="", _xlpm.res=0), "", _xlpm.res)
      )
    )
  )
))</f>
        <v/>
      </c>
    </row>
    <row r="15" spans="1:25" x14ac:dyDescent="0.35">
      <c r="A15" s="11">
        <f>IF($M15="","",MAX($A$1:A14)+1)</f>
        <v>12</v>
      </c>
      <c r="B15" t="s">
        <v>213</v>
      </c>
      <c r="C15" t="s">
        <v>274</v>
      </c>
      <c r="G15" s="11">
        <v>131236</v>
      </c>
      <c r="H15" s="11" t="s">
        <v>59</v>
      </c>
      <c r="I15" s="11" t="s">
        <v>442</v>
      </c>
      <c r="J15" s="11" t="s">
        <v>206</v>
      </c>
      <c r="K15" s="11" t="s">
        <v>3466</v>
      </c>
      <c r="M15" s="34" t="str">
        <f t="shared" si="0"/>
        <v>131236-WIL21-SN-IM-xxxx</v>
      </c>
      <c r="P15" s="15" t="s">
        <v>3467</v>
      </c>
      <c r="R15" s="15" t="s">
        <v>3467</v>
      </c>
      <c r="S15" s="17">
        <v>46036</v>
      </c>
      <c r="U15" s="21" t="str" cm="1">
        <f t="array" ref="U15">IF(OR(M15="", M15="Deleted"), "", _xlfn.LET(
  _xlpm.dates,
  _xlfn._xlws.FILTER(
    [1]SubmittalLog!$H$1:$H$4000,
    [1]SubmittalLog!$E$1:$E$4000=M15,
    ""
  ),
  _xlpm.min_date, IFERROR(MIN(_xlpm.dates), ""),
  IF(_xlpm.min_date=0, "", _xlpm.min_date)
))</f>
        <v/>
      </c>
      <c r="V15" s="63" t="str" cm="1">
        <f t="array" ref="V15">IF(OR(M15="", M15="Deleted"), "", IFERROR(
  _xlfn.TEXTJOIN(", ", TRUE,
    _xlfn.MAP(
      _xlfn.UNIQUE(
        _xlfn._xlws.FILTER(
          [1]SubmittalLog!$B$1:$B$4000,
          ([1]SubmittalLog!$E$1:$E$4000=M15) *
          ([1]SubmittalLog!$B$1:$B$4000&lt;&gt;""),
          ""
        )
      ),
      _xlfn.LAMBDA(_xlpm.val, TEXT(_xlpm.val, "000000"))
    )
  ),
""))</f>
        <v/>
      </c>
      <c r="W15" s="40" t="str" cm="1">
        <f t="array" ref="W15">IF(OR(M15="", M15="Deleted"), "", _xlfn.LET(
  _xlpm.doc_col, [1]SubmittalLog!$E$1:$E$4000,
  _xlpm.date_col, [1]SubmittalLog!$H$1:$H$4000,
  _xlpm.status_col, [1]SubmittalLog!$N$1:$N$4000,
  _xlpm.latest_date, _xlfn.MAXIFS(_xlpm.date_col, _xlpm.doc_col, M15),
  IF(_xlpm.latest_date=0, "NFS",
    _xlfn.LET(
      _xlpm.res, _xlfn.XLOOKUP(M15 &amp; "|" &amp; _xlpm.latest_date, _xlpm.doc_col &amp; "|" &amp; _xlpm.date_col, _xlpm.status_col, ""),
      IF(OR(_xlpm.res="", _xlpm.res=0), "", _xlpm.res)
    )
  )
))</f>
        <v>NFS</v>
      </c>
      <c r="X15" s="39" t="str">
        <f>IF(OR(M15="", M15="Deleted"), "", _xlfn.LET(
  _xlpm.doc_col, [1]SubmittalLog!$E$1:$E$4000,
  _xlpm.date_col, [1]SubmittalLog!$H$1:$H$4000,
  _xlpm.status_col, [1]SubmittalLog!$O$1:$O$4000,
  _xlpm.first_app_date, _xlfn.MINIFS(_xlpm.date_col, _xlpm.doc_col, M15, _xlpm.status_col, "APP"),
  _xlpm.first_awc_date, _xlfn.MINIFS(_xlpm.date_col, _xlpm.doc_col, M15, _xlpm.status_col, "AWC"),
  _xlpm.earliest_date, IF(
    AND(_xlpm.first_app_date=0, _xlpm.first_awc_date=0), 0,
    IF(_xlpm.first_app_date=0, _xlpm.first_awc_date,
    IF(_xlpm.first_awc_date=0, _xlpm.first_app_date,
    MIN(_xlpm.first_app_date, _xlpm.first_awc_date)))
  ),
  IF(_xlpm.earliest_date=0, "", _xlpm.earliest_date)
))</f>
        <v/>
      </c>
      <c r="Y15" s="40" t="str" cm="1">
        <f t="array" ref="Y15">IF(OR(M15="", M15="Deleted"), "", _xlfn.LET(
  _xlpm.doc_col, [1]SubmittalLog!$E$1:$E$4000,
  _xlpm.date_col, [1]SubmittalLog!$H$1:$H$4000,
  _xlpm.status_col, [1]SubmittalLog!$O$1:$O$4000,
  _xlpm.has_sub, COUNTIF(_xlpm.doc_col, M15),
  _xlpm.latest_reviewed_date, _xlfn.MAXIFS(_xlpm.date_col, _xlpm.doc_col, M15, _xlpm.status_col, "&lt;&gt;"),
  IF(_xlpm.has_sub=0, "",
    IF(_xlpm.latest_reviewed_date=0, "",
      _xlfn.LET(
        _xlpm.res, _xlfn.XLOOKUP(1, (_xlpm.doc_col=M15) * (_xlpm.date_col=_xlpm.latest_reviewed_date) * (_xlpm.status_col&lt;&gt;""), _xlpm.status_col, ""),
        IF(OR(_xlpm.res="", _xlpm.res=0), "", _xlpm.res)
      )
    )
  )
))</f>
        <v/>
      </c>
    </row>
    <row r="16" spans="1:25" x14ac:dyDescent="0.35">
      <c r="A16" s="11"/>
    </row>
    <row r="17" spans="1:1" x14ac:dyDescent="0.35">
      <c r="A17" s="11"/>
    </row>
    <row r="18" spans="1:1" x14ac:dyDescent="0.35">
      <c r="A18" s="11"/>
    </row>
    <row r="19" spans="1:1" x14ac:dyDescent="0.35">
      <c r="A19" s="11"/>
    </row>
    <row r="20" spans="1:1" x14ac:dyDescent="0.35">
      <c r="A20" s="11"/>
    </row>
    <row r="21" spans="1:1" x14ac:dyDescent="0.35">
      <c r="A21" s="11"/>
    </row>
    <row r="22" spans="1:1" x14ac:dyDescent="0.35">
      <c r="A22" s="11"/>
    </row>
    <row r="23" spans="1:1" x14ac:dyDescent="0.35">
      <c r="A23" s="11"/>
    </row>
    <row r="24" spans="1:1" x14ac:dyDescent="0.35">
      <c r="A24" s="11"/>
    </row>
    <row r="25" spans="1:1" x14ac:dyDescent="0.35">
      <c r="A25" s="11"/>
    </row>
    <row r="26" spans="1:1" x14ac:dyDescent="0.35">
      <c r="A26" s="11"/>
    </row>
    <row r="27" spans="1:1" x14ac:dyDescent="0.35">
      <c r="A27" s="11"/>
    </row>
    <row r="28" spans="1:1" x14ac:dyDescent="0.35">
      <c r="A28" s="11"/>
    </row>
    <row r="29" spans="1:1" x14ac:dyDescent="0.35">
      <c r="A29" s="11"/>
    </row>
    <row r="30" spans="1:1" x14ac:dyDescent="0.35">
      <c r="A30" s="11"/>
    </row>
    <row r="31" spans="1:1" x14ac:dyDescent="0.35">
      <c r="A31" s="11"/>
    </row>
    <row r="32" spans="1:1" x14ac:dyDescent="0.35">
      <c r="A32" s="11"/>
    </row>
    <row r="33" spans="1:1" x14ac:dyDescent="0.35">
      <c r="A33" s="11"/>
    </row>
    <row r="34" spans="1:1" x14ac:dyDescent="0.35">
      <c r="A34" s="11"/>
    </row>
    <row r="35" spans="1:1" x14ac:dyDescent="0.35">
      <c r="A35" s="11"/>
    </row>
    <row r="36" spans="1:1" x14ac:dyDescent="0.35">
      <c r="A36" s="11"/>
    </row>
    <row r="37" spans="1:1" x14ac:dyDescent="0.35">
      <c r="A37" s="11"/>
    </row>
    <row r="38" spans="1:1" x14ac:dyDescent="0.35">
      <c r="A38" s="11"/>
    </row>
  </sheetData>
  <conditionalFormatting sqref="A1:XFD1048576">
    <cfRule type="expression" dxfId="4" priority="1">
      <formula>_xlfn.ISFORMULA(A1)</formula>
    </cfRule>
  </conditionalFormatting>
  <dataValidations count="2">
    <dataValidation type="date" operator="greaterThan" allowBlank="1" showInputMessage="1" showErrorMessage="1" sqref="S2:T1048576 U16:U1048576" xr:uid="{EA370668-DBA0-42B0-B064-B21B437025BD}">
      <formula1>45658</formula1>
    </dataValidation>
    <dataValidation type="list" allowBlank="1" showInputMessage="1" showErrorMessage="1" sqref="R2:R1048576 P2:P1048576" xr:uid="{96731E45-4642-47F1-9CFF-BAAF5FA322EC}">
      <formula1>"YES,NO"</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8">
        <x14:dataValidation type="list" allowBlank="1" showInputMessage="1" showErrorMessage="1" xr:uid="{86488889-9C0B-4114-B01F-717C0BB24C8F}">
          <x14:formula1>
            <xm:f>BQ!$A:$A</xm:f>
          </x14:formula1>
          <xm:sqref>E2:E1048576</xm:sqref>
        </x14:dataValidation>
        <x14:dataValidation type="list" allowBlank="1" showInputMessage="1" showErrorMessage="1" xr:uid="{318E0BA2-9498-496F-8D11-B20E8FEF892D}">
          <x14:formula1>
            <xm:f>Code!$E:$E</xm:f>
          </x14:formula1>
          <xm:sqref>B2:B1048576</xm:sqref>
        </x14:dataValidation>
        <x14:dataValidation type="list" allowBlank="1" showInputMessage="1" showErrorMessage="1" xr:uid="{DD92AC97-9E1A-454C-BC69-1923035D83A7}">
          <x14:formula1>
            <xm:f>Code!$H:$H</xm:f>
          </x14:formula1>
          <xm:sqref>C2:C1048576</xm:sqref>
        </x14:dataValidation>
        <x14:dataValidation type="list" allowBlank="1" showInputMessage="1" showErrorMessage="1" xr:uid="{C07675FE-BBEE-4697-8905-8904529A869D}">
          <x14:formula1>
            <xm:f>Code!$N:$N</xm:f>
          </x14:formula1>
          <xm:sqref>H2:H1048576</xm:sqref>
        </x14:dataValidation>
        <x14:dataValidation type="list" allowBlank="1" showInputMessage="1" showErrorMessage="1" xr:uid="{DB539455-109B-4E1B-A778-D39259ADF0BE}">
          <x14:formula1>
            <xm:f>Code!$Q:$Q</xm:f>
          </x14:formula1>
          <xm:sqref>I2:I1048576</xm:sqref>
        </x14:dataValidation>
        <x14:dataValidation type="list" allowBlank="1" showInputMessage="1" showErrorMessage="1" xr:uid="{E373415F-DD38-44C1-8088-83FF1C1FE86D}">
          <x14:formula1>
            <xm:f>Code!$T:$T</xm:f>
          </x14:formula1>
          <xm:sqref>J2:J1048576</xm:sqref>
        </x14:dataValidation>
        <x14:dataValidation type="list" allowBlank="1" showInputMessage="1" showErrorMessage="1" xr:uid="{CA9F0757-3FC5-4554-B047-AAD37489C412}">
          <x14:formula1>
            <xm:f>Code!$K:$K</xm:f>
          </x14:formula1>
          <xm:sqref>G2:G1048576</xm:sqref>
        </x14:dataValidation>
        <x14:dataValidation type="list" allowBlank="1" showInputMessage="1" showErrorMessage="1" xr:uid="{4D39A8D6-6F99-41B9-A3DD-ACF526895CA3}">
          <x14:formula1>
            <xm:f>Code!$Z:$Z</xm:f>
          </x14:formula1>
          <xm:sqref>Q2:Q1048576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06C70F-16E5-4A1C-A27B-792E0D2899B7}">
  <dimension ref="A1:Y38"/>
  <sheetViews>
    <sheetView topLeftCell="J1" workbookViewId="0">
      <selection activeCell="U2" sqref="U2:Y15"/>
    </sheetView>
  </sheetViews>
  <sheetFormatPr defaultRowHeight="14.5" x14ac:dyDescent="0.35"/>
  <cols>
    <col min="3" max="3" width="14.1796875" bestFit="1" customWidth="1"/>
    <col min="4" max="4" width="12" bestFit="1" customWidth="1"/>
    <col min="5" max="5" width="10.7265625" style="23" bestFit="1" customWidth="1"/>
    <col min="6" max="6" width="7.1796875" bestFit="1" customWidth="1"/>
    <col min="7" max="7" width="11.7265625" style="11" bestFit="1" customWidth="1"/>
    <col min="8" max="8" width="12.54296875" style="11" bestFit="1" customWidth="1"/>
    <col min="9" max="9" width="8.54296875" style="11" bestFit="1" customWidth="1"/>
    <col min="10" max="10" width="9.26953125" style="11" bestFit="1" customWidth="1"/>
    <col min="11" max="11" width="8.7265625" style="11"/>
    <col min="12" max="12" width="5.1796875" style="11" customWidth="1"/>
    <col min="13" max="13" width="23.1796875" style="15" bestFit="1" customWidth="1"/>
    <col min="14" max="14" width="29.1796875" style="15" customWidth="1"/>
    <col min="15" max="16" width="8.453125" style="15" customWidth="1"/>
    <col min="17" max="17" width="9" style="15" bestFit="1" customWidth="1"/>
    <col min="18" max="18" width="11.453125" style="15" bestFit="1" customWidth="1"/>
    <col min="19" max="19" width="20.1796875" style="17" bestFit="1" customWidth="1"/>
    <col min="20" max="20" width="24.54296875" style="17" customWidth="1"/>
    <col min="21" max="21" width="18.54296875" style="17" bestFit="1" customWidth="1"/>
    <col min="22" max="22" width="13.81640625" style="11" bestFit="1" customWidth="1"/>
    <col min="23" max="23" width="22.453125" style="11" bestFit="1" customWidth="1"/>
    <col min="24" max="24" width="18.54296875" style="17" bestFit="1" customWidth="1"/>
    <col min="25" max="25" width="19.81640625" style="11" bestFit="1" customWidth="1"/>
  </cols>
  <sheetData>
    <row r="1" spans="1:25" s="12" customFormat="1" x14ac:dyDescent="0.35">
      <c r="A1" s="13" t="s">
        <v>225</v>
      </c>
      <c r="B1" s="14" t="s">
        <v>237</v>
      </c>
      <c r="C1" s="14" t="s">
        <v>30</v>
      </c>
      <c r="D1" s="14" t="s">
        <v>260</v>
      </c>
      <c r="E1" s="30" t="s">
        <v>270</v>
      </c>
      <c r="F1" s="14" t="s">
        <v>281</v>
      </c>
      <c r="G1" s="13" t="s">
        <v>75</v>
      </c>
      <c r="H1" s="13" t="s">
        <v>303</v>
      </c>
      <c r="I1" s="13" t="s">
        <v>315</v>
      </c>
      <c r="J1" s="13" t="s">
        <v>327</v>
      </c>
      <c r="K1" s="13" t="s">
        <v>334</v>
      </c>
      <c r="L1" s="13" t="s">
        <v>340</v>
      </c>
      <c r="M1" s="13" t="s">
        <v>346</v>
      </c>
      <c r="N1" s="13" t="s">
        <v>352</v>
      </c>
      <c r="O1" s="13" t="s">
        <v>358</v>
      </c>
      <c r="P1" s="14" t="s">
        <v>364</v>
      </c>
      <c r="Q1" s="14" t="s">
        <v>370</v>
      </c>
      <c r="R1" s="14" t="s">
        <v>376</v>
      </c>
      <c r="S1" s="27" t="s">
        <v>380</v>
      </c>
      <c r="T1" s="27" t="s">
        <v>384</v>
      </c>
      <c r="U1" s="27" t="s">
        <v>388</v>
      </c>
      <c r="V1" s="14" t="s">
        <v>392</v>
      </c>
      <c r="W1" s="14" t="s">
        <v>44</v>
      </c>
      <c r="X1" s="16" t="s">
        <v>399</v>
      </c>
      <c r="Y1" s="14" t="s">
        <v>403</v>
      </c>
    </row>
    <row r="2" spans="1:25" x14ac:dyDescent="0.35">
      <c r="A2" s="11" t="str">
        <f>IF($M2="","",MAX($A$1:A1)+1)</f>
        <v/>
      </c>
      <c r="M2" s="34" t="str">
        <f t="shared" ref="M2:M15" si="0">IF(B2="Deleted","Deleted",_xlfn.TEXTJOIN("-",TRUE,G2,H2,I2,J2,IF(K2="","",TEXT(K2,"0000"))))</f>
        <v/>
      </c>
      <c r="U2" s="21" t="str" cm="1">
        <f t="array" ref="U2">IF(OR(M2="", M2="Deleted"), "", _xlfn.LET(
  _xlpm.dates,
  _xlfn._xlws.FILTER(
    [1]SubmittalLog!$H$1:$H$4000,
    [1]SubmittalLog!$E$1:$E$4000=M2,
    ""
  ),
  _xlpm.min_date, IFERROR(MIN(_xlpm.dates), ""),
  IF(_xlpm.min_date=0, "", _xlpm.min_date)
))</f>
        <v/>
      </c>
      <c r="V2" s="63" t="str" cm="1">
        <f t="array" ref="V2">IF(OR(M2="", M2="Deleted"), "", IFERROR(
  _xlfn.TEXTJOIN(", ", TRUE,
    _xlfn.MAP(
      _xlfn.UNIQUE(
        _xlfn._xlws.FILTER(
          [1]SubmittalLog!$B$1:$B$4000,
          ([1]SubmittalLog!$E$1:$E$4000=M2) *
          ([1]SubmittalLog!$B$1:$B$4000&lt;&gt;""),
          ""
        )
      ),
      _xlfn.LAMBDA(_xlpm.val, TEXT(_xlpm.val, "000000"))
    )
  ),
""))</f>
        <v/>
      </c>
      <c r="W2" s="40" t="str" cm="1">
        <f t="array" ref="W2">IF(OR(M2="", M2="Deleted"), "", _xlfn.LET(
  _xlpm.doc_col, [1]SubmittalLog!$E$1:$E$4000,
  _xlpm.date_col, [1]SubmittalLog!$H$1:$H$4000,
  _xlpm.status_col, [1]SubmittalLog!$N$1:$N$4000,
  _xlpm.latest_date, _xlfn.MAXIFS(_xlpm.date_col, _xlpm.doc_col, M2),
  IF(_xlpm.latest_date=0, "NFS",
    _xlfn.LET(
      _xlpm.res, _xlfn.XLOOKUP(M2 &amp; "|" &amp; _xlpm.latest_date, _xlpm.doc_col &amp; "|" &amp; _xlpm.date_col, _xlpm.status_col, ""),
      IF(OR(_xlpm.res="", _xlpm.res=0), "", _xlpm.res)
    )
  )
))</f>
        <v/>
      </c>
      <c r="X2" s="39" t="str">
        <f>IF(OR(M2="", M2="Deleted"), "", _xlfn.LET(
  _xlpm.doc_col, [1]SubmittalLog!$E$1:$E$4000,
  _xlpm.date_col, [1]SubmittalLog!$H$1:$H$4000,
  _xlpm.status_col, [1]SubmittalLog!$O$1:$O$4000,
  _xlpm.first_app_date, _xlfn.MINIFS(_xlpm.date_col, _xlpm.doc_col, M2, _xlpm.status_col, "APP"),
  _xlpm.first_awc_date, _xlfn.MINIFS(_xlpm.date_col, _xlpm.doc_col, M2, _xlpm.status_col, "AWC"),
  _xlpm.earliest_date, IF(
    AND(_xlpm.first_app_date=0, _xlpm.first_awc_date=0), 0,
    IF(_xlpm.first_app_date=0, _xlpm.first_awc_date,
    IF(_xlpm.first_awc_date=0, _xlpm.first_app_date,
    MIN(_xlpm.first_app_date, _xlpm.first_awc_date)))
  ),
  IF(_xlpm.earliest_date=0, "", _xlpm.earliest_date)
))</f>
        <v/>
      </c>
      <c r="Y2" s="40" t="str" cm="1">
        <f t="array" ref="Y2">IF(OR(M2="", M2="Deleted"), "", _xlfn.LET(
  _xlpm.doc_col, [1]SubmittalLog!$E$1:$E$4000,
  _xlpm.date_col, [1]SubmittalLog!$H$1:$H$4000,
  _xlpm.status_col, [1]SubmittalLog!$O$1:$O$4000,
  _xlpm.has_sub, COUNTIF(_xlpm.doc_col, M2),
  _xlpm.latest_reviewed_date, _xlfn.MAXIFS(_xlpm.date_col, _xlpm.doc_col, M2, _xlpm.status_col, "&lt;&gt;"),
  IF(_xlpm.has_sub=0, "",
    IF(_xlpm.latest_reviewed_date=0, "",
      _xlfn.LET(
        _xlpm.res, _xlfn.XLOOKUP(1, (_xlpm.doc_col=M2) * (_xlpm.date_col=_xlpm.latest_reviewed_date) * (_xlpm.status_col&lt;&gt;""), _xlpm.status_col, ""),
        IF(OR(_xlpm.res="", _xlpm.res=0), "", _xlpm.res)
      )
    )
  )
))</f>
        <v/>
      </c>
    </row>
    <row r="3" spans="1:25" x14ac:dyDescent="0.35">
      <c r="A3" s="11">
        <f>IF($M3="","",MAX($A$1:A2)+1)</f>
        <v>1</v>
      </c>
      <c r="B3" t="s">
        <v>213</v>
      </c>
      <c r="C3" t="s">
        <v>150</v>
      </c>
      <c r="G3" s="11">
        <v>131236</v>
      </c>
      <c r="H3" s="11" t="s">
        <v>59</v>
      </c>
      <c r="I3" s="11" t="s">
        <v>442</v>
      </c>
      <c r="J3" s="11" t="s">
        <v>206</v>
      </c>
      <c r="K3" s="11" t="s">
        <v>3466</v>
      </c>
      <c r="M3" s="34" t="str">
        <f t="shared" si="0"/>
        <v>131236-WIL21-SN-IM-xxxx</v>
      </c>
      <c r="P3" s="15" t="s">
        <v>3467</v>
      </c>
      <c r="R3" s="15" t="s">
        <v>3467</v>
      </c>
      <c r="S3" s="17">
        <v>46024</v>
      </c>
      <c r="U3" s="21" t="str" cm="1">
        <f t="array" ref="U3">IF(OR(M3="", M3="Deleted"), "", _xlfn.LET(
  _xlpm.dates,
  _xlfn._xlws.FILTER(
    [1]SubmittalLog!$H$1:$H$4000,
    [1]SubmittalLog!$E$1:$E$4000=M3,
    ""
  ),
  _xlpm.min_date, IFERROR(MIN(_xlpm.dates), ""),
  IF(_xlpm.min_date=0, "", _xlpm.min_date)
))</f>
        <v/>
      </c>
      <c r="V3" s="63" t="str" cm="1">
        <f t="array" ref="V3">IF(OR(M3="", M3="Deleted"), "", IFERROR(
  _xlfn.TEXTJOIN(", ", TRUE,
    _xlfn.MAP(
      _xlfn.UNIQUE(
        _xlfn._xlws.FILTER(
          [1]SubmittalLog!$B$1:$B$4000,
          ([1]SubmittalLog!$E$1:$E$4000=M3) *
          ([1]SubmittalLog!$B$1:$B$4000&lt;&gt;""),
          ""
        )
      ),
      _xlfn.LAMBDA(_xlpm.val, TEXT(_xlpm.val, "000000"))
    )
  ),
""))</f>
        <v/>
      </c>
      <c r="W3" s="40" t="str" cm="1">
        <f t="array" ref="W3">IF(OR(M3="", M3="Deleted"), "", _xlfn.LET(
  _xlpm.doc_col, [1]SubmittalLog!$E$1:$E$4000,
  _xlpm.date_col, [1]SubmittalLog!$H$1:$H$4000,
  _xlpm.status_col, [1]SubmittalLog!$N$1:$N$4000,
  _xlpm.latest_date, _xlfn.MAXIFS(_xlpm.date_col, _xlpm.doc_col, M3),
  IF(_xlpm.latest_date=0, "NFS",
    _xlfn.LET(
      _xlpm.res, _xlfn.XLOOKUP(M3 &amp; "|" &amp; _xlpm.latest_date, _xlpm.doc_col &amp; "|" &amp; _xlpm.date_col, _xlpm.status_col, ""),
      IF(OR(_xlpm.res="", _xlpm.res=0), "", _xlpm.res)
    )
  )
))</f>
        <v>NFS</v>
      </c>
      <c r="X3" s="39" t="str">
        <f>IF(OR(M3="", M3="Deleted"), "", _xlfn.LET(
  _xlpm.doc_col, [1]SubmittalLog!$E$1:$E$4000,
  _xlpm.date_col, [1]SubmittalLog!$H$1:$H$4000,
  _xlpm.status_col, [1]SubmittalLog!$O$1:$O$4000,
  _xlpm.first_app_date, _xlfn.MINIFS(_xlpm.date_col, _xlpm.doc_col, M3, _xlpm.status_col, "APP"),
  _xlpm.first_awc_date, _xlfn.MINIFS(_xlpm.date_col, _xlpm.doc_col, M3, _xlpm.status_col, "AWC"),
  _xlpm.earliest_date, IF(
    AND(_xlpm.first_app_date=0, _xlpm.first_awc_date=0), 0,
    IF(_xlpm.first_app_date=0, _xlpm.first_awc_date,
    IF(_xlpm.first_awc_date=0, _xlpm.first_app_date,
    MIN(_xlpm.first_app_date, _xlpm.first_awc_date)))
  ),
  IF(_xlpm.earliest_date=0, "", _xlpm.earliest_date)
))</f>
        <v/>
      </c>
      <c r="Y3" s="40" t="str" cm="1">
        <f t="array" ref="Y3">IF(OR(M3="", M3="Deleted"), "", _xlfn.LET(
  _xlpm.doc_col, [1]SubmittalLog!$E$1:$E$4000,
  _xlpm.date_col, [1]SubmittalLog!$H$1:$H$4000,
  _xlpm.status_col, [1]SubmittalLog!$O$1:$O$4000,
  _xlpm.has_sub, COUNTIF(_xlpm.doc_col, M3),
  _xlpm.latest_reviewed_date, _xlfn.MAXIFS(_xlpm.date_col, _xlpm.doc_col, M3, _xlpm.status_col, "&lt;&gt;"),
  IF(_xlpm.has_sub=0, "",
    IF(_xlpm.latest_reviewed_date=0, "",
      _xlfn.LET(
        _xlpm.res, _xlfn.XLOOKUP(1, (_xlpm.doc_col=M3) * (_xlpm.date_col=_xlpm.latest_reviewed_date) * (_xlpm.status_col&lt;&gt;""), _xlpm.status_col, ""),
        IF(OR(_xlpm.res="", _xlpm.res=0), "", _xlpm.res)
      )
    )
  )
))</f>
        <v/>
      </c>
    </row>
    <row r="4" spans="1:25" x14ac:dyDescent="0.35">
      <c r="A4" s="11">
        <f>IF($M4="","",MAX($A$1:A3)+1)</f>
        <v>2</v>
      </c>
      <c r="B4" t="s">
        <v>213</v>
      </c>
      <c r="C4" t="s">
        <v>150</v>
      </c>
      <c r="G4" s="11">
        <v>131236</v>
      </c>
      <c r="H4" s="11" t="s">
        <v>59</v>
      </c>
      <c r="I4" s="11" t="s">
        <v>442</v>
      </c>
      <c r="J4" s="11" t="s">
        <v>206</v>
      </c>
      <c r="K4" s="11" t="s">
        <v>3466</v>
      </c>
      <c r="M4" s="34" t="str">
        <f t="shared" si="0"/>
        <v>131236-WIL21-SN-IM-xxxx</v>
      </c>
      <c r="P4" s="15" t="s">
        <v>3467</v>
      </c>
      <c r="R4" s="15" t="s">
        <v>3467</v>
      </c>
      <c r="S4" s="17">
        <v>46025</v>
      </c>
      <c r="U4" s="21" t="str" cm="1">
        <f t="array" ref="U4">IF(OR(M4="", M4="Deleted"), "", _xlfn.LET(
  _xlpm.dates,
  _xlfn._xlws.FILTER(
    [1]SubmittalLog!$H$1:$H$4000,
    [1]SubmittalLog!$E$1:$E$4000=M4,
    ""
  ),
  _xlpm.min_date, IFERROR(MIN(_xlpm.dates), ""),
  IF(_xlpm.min_date=0, "", _xlpm.min_date)
))</f>
        <v/>
      </c>
      <c r="V4" s="63" t="str" cm="1">
        <f t="array" ref="V4">IF(OR(M4="", M4="Deleted"), "", IFERROR(
  _xlfn.TEXTJOIN(", ", TRUE,
    _xlfn.MAP(
      _xlfn.UNIQUE(
        _xlfn._xlws.FILTER(
          [1]SubmittalLog!$B$1:$B$4000,
          ([1]SubmittalLog!$E$1:$E$4000=M4) *
          ([1]SubmittalLog!$B$1:$B$4000&lt;&gt;""),
          ""
        )
      ),
      _xlfn.LAMBDA(_xlpm.val, TEXT(_xlpm.val, "000000"))
    )
  ),
""))</f>
        <v/>
      </c>
      <c r="W4" s="40" t="str" cm="1">
        <f t="array" ref="W4">IF(OR(M4="", M4="Deleted"), "", _xlfn.LET(
  _xlpm.doc_col, [1]SubmittalLog!$E$1:$E$4000,
  _xlpm.date_col, [1]SubmittalLog!$H$1:$H$4000,
  _xlpm.status_col, [1]SubmittalLog!$N$1:$N$4000,
  _xlpm.latest_date, _xlfn.MAXIFS(_xlpm.date_col, _xlpm.doc_col, M4),
  IF(_xlpm.latest_date=0, "NFS",
    _xlfn.LET(
      _xlpm.res, _xlfn.XLOOKUP(M4 &amp; "|" &amp; _xlpm.latest_date, _xlpm.doc_col &amp; "|" &amp; _xlpm.date_col, _xlpm.status_col, ""),
      IF(OR(_xlpm.res="", _xlpm.res=0), "", _xlpm.res)
    )
  )
))</f>
        <v>NFS</v>
      </c>
      <c r="X4" s="39" t="str">
        <f>IF(OR(M4="", M4="Deleted"), "", _xlfn.LET(
  _xlpm.doc_col, [1]SubmittalLog!$E$1:$E$4000,
  _xlpm.date_col, [1]SubmittalLog!$H$1:$H$4000,
  _xlpm.status_col, [1]SubmittalLog!$O$1:$O$4000,
  _xlpm.first_app_date, _xlfn.MINIFS(_xlpm.date_col, _xlpm.doc_col, M4, _xlpm.status_col, "APP"),
  _xlpm.first_awc_date, _xlfn.MINIFS(_xlpm.date_col, _xlpm.doc_col, M4, _xlpm.status_col, "AWC"),
  _xlpm.earliest_date, IF(
    AND(_xlpm.first_app_date=0, _xlpm.first_awc_date=0), 0,
    IF(_xlpm.first_app_date=0, _xlpm.first_awc_date,
    IF(_xlpm.first_awc_date=0, _xlpm.first_app_date,
    MIN(_xlpm.first_app_date, _xlpm.first_awc_date)))
  ),
  IF(_xlpm.earliest_date=0, "", _xlpm.earliest_date)
))</f>
        <v/>
      </c>
      <c r="Y4" s="40" t="str" cm="1">
        <f t="array" ref="Y4">IF(OR(M4="", M4="Deleted"), "", _xlfn.LET(
  _xlpm.doc_col, [1]SubmittalLog!$E$1:$E$4000,
  _xlpm.date_col, [1]SubmittalLog!$H$1:$H$4000,
  _xlpm.status_col, [1]SubmittalLog!$O$1:$O$4000,
  _xlpm.has_sub, COUNTIF(_xlpm.doc_col, M4),
  _xlpm.latest_reviewed_date, _xlfn.MAXIFS(_xlpm.date_col, _xlpm.doc_col, M4, _xlpm.status_col, "&lt;&gt;"),
  IF(_xlpm.has_sub=0, "",
    IF(_xlpm.latest_reviewed_date=0, "",
      _xlfn.LET(
        _xlpm.res, _xlfn.XLOOKUP(1, (_xlpm.doc_col=M4) * (_xlpm.date_col=_xlpm.latest_reviewed_date) * (_xlpm.status_col&lt;&gt;""), _xlpm.status_col, ""),
        IF(OR(_xlpm.res="", _xlpm.res=0), "", _xlpm.res)
      )
    )
  )
))</f>
        <v/>
      </c>
    </row>
    <row r="5" spans="1:25" x14ac:dyDescent="0.35">
      <c r="A5" s="11">
        <f>IF($M5="","",MAX($A$1:A4)+1)</f>
        <v>3</v>
      </c>
      <c r="B5" t="s">
        <v>213</v>
      </c>
      <c r="C5" t="s">
        <v>150</v>
      </c>
      <c r="G5" s="11">
        <v>131236</v>
      </c>
      <c r="H5" s="11" t="s">
        <v>59</v>
      </c>
      <c r="I5" s="11" t="s">
        <v>442</v>
      </c>
      <c r="J5" s="11" t="s">
        <v>206</v>
      </c>
      <c r="K5" s="11" t="s">
        <v>3466</v>
      </c>
      <c r="M5" s="34" t="str">
        <f t="shared" si="0"/>
        <v>131236-WIL21-SN-IM-xxxx</v>
      </c>
      <c r="P5" s="15" t="s">
        <v>3467</v>
      </c>
      <c r="R5" s="15" t="s">
        <v>3467</v>
      </c>
      <c r="S5" s="17">
        <v>46026</v>
      </c>
      <c r="U5" s="21" t="str" cm="1">
        <f t="array" ref="U5">IF(OR(M5="", M5="Deleted"), "", _xlfn.LET(
  _xlpm.dates,
  _xlfn._xlws.FILTER(
    [1]SubmittalLog!$H$1:$H$4000,
    [1]SubmittalLog!$E$1:$E$4000=M5,
    ""
  ),
  _xlpm.min_date, IFERROR(MIN(_xlpm.dates), ""),
  IF(_xlpm.min_date=0, "", _xlpm.min_date)
))</f>
        <v/>
      </c>
      <c r="V5" s="63" t="str" cm="1">
        <f t="array" ref="V5">IF(OR(M5="", M5="Deleted"), "", IFERROR(
  _xlfn.TEXTJOIN(", ", TRUE,
    _xlfn.MAP(
      _xlfn.UNIQUE(
        _xlfn._xlws.FILTER(
          [1]SubmittalLog!$B$1:$B$4000,
          ([1]SubmittalLog!$E$1:$E$4000=M5) *
          ([1]SubmittalLog!$B$1:$B$4000&lt;&gt;""),
          ""
        )
      ),
      _xlfn.LAMBDA(_xlpm.val, TEXT(_xlpm.val, "000000"))
    )
  ),
""))</f>
        <v/>
      </c>
      <c r="W5" s="40" t="str" cm="1">
        <f t="array" ref="W5">IF(OR(M5="", M5="Deleted"), "", _xlfn.LET(
  _xlpm.doc_col, [1]SubmittalLog!$E$1:$E$4000,
  _xlpm.date_col, [1]SubmittalLog!$H$1:$H$4000,
  _xlpm.status_col, [1]SubmittalLog!$N$1:$N$4000,
  _xlpm.latest_date, _xlfn.MAXIFS(_xlpm.date_col, _xlpm.doc_col, M5),
  IF(_xlpm.latest_date=0, "NFS",
    _xlfn.LET(
      _xlpm.res, _xlfn.XLOOKUP(M5 &amp; "|" &amp; _xlpm.latest_date, _xlpm.doc_col &amp; "|" &amp; _xlpm.date_col, _xlpm.status_col, ""),
      IF(OR(_xlpm.res="", _xlpm.res=0), "", _xlpm.res)
    )
  )
))</f>
        <v>NFS</v>
      </c>
      <c r="X5" s="39" t="str">
        <f>IF(OR(M5="", M5="Deleted"), "", _xlfn.LET(
  _xlpm.doc_col, [1]SubmittalLog!$E$1:$E$4000,
  _xlpm.date_col, [1]SubmittalLog!$H$1:$H$4000,
  _xlpm.status_col, [1]SubmittalLog!$O$1:$O$4000,
  _xlpm.first_app_date, _xlfn.MINIFS(_xlpm.date_col, _xlpm.doc_col, M5, _xlpm.status_col, "APP"),
  _xlpm.first_awc_date, _xlfn.MINIFS(_xlpm.date_col, _xlpm.doc_col, M5, _xlpm.status_col, "AWC"),
  _xlpm.earliest_date, IF(
    AND(_xlpm.first_app_date=0, _xlpm.first_awc_date=0), 0,
    IF(_xlpm.first_app_date=0, _xlpm.first_awc_date,
    IF(_xlpm.first_awc_date=0, _xlpm.first_app_date,
    MIN(_xlpm.first_app_date, _xlpm.first_awc_date)))
  ),
  IF(_xlpm.earliest_date=0, "", _xlpm.earliest_date)
))</f>
        <v/>
      </c>
      <c r="Y5" s="40" t="str" cm="1">
        <f t="array" ref="Y5">IF(OR(M5="", M5="Deleted"), "", _xlfn.LET(
  _xlpm.doc_col, [1]SubmittalLog!$E$1:$E$4000,
  _xlpm.date_col, [1]SubmittalLog!$H$1:$H$4000,
  _xlpm.status_col, [1]SubmittalLog!$O$1:$O$4000,
  _xlpm.has_sub, COUNTIF(_xlpm.doc_col, M5),
  _xlpm.latest_reviewed_date, _xlfn.MAXIFS(_xlpm.date_col, _xlpm.doc_col, M5, _xlpm.status_col, "&lt;&gt;"),
  IF(_xlpm.has_sub=0, "",
    IF(_xlpm.latest_reviewed_date=0, "",
      _xlfn.LET(
        _xlpm.res, _xlfn.XLOOKUP(1, (_xlpm.doc_col=M5) * (_xlpm.date_col=_xlpm.latest_reviewed_date) * (_xlpm.status_col&lt;&gt;""), _xlpm.status_col, ""),
        IF(OR(_xlpm.res="", _xlpm.res=0), "", _xlpm.res)
      )
    )
  )
))</f>
        <v/>
      </c>
    </row>
    <row r="6" spans="1:25" x14ac:dyDescent="0.35">
      <c r="A6" s="11">
        <f>IF($M6="","",MAX($A$1:A5)+1)</f>
        <v>4</v>
      </c>
      <c r="B6" t="s">
        <v>213</v>
      </c>
      <c r="C6" t="s">
        <v>150</v>
      </c>
      <c r="G6" s="11">
        <v>131236</v>
      </c>
      <c r="H6" s="11" t="s">
        <v>59</v>
      </c>
      <c r="I6" s="11" t="s">
        <v>442</v>
      </c>
      <c r="J6" s="11" t="s">
        <v>206</v>
      </c>
      <c r="K6" s="11" t="s">
        <v>3466</v>
      </c>
      <c r="M6" s="34" t="str">
        <f t="shared" si="0"/>
        <v>131236-WIL21-SN-IM-xxxx</v>
      </c>
      <c r="P6" s="15" t="s">
        <v>3467</v>
      </c>
      <c r="R6" s="15" t="s">
        <v>3467</v>
      </c>
      <c r="S6" s="17">
        <v>46027</v>
      </c>
      <c r="U6" s="21" t="str" cm="1">
        <f t="array" ref="U6">IF(OR(M6="", M6="Deleted"), "", _xlfn.LET(
  _xlpm.dates,
  _xlfn._xlws.FILTER(
    [1]SubmittalLog!$H$1:$H$4000,
    [1]SubmittalLog!$E$1:$E$4000=M6,
    ""
  ),
  _xlpm.min_date, IFERROR(MIN(_xlpm.dates), ""),
  IF(_xlpm.min_date=0, "", _xlpm.min_date)
))</f>
        <v/>
      </c>
      <c r="V6" s="63" t="str" cm="1">
        <f t="array" ref="V6">IF(OR(M6="", M6="Deleted"), "", IFERROR(
  _xlfn.TEXTJOIN(", ", TRUE,
    _xlfn.MAP(
      _xlfn.UNIQUE(
        _xlfn._xlws.FILTER(
          [1]SubmittalLog!$B$1:$B$4000,
          ([1]SubmittalLog!$E$1:$E$4000=M6) *
          ([1]SubmittalLog!$B$1:$B$4000&lt;&gt;""),
          ""
        )
      ),
      _xlfn.LAMBDA(_xlpm.val, TEXT(_xlpm.val, "000000"))
    )
  ),
""))</f>
        <v/>
      </c>
      <c r="W6" s="40" t="str" cm="1">
        <f t="array" ref="W6">IF(OR(M6="", M6="Deleted"), "", _xlfn.LET(
  _xlpm.doc_col, [1]SubmittalLog!$E$1:$E$4000,
  _xlpm.date_col, [1]SubmittalLog!$H$1:$H$4000,
  _xlpm.status_col, [1]SubmittalLog!$N$1:$N$4000,
  _xlpm.latest_date, _xlfn.MAXIFS(_xlpm.date_col, _xlpm.doc_col, M6),
  IF(_xlpm.latest_date=0, "NFS",
    _xlfn.LET(
      _xlpm.res, _xlfn.XLOOKUP(M6 &amp; "|" &amp; _xlpm.latest_date, _xlpm.doc_col &amp; "|" &amp; _xlpm.date_col, _xlpm.status_col, ""),
      IF(OR(_xlpm.res="", _xlpm.res=0), "", _xlpm.res)
    )
  )
))</f>
        <v>NFS</v>
      </c>
      <c r="X6" s="39" t="str">
        <f>IF(OR(M6="", M6="Deleted"), "", _xlfn.LET(
  _xlpm.doc_col, [1]SubmittalLog!$E$1:$E$4000,
  _xlpm.date_col, [1]SubmittalLog!$H$1:$H$4000,
  _xlpm.status_col, [1]SubmittalLog!$O$1:$O$4000,
  _xlpm.first_app_date, _xlfn.MINIFS(_xlpm.date_col, _xlpm.doc_col, M6, _xlpm.status_col, "APP"),
  _xlpm.first_awc_date, _xlfn.MINIFS(_xlpm.date_col, _xlpm.doc_col, M6, _xlpm.status_col, "AWC"),
  _xlpm.earliest_date, IF(
    AND(_xlpm.first_app_date=0, _xlpm.first_awc_date=0), 0,
    IF(_xlpm.first_app_date=0, _xlpm.first_awc_date,
    IF(_xlpm.first_awc_date=0, _xlpm.first_app_date,
    MIN(_xlpm.first_app_date, _xlpm.first_awc_date)))
  ),
  IF(_xlpm.earliest_date=0, "", _xlpm.earliest_date)
))</f>
        <v/>
      </c>
      <c r="Y6" s="40" t="str" cm="1">
        <f t="array" ref="Y6">IF(OR(M6="", M6="Deleted"), "", _xlfn.LET(
  _xlpm.doc_col, [1]SubmittalLog!$E$1:$E$4000,
  _xlpm.date_col, [1]SubmittalLog!$H$1:$H$4000,
  _xlpm.status_col, [1]SubmittalLog!$O$1:$O$4000,
  _xlpm.has_sub, COUNTIF(_xlpm.doc_col, M6),
  _xlpm.latest_reviewed_date, _xlfn.MAXIFS(_xlpm.date_col, _xlpm.doc_col, M6, _xlpm.status_col, "&lt;&gt;"),
  IF(_xlpm.has_sub=0, "",
    IF(_xlpm.latest_reviewed_date=0, "",
      _xlfn.LET(
        _xlpm.res, _xlfn.XLOOKUP(1, (_xlpm.doc_col=M6) * (_xlpm.date_col=_xlpm.latest_reviewed_date) * (_xlpm.status_col&lt;&gt;""), _xlpm.status_col, ""),
        IF(OR(_xlpm.res="", _xlpm.res=0), "", _xlpm.res)
      )
    )
  )
))</f>
        <v/>
      </c>
    </row>
    <row r="7" spans="1:25" x14ac:dyDescent="0.35">
      <c r="A7" s="11">
        <f>IF($M7="","",MAX($A$1:A6)+1)</f>
        <v>5</v>
      </c>
      <c r="B7" t="s">
        <v>213</v>
      </c>
      <c r="C7" t="s">
        <v>150</v>
      </c>
      <c r="G7" s="11">
        <v>131236</v>
      </c>
      <c r="H7" s="11" t="s">
        <v>59</v>
      </c>
      <c r="I7" s="11" t="s">
        <v>442</v>
      </c>
      <c r="J7" s="11" t="s">
        <v>206</v>
      </c>
      <c r="K7" s="11" t="s">
        <v>3466</v>
      </c>
      <c r="M7" s="34" t="str">
        <f t="shared" si="0"/>
        <v>131236-WIL21-SN-IM-xxxx</v>
      </c>
      <c r="P7" s="15" t="s">
        <v>3467</v>
      </c>
      <c r="R7" s="15" t="s">
        <v>3467</v>
      </c>
      <c r="S7" s="17">
        <v>46028</v>
      </c>
      <c r="U7" s="21" t="str" cm="1">
        <f t="array" ref="U7">IF(OR(M7="", M7="Deleted"), "", _xlfn.LET(
  _xlpm.dates,
  _xlfn._xlws.FILTER(
    [1]SubmittalLog!$H$1:$H$4000,
    [1]SubmittalLog!$E$1:$E$4000=M7,
    ""
  ),
  _xlpm.min_date, IFERROR(MIN(_xlpm.dates), ""),
  IF(_xlpm.min_date=0, "", _xlpm.min_date)
))</f>
        <v/>
      </c>
      <c r="V7" s="63" t="str" cm="1">
        <f t="array" ref="V7">IF(OR(M7="", M7="Deleted"), "", IFERROR(
  _xlfn.TEXTJOIN(", ", TRUE,
    _xlfn.MAP(
      _xlfn.UNIQUE(
        _xlfn._xlws.FILTER(
          [1]SubmittalLog!$B$1:$B$4000,
          ([1]SubmittalLog!$E$1:$E$4000=M7) *
          ([1]SubmittalLog!$B$1:$B$4000&lt;&gt;""),
          ""
        )
      ),
      _xlfn.LAMBDA(_xlpm.val, TEXT(_xlpm.val, "000000"))
    )
  ),
""))</f>
        <v/>
      </c>
      <c r="W7" s="40" t="str" cm="1">
        <f t="array" ref="W7">IF(OR(M7="", M7="Deleted"), "", _xlfn.LET(
  _xlpm.doc_col, [1]SubmittalLog!$E$1:$E$4000,
  _xlpm.date_col, [1]SubmittalLog!$H$1:$H$4000,
  _xlpm.status_col, [1]SubmittalLog!$N$1:$N$4000,
  _xlpm.latest_date, _xlfn.MAXIFS(_xlpm.date_col, _xlpm.doc_col, M7),
  IF(_xlpm.latest_date=0, "NFS",
    _xlfn.LET(
      _xlpm.res, _xlfn.XLOOKUP(M7 &amp; "|" &amp; _xlpm.latest_date, _xlpm.doc_col &amp; "|" &amp; _xlpm.date_col, _xlpm.status_col, ""),
      IF(OR(_xlpm.res="", _xlpm.res=0), "", _xlpm.res)
    )
  )
))</f>
        <v>NFS</v>
      </c>
      <c r="X7" s="39" t="str">
        <f>IF(OR(M7="", M7="Deleted"), "", _xlfn.LET(
  _xlpm.doc_col, [1]SubmittalLog!$E$1:$E$4000,
  _xlpm.date_col, [1]SubmittalLog!$H$1:$H$4000,
  _xlpm.status_col, [1]SubmittalLog!$O$1:$O$4000,
  _xlpm.first_app_date, _xlfn.MINIFS(_xlpm.date_col, _xlpm.doc_col, M7, _xlpm.status_col, "APP"),
  _xlpm.first_awc_date, _xlfn.MINIFS(_xlpm.date_col, _xlpm.doc_col, M7, _xlpm.status_col, "AWC"),
  _xlpm.earliest_date, IF(
    AND(_xlpm.first_app_date=0, _xlpm.first_awc_date=0), 0,
    IF(_xlpm.first_app_date=0, _xlpm.first_awc_date,
    IF(_xlpm.first_awc_date=0, _xlpm.first_app_date,
    MIN(_xlpm.first_app_date, _xlpm.first_awc_date)))
  ),
  IF(_xlpm.earliest_date=0, "", _xlpm.earliest_date)
))</f>
        <v/>
      </c>
      <c r="Y7" s="40" t="str" cm="1">
        <f t="array" ref="Y7">IF(OR(M7="", M7="Deleted"), "", _xlfn.LET(
  _xlpm.doc_col, [1]SubmittalLog!$E$1:$E$4000,
  _xlpm.date_col, [1]SubmittalLog!$H$1:$H$4000,
  _xlpm.status_col, [1]SubmittalLog!$O$1:$O$4000,
  _xlpm.has_sub, COUNTIF(_xlpm.doc_col, M7),
  _xlpm.latest_reviewed_date, _xlfn.MAXIFS(_xlpm.date_col, _xlpm.doc_col, M7, _xlpm.status_col, "&lt;&gt;"),
  IF(_xlpm.has_sub=0, "",
    IF(_xlpm.latest_reviewed_date=0, "",
      _xlfn.LET(
        _xlpm.res, _xlfn.XLOOKUP(1, (_xlpm.doc_col=M7) * (_xlpm.date_col=_xlpm.latest_reviewed_date) * (_xlpm.status_col&lt;&gt;""), _xlpm.status_col, ""),
        IF(OR(_xlpm.res="", _xlpm.res=0), "", _xlpm.res)
      )
    )
  )
))</f>
        <v/>
      </c>
    </row>
    <row r="8" spans="1:25" x14ac:dyDescent="0.35">
      <c r="A8" s="11">
        <f>IF($M8="","",MAX($A$1:A7)+1)</f>
        <v>6</v>
      </c>
      <c r="B8" t="s">
        <v>213</v>
      </c>
      <c r="C8" t="s">
        <v>150</v>
      </c>
      <c r="G8" s="11">
        <v>131236</v>
      </c>
      <c r="H8" s="11" t="s">
        <v>59</v>
      </c>
      <c r="I8" s="11" t="s">
        <v>442</v>
      </c>
      <c r="J8" s="11" t="s">
        <v>206</v>
      </c>
      <c r="K8" s="11" t="s">
        <v>3466</v>
      </c>
      <c r="M8" s="34" t="str">
        <f t="shared" si="0"/>
        <v>131236-WIL21-SN-IM-xxxx</v>
      </c>
      <c r="P8" s="15" t="s">
        <v>3467</v>
      </c>
      <c r="R8" s="15" t="s">
        <v>3467</v>
      </c>
      <c r="S8" s="17">
        <v>46029</v>
      </c>
      <c r="U8" s="21" t="str" cm="1">
        <f t="array" ref="U8">IF(OR(M8="", M8="Deleted"), "", _xlfn.LET(
  _xlpm.dates,
  _xlfn._xlws.FILTER(
    [1]SubmittalLog!$H$1:$H$4000,
    [1]SubmittalLog!$E$1:$E$4000=M8,
    ""
  ),
  _xlpm.min_date, IFERROR(MIN(_xlpm.dates), ""),
  IF(_xlpm.min_date=0, "", _xlpm.min_date)
))</f>
        <v/>
      </c>
      <c r="V8" s="63" t="str" cm="1">
        <f t="array" ref="V8">IF(OR(M8="", M8="Deleted"), "", IFERROR(
  _xlfn.TEXTJOIN(", ", TRUE,
    _xlfn.MAP(
      _xlfn.UNIQUE(
        _xlfn._xlws.FILTER(
          [1]SubmittalLog!$B$1:$B$4000,
          ([1]SubmittalLog!$E$1:$E$4000=M8) *
          ([1]SubmittalLog!$B$1:$B$4000&lt;&gt;""),
          ""
        )
      ),
      _xlfn.LAMBDA(_xlpm.val, TEXT(_xlpm.val, "000000"))
    )
  ),
""))</f>
        <v/>
      </c>
      <c r="W8" s="40" t="str" cm="1">
        <f t="array" ref="W8">IF(OR(M8="", M8="Deleted"), "", _xlfn.LET(
  _xlpm.doc_col, [1]SubmittalLog!$E$1:$E$4000,
  _xlpm.date_col, [1]SubmittalLog!$H$1:$H$4000,
  _xlpm.status_col, [1]SubmittalLog!$N$1:$N$4000,
  _xlpm.latest_date, _xlfn.MAXIFS(_xlpm.date_col, _xlpm.doc_col, M8),
  IF(_xlpm.latest_date=0, "NFS",
    _xlfn.LET(
      _xlpm.res, _xlfn.XLOOKUP(M8 &amp; "|" &amp; _xlpm.latest_date, _xlpm.doc_col &amp; "|" &amp; _xlpm.date_col, _xlpm.status_col, ""),
      IF(OR(_xlpm.res="", _xlpm.res=0), "", _xlpm.res)
    )
  )
))</f>
        <v>NFS</v>
      </c>
      <c r="X8" s="39" t="str">
        <f>IF(OR(M8="", M8="Deleted"), "", _xlfn.LET(
  _xlpm.doc_col, [1]SubmittalLog!$E$1:$E$4000,
  _xlpm.date_col, [1]SubmittalLog!$H$1:$H$4000,
  _xlpm.status_col, [1]SubmittalLog!$O$1:$O$4000,
  _xlpm.first_app_date, _xlfn.MINIFS(_xlpm.date_col, _xlpm.doc_col, M8, _xlpm.status_col, "APP"),
  _xlpm.first_awc_date, _xlfn.MINIFS(_xlpm.date_col, _xlpm.doc_col, M8, _xlpm.status_col, "AWC"),
  _xlpm.earliest_date, IF(
    AND(_xlpm.first_app_date=0, _xlpm.first_awc_date=0), 0,
    IF(_xlpm.first_app_date=0, _xlpm.first_awc_date,
    IF(_xlpm.first_awc_date=0, _xlpm.first_app_date,
    MIN(_xlpm.first_app_date, _xlpm.first_awc_date)))
  ),
  IF(_xlpm.earliest_date=0, "", _xlpm.earliest_date)
))</f>
        <v/>
      </c>
      <c r="Y8" s="40" t="str" cm="1">
        <f t="array" ref="Y8">IF(OR(M8="", M8="Deleted"), "", _xlfn.LET(
  _xlpm.doc_col, [1]SubmittalLog!$E$1:$E$4000,
  _xlpm.date_col, [1]SubmittalLog!$H$1:$H$4000,
  _xlpm.status_col, [1]SubmittalLog!$O$1:$O$4000,
  _xlpm.has_sub, COUNTIF(_xlpm.doc_col, M8),
  _xlpm.latest_reviewed_date, _xlfn.MAXIFS(_xlpm.date_col, _xlpm.doc_col, M8, _xlpm.status_col, "&lt;&gt;"),
  IF(_xlpm.has_sub=0, "",
    IF(_xlpm.latest_reviewed_date=0, "",
      _xlfn.LET(
        _xlpm.res, _xlfn.XLOOKUP(1, (_xlpm.doc_col=M8) * (_xlpm.date_col=_xlpm.latest_reviewed_date) * (_xlpm.status_col&lt;&gt;""), _xlpm.status_col, ""),
        IF(OR(_xlpm.res="", _xlpm.res=0), "", _xlpm.res)
      )
    )
  )
))</f>
        <v/>
      </c>
    </row>
    <row r="9" spans="1:25" x14ac:dyDescent="0.35">
      <c r="A9" s="11" t="str">
        <f>IF($M9="","",MAX($A$1:A8)+1)</f>
        <v/>
      </c>
      <c r="M9" s="34" t="str">
        <f t="shared" si="0"/>
        <v/>
      </c>
      <c r="U9" s="21" t="str" cm="1">
        <f t="array" ref="U9">IF(OR(M9="", M9="Deleted"), "", _xlfn.LET(
  _xlpm.dates,
  _xlfn._xlws.FILTER(
    [1]SubmittalLog!$H$1:$H$4000,
    [1]SubmittalLog!$E$1:$E$4000=M9,
    ""
  ),
  _xlpm.min_date, IFERROR(MIN(_xlpm.dates), ""),
  IF(_xlpm.min_date=0, "", _xlpm.min_date)
))</f>
        <v/>
      </c>
      <c r="V9" s="63" t="str" cm="1">
        <f t="array" ref="V9">IF(OR(M9="", M9="Deleted"), "", IFERROR(
  _xlfn.TEXTJOIN(", ", TRUE,
    _xlfn.MAP(
      _xlfn.UNIQUE(
        _xlfn._xlws.FILTER(
          [1]SubmittalLog!$B$1:$B$4000,
          ([1]SubmittalLog!$E$1:$E$4000=M9) *
          ([1]SubmittalLog!$B$1:$B$4000&lt;&gt;""),
          ""
        )
      ),
      _xlfn.LAMBDA(_xlpm.val, TEXT(_xlpm.val, "000000"))
    )
  ),
""))</f>
        <v/>
      </c>
      <c r="W9" s="40" t="str" cm="1">
        <f t="array" ref="W9">IF(OR(M9="", M9="Deleted"), "", _xlfn.LET(
  _xlpm.doc_col, [1]SubmittalLog!$E$1:$E$4000,
  _xlpm.date_col, [1]SubmittalLog!$H$1:$H$4000,
  _xlpm.status_col, [1]SubmittalLog!$N$1:$N$4000,
  _xlpm.latest_date, _xlfn.MAXIFS(_xlpm.date_col, _xlpm.doc_col, M9),
  IF(_xlpm.latest_date=0, "NFS",
    _xlfn.LET(
      _xlpm.res, _xlfn.XLOOKUP(M9 &amp; "|" &amp; _xlpm.latest_date, _xlpm.doc_col &amp; "|" &amp; _xlpm.date_col, _xlpm.status_col, ""),
      IF(OR(_xlpm.res="", _xlpm.res=0), "", _xlpm.res)
    )
  )
))</f>
        <v/>
      </c>
      <c r="X9" s="39" t="str">
        <f>IF(OR(M9="", M9="Deleted"), "", _xlfn.LET(
  _xlpm.doc_col, [1]SubmittalLog!$E$1:$E$4000,
  _xlpm.date_col, [1]SubmittalLog!$H$1:$H$4000,
  _xlpm.status_col, [1]SubmittalLog!$O$1:$O$4000,
  _xlpm.first_app_date, _xlfn.MINIFS(_xlpm.date_col, _xlpm.doc_col, M9, _xlpm.status_col, "APP"),
  _xlpm.first_awc_date, _xlfn.MINIFS(_xlpm.date_col, _xlpm.doc_col, M9, _xlpm.status_col, "AWC"),
  _xlpm.earliest_date, IF(
    AND(_xlpm.first_app_date=0, _xlpm.first_awc_date=0), 0,
    IF(_xlpm.first_app_date=0, _xlpm.first_awc_date,
    IF(_xlpm.first_awc_date=0, _xlpm.first_app_date,
    MIN(_xlpm.first_app_date, _xlpm.first_awc_date)))
  ),
  IF(_xlpm.earliest_date=0, "", _xlpm.earliest_date)
))</f>
        <v/>
      </c>
      <c r="Y9" s="40" t="str" cm="1">
        <f t="array" ref="Y9">IF(OR(M9="", M9="Deleted"), "", _xlfn.LET(
  _xlpm.doc_col, [1]SubmittalLog!$E$1:$E$4000,
  _xlpm.date_col, [1]SubmittalLog!$H$1:$H$4000,
  _xlpm.status_col, [1]SubmittalLog!$O$1:$O$4000,
  _xlpm.has_sub, COUNTIF(_xlpm.doc_col, M9),
  _xlpm.latest_reviewed_date, _xlfn.MAXIFS(_xlpm.date_col, _xlpm.doc_col, M9, _xlpm.status_col, "&lt;&gt;"),
  IF(_xlpm.has_sub=0, "",
    IF(_xlpm.latest_reviewed_date=0, "",
      _xlfn.LET(
        _xlpm.res, _xlfn.XLOOKUP(1, (_xlpm.doc_col=M9) * (_xlpm.date_col=_xlpm.latest_reviewed_date) * (_xlpm.status_col&lt;&gt;""), _xlpm.status_col, ""),
        IF(OR(_xlpm.res="", _xlpm.res=0), "", _xlpm.res)
      )
    )
  )
))</f>
        <v/>
      </c>
    </row>
    <row r="10" spans="1:25" x14ac:dyDescent="0.35">
      <c r="A10" s="11">
        <f>IF($M10="","",MAX($A$1:A9)+1)</f>
        <v>7</v>
      </c>
      <c r="B10" t="s">
        <v>213</v>
      </c>
      <c r="C10" t="s">
        <v>150</v>
      </c>
      <c r="G10" s="11">
        <v>131236</v>
      </c>
      <c r="H10" s="11" t="s">
        <v>59</v>
      </c>
      <c r="I10" s="11" t="s">
        <v>442</v>
      </c>
      <c r="J10" s="11" t="s">
        <v>206</v>
      </c>
      <c r="K10" s="11" t="s">
        <v>3466</v>
      </c>
      <c r="M10" s="34" t="str">
        <f t="shared" si="0"/>
        <v>131236-WIL21-SN-IM-xxxx</v>
      </c>
      <c r="P10" s="15" t="s">
        <v>3467</v>
      </c>
      <c r="R10" s="15" t="s">
        <v>3467</v>
      </c>
      <c r="S10" s="17">
        <v>46031</v>
      </c>
      <c r="U10" s="21" t="str" cm="1">
        <f t="array" ref="U10">IF(OR(M10="", M10="Deleted"), "", _xlfn.LET(
  _xlpm.dates,
  _xlfn._xlws.FILTER(
    [1]SubmittalLog!$H$1:$H$4000,
    [1]SubmittalLog!$E$1:$E$4000=M10,
    ""
  ),
  _xlpm.min_date, IFERROR(MIN(_xlpm.dates), ""),
  IF(_xlpm.min_date=0, "", _xlpm.min_date)
))</f>
        <v/>
      </c>
      <c r="V10" s="63" t="str" cm="1">
        <f t="array" ref="V10">IF(OR(M10="", M10="Deleted"), "", IFERROR(
  _xlfn.TEXTJOIN(", ", TRUE,
    _xlfn.MAP(
      _xlfn.UNIQUE(
        _xlfn._xlws.FILTER(
          [1]SubmittalLog!$B$1:$B$4000,
          ([1]SubmittalLog!$E$1:$E$4000=M10) *
          ([1]SubmittalLog!$B$1:$B$4000&lt;&gt;""),
          ""
        )
      ),
      _xlfn.LAMBDA(_xlpm.val, TEXT(_xlpm.val, "000000"))
    )
  ),
""))</f>
        <v/>
      </c>
      <c r="W10" s="40" t="str" cm="1">
        <f t="array" ref="W10">IF(OR(M10="", M10="Deleted"), "", _xlfn.LET(
  _xlpm.doc_col, [1]SubmittalLog!$E$1:$E$4000,
  _xlpm.date_col, [1]SubmittalLog!$H$1:$H$4000,
  _xlpm.status_col, [1]SubmittalLog!$N$1:$N$4000,
  _xlpm.latest_date, _xlfn.MAXIFS(_xlpm.date_col, _xlpm.doc_col, M10),
  IF(_xlpm.latest_date=0, "NFS",
    _xlfn.LET(
      _xlpm.res, _xlfn.XLOOKUP(M10 &amp; "|" &amp; _xlpm.latest_date, _xlpm.doc_col &amp; "|" &amp; _xlpm.date_col, _xlpm.status_col, ""),
      IF(OR(_xlpm.res="", _xlpm.res=0), "", _xlpm.res)
    )
  )
))</f>
        <v>NFS</v>
      </c>
      <c r="X10" s="39" t="str">
        <f>IF(OR(M10="", M10="Deleted"), "", _xlfn.LET(
  _xlpm.doc_col, [1]SubmittalLog!$E$1:$E$4000,
  _xlpm.date_col, [1]SubmittalLog!$H$1:$H$4000,
  _xlpm.status_col, [1]SubmittalLog!$O$1:$O$4000,
  _xlpm.first_app_date, _xlfn.MINIFS(_xlpm.date_col, _xlpm.doc_col, M10, _xlpm.status_col, "APP"),
  _xlpm.first_awc_date, _xlfn.MINIFS(_xlpm.date_col, _xlpm.doc_col, M10, _xlpm.status_col, "AWC"),
  _xlpm.earliest_date, IF(
    AND(_xlpm.first_app_date=0, _xlpm.first_awc_date=0), 0,
    IF(_xlpm.first_app_date=0, _xlpm.first_awc_date,
    IF(_xlpm.first_awc_date=0, _xlpm.first_app_date,
    MIN(_xlpm.first_app_date, _xlpm.first_awc_date)))
  ),
  IF(_xlpm.earliest_date=0, "", _xlpm.earliest_date)
))</f>
        <v/>
      </c>
      <c r="Y10" s="40" t="str" cm="1">
        <f t="array" ref="Y10">IF(OR(M10="", M10="Deleted"), "", _xlfn.LET(
  _xlpm.doc_col, [1]SubmittalLog!$E$1:$E$4000,
  _xlpm.date_col, [1]SubmittalLog!$H$1:$H$4000,
  _xlpm.status_col, [1]SubmittalLog!$O$1:$O$4000,
  _xlpm.has_sub, COUNTIF(_xlpm.doc_col, M10),
  _xlpm.latest_reviewed_date, _xlfn.MAXIFS(_xlpm.date_col, _xlpm.doc_col, M10, _xlpm.status_col, "&lt;&gt;"),
  IF(_xlpm.has_sub=0, "",
    IF(_xlpm.latest_reviewed_date=0, "",
      _xlfn.LET(
        _xlpm.res, _xlfn.XLOOKUP(1, (_xlpm.doc_col=M10) * (_xlpm.date_col=_xlpm.latest_reviewed_date) * (_xlpm.status_col&lt;&gt;""), _xlpm.status_col, ""),
        IF(OR(_xlpm.res="", _xlpm.res=0), "", _xlpm.res)
      )
    )
  )
))</f>
        <v/>
      </c>
    </row>
    <row r="11" spans="1:25" x14ac:dyDescent="0.35">
      <c r="A11" s="11">
        <f>IF($M11="","",MAX($A$1:A10)+1)</f>
        <v>8</v>
      </c>
      <c r="B11" t="s">
        <v>213</v>
      </c>
      <c r="C11" t="s">
        <v>150</v>
      </c>
      <c r="G11" s="11">
        <v>131236</v>
      </c>
      <c r="H11" s="11" t="s">
        <v>59</v>
      </c>
      <c r="I11" s="11" t="s">
        <v>442</v>
      </c>
      <c r="J11" s="11" t="s">
        <v>206</v>
      </c>
      <c r="K11" s="11" t="s">
        <v>3466</v>
      </c>
      <c r="M11" s="34" t="str">
        <f t="shared" si="0"/>
        <v>131236-WIL21-SN-IM-xxxx</v>
      </c>
      <c r="P11" s="15" t="s">
        <v>3467</v>
      </c>
      <c r="R11" s="15" t="s">
        <v>3467</v>
      </c>
      <c r="S11" s="17">
        <v>46032</v>
      </c>
      <c r="U11" s="21" t="str" cm="1">
        <f t="array" ref="U11">IF(OR(M11="", M11="Deleted"), "", _xlfn.LET(
  _xlpm.dates,
  _xlfn._xlws.FILTER(
    [1]SubmittalLog!$H$1:$H$4000,
    [1]SubmittalLog!$E$1:$E$4000=M11,
    ""
  ),
  _xlpm.min_date, IFERROR(MIN(_xlpm.dates), ""),
  IF(_xlpm.min_date=0, "", _xlpm.min_date)
))</f>
        <v/>
      </c>
      <c r="V11" s="63" t="str" cm="1">
        <f t="array" ref="V11">IF(OR(M11="", M11="Deleted"), "", IFERROR(
  _xlfn.TEXTJOIN(", ", TRUE,
    _xlfn.MAP(
      _xlfn.UNIQUE(
        _xlfn._xlws.FILTER(
          [1]SubmittalLog!$B$1:$B$4000,
          ([1]SubmittalLog!$E$1:$E$4000=M11) *
          ([1]SubmittalLog!$B$1:$B$4000&lt;&gt;""),
          ""
        )
      ),
      _xlfn.LAMBDA(_xlpm.val, TEXT(_xlpm.val, "000000"))
    )
  ),
""))</f>
        <v/>
      </c>
      <c r="W11" s="40" t="str" cm="1">
        <f t="array" ref="W11">IF(OR(M11="", M11="Deleted"), "", _xlfn.LET(
  _xlpm.doc_col, [1]SubmittalLog!$E$1:$E$4000,
  _xlpm.date_col, [1]SubmittalLog!$H$1:$H$4000,
  _xlpm.status_col, [1]SubmittalLog!$N$1:$N$4000,
  _xlpm.latest_date, _xlfn.MAXIFS(_xlpm.date_col, _xlpm.doc_col, M11),
  IF(_xlpm.latest_date=0, "NFS",
    _xlfn.LET(
      _xlpm.res, _xlfn.XLOOKUP(M11 &amp; "|" &amp; _xlpm.latest_date, _xlpm.doc_col &amp; "|" &amp; _xlpm.date_col, _xlpm.status_col, ""),
      IF(OR(_xlpm.res="", _xlpm.res=0), "", _xlpm.res)
    )
  )
))</f>
        <v>NFS</v>
      </c>
      <c r="X11" s="39" t="str">
        <f>IF(OR(M11="", M11="Deleted"), "", _xlfn.LET(
  _xlpm.doc_col, [1]SubmittalLog!$E$1:$E$4000,
  _xlpm.date_col, [1]SubmittalLog!$H$1:$H$4000,
  _xlpm.status_col, [1]SubmittalLog!$O$1:$O$4000,
  _xlpm.first_app_date, _xlfn.MINIFS(_xlpm.date_col, _xlpm.doc_col, M11, _xlpm.status_col, "APP"),
  _xlpm.first_awc_date, _xlfn.MINIFS(_xlpm.date_col, _xlpm.doc_col, M11, _xlpm.status_col, "AWC"),
  _xlpm.earliest_date, IF(
    AND(_xlpm.first_app_date=0, _xlpm.first_awc_date=0), 0,
    IF(_xlpm.first_app_date=0, _xlpm.first_awc_date,
    IF(_xlpm.first_awc_date=0, _xlpm.first_app_date,
    MIN(_xlpm.first_app_date, _xlpm.first_awc_date)))
  ),
  IF(_xlpm.earliest_date=0, "", _xlpm.earliest_date)
))</f>
        <v/>
      </c>
      <c r="Y11" s="40" t="str" cm="1">
        <f t="array" ref="Y11">IF(OR(M11="", M11="Deleted"), "", _xlfn.LET(
  _xlpm.doc_col, [1]SubmittalLog!$E$1:$E$4000,
  _xlpm.date_col, [1]SubmittalLog!$H$1:$H$4000,
  _xlpm.status_col, [1]SubmittalLog!$O$1:$O$4000,
  _xlpm.has_sub, COUNTIF(_xlpm.doc_col, M11),
  _xlpm.latest_reviewed_date, _xlfn.MAXIFS(_xlpm.date_col, _xlpm.doc_col, M11, _xlpm.status_col, "&lt;&gt;"),
  IF(_xlpm.has_sub=0, "",
    IF(_xlpm.latest_reviewed_date=0, "",
      _xlfn.LET(
        _xlpm.res, _xlfn.XLOOKUP(1, (_xlpm.doc_col=M11) * (_xlpm.date_col=_xlpm.latest_reviewed_date) * (_xlpm.status_col&lt;&gt;""), _xlpm.status_col, ""),
        IF(OR(_xlpm.res="", _xlpm.res=0), "", _xlpm.res)
      )
    )
  )
))</f>
        <v/>
      </c>
    </row>
    <row r="12" spans="1:25" x14ac:dyDescent="0.35">
      <c r="A12" s="11">
        <f>IF($M12="","",MAX($A$1:A11)+1)</f>
        <v>9</v>
      </c>
      <c r="B12" t="s">
        <v>213</v>
      </c>
      <c r="C12" t="s">
        <v>150</v>
      </c>
      <c r="G12" s="11">
        <v>131236</v>
      </c>
      <c r="H12" s="11" t="s">
        <v>59</v>
      </c>
      <c r="I12" s="11" t="s">
        <v>442</v>
      </c>
      <c r="J12" s="11" t="s">
        <v>206</v>
      </c>
      <c r="K12" s="11" t="s">
        <v>3466</v>
      </c>
      <c r="M12" s="34" t="str">
        <f t="shared" si="0"/>
        <v>131236-WIL21-SN-IM-xxxx</v>
      </c>
      <c r="P12" s="15" t="s">
        <v>3467</v>
      </c>
      <c r="R12" s="15" t="s">
        <v>3467</v>
      </c>
      <c r="S12" s="17">
        <v>46033</v>
      </c>
      <c r="U12" s="21" t="str" cm="1">
        <f t="array" ref="U12">IF(OR(M12="", M12="Deleted"), "", _xlfn.LET(
  _xlpm.dates,
  _xlfn._xlws.FILTER(
    [1]SubmittalLog!$H$1:$H$4000,
    [1]SubmittalLog!$E$1:$E$4000=M12,
    ""
  ),
  _xlpm.min_date, IFERROR(MIN(_xlpm.dates), ""),
  IF(_xlpm.min_date=0, "", _xlpm.min_date)
))</f>
        <v/>
      </c>
      <c r="V12" s="63" t="str" cm="1">
        <f t="array" ref="V12">IF(OR(M12="", M12="Deleted"), "", IFERROR(
  _xlfn.TEXTJOIN(", ", TRUE,
    _xlfn.MAP(
      _xlfn.UNIQUE(
        _xlfn._xlws.FILTER(
          [1]SubmittalLog!$B$1:$B$4000,
          ([1]SubmittalLog!$E$1:$E$4000=M12) *
          ([1]SubmittalLog!$B$1:$B$4000&lt;&gt;""),
          ""
        )
      ),
      _xlfn.LAMBDA(_xlpm.val, TEXT(_xlpm.val, "000000"))
    )
  ),
""))</f>
        <v/>
      </c>
      <c r="W12" s="40" t="str" cm="1">
        <f t="array" ref="W12">IF(OR(M12="", M12="Deleted"), "", _xlfn.LET(
  _xlpm.doc_col, [1]SubmittalLog!$E$1:$E$4000,
  _xlpm.date_col, [1]SubmittalLog!$H$1:$H$4000,
  _xlpm.status_col, [1]SubmittalLog!$N$1:$N$4000,
  _xlpm.latest_date, _xlfn.MAXIFS(_xlpm.date_col, _xlpm.doc_col, M12),
  IF(_xlpm.latest_date=0, "NFS",
    _xlfn.LET(
      _xlpm.res, _xlfn.XLOOKUP(M12 &amp; "|" &amp; _xlpm.latest_date, _xlpm.doc_col &amp; "|" &amp; _xlpm.date_col, _xlpm.status_col, ""),
      IF(OR(_xlpm.res="", _xlpm.res=0), "", _xlpm.res)
    )
  )
))</f>
        <v>NFS</v>
      </c>
      <c r="X12" s="39" t="str">
        <f>IF(OR(M12="", M12="Deleted"), "", _xlfn.LET(
  _xlpm.doc_col, [1]SubmittalLog!$E$1:$E$4000,
  _xlpm.date_col, [1]SubmittalLog!$H$1:$H$4000,
  _xlpm.status_col, [1]SubmittalLog!$O$1:$O$4000,
  _xlpm.first_app_date, _xlfn.MINIFS(_xlpm.date_col, _xlpm.doc_col, M12, _xlpm.status_col, "APP"),
  _xlpm.first_awc_date, _xlfn.MINIFS(_xlpm.date_col, _xlpm.doc_col, M12, _xlpm.status_col, "AWC"),
  _xlpm.earliest_date, IF(
    AND(_xlpm.first_app_date=0, _xlpm.first_awc_date=0), 0,
    IF(_xlpm.first_app_date=0, _xlpm.first_awc_date,
    IF(_xlpm.first_awc_date=0, _xlpm.first_app_date,
    MIN(_xlpm.first_app_date, _xlpm.first_awc_date)))
  ),
  IF(_xlpm.earliest_date=0, "", _xlpm.earliest_date)
))</f>
        <v/>
      </c>
      <c r="Y12" s="40" t="str" cm="1">
        <f t="array" ref="Y12">IF(OR(M12="", M12="Deleted"), "", _xlfn.LET(
  _xlpm.doc_col, [1]SubmittalLog!$E$1:$E$4000,
  _xlpm.date_col, [1]SubmittalLog!$H$1:$H$4000,
  _xlpm.status_col, [1]SubmittalLog!$O$1:$O$4000,
  _xlpm.has_sub, COUNTIF(_xlpm.doc_col, M12),
  _xlpm.latest_reviewed_date, _xlfn.MAXIFS(_xlpm.date_col, _xlpm.doc_col, M12, _xlpm.status_col, "&lt;&gt;"),
  IF(_xlpm.has_sub=0, "",
    IF(_xlpm.latest_reviewed_date=0, "",
      _xlfn.LET(
        _xlpm.res, _xlfn.XLOOKUP(1, (_xlpm.doc_col=M12) * (_xlpm.date_col=_xlpm.latest_reviewed_date) * (_xlpm.status_col&lt;&gt;""), _xlpm.status_col, ""),
        IF(OR(_xlpm.res="", _xlpm.res=0), "", _xlpm.res)
      )
    )
  )
))</f>
        <v/>
      </c>
    </row>
    <row r="13" spans="1:25" x14ac:dyDescent="0.35">
      <c r="A13" s="11">
        <f>IF($M13="","",MAX($A$1:A12)+1)</f>
        <v>10</v>
      </c>
      <c r="B13" t="s">
        <v>213</v>
      </c>
      <c r="C13" t="s">
        <v>150</v>
      </c>
      <c r="G13" s="11">
        <v>131236</v>
      </c>
      <c r="H13" s="11" t="s">
        <v>59</v>
      </c>
      <c r="I13" s="11" t="s">
        <v>442</v>
      </c>
      <c r="J13" s="11" t="s">
        <v>206</v>
      </c>
      <c r="K13" s="11" t="s">
        <v>3466</v>
      </c>
      <c r="M13" s="34" t="str">
        <f t="shared" si="0"/>
        <v>131236-WIL21-SN-IM-xxxx</v>
      </c>
      <c r="P13" s="15" t="s">
        <v>3467</v>
      </c>
      <c r="R13" s="15" t="s">
        <v>3467</v>
      </c>
      <c r="S13" s="17">
        <v>46034</v>
      </c>
      <c r="U13" s="21" t="str" cm="1">
        <f t="array" ref="U13">IF(OR(M13="", M13="Deleted"), "", _xlfn.LET(
  _xlpm.dates,
  _xlfn._xlws.FILTER(
    [1]SubmittalLog!$H$1:$H$4000,
    [1]SubmittalLog!$E$1:$E$4000=M13,
    ""
  ),
  _xlpm.min_date, IFERROR(MIN(_xlpm.dates), ""),
  IF(_xlpm.min_date=0, "", _xlpm.min_date)
))</f>
        <v/>
      </c>
      <c r="V13" s="63" t="str" cm="1">
        <f t="array" ref="V13">IF(OR(M13="", M13="Deleted"), "", IFERROR(
  _xlfn.TEXTJOIN(", ", TRUE,
    _xlfn.MAP(
      _xlfn.UNIQUE(
        _xlfn._xlws.FILTER(
          [1]SubmittalLog!$B$1:$B$4000,
          ([1]SubmittalLog!$E$1:$E$4000=M13) *
          ([1]SubmittalLog!$B$1:$B$4000&lt;&gt;""),
          ""
        )
      ),
      _xlfn.LAMBDA(_xlpm.val, TEXT(_xlpm.val, "000000"))
    )
  ),
""))</f>
        <v/>
      </c>
      <c r="W13" s="40" t="str" cm="1">
        <f t="array" ref="W13">IF(OR(M13="", M13="Deleted"), "", _xlfn.LET(
  _xlpm.doc_col, [1]SubmittalLog!$E$1:$E$4000,
  _xlpm.date_col, [1]SubmittalLog!$H$1:$H$4000,
  _xlpm.status_col, [1]SubmittalLog!$N$1:$N$4000,
  _xlpm.latest_date, _xlfn.MAXIFS(_xlpm.date_col, _xlpm.doc_col, M13),
  IF(_xlpm.latest_date=0, "NFS",
    _xlfn.LET(
      _xlpm.res, _xlfn.XLOOKUP(M13 &amp; "|" &amp; _xlpm.latest_date, _xlpm.doc_col &amp; "|" &amp; _xlpm.date_col, _xlpm.status_col, ""),
      IF(OR(_xlpm.res="", _xlpm.res=0), "", _xlpm.res)
    )
  )
))</f>
        <v>NFS</v>
      </c>
      <c r="X13" s="39" t="str">
        <f>IF(OR(M13="", M13="Deleted"), "", _xlfn.LET(
  _xlpm.doc_col, [1]SubmittalLog!$E$1:$E$4000,
  _xlpm.date_col, [1]SubmittalLog!$H$1:$H$4000,
  _xlpm.status_col, [1]SubmittalLog!$O$1:$O$4000,
  _xlpm.first_app_date, _xlfn.MINIFS(_xlpm.date_col, _xlpm.doc_col, M13, _xlpm.status_col, "APP"),
  _xlpm.first_awc_date, _xlfn.MINIFS(_xlpm.date_col, _xlpm.doc_col, M13, _xlpm.status_col, "AWC"),
  _xlpm.earliest_date, IF(
    AND(_xlpm.first_app_date=0, _xlpm.first_awc_date=0), 0,
    IF(_xlpm.first_app_date=0, _xlpm.first_awc_date,
    IF(_xlpm.first_awc_date=0, _xlpm.first_app_date,
    MIN(_xlpm.first_app_date, _xlpm.first_awc_date)))
  ),
  IF(_xlpm.earliest_date=0, "", _xlpm.earliest_date)
))</f>
        <v/>
      </c>
      <c r="Y13" s="40" t="str" cm="1">
        <f t="array" ref="Y13">IF(OR(M13="", M13="Deleted"), "", _xlfn.LET(
  _xlpm.doc_col, [1]SubmittalLog!$E$1:$E$4000,
  _xlpm.date_col, [1]SubmittalLog!$H$1:$H$4000,
  _xlpm.status_col, [1]SubmittalLog!$O$1:$O$4000,
  _xlpm.has_sub, COUNTIF(_xlpm.doc_col, M13),
  _xlpm.latest_reviewed_date, _xlfn.MAXIFS(_xlpm.date_col, _xlpm.doc_col, M13, _xlpm.status_col, "&lt;&gt;"),
  IF(_xlpm.has_sub=0, "",
    IF(_xlpm.latest_reviewed_date=0, "",
      _xlfn.LET(
        _xlpm.res, _xlfn.XLOOKUP(1, (_xlpm.doc_col=M13) * (_xlpm.date_col=_xlpm.latest_reviewed_date) * (_xlpm.status_col&lt;&gt;""), _xlpm.status_col, ""),
        IF(OR(_xlpm.res="", _xlpm.res=0), "", _xlpm.res)
      )
    )
  )
))</f>
        <v/>
      </c>
    </row>
    <row r="14" spans="1:25" x14ac:dyDescent="0.35">
      <c r="A14" s="11">
        <f>IF($M14="","",MAX($A$1:A13)+1)</f>
        <v>11</v>
      </c>
      <c r="B14" t="s">
        <v>213</v>
      </c>
      <c r="C14" t="s">
        <v>150</v>
      </c>
      <c r="G14" s="11">
        <v>131236</v>
      </c>
      <c r="H14" s="11" t="s">
        <v>59</v>
      </c>
      <c r="I14" s="11" t="s">
        <v>442</v>
      </c>
      <c r="J14" s="11" t="s">
        <v>206</v>
      </c>
      <c r="K14" s="11" t="s">
        <v>3466</v>
      </c>
      <c r="M14" s="34" t="str">
        <f t="shared" si="0"/>
        <v>131236-WIL21-SN-IM-xxxx</v>
      </c>
      <c r="P14" s="15" t="s">
        <v>3467</v>
      </c>
      <c r="R14" s="15" t="s">
        <v>3467</v>
      </c>
      <c r="S14" s="17">
        <v>46035</v>
      </c>
      <c r="U14" s="21" t="str" cm="1">
        <f t="array" ref="U14">IF(OR(M14="", M14="Deleted"), "", _xlfn.LET(
  _xlpm.dates,
  _xlfn._xlws.FILTER(
    [1]SubmittalLog!$H$1:$H$4000,
    [1]SubmittalLog!$E$1:$E$4000=M14,
    ""
  ),
  _xlpm.min_date, IFERROR(MIN(_xlpm.dates), ""),
  IF(_xlpm.min_date=0, "", _xlpm.min_date)
))</f>
        <v/>
      </c>
      <c r="V14" s="63" t="str" cm="1">
        <f t="array" ref="V14">IF(OR(M14="", M14="Deleted"), "", IFERROR(
  _xlfn.TEXTJOIN(", ", TRUE,
    _xlfn.MAP(
      _xlfn.UNIQUE(
        _xlfn._xlws.FILTER(
          [1]SubmittalLog!$B$1:$B$4000,
          ([1]SubmittalLog!$E$1:$E$4000=M14) *
          ([1]SubmittalLog!$B$1:$B$4000&lt;&gt;""),
          ""
        )
      ),
      _xlfn.LAMBDA(_xlpm.val, TEXT(_xlpm.val, "000000"))
    )
  ),
""))</f>
        <v/>
      </c>
      <c r="W14" s="40" t="str" cm="1">
        <f t="array" ref="W14">IF(OR(M14="", M14="Deleted"), "", _xlfn.LET(
  _xlpm.doc_col, [1]SubmittalLog!$E$1:$E$4000,
  _xlpm.date_col, [1]SubmittalLog!$H$1:$H$4000,
  _xlpm.status_col, [1]SubmittalLog!$N$1:$N$4000,
  _xlpm.latest_date, _xlfn.MAXIFS(_xlpm.date_col, _xlpm.doc_col, M14),
  IF(_xlpm.latest_date=0, "NFS",
    _xlfn.LET(
      _xlpm.res, _xlfn.XLOOKUP(M14 &amp; "|" &amp; _xlpm.latest_date, _xlpm.doc_col &amp; "|" &amp; _xlpm.date_col, _xlpm.status_col, ""),
      IF(OR(_xlpm.res="", _xlpm.res=0), "", _xlpm.res)
    )
  )
))</f>
        <v>NFS</v>
      </c>
      <c r="X14" s="39" t="str">
        <f>IF(OR(M14="", M14="Deleted"), "", _xlfn.LET(
  _xlpm.doc_col, [1]SubmittalLog!$E$1:$E$4000,
  _xlpm.date_col, [1]SubmittalLog!$H$1:$H$4000,
  _xlpm.status_col, [1]SubmittalLog!$O$1:$O$4000,
  _xlpm.first_app_date, _xlfn.MINIFS(_xlpm.date_col, _xlpm.doc_col, M14, _xlpm.status_col, "APP"),
  _xlpm.first_awc_date, _xlfn.MINIFS(_xlpm.date_col, _xlpm.doc_col, M14, _xlpm.status_col, "AWC"),
  _xlpm.earliest_date, IF(
    AND(_xlpm.first_app_date=0, _xlpm.first_awc_date=0), 0,
    IF(_xlpm.first_app_date=0, _xlpm.first_awc_date,
    IF(_xlpm.first_awc_date=0, _xlpm.first_app_date,
    MIN(_xlpm.first_app_date, _xlpm.first_awc_date)))
  ),
  IF(_xlpm.earliest_date=0, "", _xlpm.earliest_date)
))</f>
        <v/>
      </c>
      <c r="Y14" s="40" t="str" cm="1">
        <f t="array" ref="Y14">IF(OR(M14="", M14="Deleted"), "", _xlfn.LET(
  _xlpm.doc_col, [1]SubmittalLog!$E$1:$E$4000,
  _xlpm.date_col, [1]SubmittalLog!$H$1:$H$4000,
  _xlpm.status_col, [1]SubmittalLog!$O$1:$O$4000,
  _xlpm.has_sub, COUNTIF(_xlpm.doc_col, M14),
  _xlpm.latest_reviewed_date, _xlfn.MAXIFS(_xlpm.date_col, _xlpm.doc_col, M14, _xlpm.status_col, "&lt;&gt;"),
  IF(_xlpm.has_sub=0, "",
    IF(_xlpm.latest_reviewed_date=0, "",
      _xlfn.LET(
        _xlpm.res, _xlfn.XLOOKUP(1, (_xlpm.doc_col=M14) * (_xlpm.date_col=_xlpm.latest_reviewed_date) * (_xlpm.status_col&lt;&gt;""), _xlpm.status_col, ""),
        IF(OR(_xlpm.res="", _xlpm.res=0), "", _xlpm.res)
      )
    )
  )
))</f>
        <v/>
      </c>
    </row>
    <row r="15" spans="1:25" x14ac:dyDescent="0.35">
      <c r="A15" s="11">
        <f>IF($M15="","",MAX($A$1:A14)+1)</f>
        <v>12</v>
      </c>
      <c r="B15" t="s">
        <v>213</v>
      </c>
      <c r="C15" t="s">
        <v>150</v>
      </c>
      <c r="G15" s="11">
        <v>131236</v>
      </c>
      <c r="H15" s="11" t="s">
        <v>59</v>
      </c>
      <c r="I15" s="11" t="s">
        <v>442</v>
      </c>
      <c r="J15" s="11" t="s">
        <v>206</v>
      </c>
      <c r="K15" s="11" t="s">
        <v>3466</v>
      </c>
      <c r="M15" s="34" t="str">
        <f t="shared" si="0"/>
        <v>131236-WIL21-SN-IM-xxxx</v>
      </c>
      <c r="P15" s="15" t="s">
        <v>3467</v>
      </c>
      <c r="R15" s="15" t="s">
        <v>3467</v>
      </c>
      <c r="S15" s="17">
        <v>46036</v>
      </c>
      <c r="U15" s="21" t="str" cm="1">
        <f t="array" ref="U15">IF(OR(M15="", M15="Deleted"), "", _xlfn.LET(
  _xlpm.dates,
  _xlfn._xlws.FILTER(
    [1]SubmittalLog!$H$1:$H$4000,
    [1]SubmittalLog!$E$1:$E$4000=M15,
    ""
  ),
  _xlpm.min_date, IFERROR(MIN(_xlpm.dates), ""),
  IF(_xlpm.min_date=0, "", _xlpm.min_date)
))</f>
        <v/>
      </c>
      <c r="V15" s="63" t="str" cm="1">
        <f t="array" ref="V15">IF(OR(M15="", M15="Deleted"), "", IFERROR(
  _xlfn.TEXTJOIN(", ", TRUE,
    _xlfn.MAP(
      _xlfn.UNIQUE(
        _xlfn._xlws.FILTER(
          [1]SubmittalLog!$B$1:$B$4000,
          ([1]SubmittalLog!$E$1:$E$4000=M15) *
          ([1]SubmittalLog!$B$1:$B$4000&lt;&gt;""),
          ""
        )
      ),
      _xlfn.LAMBDA(_xlpm.val, TEXT(_xlpm.val, "000000"))
    )
  ),
""))</f>
        <v/>
      </c>
      <c r="W15" s="40" t="str" cm="1">
        <f t="array" ref="W15">IF(OR(M15="", M15="Deleted"), "", _xlfn.LET(
  _xlpm.doc_col, [1]SubmittalLog!$E$1:$E$4000,
  _xlpm.date_col, [1]SubmittalLog!$H$1:$H$4000,
  _xlpm.status_col, [1]SubmittalLog!$N$1:$N$4000,
  _xlpm.latest_date, _xlfn.MAXIFS(_xlpm.date_col, _xlpm.doc_col, M15),
  IF(_xlpm.latest_date=0, "NFS",
    _xlfn.LET(
      _xlpm.res, _xlfn.XLOOKUP(M15 &amp; "|" &amp; _xlpm.latest_date, _xlpm.doc_col &amp; "|" &amp; _xlpm.date_col, _xlpm.status_col, ""),
      IF(OR(_xlpm.res="", _xlpm.res=0), "", _xlpm.res)
    )
  )
))</f>
        <v>NFS</v>
      </c>
      <c r="X15" s="39" t="str">
        <f>IF(OR(M15="", M15="Deleted"), "", _xlfn.LET(
  _xlpm.doc_col, [1]SubmittalLog!$E$1:$E$4000,
  _xlpm.date_col, [1]SubmittalLog!$H$1:$H$4000,
  _xlpm.status_col, [1]SubmittalLog!$O$1:$O$4000,
  _xlpm.first_app_date, _xlfn.MINIFS(_xlpm.date_col, _xlpm.doc_col, M15, _xlpm.status_col, "APP"),
  _xlpm.first_awc_date, _xlfn.MINIFS(_xlpm.date_col, _xlpm.doc_col, M15, _xlpm.status_col, "AWC"),
  _xlpm.earliest_date, IF(
    AND(_xlpm.first_app_date=0, _xlpm.first_awc_date=0), 0,
    IF(_xlpm.first_app_date=0, _xlpm.first_awc_date,
    IF(_xlpm.first_awc_date=0, _xlpm.first_app_date,
    MIN(_xlpm.first_app_date, _xlpm.first_awc_date)))
  ),
  IF(_xlpm.earliest_date=0, "", _xlpm.earliest_date)
))</f>
        <v/>
      </c>
      <c r="Y15" s="40" t="str" cm="1">
        <f t="array" ref="Y15">IF(OR(M15="", M15="Deleted"), "", _xlfn.LET(
  _xlpm.doc_col, [1]SubmittalLog!$E$1:$E$4000,
  _xlpm.date_col, [1]SubmittalLog!$H$1:$H$4000,
  _xlpm.status_col, [1]SubmittalLog!$O$1:$O$4000,
  _xlpm.has_sub, COUNTIF(_xlpm.doc_col, M15),
  _xlpm.latest_reviewed_date, _xlfn.MAXIFS(_xlpm.date_col, _xlpm.doc_col, M15, _xlpm.status_col, "&lt;&gt;"),
  IF(_xlpm.has_sub=0, "",
    IF(_xlpm.latest_reviewed_date=0, "",
      _xlfn.LET(
        _xlpm.res, _xlfn.XLOOKUP(1, (_xlpm.doc_col=M15) * (_xlpm.date_col=_xlpm.latest_reviewed_date) * (_xlpm.status_col&lt;&gt;""), _xlpm.status_col, ""),
        IF(OR(_xlpm.res="", _xlpm.res=0), "", _xlpm.res)
      )
    )
  )
))</f>
        <v/>
      </c>
    </row>
    <row r="16" spans="1:25" x14ac:dyDescent="0.35">
      <c r="A16" s="11"/>
    </row>
    <row r="17" spans="1:1" x14ac:dyDescent="0.35">
      <c r="A17" s="11"/>
    </row>
    <row r="18" spans="1:1" x14ac:dyDescent="0.35">
      <c r="A18" s="11"/>
    </row>
    <row r="19" spans="1:1" x14ac:dyDescent="0.35">
      <c r="A19" s="11"/>
    </row>
    <row r="20" spans="1:1" x14ac:dyDescent="0.35">
      <c r="A20" s="11"/>
    </row>
    <row r="21" spans="1:1" x14ac:dyDescent="0.35">
      <c r="A21" s="11"/>
    </row>
    <row r="22" spans="1:1" x14ac:dyDescent="0.35">
      <c r="A22" s="11"/>
    </row>
    <row r="23" spans="1:1" x14ac:dyDescent="0.35">
      <c r="A23" s="11"/>
    </row>
    <row r="24" spans="1:1" x14ac:dyDescent="0.35">
      <c r="A24" s="11"/>
    </row>
    <row r="25" spans="1:1" x14ac:dyDescent="0.35">
      <c r="A25" s="11"/>
    </row>
    <row r="26" spans="1:1" x14ac:dyDescent="0.35">
      <c r="A26" s="11"/>
    </row>
    <row r="27" spans="1:1" x14ac:dyDescent="0.35">
      <c r="A27" s="11"/>
    </row>
    <row r="28" spans="1:1" x14ac:dyDescent="0.35">
      <c r="A28" s="11"/>
    </row>
    <row r="29" spans="1:1" x14ac:dyDescent="0.35">
      <c r="A29" s="11"/>
    </row>
    <row r="30" spans="1:1" x14ac:dyDescent="0.35">
      <c r="A30" s="11"/>
    </row>
    <row r="31" spans="1:1" x14ac:dyDescent="0.35">
      <c r="A31" s="11"/>
    </row>
    <row r="32" spans="1:1" x14ac:dyDescent="0.35">
      <c r="A32" s="11"/>
    </row>
    <row r="33" spans="1:1" x14ac:dyDescent="0.35">
      <c r="A33" s="11"/>
    </row>
    <row r="34" spans="1:1" x14ac:dyDescent="0.35">
      <c r="A34" s="11"/>
    </row>
    <row r="35" spans="1:1" x14ac:dyDescent="0.35">
      <c r="A35" s="11"/>
    </row>
    <row r="36" spans="1:1" x14ac:dyDescent="0.35">
      <c r="A36" s="11"/>
    </row>
    <row r="37" spans="1:1" x14ac:dyDescent="0.35">
      <c r="A37" s="11"/>
    </row>
    <row r="38" spans="1:1" x14ac:dyDescent="0.35">
      <c r="A38" s="11"/>
    </row>
  </sheetData>
  <conditionalFormatting sqref="A1:XFD1048576">
    <cfRule type="expression" dxfId="3" priority="1">
      <formula>_xlfn.ISFORMULA(A1)</formula>
    </cfRule>
  </conditionalFormatting>
  <dataValidations count="2">
    <dataValidation type="list" allowBlank="1" showInputMessage="1" showErrorMessage="1" sqref="R2:R1048576 P2:P1048576" xr:uid="{C87DF407-456E-4E8D-A68C-9C6333AF94C6}">
      <formula1>"YES,NO"</formula1>
    </dataValidation>
    <dataValidation type="date" operator="greaterThan" allowBlank="1" showInputMessage="1" showErrorMessage="1" sqref="S2:T1048576 U16:U1048576" xr:uid="{AA6509F4-0F8B-40EB-8F77-EBE18FA059BF}">
      <formula1>45658</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8">
        <x14:dataValidation type="list" allowBlank="1" showInputMessage="1" showErrorMessage="1" xr:uid="{21AB0C72-115D-404D-B81F-8BE92761B2BB}">
          <x14:formula1>
            <xm:f>BQ!$A:$A</xm:f>
          </x14:formula1>
          <xm:sqref>E2:E1048576</xm:sqref>
        </x14:dataValidation>
        <x14:dataValidation type="list" allowBlank="1" showInputMessage="1" showErrorMessage="1" xr:uid="{A895A6F5-300F-4CDB-AE67-A8ACFF3B4A45}">
          <x14:formula1>
            <xm:f>Code!$K:$K</xm:f>
          </x14:formula1>
          <xm:sqref>G2:G1048576</xm:sqref>
        </x14:dataValidation>
        <x14:dataValidation type="list" allowBlank="1" showInputMessage="1" showErrorMessage="1" xr:uid="{C8BE5A36-F7B0-4AA9-8E2B-50F54557B386}">
          <x14:formula1>
            <xm:f>Code!$T:$T</xm:f>
          </x14:formula1>
          <xm:sqref>J2:J1048576</xm:sqref>
        </x14:dataValidation>
        <x14:dataValidation type="list" allowBlank="1" showInputMessage="1" showErrorMessage="1" xr:uid="{4DD409C3-4E8E-4AE3-AC38-1BE5CADE3DD0}">
          <x14:formula1>
            <xm:f>Code!$Q:$Q</xm:f>
          </x14:formula1>
          <xm:sqref>I2:I1048576</xm:sqref>
        </x14:dataValidation>
        <x14:dataValidation type="list" allowBlank="1" showInputMessage="1" showErrorMessage="1" xr:uid="{4431E390-2785-41E2-A84B-F392EF72356D}">
          <x14:formula1>
            <xm:f>Code!$N:$N</xm:f>
          </x14:formula1>
          <xm:sqref>H2:H1048576</xm:sqref>
        </x14:dataValidation>
        <x14:dataValidation type="list" allowBlank="1" showInputMessage="1" showErrorMessage="1" xr:uid="{68BB80F6-CFF2-4C76-88AE-18E0A52D625D}">
          <x14:formula1>
            <xm:f>Code!$H:$H</xm:f>
          </x14:formula1>
          <xm:sqref>C2:C1048576</xm:sqref>
        </x14:dataValidation>
        <x14:dataValidation type="list" allowBlank="1" showInputMessage="1" showErrorMessage="1" xr:uid="{8EAED49E-CA6E-484A-9BA4-AF11CF2A1646}">
          <x14:formula1>
            <xm:f>Code!$E:$E</xm:f>
          </x14:formula1>
          <xm:sqref>B2:B1048576</xm:sqref>
        </x14:dataValidation>
        <x14:dataValidation type="list" allowBlank="1" showInputMessage="1" showErrorMessage="1" xr:uid="{1482DEDB-8B55-491D-A3F0-105C2E1A5E1C}">
          <x14:formula1>
            <xm:f>Code!$Z:$Z</xm:f>
          </x14:formula1>
          <xm:sqref>Q2:Q1048576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E5481-C8B6-4482-97C5-3D5536075326}">
  <dimension ref="A1:Y38"/>
  <sheetViews>
    <sheetView topLeftCell="J1" workbookViewId="0">
      <selection activeCell="U2" sqref="U2:Y15"/>
    </sheetView>
  </sheetViews>
  <sheetFormatPr defaultRowHeight="14.5" x14ac:dyDescent="0.35"/>
  <cols>
    <col min="3" max="3" width="14.1796875" bestFit="1" customWidth="1"/>
    <col min="4" max="4" width="12" bestFit="1" customWidth="1"/>
    <col min="5" max="5" width="10.7265625" style="23" bestFit="1" customWidth="1"/>
    <col min="6" max="6" width="7.1796875" bestFit="1" customWidth="1"/>
    <col min="7" max="7" width="11.7265625" style="11" bestFit="1" customWidth="1"/>
    <col min="8" max="8" width="12.54296875" style="11" bestFit="1" customWidth="1"/>
    <col min="9" max="9" width="8.54296875" style="11" bestFit="1" customWidth="1"/>
    <col min="10" max="10" width="9.26953125" style="11" bestFit="1" customWidth="1"/>
    <col min="11" max="11" width="8.7265625" style="11"/>
    <col min="12" max="12" width="5.1796875" style="11" customWidth="1"/>
    <col min="13" max="13" width="23.1796875" style="15" bestFit="1" customWidth="1"/>
    <col min="14" max="14" width="29.1796875" style="15" customWidth="1"/>
    <col min="15" max="16" width="8.453125" style="15" customWidth="1"/>
    <col min="17" max="17" width="9" style="15" bestFit="1" customWidth="1"/>
    <col min="18" max="18" width="11.453125" style="15" bestFit="1" customWidth="1"/>
    <col min="19" max="19" width="20.1796875" style="17" bestFit="1" customWidth="1"/>
    <col min="20" max="20" width="24.54296875" style="17" customWidth="1"/>
    <col min="21" max="21" width="18.54296875" style="17" bestFit="1" customWidth="1"/>
    <col min="22" max="22" width="13.81640625" style="11" bestFit="1" customWidth="1"/>
    <col min="23" max="23" width="22.453125" style="11" bestFit="1" customWidth="1"/>
    <col min="24" max="24" width="18.54296875" style="17" bestFit="1" customWidth="1"/>
    <col min="25" max="25" width="19.81640625" style="11" bestFit="1" customWidth="1"/>
  </cols>
  <sheetData>
    <row r="1" spans="1:25" s="12" customFormat="1" x14ac:dyDescent="0.35">
      <c r="A1" s="13" t="s">
        <v>225</v>
      </c>
      <c r="B1" s="14" t="s">
        <v>237</v>
      </c>
      <c r="C1" s="14" t="s">
        <v>30</v>
      </c>
      <c r="D1" s="14" t="s">
        <v>260</v>
      </c>
      <c r="E1" s="30" t="s">
        <v>270</v>
      </c>
      <c r="F1" s="14" t="s">
        <v>281</v>
      </c>
      <c r="G1" s="13" t="s">
        <v>75</v>
      </c>
      <c r="H1" s="13" t="s">
        <v>303</v>
      </c>
      <c r="I1" s="13" t="s">
        <v>315</v>
      </c>
      <c r="J1" s="13" t="s">
        <v>327</v>
      </c>
      <c r="K1" s="13" t="s">
        <v>334</v>
      </c>
      <c r="L1" s="13" t="s">
        <v>340</v>
      </c>
      <c r="M1" s="13" t="s">
        <v>346</v>
      </c>
      <c r="N1" s="13" t="s">
        <v>352</v>
      </c>
      <c r="O1" s="13" t="s">
        <v>358</v>
      </c>
      <c r="P1" s="14" t="s">
        <v>364</v>
      </c>
      <c r="Q1" s="14" t="s">
        <v>370</v>
      </c>
      <c r="R1" s="14" t="s">
        <v>376</v>
      </c>
      <c r="S1" s="27" t="s">
        <v>380</v>
      </c>
      <c r="T1" s="27" t="s">
        <v>384</v>
      </c>
      <c r="U1" s="27" t="s">
        <v>388</v>
      </c>
      <c r="V1" s="14" t="s">
        <v>392</v>
      </c>
      <c r="W1" s="14" t="s">
        <v>44</v>
      </c>
      <c r="X1" s="16" t="s">
        <v>399</v>
      </c>
      <c r="Y1" s="14" t="s">
        <v>403</v>
      </c>
    </row>
    <row r="2" spans="1:25" x14ac:dyDescent="0.35">
      <c r="A2" s="11" t="str">
        <f>IF($M2="","",MAX($A$1:A1)+1)</f>
        <v/>
      </c>
      <c r="M2" s="34" t="str">
        <f t="shared" ref="M2:M15" si="0">IF(B2="Deleted","Deleted",_xlfn.TEXTJOIN("-",TRUE,G2,H2,I2,J2,IF(K2="","",TEXT(K2,"0000"))))</f>
        <v/>
      </c>
      <c r="U2" s="21" t="str" cm="1">
        <f t="array" ref="U2">IF(OR(M2="", M2="Deleted"), "", _xlfn.LET(
  _xlpm.dates,
  _xlfn._xlws.FILTER(
    [1]SubmittalLog!$H$1:$H$4000,
    [1]SubmittalLog!$E$1:$E$4000=M2,
    ""
  ),
  _xlpm.min_date, IFERROR(MIN(_xlpm.dates), ""),
  IF(_xlpm.min_date=0, "", _xlpm.min_date)
))</f>
        <v/>
      </c>
      <c r="V2" s="63" t="str" cm="1">
        <f t="array" ref="V2">IF(OR(M2="", M2="Deleted"), "", IFERROR(
  _xlfn.TEXTJOIN(", ", TRUE,
    _xlfn.MAP(
      _xlfn.UNIQUE(
        _xlfn._xlws.FILTER(
          [1]SubmittalLog!$B$1:$B$4000,
          ([1]SubmittalLog!$E$1:$E$4000=M2) *
          ([1]SubmittalLog!$B$1:$B$4000&lt;&gt;""),
          ""
        )
      ),
      _xlfn.LAMBDA(_xlpm.val, TEXT(_xlpm.val, "000000"))
    )
  ),
""))</f>
        <v/>
      </c>
      <c r="W2" s="40" t="str" cm="1">
        <f t="array" ref="W2">IF(OR(M2="", M2="Deleted"), "", _xlfn.LET(
  _xlpm.doc_col, [1]SubmittalLog!$E$1:$E$4000,
  _xlpm.date_col, [1]SubmittalLog!$H$1:$H$4000,
  _xlpm.status_col, [1]SubmittalLog!$N$1:$N$4000,
  _xlpm.latest_date, _xlfn.MAXIFS(_xlpm.date_col, _xlpm.doc_col, M2),
  IF(_xlpm.latest_date=0, "NFS",
    _xlfn.LET(
      _xlpm.res, _xlfn.XLOOKUP(M2 &amp; "|" &amp; _xlpm.latest_date, _xlpm.doc_col &amp; "|" &amp; _xlpm.date_col, _xlpm.status_col, ""),
      IF(OR(_xlpm.res="", _xlpm.res=0), "", _xlpm.res)
    )
  )
))</f>
        <v/>
      </c>
      <c r="X2" s="39" t="str">
        <f>IF(OR(M2="", M2="Deleted"), "", _xlfn.LET(
  _xlpm.doc_col, [1]SubmittalLog!$E$1:$E$4000,
  _xlpm.date_col, [1]SubmittalLog!$H$1:$H$4000,
  _xlpm.status_col, [1]SubmittalLog!$O$1:$O$4000,
  _xlpm.first_app_date, _xlfn.MINIFS(_xlpm.date_col, _xlpm.doc_col, M2, _xlpm.status_col, "APP"),
  _xlpm.first_awc_date, _xlfn.MINIFS(_xlpm.date_col, _xlpm.doc_col, M2, _xlpm.status_col, "AWC"),
  _xlpm.earliest_date, IF(
    AND(_xlpm.first_app_date=0, _xlpm.first_awc_date=0), 0,
    IF(_xlpm.first_app_date=0, _xlpm.first_awc_date,
    IF(_xlpm.first_awc_date=0, _xlpm.first_app_date,
    MIN(_xlpm.first_app_date, _xlpm.first_awc_date)))
  ),
  IF(_xlpm.earliest_date=0, "", _xlpm.earliest_date)
))</f>
        <v/>
      </c>
      <c r="Y2" s="40" t="str" cm="1">
        <f t="array" ref="Y2">IF(OR(M2="", M2="Deleted"), "", _xlfn.LET(
  _xlpm.doc_col, [1]SubmittalLog!$E$1:$E$4000,
  _xlpm.date_col, [1]SubmittalLog!$H$1:$H$4000,
  _xlpm.status_col, [1]SubmittalLog!$O$1:$O$4000,
  _xlpm.has_sub, COUNTIF(_xlpm.doc_col, M2),
  _xlpm.latest_reviewed_date, _xlfn.MAXIFS(_xlpm.date_col, _xlpm.doc_col, M2, _xlpm.status_col, "&lt;&gt;"),
  IF(_xlpm.has_sub=0, "",
    IF(_xlpm.latest_reviewed_date=0, "",
      _xlfn.LET(
        _xlpm.res, _xlfn.XLOOKUP(1, (_xlpm.doc_col=M2) * (_xlpm.date_col=_xlpm.latest_reviewed_date) * (_xlpm.status_col&lt;&gt;""), _xlpm.status_col, ""),
        IF(OR(_xlpm.res="", _xlpm.res=0), "", _xlpm.res)
      )
    )
  )
))</f>
        <v/>
      </c>
    </row>
    <row r="3" spans="1:25" x14ac:dyDescent="0.35">
      <c r="A3" s="11">
        <f>IF($M3="","",MAX($A$1:A2)+1)</f>
        <v>1</v>
      </c>
      <c r="B3" t="s">
        <v>213</v>
      </c>
      <c r="C3" t="s">
        <v>319</v>
      </c>
      <c r="G3" s="11">
        <v>131236</v>
      </c>
      <c r="H3" s="11" t="s">
        <v>59</v>
      </c>
      <c r="I3" s="11" t="s">
        <v>442</v>
      </c>
      <c r="J3" s="11" t="s">
        <v>206</v>
      </c>
      <c r="K3" s="11" t="s">
        <v>3466</v>
      </c>
      <c r="M3" s="34" t="str">
        <f t="shared" si="0"/>
        <v>131236-WIL21-SN-IM-xxxx</v>
      </c>
      <c r="P3" s="15" t="s">
        <v>3467</v>
      </c>
      <c r="R3" s="15" t="s">
        <v>3467</v>
      </c>
      <c r="S3" s="17">
        <v>46024</v>
      </c>
      <c r="U3" s="21" t="str" cm="1">
        <f t="array" ref="U3">IF(OR(M3="", M3="Deleted"), "", _xlfn.LET(
  _xlpm.dates,
  _xlfn._xlws.FILTER(
    [1]SubmittalLog!$H$1:$H$4000,
    [1]SubmittalLog!$E$1:$E$4000=M3,
    ""
  ),
  _xlpm.min_date, IFERROR(MIN(_xlpm.dates), ""),
  IF(_xlpm.min_date=0, "", _xlpm.min_date)
))</f>
        <v/>
      </c>
      <c r="V3" s="63" t="str" cm="1">
        <f t="array" ref="V3">IF(OR(M3="", M3="Deleted"), "", IFERROR(
  _xlfn.TEXTJOIN(", ", TRUE,
    _xlfn.MAP(
      _xlfn.UNIQUE(
        _xlfn._xlws.FILTER(
          [1]SubmittalLog!$B$1:$B$4000,
          ([1]SubmittalLog!$E$1:$E$4000=M3) *
          ([1]SubmittalLog!$B$1:$B$4000&lt;&gt;""),
          ""
        )
      ),
      _xlfn.LAMBDA(_xlpm.val, TEXT(_xlpm.val, "000000"))
    )
  ),
""))</f>
        <v/>
      </c>
      <c r="W3" s="40" t="str" cm="1">
        <f t="array" ref="W3">IF(OR(M3="", M3="Deleted"), "", _xlfn.LET(
  _xlpm.doc_col, [1]SubmittalLog!$E$1:$E$4000,
  _xlpm.date_col, [1]SubmittalLog!$H$1:$H$4000,
  _xlpm.status_col, [1]SubmittalLog!$N$1:$N$4000,
  _xlpm.latest_date, _xlfn.MAXIFS(_xlpm.date_col, _xlpm.doc_col, M3),
  IF(_xlpm.latest_date=0, "NFS",
    _xlfn.LET(
      _xlpm.res, _xlfn.XLOOKUP(M3 &amp; "|" &amp; _xlpm.latest_date, _xlpm.doc_col &amp; "|" &amp; _xlpm.date_col, _xlpm.status_col, ""),
      IF(OR(_xlpm.res="", _xlpm.res=0), "", _xlpm.res)
    )
  )
))</f>
        <v>NFS</v>
      </c>
      <c r="X3" s="39" t="str">
        <f>IF(OR(M3="", M3="Deleted"), "", _xlfn.LET(
  _xlpm.doc_col, [1]SubmittalLog!$E$1:$E$4000,
  _xlpm.date_col, [1]SubmittalLog!$H$1:$H$4000,
  _xlpm.status_col, [1]SubmittalLog!$O$1:$O$4000,
  _xlpm.first_app_date, _xlfn.MINIFS(_xlpm.date_col, _xlpm.doc_col, M3, _xlpm.status_col, "APP"),
  _xlpm.first_awc_date, _xlfn.MINIFS(_xlpm.date_col, _xlpm.doc_col, M3, _xlpm.status_col, "AWC"),
  _xlpm.earliest_date, IF(
    AND(_xlpm.first_app_date=0, _xlpm.first_awc_date=0), 0,
    IF(_xlpm.first_app_date=0, _xlpm.first_awc_date,
    IF(_xlpm.first_awc_date=0, _xlpm.first_app_date,
    MIN(_xlpm.first_app_date, _xlpm.first_awc_date)))
  ),
  IF(_xlpm.earliest_date=0, "", _xlpm.earliest_date)
))</f>
        <v/>
      </c>
      <c r="Y3" s="40" t="str" cm="1">
        <f t="array" ref="Y3">IF(OR(M3="", M3="Deleted"), "", _xlfn.LET(
  _xlpm.doc_col, [1]SubmittalLog!$E$1:$E$4000,
  _xlpm.date_col, [1]SubmittalLog!$H$1:$H$4000,
  _xlpm.status_col, [1]SubmittalLog!$O$1:$O$4000,
  _xlpm.has_sub, COUNTIF(_xlpm.doc_col, M3),
  _xlpm.latest_reviewed_date, _xlfn.MAXIFS(_xlpm.date_col, _xlpm.doc_col, M3, _xlpm.status_col, "&lt;&gt;"),
  IF(_xlpm.has_sub=0, "",
    IF(_xlpm.latest_reviewed_date=0, "",
      _xlfn.LET(
        _xlpm.res, _xlfn.XLOOKUP(1, (_xlpm.doc_col=M3) * (_xlpm.date_col=_xlpm.latest_reviewed_date) * (_xlpm.status_col&lt;&gt;""), _xlpm.status_col, ""),
        IF(OR(_xlpm.res="", _xlpm.res=0), "", _xlpm.res)
      )
    )
  )
))</f>
        <v/>
      </c>
    </row>
    <row r="4" spans="1:25" x14ac:dyDescent="0.35">
      <c r="A4" s="11">
        <f>IF($M4="","",MAX($A$1:A3)+1)</f>
        <v>2</v>
      </c>
      <c r="B4" t="s">
        <v>213</v>
      </c>
      <c r="C4" t="s">
        <v>319</v>
      </c>
      <c r="G4" s="11">
        <v>131236</v>
      </c>
      <c r="H4" s="11" t="s">
        <v>59</v>
      </c>
      <c r="I4" s="11" t="s">
        <v>442</v>
      </c>
      <c r="J4" s="11" t="s">
        <v>206</v>
      </c>
      <c r="K4" s="11" t="s">
        <v>3466</v>
      </c>
      <c r="M4" s="34" t="str">
        <f t="shared" si="0"/>
        <v>131236-WIL21-SN-IM-xxxx</v>
      </c>
      <c r="P4" s="15" t="s">
        <v>3467</v>
      </c>
      <c r="R4" s="15" t="s">
        <v>3467</v>
      </c>
      <c r="S4" s="17">
        <v>46025</v>
      </c>
      <c r="U4" s="21" t="str" cm="1">
        <f t="array" ref="U4">IF(OR(M4="", M4="Deleted"), "", _xlfn.LET(
  _xlpm.dates,
  _xlfn._xlws.FILTER(
    [1]SubmittalLog!$H$1:$H$4000,
    [1]SubmittalLog!$E$1:$E$4000=M4,
    ""
  ),
  _xlpm.min_date, IFERROR(MIN(_xlpm.dates), ""),
  IF(_xlpm.min_date=0, "", _xlpm.min_date)
))</f>
        <v/>
      </c>
      <c r="V4" s="63" t="str" cm="1">
        <f t="array" ref="V4">IF(OR(M4="", M4="Deleted"), "", IFERROR(
  _xlfn.TEXTJOIN(", ", TRUE,
    _xlfn.MAP(
      _xlfn.UNIQUE(
        _xlfn._xlws.FILTER(
          [1]SubmittalLog!$B$1:$B$4000,
          ([1]SubmittalLog!$E$1:$E$4000=M4) *
          ([1]SubmittalLog!$B$1:$B$4000&lt;&gt;""),
          ""
        )
      ),
      _xlfn.LAMBDA(_xlpm.val, TEXT(_xlpm.val, "000000"))
    )
  ),
""))</f>
        <v/>
      </c>
      <c r="W4" s="40" t="str" cm="1">
        <f t="array" ref="W4">IF(OR(M4="", M4="Deleted"), "", _xlfn.LET(
  _xlpm.doc_col, [1]SubmittalLog!$E$1:$E$4000,
  _xlpm.date_col, [1]SubmittalLog!$H$1:$H$4000,
  _xlpm.status_col, [1]SubmittalLog!$N$1:$N$4000,
  _xlpm.latest_date, _xlfn.MAXIFS(_xlpm.date_col, _xlpm.doc_col, M4),
  IF(_xlpm.latest_date=0, "NFS",
    _xlfn.LET(
      _xlpm.res, _xlfn.XLOOKUP(M4 &amp; "|" &amp; _xlpm.latest_date, _xlpm.doc_col &amp; "|" &amp; _xlpm.date_col, _xlpm.status_col, ""),
      IF(OR(_xlpm.res="", _xlpm.res=0), "", _xlpm.res)
    )
  )
))</f>
        <v>NFS</v>
      </c>
      <c r="X4" s="39" t="str">
        <f>IF(OR(M4="", M4="Deleted"), "", _xlfn.LET(
  _xlpm.doc_col, [1]SubmittalLog!$E$1:$E$4000,
  _xlpm.date_col, [1]SubmittalLog!$H$1:$H$4000,
  _xlpm.status_col, [1]SubmittalLog!$O$1:$O$4000,
  _xlpm.first_app_date, _xlfn.MINIFS(_xlpm.date_col, _xlpm.doc_col, M4, _xlpm.status_col, "APP"),
  _xlpm.first_awc_date, _xlfn.MINIFS(_xlpm.date_col, _xlpm.doc_col, M4, _xlpm.status_col, "AWC"),
  _xlpm.earliest_date, IF(
    AND(_xlpm.first_app_date=0, _xlpm.first_awc_date=0), 0,
    IF(_xlpm.first_app_date=0, _xlpm.first_awc_date,
    IF(_xlpm.first_awc_date=0, _xlpm.first_app_date,
    MIN(_xlpm.first_app_date, _xlpm.first_awc_date)))
  ),
  IF(_xlpm.earliest_date=0, "", _xlpm.earliest_date)
))</f>
        <v/>
      </c>
      <c r="Y4" s="40" t="str" cm="1">
        <f t="array" ref="Y4">IF(OR(M4="", M4="Deleted"), "", _xlfn.LET(
  _xlpm.doc_col, [1]SubmittalLog!$E$1:$E$4000,
  _xlpm.date_col, [1]SubmittalLog!$H$1:$H$4000,
  _xlpm.status_col, [1]SubmittalLog!$O$1:$O$4000,
  _xlpm.has_sub, COUNTIF(_xlpm.doc_col, M4),
  _xlpm.latest_reviewed_date, _xlfn.MAXIFS(_xlpm.date_col, _xlpm.doc_col, M4, _xlpm.status_col, "&lt;&gt;"),
  IF(_xlpm.has_sub=0, "",
    IF(_xlpm.latest_reviewed_date=0, "",
      _xlfn.LET(
        _xlpm.res, _xlfn.XLOOKUP(1, (_xlpm.doc_col=M4) * (_xlpm.date_col=_xlpm.latest_reviewed_date) * (_xlpm.status_col&lt;&gt;""), _xlpm.status_col, ""),
        IF(OR(_xlpm.res="", _xlpm.res=0), "", _xlpm.res)
      )
    )
  )
))</f>
        <v/>
      </c>
    </row>
    <row r="5" spans="1:25" x14ac:dyDescent="0.35">
      <c r="A5" s="11">
        <f>IF($M5="","",MAX($A$1:A4)+1)</f>
        <v>3</v>
      </c>
      <c r="B5" t="s">
        <v>213</v>
      </c>
      <c r="C5" t="s">
        <v>319</v>
      </c>
      <c r="G5" s="11">
        <v>131236</v>
      </c>
      <c r="H5" s="11" t="s">
        <v>59</v>
      </c>
      <c r="I5" s="11" t="s">
        <v>442</v>
      </c>
      <c r="J5" s="11" t="s">
        <v>206</v>
      </c>
      <c r="K5" s="11" t="s">
        <v>3466</v>
      </c>
      <c r="M5" s="34" t="str">
        <f t="shared" si="0"/>
        <v>131236-WIL21-SN-IM-xxxx</v>
      </c>
      <c r="P5" s="15" t="s">
        <v>3467</v>
      </c>
      <c r="R5" s="15" t="s">
        <v>3467</v>
      </c>
      <c r="S5" s="17">
        <v>46026</v>
      </c>
      <c r="U5" s="21" t="str" cm="1">
        <f t="array" ref="U5">IF(OR(M5="", M5="Deleted"), "", _xlfn.LET(
  _xlpm.dates,
  _xlfn._xlws.FILTER(
    [1]SubmittalLog!$H$1:$H$4000,
    [1]SubmittalLog!$E$1:$E$4000=M5,
    ""
  ),
  _xlpm.min_date, IFERROR(MIN(_xlpm.dates), ""),
  IF(_xlpm.min_date=0, "", _xlpm.min_date)
))</f>
        <v/>
      </c>
      <c r="V5" s="63" t="str" cm="1">
        <f t="array" ref="V5">IF(OR(M5="", M5="Deleted"), "", IFERROR(
  _xlfn.TEXTJOIN(", ", TRUE,
    _xlfn.MAP(
      _xlfn.UNIQUE(
        _xlfn._xlws.FILTER(
          [1]SubmittalLog!$B$1:$B$4000,
          ([1]SubmittalLog!$E$1:$E$4000=M5) *
          ([1]SubmittalLog!$B$1:$B$4000&lt;&gt;""),
          ""
        )
      ),
      _xlfn.LAMBDA(_xlpm.val, TEXT(_xlpm.val, "000000"))
    )
  ),
""))</f>
        <v/>
      </c>
      <c r="W5" s="40" t="str" cm="1">
        <f t="array" ref="W5">IF(OR(M5="", M5="Deleted"), "", _xlfn.LET(
  _xlpm.doc_col, [1]SubmittalLog!$E$1:$E$4000,
  _xlpm.date_col, [1]SubmittalLog!$H$1:$H$4000,
  _xlpm.status_col, [1]SubmittalLog!$N$1:$N$4000,
  _xlpm.latest_date, _xlfn.MAXIFS(_xlpm.date_col, _xlpm.doc_col, M5),
  IF(_xlpm.latest_date=0, "NFS",
    _xlfn.LET(
      _xlpm.res, _xlfn.XLOOKUP(M5 &amp; "|" &amp; _xlpm.latest_date, _xlpm.doc_col &amp; "|" &amp; _xlpm.date_col, _xlpm.status_col, ""),
      IF(OR(_xlpm.res="", _xlpm.res=0), "", _xlpm.res)
    )
  )
))</f>
        <v>NFS</v>
      </c>
      <c r="X5" s="39" t="str">
        <f>IF(OR(M5="", M5="Deleted"), "", _xlfn.LET(
  _xlpm.doc_col, [1]SubmittalLog!$E$1:$E$4000,
  _xlpm.date_col, [1]SubmittalLog!$H$1:$H$4000,
  _xlpm.status_col, [1]SubmittalLog!$O$1:$O$4000,
  _xlpm.first_app_date, _xlfn.MINIFS(_xlpm.date_col, _xlpm.doc_col, M5, _xlpm.status_col, "APP"),
  _xlpm.first_awc_date, _xlfn.MINIFS(_xlpm.date_col, _xlpm.doc_col, M5, _xlpm.status_col, "AWC"),
  _xlpm.earliest_date, IF(
    AND(_xlpm.first_app_date=0, _xlpm.first_awc_date=0), 0,
    IF(_xlpm.first_app_date=0, _xlpm.first_awc_date,
    IF(_xlpm.first_awc_date=0, _xlpm.first_app_date,
    MIN(_xlpm.first_app_date, _xlpm.first_awc_date)))
  ),
  IF(_xlpm.earliest_date=0, "", _xlpm.earliest_date)
))</f>
        <v/>
      </c>
      <c r="Y5" s="40" t="str" cm="1">
        <f t="array" ref="Y5">IF(OR(M5="", M5="Deleted"), "", _xlfn.LET(
  _xlpm.doc_col, [1]SubmittalLog!$E$1:$E$4000,
  _xlpm.date_col, [1]SubmittalLog!$H$1:$H$4000,
  _xlpm.status_col, [1]SubmittalLog!$O$1:$O$4000,
  _xlpm.has_sub, COUNTIF(_xlpm.doc_col, M5),
  _xlpm.latest_reviewed_date, _xlfn.MAXIFS(_xlpm.date_col, _xlpm.doc_col, M5, _xlpm.status_col, "&lt;&gt;"),
  IF(_xlpm.has_sub=0, "",
    IF(_xlpm.latest_reviewed_date=0, "",
      _xlfn.LET(
        _xlpm.res, _xlfn.XLOOKUP(1, (_xlpm.doc_col=M5) * (_xlpm.date_col=_xlpm.latest_reviewed_date) * (_xlpm.status_col&lt;&gt;""), _xlpm.status_col, ""),
        IF(OR(_xlpm.res="", _xlpm.res=0), "", _xlpm.res)
      )
    )
  )
))</f>
        <v/>
      </c>
    </row>
    <row r="6" spans="1:25" x14ac:dyDescent="0.35">
      <c r="A6" s="11">
        <f>IF($M6="","",MAX($A$1:A5)+1)</f>
        <v>4</v>
      </c>
      <c r="B6" t="s">
        <v>213</v>
      </c>
      <c r="C6" t="s">
        <v>319</v>
      </c>
      <c r="G6" s="11">
        <v>131236</v>
      </c>
      <c r="H6" s="11" t="s">
        <v>59</v>
      </c>
      <c r="I6" s="11" t="s">
        <v>442</v>
      </c>
      <c r="J6" s="11" t="s">
        <v>206</v>
      </c>
      <c r="K6" s="11" t="s">
        <v>3466</v>
      </c>
      <c r="M6" s="34" t="str">
        <f t="shared" si="0"/>
        <v>131236-WIL21-SN-IM-xxxx</v>
      </c>
      <c r="P6" s="15" t="s">
        <v>3467</v>
      </c>
      <c r="R6" s="15" t="s">
        <v>3467</v>
      </c>
      <c r="S6" s="17">
        <v>46027</v>
      </c>
      <c r="U6" s="21" t="str" cm="1">
        <f t="array" ref="U6">IF(OR(M6="", M6="Deleted"), "", _xlfn.LET(
  _xlpm.dates,
  _xlfn._xlws.FILTER(
    [1]SubmittalLog!$H$1:$H$4000,
    [1]SubmittalLog!$E$1:$E$4000=M6,
    ""
  ),
  _xlpm.min_date, IFERROR(MIN(_xlpm.dates), ""),
  IF(_xlpm.min_date=0, "", _xlpm.min_date)
))</f>
        <v/>
      </c>
      <c r="V6" s="63" t="str" cm="1">
        <f t="array" ref="V6">IF(OR(M6="", M6="Deleted"), "", IFERROR(
  _xlfn.TEXTJOIN(", ", TRUE,
    _xlfn.MAP(
      _xlfn.UNIQUE(
        _xlfn._xlws.FILTER(
          [1]SubmittalLog!$B$1:$B$4000,
          ([1]SubmittalLog!$E$1:$E$4000=M6) *
          ([1]SubmittalLog!$B$1:$B$4000&lt;&gt;""),
          ""
        )
      ),
      _xlfn.LAMBDA(_xlpm.val, TEXT(_xlpm.val, "000000"))
    )
  ),
""))</f>
        <v/>
      </c>
      <c r="W6" s="40" t="str" cm="1">
        <f t="array" ref="W6">IF(OR(M6="", M6="Deleted"), "", _xlfn.LET(
  _xlpm.doc_col, [1]SubmittalLog!$E$1:$E$4000,
  _xlpm.date_col, [1]SubmittalLog!$H$1:$H$4000,
  _xlpm.status_col, [1]SubmittalLog!$N$1:$N$4000,
  _xlpm.latest_date, _xlfn.MAXIFS(_xlpm.date_col, _xlpm.doc_col, M6),
  IF(_xlpm.latest_date=0, "NFS",
    _xlfn.LET(
      _xlpm.res, _xlfn.XLOOKUP(M6 &amp; "|" &amp; _xlpm.latest_date, _xlpm.doc_col &amp; "|" &amp; _xlpm.date_col, _xlpm.status_col, ""),
      IF(OR(_xlpm.res="", _xlpm.res=0), "", _xlpm.res)
    )
  )
))</f>
        <v>NFS</v>
      </c>
      <c r="X6" s="39" t="str">
        <f>IF(OR(M6="", M6="Deleted"), "", _xlfn.LET(
  _xlpm.doc_col, [1]SubmittalLog!$E$1:$E$4000,
  _xlpm.date_col, [1]SubmittalLog!$H$1:$H$4000,
  _xlpm.status_col, [1]SubmittalLog!$O$1:$O$4000,
  _xlpm.first_app_date, _xlfn.MINIFS(_xlpm.date_col, _xlpm.doc_col, M6, _xlpm.status_col, "APP"),
  _xlpm.first_awc_date, _xlfn.MINIFS(_xlpm.date_col, _xlpm.doc_col, M6, _xlpm.status_col, "AWC"),
  _xlpm.earliest_date, IF(
    AND(_xlpm.first_app_date=0, _xlpm.first_awc_date=0), 0,
    IF(_xlpm.first_app_date=0, _xlpm.first_awc_date,
    IF(_xlpm.first_awc_date=0, _xlpm.first_app_date,
    MIN(_xlpm.first_app_date, _xlpm.first_awc_date)))
  ),
  IF(_xlpm.earliest_date=0, "", _xlpm.earliest_date)
))</f>
        <v/>
      </c>
      <c r="Y6" s="40" t="str" cm="1">
        <f t="array" ref="Y6">IF(OR(M6="", M6="Deleted"), "", _xlfn.LET(
  _xlpm.doc_col, [1]SubmittalLog!$E$1:$E$4000,
  _xlpm.date_col, [1]SubmittalLog!$H$1:$H$4000,
  _xlpm.status_col, [1]SubmittalLog!$O$1:$O$4000,
  _xlpm.has_sub, COUNTIF(_xlpm.doc_col, M6),
  _xlpm.latest_reviewed_date, _xlfn.MAXIFS(_xlpm.date_col, _xlpm.doc_col, M6, _xlpm.status_col, "&lt;&gt;"),
  IF(_xlpm.has_sub=0, "",
    IF(_xlpm.latest_reviewed_date=0, "",
      _xlfn.LET(
        _xlpm.res, _xlfn.XLOOKUP(1, (_xlpm.doc_col=M6) * (_xlpm.date_col=_xlpm.latest_reviewed_date) * (_xlpm.status_col&lt;&gt;""), _xlpm.status_col, ""),
        IF(OR(_xlpm.res="", _xlpm.res=0), "", _xlpm.res)
      )
    )
  )
))</f>
        <v/>
      </c>
    </row>
    <row r="7" spans="1:25" x14ac:dyDescent="0.35">
      <c r="A7" s="11">
        <f>IF($M7="","",MAX($A$1:A6)+1)</f>
        <v>5</v>
      </c>
      <c r="B7" t="s">
        <v>213</v>
      </c>
      <c r="C7" t="s">
        <v>319</v>
      </c>
      <c r="G7" s="11">
        <v>131236</v>
      </c>
      <c r="H7" s="11" t="s">
        <v>59</v>
      </c>
      <c r="I7" s="11" t="s">
        <v>442</v>
      </c>
      <c r="J7" s="11" t="s">
        <v>206</v>
      </c>
      <c r="K7" s="11" t="s">
        <v>3466</v>
      </c>
      <c r="M7" s="34" t="str">
        <f t="shared" si="0"/>
        <v>131236-WIL21-SN-IM-xxxx</v>
      </c>
      <c r="P7" s="15" t="s">
        <v>3467</v>
      </c>
      <c r="R7" s="15" t="s">
        <v>3467</v>
      </c>
      <c r="S7" s="17">
        <v>46028</v>
      </c>
      <c r="U7" s="21" t="str" cm="1">
        <f t="array" ref="U7">IF(OR(M7="", M7="Deleted"), "", _xlfn.LET(
  _xlpm.dates,
  _xlfn._xlws.FILTER(
    [1]SubmittalLog!$H$1:$H$4000,
    [1]SubmittalLog!$E$1:$E$4000=M7,
    ""
  ),
  _xlpm.min_date, IFERROR(MIN(_xlpm.dates), ""),
  IF(_xlpm.min_date=0, "", _xlpm.min_date)
))</f>
        <v/>
      </c>
      <c r="V7" s="63" t="str" cm="1">
        <f t="array" ref="V7">IF(OR(M7="", M7="Deleted"), "", IFERROR(
  _xlfn.TEXTJOIN(", ", TRUE,
    _xlfn.MAP(
      _xlfn.UNIQUE(
        _xlfn._xlws.FILTER(
          [1]SubmittalLog!$B$1:$B$4000,
          ([1]SubmittalLog!$E$1:$E$4000=M7) *
          ([1]SubmittalLog!$B$1:$B$4000&lt;&gt;""),
          ""
        )
      ),
      _xlfn.LAMBDA(_xlpm.val, TEXT(_xlpm.val, "000000"))
    )
  ),
""))</f>
        <v/>
      </c>
      <c r="W7" s="40" t="str" cm="1">
        <f t="array" ref="W7">IF(OR(M7="", M7="Deleted"), "", _xlfn.LET(
  _xlpm.doc_col, [1]SubmittalLog!$E$1:$E$4000,
  _xlpm.date_col, [1]SubmittalLog!$H$1:$H$4000,
  _xlpm.status_col, [1]SubmittalLog!$N$1:$N$4000,
  _xlpm.latest_date, _xlfn.MAXIFS(_xlpm.date_col, _xlpm.doc_col, M7),
  IF(_xlpm.latest_date=0, "NFS",
    _xlfn.LET(
      _xlpm.res, _xlfn.XLOOKUP(M7 &amp; "|" &amp; _xlpm.latest_date, _xlpm.doc_col &amp; "|" &amp; _xlpm.date_col, _xlpm.status_col, ""),
      IF(OR(_xlpm.res="", _xlpm.res=0), "", _xlpm.res)
    )
  )
))</f>
        <v>NFS</v>
      </c>
      <c r="X7" s="39" t="str">
        <f>IF(OR(M7="", M7="Deleted"), "", _xlfn.LET(
  _xlpm.doc_col, [1]SubmittalLog!$E$1:$E$4000,
  _xlpm.date_col, [1]SubmittalLog!$H$1:$H$4000,
  _xlpm.status_col, [1]SubmittalLog!$O$1:$O$4000,
  _xlpm.first_app_date, _xlfn.MINIFS(_xlpm.date_col, _xlpm.doc_col, M7, _xlpm.status_col, "APP"),
  _xlpm.first_awc_date, _xlfn.MINIFS(_xlpm.date_col, _xlpm.doc_col, M7, _xlpm.status_col, "AWC"),
  _xlpm.earliest_date, IF(
    AND(_xlpm.first_app_date=0, _xlpm.first_awc_date=0), 0,
    IF(_xlpm.first_app_date=0, _xlpm.first_awc_date,
    IF(_xlpm.first_awc_date=0, _xlpm.first_app_date,
    MIN(_xlpm.first_app_date, _xlpm.first_awc_date)))
  ),
  IF(_xlpm.earliest_date=0, "", _xlpm.earliest_date)
))</f>
        <v/>
      </c>
      <c r="Y7" s="40" t="str" cm="1">
        <f t="array" ref="Y7">IF(OR(M7="", M7="Deleted"), "", _xlfn.LET(
  _xlpm.doc_col, [1]SubmittalLog!$E$1:$E$4000,
  _xlpm.date_col, [1]SubmittalLog!$H$1:$H$4000,
  _xlpm.status_col, [1]SubmittalLog!$O$1:$O$4000,
  _xlpm.has_sub, COUNTIF(_xlpm.doc_col, M7),
  _xlpm.latest_reviewed_date, _xlfn.MAXIFS(_xlpm.date_col, _xlpm.doc_col, M7, _xlpm.status_col, "&lt;&gt;"),
  IF(_xlpm.has_sub=0, "",
    IF(_xlpm.latest_reviewed_date=0, "",
      _xlfn.LET(
        _xlpm.res, _xlfn.XLOOKUP(1, (_xlpm.doc_col=M7) * (_xlpm.date_col=_xlpm.latest_reviewed_date) * (_xlpm.status_col&lt;&gt;""), _xlpm.status_col, ""),
        IF(OR(_xlpm.res="", _xlpm.res=0), "", _xlpm.res)
      )
    )
  )
))</f>
        <v/>
      </c>
    </row>
    <row r="8" spans="1:25" x14ac:dyDescent="0.35">
      <c r="A8" s="11">
        <f>IF($M8="","",MAX($A$1:A7)+1)</f>
        <v>6</v>
      </c>
      <c r="B8" t="s">
        <v>213</v>
      </c>
      <c r="C8" t="s">
        <v>319</v>
      </c>
      <c r="G8" s="11">
        <v>131236</v>
      </c>
      <c r="H8" s="11" t="s">
        <v>59</v>
      </c>
      <c r="I8" s="11" t="s">
        <v>442</v>
      </c>
      <c r="J8" s="11" t="s">
        <v>206</v>
      </c>
      <c r="K8" s="11" t="s">
        <v>3466</v>
      </c>
      <c r="M8" s="34" t="str">
        <f t="shared" si="0"/>
        <v>131236-WIL21-SN-IM-xxxx</v>
      </c>
      <c r="P8" s="15" t="s">
        <v>3467</v>
      </c>
      <c r="R8" s="15" t="s">
        <v>3467</v>
      </c>
      <c r="S8" s="17">
        <v>46029</v>
      </c>
      <c r="U8" s="21" t="str" cm="1">
        <f t="array" ref="U8">IF(OR(M8="", M8="Deleted"), "", _xlfn.LET(
  _xlpm.dates,
  _xlfn._xlws.FILTER(
    [1]SubmittalLog!$H$1:$H$4000,
    [1]SubmittalLog!$E$1:$E$4000=M8,
    ""
  ),
  _xlpm.min_date, IFERROR(MIN(_xlpm.dates), ""),
  IF(_xlpm.min_date=0, "", _xlpm.min_date)
))</f>
        <v/>
      </c>
      <c r="V8" s="63" t="str" cm="1">
        <f t="array" ref="V8">IF(OR(M8="", M8="Deleted"), "", IFERROR(
  _xlfn.TEXTJOIN(", ", TRUE,
    _xlfn.MAP(
      _xlfn.UNIQUE(
        _xlfn._xlws.FILTER(
          [1]SubmittalLog!$B$1:$B$4000,
          ([1]SubmittalLog!$E$1:$E$4000=M8) *
          ([1]SubmittalLog!$B$1:$B$4000&lt;&gt;""),
          ""
        )
      ),
      _xlfn.LAMBDA(_xlpm.val, TEXT(_xlpm.val, "000000"))
    )
  ),
""))</f>
        <v/>
      </c>
      <c r="W8" s="40" t="str" cm="1">
        <f t="array" ref="W8">IF(OR(M8="", M8="Deleted"), "", _xlfn.LET(
  _xlpm.doc_col, [1]SubmittalLog!$E$1:$E$4000,
  _xlpm.date_col, [1]SubmittalLog!$H$1:$H$4000,
  _xlpm.status_col, [1]SubmittalLog!$N$1:$N$4000,
  _xlpm.latest_date, _xlfn.MAXIFS(_xlpm.date_col, _xlpm.doc_col, M8),
  IF(_xlpm.latest_date=0, "NFS",
    _xlfn.LET(
      _xlpm.res, _xlfn.XLOOKUP(M8 &amp; "|" &amp; _xlpm.latest_date, _xlpm.doc_col &amp; "|" &amp; _xlpm.date_col, _xlpm.status_col, ""),
      IF(OR(_xlpm.res="", _xlpm.res=0), "", _xlpm.res)
    )
  )
))</f>
        <v>NFS</v>
      </c>
      <c r="X8" s="39" t="str">
        <f>IF(OR(M8="", M8="Deleted"), "", _xlfn.LET(
  _xlpm.doc_col, [1]SubmittalLog!$E$1:$E$4000,
  _xlpm.date_col, [1]SubmittalLog!$H$1:$H$4000,
  _xlpm.status_col, [1]SubmittalLog!$O$1:$O$4000,
  _xlpm.first_app_date, _xlfn.MINIFS(_xlpm.date_col, _xlpm.doc_col, M8, _xlpm.status_col, "APP"),
  _xlpm.first_awc_date, _xlfn.MINIFS(_xlpm.date_col, _xlpm.doc_col, M8, _xlpm.status_col, "AWC"),
  _xlpm.earliest_date, IF(
    AND(_xlpm.first_app_date=0, _xlpm.first_awc_date=0), 0,
    IF(_xlpm.first_app_date=0, _xlpm.first_awc_date,
    IF(_xlpm.first_awc_date=0, _xlpm.first_app_date,
    MIN(_xlpm.first_app_date, _xlpm.first_awc_date)))
  ),
  IF(_xlpm.earliest_date=0, "", _xlpm.earliest_date)
))</f>
        <v/>
      </c>
      <c r="Y8" s="40" t="str" cm="1">
        <f t="array" ref="Y8">IF(OR(M8="", M8="Deleted"), "", _xlfn.LET(
  _xlpm.doc_col, [1]SubmittalLog!$E$1:$E$4000,
  _xlpm.date_col, [1]SubmittalLog!$H$1:$H$4000,
  _xlpm.status_col, [1]SubmittalLog!$O$1:$O$4000,
  _xlpm.has_sub, COUNTIF(_xlpm.doc_col, M8),
  _xlpm.latest_reviewed_date, _xlfn.MAXIFS(_xlpm.date_col, _xlpm.doc_col, M8, _xlpm.status_col, "&lt;&gt;"),
  IF(_xlpm.has_sub=0, "",
    IF(_xlpm.latest_reviewed_date=0, "",
      _xlfn.LET(
        _xlpm.res, _xlfn.XLOOKUP(1, (_xlpm.doc_col=M8) * (_xlpm.date_col=_xlpm.latest_reviewed_date) * (_xlpm.status_col&lt;&gt;""), _xlpm.status_col, ""),
        IF(OR(_xlpm.res="", _xlpm.res=0), "", _xlpm.res)
      )
    )
  )
))</f>
        <v/>
      </c>
    </row>
    <row r="9" spans="1:25" x14ac:dyDescent="0.35">
      <c r="A9" s="11" t="str">
        <f>IF($M9="","",MAX($A$1:A8)+1)</f>
        <v/>
      </c>
      <c r="M9" s="34" t="str">
        <f t="shared" si="0"/>
        <v/>
      </c>
      <c r="U9" s="21" t="str" cm="1">
        <f t="array" ref="U9">IF(OR(M9="", M9="Deleted"), "", _xlfn.LET(
  _xlpm.dates,
  _xlfn._xlws.FILTER(
    [1]SubmittalLog!$H$1:$H$4000,
    [1]SubmittalLog!$E$1:$E$4000=M9,
    ""
  ),
  _xlpm.min_date, IFERROR(MIN(_xlpm.dates), ""),
  IF(_xlpm.min_date=0, "", _xlpm.min_date)
))</f>
        <v/>
      </c>
      <c r="V9" s="63" t="str" cm="1">
        <f t="array" ref="V9">IF(OR(M9="", M9="Deleted"), "", IFERROR(
  _xlfn.TEXTJOIN(", ", TRUE,
    _xlfn.MAP(
      _xlfn.UNIQUE(
        _xlfn._xlws.FILTER(
          [1]SubmittalLog!$B$1:$B$4000,
          ([1]SubmittalLog!$E$1:$E$4000=M9) *
          ([1]SubmittalLog!$B$1:$B$4000&lt;&gt;""),
          ""
        )
      ),
      _xlfn.LAMBDA(_xlpm.val, TEXT(_xlpm.val, "000000"))
    )
  ),
""))</f>
        <v/>
      </c>
      <c r="W9" s="40" t="str" cm="1">
        <f t="array" ref="W9">IF(OR(M9="", M9="Deleted"), "", _xlfn.LET(
  _xlpm.doc_col, [1]SubmittalLog!$E$1:$E$4000,
  _xlpm.date_col, [1]SubmittalLog!$H$1:$H$4000,
  _xlpm.status_col, [1]SubmittalLog!$N$1:$N$4000,
  _xlpm.latest_date, _xlfn.MAXIFS(_xlpm.date_col, _xlpm.doc_col, M9),
  IF(_xlpm.latest_date=0, "NFS",
    _xlfn.LET(
      _xlpm.res, _xlfn.XLOOKUP(M9 &amp; "|" &amp; _xlpm.latest_date, _xlpm.doc_col &amp; "|" &amp; _xlpm.date_col, _xlpm.status_col, ""),
      IF(OR(_xlpm.res="", _xlpm.res=0), "", _xlpm.res)
    )
  )
))</f>
        <v/>
      </c>
      <c r="X9" s="39" t="str">
        <f>IF(OR(M9="", M9="Deleted"), "", _xlfn.LET(
  _xlpm.doc_col, [1]SubmittalLog!$E$1:$E$4000,
  _xlpm.date_col, [1]SubmittalLog!$H$1:$H$4000,
  _xlpm.status_col, [1]SubmittalLog!$O$1:$O$4000,
  _xlpm.first_app_date, _xlfn.MINIFS(_xlpm.date_col, _xlpm.doc_col, M9, _xlpm.status_col, "APP"),
  _xlpm.first_awc_date, _xlfn.MINIFS(_xlpm.date_col, _xlpm.doc_col, M9, _xlpm.status_col, "AWC"),
  _xlpm.earliest_date, IF(
    AND(_xlpm.first_app_date=0, _xlpm.first_awc_date=0), 0,
    IF(_xlpm.first_app_date=0, _xlpm.first_awc_date,
    IF(_xlpm.first_awc_date=0, _xlpm.first_app_date,
    MIN(_xlpm.first_app_date, _xlpm.first_awc_date)))
  ),
  IF(_xlpm.earliest_date=0, "", _xlpm.earliest_date)
))</f>
        <v/>
      </c>
      <c r="Y9" s="40" t="str" cm="1">
        <f t="array" ref="Y9">IF(OR(M9="", M9="Deleted"), "", _xlfn.LET(
  _xlpm.doc_col, [1]SubmittalLog!$E$1:$E$4000,
  _xlpm.date_col, [1]SubmittalLog!$H$1:$H$4000,
  _xlpm.status_col, [1]SubmittalLog!$O$1:$O$4000,
  _xlpm.has_sub, COUNTIF(_xlpm.doc_col, M9),
  _xlpm.latest_reviewed_date, _xlfn.MAXIFS(_xlpm.date_col, _xlpm.doc_col, M9, _xlpm.status_col, "&lt;&gt;"),
  IF(_xlpm.has_sub=0, "",
    IF(_xlpm.latest_reviewed_date=0, "",
      _xlfn.LET(
        _xlpm.res, _xlfn.XLOOKUP(1, (_xlpm.doc_col=M9) * (_xlpm.date_col=_xlpm.latest_reviewed_date) * (_xlpm.status_col&lt;&gt;""), _xlpm.status_col, ""),
        IF(OR(_xlpm.res="", _xlpm.res=0), "", _xlpm.res)
      )
    )
  )
))</f>
        <v/>
      </c>
    </row>
    <row r="10" spans="1:25" x14ac:dyDescent="0.35">
      <c r="A10" s="11">
        <f>IF($M10="","",MAX($A$1:A9)+1)</f>
        <v>7</v>
      </c>
      <c r="B10" t="s">
        <v>213</v>
      </c>
      <c r="C10" t="s">
        <v>319</v>
      </c>
      <c r="G10" s="11">
        <v>131236</v>
      </c>
      <c r="H10" s="11" t="s">
        <v>59</v>
      </c>
      <c r="I10" s="11" t="s">
        <v>442</v>
      </c>
      <c r="J10" s="11" t="s">
        <v>206</v>
      </c>
      <c r="K10" s="11" t="s">
        <v>3466</v>
      </c>
      <c r="M10" s="34" t="str">
        <f t="shared" si="0"/>
        <v>131236-WIL21-SN-IM-xxxx</v>
      </c>
      <c r="P10" s="15" t="s">
        <v>3467</v>
      </c>
      <c r="R10" s="15" t="s">
        <v>3467</v>
      </c>
      <c r="S10" s="17">
        <v>46031</v>
      </c>
      <c r="U10" s="21" t="str" cm="1">
        <f t="array" ref="U10">IF(OR(M10="", M10="Deleted"), "", _xlfn.LET(
  _xlpm.dates,
  _xlfn._xlws.FILTER(
    [1]SubmittalLog!$H$1:$H$4000,
    [1]SubmittalLog!$E$1:$E$4000=M10,
    ""
  ),
  _xlpm.min_date, IFERROR(MIN(_xlpm.dates), ""),
  IF(_xlpm.min_date=0, "", _xlpm.min_date)
))</f>
        <v/>
      </c>
      <c r="V10" s="63" t="str" cm="1">
        <f t="array" ref="V10">IF(OR(M10="", M10="Deleted"), "", IFERROR(
  _xlfn.TEXTJOIN(", ", TRUE,
    _xlfn.MAP(
      _xlfn.UNIQUE(
        _xlfn._xlws.FILTER(
          [1]SubmittalLog!$B$1:$B$4000,
          ([1]SubmittalLog!$E$1:$E$4000=M10) *
          ([1]SubmittalLog!$B$1:$B$4000&lt;&gt;""),
          ""
        )
      ),
      _xlfn.LAMBDA(_xlpm.val, TEXT(_xlpm.val, "000000"))
    )
  ),
""))</f>
        <v/>
      </c>
      <c r="W10" s="40" t="str" cm="1">
        <f t="array" ref="W10">IF(OR(M10="", M10="Deleted"), "", _xlfn.LET(
  _xlpm.doc_col, [1]SubmittalLog!$E$1:$E$4000,
  _xlpm.date_col, [1]SubmittalLog!$H$1:$H$4000,
  _xlpm.status_col, [1]SubmittalLog!$N$1:$N$4000,
  _xlpm.latest_date, _xlfn.MAXIFS(_xlpm.date_col, _xlpm.doc_col, M10),
  IF(_xlpm.latest_date=0, "NFS",
    _xlfn.LET(
      _xlpm.res, _xlfn.XLOOKUP(M10 &amp; "|" &amp; _xlpm.latest_date, _xlpm.doc_col &amp; "|" &amp; _xlpm.date_col, _xlpm.status_col, ""),
      IF(OR(_xlpm.res="", _xlpm.res=0), "", _xlpm.res)
    )
  )
))</f>
        <v>NFS</v>
      </c>
      <c r="X10" s="39" t="str">
        <f>IF(OR(M10="", M10="Deleted"), "", _xlfn.LET(
  _xlpm.doc_col, [1]SubmittalLog!$E$1:$E$4000,
  _xlpm.date_col, [1]SubmittalLog!$H$1:$H$4000,
  _xlpm.status_col, [1]SubmittalLog!$O$1:$O$4000,
  _xlpm.first_app_date, _xlfn.MINIFS(_xlpm.date_col, _xlpm.doc_col, M10, _xlpm.status_col, "APP"),
  _xlpm.first_awc_date, _xlfn.MINIFS(_xlpm.date_col, _xlpm.doc_col, M10, _xlpm.status_col, "AWC"),
  _xlpm.earliest_date, IF(
    AND(_xlpm.first_app_date=0, _xlpm.first_awc_date=0), 0,
    IF(_xlpm.first_app_date=0, _xlpm.first_awc_date,
    IF(_xlpm.first_awc_date=0, _xlpm.first_app_date,
    MIN(_xlpm.first_app_date, _xlpm.first_awc_date)))
  ),
  IF(_xlpm.earliest_date=0, "", _xlpm.earliest_date)
))</f>
        <v/>
      </c>
      <c r="Y10" s="40" t="str" cm="1">
        <f t="array" ref="Y10">IF(OR(M10="", M10="Deleted"), "", _xlfn.LET(
  _xlpm.doc_col, [1]SubmittalLog!$E$1:$E$4000,
  _xlpm.date_col, [1]SubmittalLog!$H$1:$H$4000,
  _xlpm.status_col, [1]SubmittalLog!$O$1:$O$4000,
  _xlpm.has_sub, COUNTIF(_xlpm.doc_col, M10),
  _xlpm.latest_reviewed_date, _xlfn.MAXIFS(_xlpm.date_col, _xlpm.doc_col, M10, _xlpm.status_col, "&lt;&gt;"),
  IF(_xlpm.has_sub=0, "",
    IF(_xlpm.latest_reviewed_date=0, "",
      _xlfn.LET(
        _xlpm.res, _xlfn.XLOOKUP(1, (_xlpm.doc_col=M10) * (_xlpm.date_col=_xlpm.latest_reviewed_date) * (_xlpm.status_col&lt;&gt;""), _xlpm.status_col, ""),
        IF(OR(_xlpm.res="", _xlpm.res=0), "", _xlpm.res)
      )
    )
  )
))</f>
        <v/>
      </c>
    </row>
    <row r="11" spans="1:25" x14ac:dyDescent="0.35">
      <c r="A11" s="11">
        <f>IF($M11="","",MAX($A$1:A10)+1)</f>
        <v>8</v>
      </c>
      <c r="B11" t="s">
        <v>213</v>
      </c>
      <c r="C11" t="s">
        <v>319</v>
      </c>
      <c r="G11" s="11">
        <v>131236</v>
      </c>
      <c r="H11" s="11" t="s">
        <v>59</v>
      </c>
      <c r="I11" s="11" t="s">
        <v>442</v>
      </c>
      <c r="J11" s="11" t="s">
        <v>206</v>
      </c>
      <c r="K11" s="11" t="s">
        <v>3466</v>
      </c>
      <c r="M11" s="34" t="str">
        <f t="shared" si="0"/>
        <v>131236-WIL21-SN-IM-xxxx</v>
      </c>
      <c r="P11" s="15" t="s">
        <v>3467</v>
      </c>
      <c r="R11" s="15" t="s">
        <v>3467</v>
      </c>
      <c r="S11" s="17">
        <v>46032</v>
      </c>
      <c r="U11" s="21" t="str" cm="1">
        <f t="array" ref="U11">IF(OR(M11="", M11="Deleted"), "", _xlfn.LET(
  _xlpm.dates,
  _xlfn._xlws.FILTER(
    [1]SubmittalLog!$H$1:$H$4000,
    [1]SubmittalLog!$E$1:$E$4000=M11,
    ""
  ),
  _xlpm.min_date, IFERROR(MIN(_xlpm.dates), ""),
  IF(_xlpm.min_date=0, "", _xlpm.min_date)
))</f>
        <v/>
      </c>
      <c r="V11" s="63" t="str" cm="1">
        <f t="array" ref="V11">IF(OR(M11="", M11="Deleted"), "", IFERROR(
  _xlfn.TEXTJOIN(", ", TRUE,
    _xlfn.MAP(
      _xlfn.UNIQUE(
        _xlfn._xlws.FILTER(
          [1]SubmittalLog!$B$1:$B$4000,
          ([1]SubmittalLog!$E$1:$E$4000=M11) *
          ([1]SubmittalLog!$B$1:$B$4000&lt;&gt;""),
          ""
        )
      ),
      _xlfn.LAMBDA(_xlpm.val, TEXT(_xlpm.val, "000000"))
    )
  ),
""))</f>
        <v/>
      </c>
      <c r="W11" s="40" t="str" cm="1">
        <f t="array" ref="W11">IF(OR(M11="", M11="Deleted"), "", _xlfn.LET(
  _xlpm.doc_col, [1]SubmittalLog!$E$1:$E$4000,
  _xlpm.date_col, [1]SubmittalLog!$H$1:$H$4000,
  _xlpm.status_col, [1]SubmittalLog!$N$1:$N$4000,
  _xlpm.latest_date, _xlfn.MAXIFS(_xlpm.date_col, _xlpm.doc_col, M11),
  IF(_xlpm.latest_date=0, "NFS",
    _xlfn.LET(
      _xlpm.res, _xlfn.XLOOKUP(M11 &amp; "|" &amp; _xlpm.latest_date, _xlpm.doc_col &amp; "|" &amp; _xlpm.date_col, _xlpm.status_col, ""),
      IF(OR(_xlpm.res="", _xlpm.res=0), "", _xlpm.res)
    )
  )
))</f>
        <v>NFS</v>
      </c>
      <c r="X11" s="39" t="str">
        <f>IF(OR(M11="", M11="Deleted"), "", _xlfn.LET(
  _xlpm.doc_col, [1]SubmittalLog!$E$1:$E$4000,
  _xlpm.date_col, [1]SubmittalLog!$H$1:$H$4000,
  _xlpm.status_col, [1]SubmittalLog!$O$1:$O$4000,
  _xlpm.first_app_date, _xlfn.MINIFS(_xlpm.date_col, _xlpm.doc_col, M11, _xlpm.status_col, "APP"),
  _xlpm.first_awc_date, _xlfn.MINIFS(_xlpm.date_col, _xlpm.doc_col, M11, _xlpm.status_col, "AWC"),
  _xlpm.earliest_date, IF(
    AND(_xlpm.first_app_date=0, _xlpm.first_awc_date=0), 0,
    IF(_xlpm.first_app_date=0, _xlpm.first_awc_date,
    IF(_xlpm.first_awc_date=0, _xlpm.first_app_date,
    MIN(_xlpm.first_app_date, _xlpm.first_awc_date)))
  ),
  IF(_xlpm.earliest_date=0, "", _xlpm.earliest_date)
))</f>
        <v/>
      </c>
      <c r="Y11" s="40" t="str" cm="1">
        <f t="array" ref="Y11">IF(OR(M11="", M11="Deleted"), "", _xlfn.LET(
  _xlpm.doc_col, [1]SubmittalLog!$E$1:$E$4000,
  _xlpm.date_col, [1]SubmittalLog!$H$1:$H$4000,
  _xlpm.status_col, [1]SubmittalLog!$O$1:$O$4000,
  _xlpm.has_sub, COUNTIF(_xlpm.doc_col, M11),
  _xlpm.latest_reviewed_date, _xlfn.MAXIFS(_xlpm.date_col, _xlpm.doc_col, M11, _xlpm.status_col, "&lt;&gt;"),
  IF(_xlpm.has_sub=0, "",
    IF(_xlpm.latest_reviewed_date=0, "",
      _xlfn.LET(
        _xlpm.res, _xlfn.XLOOKUP(1, (_xlpm.doc_col=M11) * (_xlpm.date_col=_xlpm.latest_reviewed_date) * (_xlpm.status_col&lt;&gt;""), _xlpm.status_col, ""),
        IF(OR(_xlpm.res="", _xlpm.res=0), "", _xlpm.res)
      )
    )
  )
))</f>
        <v/>
      </c>
    </row>
    <row r="12" spans="1:25" x14ac:dyDescent="0.35">
      <c r="A12" s="11">
        <f>IF($M12="","",MAX($A$1:A11)+1)</f>
        <v>9</v>
      </c>
      <c r="B12" t="s">
        <v>213</v>
      </c>
      <c r="C12" t="s">
        <v>319</v>
      </c>
      <c r="G12" s="11">
        <v>131236</v>
      </c>
      <c r="H12" s="11" t="s">
        <v>59</v>
      </c>
      <c r="I12" s="11" t="s">
        <v>442</v>
      </c>
      <c r="J12" s="11" t="s">
        <v>206</v>
      </c>
      <c r="K12" s="11" t="s">
        <v>3466</v>
      </c>
      <c r="M12" s="34" t="str">
        <f t="shared" si="0"/>
        <v>131236-WIL21-SN-IM-xxxx</v>
      </c>
      <c r="P12" s="15" t="s">
        <v>3467</v>
      </c>
      <c r="R12" s="15" t="s">
        <v>3467</v>
      </c>
      <c r="S12" s="17">
        <v>46033</v>
      </c>
      <c r="U12" s="21" t="str" cm="1">
        <f t="array" ref="U12">IF(OR(M12="", M12="Deleted"), "", _xlfn.LET(
  _xlpm.dates,
  _xlfn._xlws.FILTER(
    [1]SubmittalLog!$H$1:$H$4000,
    [1]SubmittalLog!$E$1:$E$4000=M12,
    ""
  ),
  _xlpm.min_date, IFERROR(MIN(_xlpm.dates), ""),
  IF(_xlpm.min_date=0, "", _xlpm.min_date)
))</f>
        <v/>
      </c>
      <c r="V12" s="63" t="str" cm="1">
        <f t="array" ref="V12">IF(OR(M12="", M12="Deleted"), "", IFERROR(
  _xlfn.TEXTJOIN(", ", TRUE,
    _xlfn.MAP(
      _xlfn.UNIQUE(
        _xlfn._xlws.FILTER(
          [1]SubmittalLog!$B$1:$B$4000,
          ([1]SubmittalLog!$E$1:$E$4000=M12) *
          ([1]SubmittalLog!$B$1:$B$4000&lt;&gt;""),
          ""
        )
      ),
      _xlfn.LAMBDA(_xlpm.val, TEXT(_xlpm.val, "000000"))
    )
  ),
""))</f>
        <v/>
      </c>
      <c r="W12" s="40" t="str" cm="1">
        <f t="array" ref="W12">IF(OR(M12="", M12="Deleted"), "", _xlfn.LET(
  _xlpm.doc_col, [1]SubmittalLog!$E$1:$E$4000,
  _xlpm.date_col, [1]SubmittalLog!$H$1:$H$4000,
  _xlpm.status_col, [1]SubmittalLog!$N$1:$N$4000,
  _xlpm.latest_date, _xlfn.MAXIFS(_xlpm.date_col, _xlpm.doc_col, M12),
  IF(_xlpm.latest_date=0, "NFS",
    _xlfn.LET(
      _xlpm.res, _xlfn.XLOOKUP(M12 &amp; "|" &amp; _xlpm.latest_date, _xlpm.doc_col &amp; "|" &amp; _xlpm.date_col, _xlpm.status_col, ""),
      IF(OR(_xlpm.res="", _xlpm.res=0), "", _xlpm.res)
    )
  )
))</f>
        <v>NFS</v>
      </c>
      <c r="X12" s="39" t="str">
        <f>IF(OR(M12="", M12="Deleted"), "", _xlfn.LET(
  _xlpm.doc_col, [1]SubmittalLog!$E$1:$E$4000,
  _xlpm.date_col, [1]SubmittalLog!$H$1:$H$4000,
  _xlpm.status_col, [1]SubmittalLog!$O$1:$O$4000,
  _xlpm.first_app_date, _xlfn.MINIFS(_xlpm.date_col, _xlpm.doc_col, M12, _xlpm.status_col, "APP"),
  _xlpm.first_awc_date, _xlfn.MINIFS(_xlpm.date_col, _xlpm.doc_col, M12, _xlpm.status_col, "AWC"),
  _xlpm.earliest_date, IF(
    AND(_xlpm.first_app_date=0, _xlpm.first_awc_date=0), 0,
    IF(_xlpm.first_app_date=0, _xlpm.first_awc_date,
    IF(_xlpm.first_awc_date=0, _xlpm.first_app_date,
    MIN(_xlpm.first_app_date, _xlpm.first_awc_date)))
  ),
  IF(_xlpm.earliest_date=0, "", _xlpm.earliest_date)
))</f>
        <v/>
      </c>
      <c r="Y12" s="40" t="str" cm="1">
        <f t="array" ref="Y12">IF(OR(M12="", M12="Deleted"), "", _xlfn.LET(
  _xlpm.doc_col, [1]SubmittalLog!$E$1:$E$4000,
  _xlpm.date_col, [1]SubmittalLog!$H$1:$H$4000,
  _xlpm.status_col, [1]SubmittalLog!$O$1:$O$4000,
  _xlpm.has_sub, COUNTIF(_xlpm.doc_col, M12),
  _xlpm.latest_reviewed_date, _xlfn.MAXIFS(_xlpm.date_col, _xlpm.doc_col, M12, _xlpm.status_col, "&lt;&gt;"),
  IF(_xlpm.has_sub=0, "",
    IF(_xlpm.latest_reviewed_date=0, "",
      _xlfn.LET(
        _xlpm.res, _xlfn.XLOOKUP(1, (_xlpm.doc_col=M12) * (_xlpm.date_col=_xlpm.latest_reviewed_date) * (_xlpm.status_col&lt;&gt;""), _xlpm.status_col, ""),
        IF(OR(_xlpm.res="", _xlpm.res=0), "", _xlpm.res)
      )
    )
  )
))</f>
        <v/>
      </c>
    </row>
    <row r="13" spans="1:25" x14ac:dyDescent="0.35">
      <c r="A13" s="11">
        <f>IF($M13="","",MAX($A$1:A12)+1)</f>
        <v>10</v>
      </c>
      <c r="B13" t="s">
        <v>213</v>
      </c>
      <c r="C13" t="s">
        <v>319</v>
      </c>
      <c r="G13" s="11">
        <v>131236</v>
      </c>
      <c r="H13" s="11" t="s">
        <v>59</v>
      </c>
      <c r="I13" s="11" t="s">
        <v>442</v>
      </c>
      <c r="J13" s="11" t="s">
        <v>206</v>
      </c>
      <c r="K13" s="11" t="s">
        <v>3466</v>
      </c>
      <c r="M13" s="34" t="str">
        <f t="shared" si="0"/>
        <v>131236-WIL21-SN-IM-xxxx</v>
      </c>
      <c r="P13" s="15" t="s">
        <v>3467</v>
      </c>
      <c r="R13" s="15" t="s">
        <v>3467</v>
      </c>
      <c r="S13" s="17">
        <v>46034</v>
      </c>
      <c r="U13" s="21" t="str" cm="1">
        <f t="array" ref="U13">IF(OR(M13="", M13="Deleted"), "", _xlfn.LET(
  _xlpm.dates,
  _xlfn._xlws.FILTER(
    [1]SubmittalLog!$H$1:$H$4000,
    [1]SubmittalLog!$E$1:$E$4000=M13,
    ""
  ),
  _xlpm.min_date, IFERROR(MIN(_xlpm.dates), ""),
  IF(_xlpm.min_date=0, "", _xlpm.min_date)
))</f>
        <v/>
      </c>
      <c r="V13" s="63" t="str" cm="1">
        <f t="array" ref="V13">IF(OR(M13="", M13="Deleted"), "", IFERROR(
  _xlfn.TEXTJOIN(", ", TRUE,
    _xlfn.MAP(
      _xlfn.UNIQUE(
        _xlfn._xlws.FILTER(
          [1]SubmittalLog!$B$1:$B$4000,
          ([1]SubmittalLog!$E$1:$E$4000=M13) *
          ([1]SubmittalLog!$B$1:$B$4000&lt;&gt;""),
          ""
        )
      ),
      _xlfn.LAMBDA(_xlpm.val, TEXT(_xlpm.val, "000000"))
    )
  ),
""))</f>
        <v/>
      </c>
      <c r="W13" s="40" t="str" cm="1">
        <f t="array" ref="W13">IF(OR(M13="", M13="Deleted"), "", _xlfn.LET(
  _xlpm.doc_col, [1]SubmittalLog!$E$1:$E$4000,
  _xlpm.date_col, [1]SubmittalLog!$H$1:$H$4000,
  _xlpm.status_col, [1]SubmittalLog!$N$1:$N$4000,
  _xlpm.latest_date, _xlfn.MAXIFS(_xlpm.date_col, _xlpm.doc_col, M13),
  IF(_xlpm.latest_date=0, "NFS",
    _xlfn.LET(
      _xlpm.res, _xlfn.XLOOKUP(M13 &amp; "|" &amp; _xlpm.latest_date, _xlpm.doc_col &amp; "|" &amp; _xlpm.date_col, _xlpm.status_col, ""),
      IF(OR(_xlpm.res="", _xlpm.res=0), "", _xlpm.res)
    )
  )
))</f>
        <v>NFS</v>
      </c>
      <c r="X13" s="39" t="str">
        <f>IF(OR(M13="", M13="Deleted"), "", _xlfn.LET(
  _xlpm.doc_col, [1]SubmittalLog!$E$1:$E$4000,
  _xlpm.date_col, [1]SubmittalLog!$H$1:$H$4000,
  _xlpm.status_col, [1]SubmittalLog!$O$1:$O$4000,
  _xlpm.first_app_date, _xlfn.MINIFS(_xlpm.date_col, _xlpm.doc_col, M13, _xlpm.status_col, "APP"),
  _xlpm.first_awc_date, _xlfn.MINIFS(_xlpm.date_col, _xlpm.doc_col, M13, _xlpm.status_col, "AWC"),
  _xlpm.earliest_date, IF(
    AND(_xlpm.first_app_date=0, _xlpm.first_awc_date=0), 0,
    IF(_xlpm.first_app_date=0, _xlpm.first_awc_date,
    IF(_xlpm.first_awc_date=0, _xlpm.first_app_date,
    MIN(_xlpm.first_app_date, _xlpm.first_awc_date)))
  ),
  IF(_xlpm.earliest_date=0, "", _xlpm.earliest_date)
))</f>
        <v/>
      </c>
      <c r="Y13" s="40" t="str" cm="1">
        <f t="array" ref="Y13">IF(OR(M13="", M13="Deleted"), "", _xlfn.LET(
  _xlpm.doc_col, [1]SubmittalLog!$E$1:$E$4000,
  _xlpm.date_col, [1]SubmittalLog!$H$1:$H$4000,
  _xlpm.status_col, [1]SubmittalLog!$O$1:$O$4000,
  _xlpm.has_sub, COUNTIF(_xlpm.doc_col, M13),
  _xlpm.latest_reviewed_date, _xlfn.MAXIFS(_xlpm.date_col, _xlpm.doc_col, M13, _xlpm.status_col, "&lt;&gt;"),
  IF(_xlpm.has_sub=0, "",
    IF(_xlpm.latest_reviewed_date=0, "",
      _xlfn.LET(
        _xlpm.res, _xlfn.XLOOKUP(1, (_xlpm.doc_col=M13) * (_xlpm.date_col=_xlpm.latest_reviewed_date) * (_xlpm.status_col&lt;&gt;""), _xlpm.status_col, ""),
        IF(OR(_xlpm.res="", _xlpm.res=0), "", _xlpm.res)
      )
    )
  )
))</f>
        <v/>
      </c>
    </row>
    <row r="14" spans="1:25" x14ac:dyDescent="0.35">
      <c r="A14" s="11">
        <f>IF($M14="","",MAX($A$1:A13)+1)</f>
        <v>11</v>
      </c>
      <c r="B14" t="s">
        <v>213</v>
      </c>
      <c r="C14" t="s">
        <v>319</v>
      </c>
      <c r="G14" s="11">
        <v>131236</v>
      </c>
      <c r="H14" s="11" t="s">
        <v>59</v>
      </c>
      <c r="I14" s="11" t="s">
        <v>442</v>
      </c>
      <c r="J14" s="11" t="s">
        <v>206</v>
      </c>
      <c r="K14" s="11" t="s">
        <v>3466</v>
      </c>
      <c r="M14" s="34" t="str">
        <f t="shared" si="0"/>
        <v>131236-WIL21-SN-IM-xxxx</v>
      </c>
      <c r="P14" s="15" t="s">
        <v>3467</v>
      </c>
      <c r="R14" s="15" t="s">
        <v>3467</v>
      </c>
      <c r="S14" s="17">
        <v>46035</v>
      </c>
      <c r="U14" s="21" t="str" cm="1">
        <f t="array" ref="U14">IF(OR(M14="", M14="Deleted"), "", _xlfn.LET(
  _xlpm.dates,
  _xlfn._xlws.FILTER(
    [1]SubmittalLog!$H$1:$H$4000,
    [1]SubmittalLog!$E$1:$E$4000=M14,
    ""
  ),
  _xlpm.min_date, IFERROR(MIN(_xlpm.dates), ""),
  IF(_xlpm.min_date=0, "", _xlpm.min_date)
))</f>
        <v/>
      </c>
      <c r="V14" s="63" t="str" cm="1">
        <f t="array" ref="V14">IF(OR(M14="", M14="Deleted"), "", IFERROR(
  _xlfn.TEXTJOIN(", ", TRUE,
    _xlfn.MAP(
      _xlfn.UNIQUE(
        _xlfn._xlws.FILTER(
          [1]SubmittalLog!$B$1:$B$4000,
          ([1]SubmittalLog!$E$1:$E$4000=M14) *
          ([1]SubmittalLog!$B$1:$B$4000&lt;&gt;""),
          ""
        )
      ),
      _xlfn.LAMBDA(_xlpm.val, TEXT(_xlpm.val, "000000"))
    )
  ),
""))</f>
        <v/>
      </c>
      <c r="W14" s="40" t="str" cm="1">
        <f t="array" ref="W14">IF(OR(M14="", M14="Deleted"), "", _xlfn.LET(
  _xlpm.doc_col, [1]SubmittalLog!$E$1:$E$4000,
  _xlpm.date_col, [1]SubmittalLog!$H$1:$H$4000,
  _xlpm.status_col, [1]SubmittalLog!$N$1:$N$4000,
  _xlpm.latest_date, _xlfn.MAXIFS(_xlpm.date_col, _xlpm.doc_col, M14),
  IF(_xlpm.latest_date=0, "NFS",
    _xlfn.LET(
      _xlpm.res, _xlfn.XLOOKUP(M14 &amp; "|" &amp; _xlpm.latest_date, _xlpm.doc_col &amp; "|" &amp; _xlpm.date_col, _xlpm.status_col, ""),
      IF(OR(_xlpm.res="", _xlpm.res=0), "", _xlpm.res)
    )
  )
))</f>
        <v>NFS</v>
      </c>
      <c r="X14" s="39" t="str">
        <f>IF(OR(M14="", M14="Deleted"), "", _xlfn.LET(
  _xlpm.doc_col, [1]SubmittalLog!$E$1:$E$4000,
  _xlpm.date_col, [1]SubmittalLog!$H$1:$H$4000,
  _xlpm.status_col, [1]SubmittalLog!$O$1:$O$4000,
  _xlpm.first_app_date, _xlfn.MINIFS(_xlpm.date_col, _xlpm.doc_col, M14, _xlpm.status_col, "APP"),
  _xlpm.first_awc_date, _xlfn.MINIFS(_xlpm.date_col, _xlpm.doc_col, M14, _xlpm.status_col, "AWC"),
  _xlpm.earliest_date, IF(
    AND(_xlpm.first_app_date=0, _xlpm.first_awc_date=0), 0,
    IF(_xlpm.first_app_date=0, _xlpm.first_awc_date,
    IF(_xlpm.first_awc_date=0, _xlpm.first_app_date,
    MIN(_xlpm.first_app_date, _xlpm.first_awc_date)))
  ),
  IF(_xlpm.earliest_date=0, "", _xlpm.earliest_date)
))</f>
        <v/>
      </c>
      <c r="Y14" s="40" t="str" cm="1">
        <f t="array" ref="Y14">IF(OR(M14="", M14="Deleted"), "", _xlfn.LET(
  _xlpm.doc_col, [1]SubmittalLog!$E$1:$E$4000,
  _xlpm.date_col, [1]SubmittalLog!$H$1:$H$4000,
  _xlpm.status_col, [1]SubmittalLog!$O$1:$O$4000,
  _xlpm.has_sub, COUNTIF(_xlpm.doc_col, M14),
  _xlpm.latest_reviewed_date, _xlfn.MAXIFS(_xlpm.date_col, _xlpm.doc_col, M14, _xlpm.status_col, "&lt;&gt;"),
  IF(_xlpm.has_sub=0, "",
    IF(_xlpm.latest_reviewed_date=0, "",
      _xlfn.LET(
        _xlpm.res, _xlfn.XLOOKUP(1, (_xlpm.doc_col=M14) * (_xlpm.date_col=_xlpm.latest_reviewed_date) * (_xlpm.status_col&lt;&gt;""), _xlpm.status_col, ""),
        IF(OR(_xlpm.res="", _xlpm.res=0), "", _xlpm.res)
      )
    )
  )
))</f>
        <v/>
      </c>
    </row>
    <row r="15" spans="1:25" x14ac:dyDescent="0.35">
      <c r="A15" s="11">
        <f>IF($M15="","",MAX($A$1:A14)+1)</f>
        <v>12</v>
      </c>
      <c r="B15" t="s">
        <v>213</v>
      </c>
      <c r="C15" t="s">
        <v>319</v>
      </c>
      <c r="G15" s="11">
        <v>131236</v>
      </c>
      <c r="H15" s="11" t="s">
        <v>59</v>
      </c>
      <c r="I15" s="11" t="s">
        <v>442</v>
      </c>
      <c r="J15" s="11" t="s">
        <v>206</v>
      </c>
      <c r="K15" s="11" t="s">
        <v>3466</v>
      </c>
      <c r="M15" s="34" t="str">
        <f t="shared" si="0"/>
        <v>131236-WIL21-SN-IM-xxxx</v>
      </c>
      <c r="P15" s="15" t="s">
        <v>3467</v>
      </c>
      <c r="R15" s="15" t="s">
        <v>3467</v>
      </c>
      <c r="S15" s="17">
        <v>46036</v>
      </c>
      <c r="U15" s="21" t="str" cm="1">
        <f t="array" ref="U15">IF(OR(M15="", M15="Deleted"), "", _xlfn.LET(
  _xlpm.dates,
  _xlfn._xlws.FILTER(
    [1]SubmittalLog!$H$1:$H$4000,
    [1]SubmittalLog!$E$1:$E$4000=M15,
    ""
  ),
  _xlpm.min_date, IFERROR(MIN(_xlpm.dates), ""),
  IF(_xlpm.min_date=0, "", _xlpm.min_date)
))</f>
        <v/>
      </c>
      <c r="V15" s="63" t="str" cm="1">
        <f t="array" ref="V15">IF(OR(M15="", M15="Deleted"), "", IFERROR(
  _xlfn.TEXTJOIN(", ", TRUE,
    _xlfn.MAP(
      _xlfn.UNIQUE(
        _xlfn._xlws.FILTER(
          [1]SubmittalLog!$B$1:$B$4000,
          ([1]SubmittalLog!$E$1:$E$4000=M15) *
          ([1]SubmittalLog!$B$1:$B$4000&lt;&gt;""),
          ""
        )
      ),
      _xlfn.LAMBDA(_xlpm.val, TEXT(_xlpm.val, "000000"))
    )
  ),
""))</f>
        <v/>
      </c>
      <c r="W15" s="40" t="str" cm="1">
        <f t="array" ref="W15">IF(OR(M15="", M15="Deleted"), "", _xlfn.LET(
  _xlpm.doc_col, [1]SubmittalLog!$E$1:$E$4000,
  _xlpm.date_col, [1]SubmittalLog!$H$1:$H$4000,
  _xlpm.status_col, [1]SubmittalLog!$N$1:$N$4000,
  _xlpm.latest_date, _xlfn.MAXIFS(_xlpm.date_col, _xlpm.doc_col, M15),
  IF(_xlpm.latest_date=0, "NFS",
    _xlfn.LET(
      _xlpm.res, _xlfn.XLOOKUP(M15 &amp; "|" &amp; _xlpm.latest_date, _xlpm.doc_col &amp; "|" &amp; _xlpm.date_col, _xlpm.status_col, ""),
      IF(OR(_xlpm.res="", _xlpm.res=0), "", _xlpm.res)
    )
  )
))</f>
        <v>NFS</v>
      </c>
      <c r="X15" s="39" t="str">
        <f>IF(OR(M15="", M15="Deleted"), "", _xlfn.LET(
  _xlpm.doc_col, [1]SubmittalLog!$E$1:$E$4000,
  _xlpm.date_col, [1]SubmittalLog!$H$1:$H$4000,
  _xlpm.status_col, [1]SubmittalLog!$O$1:$O$4000,
  _xlpm.first_app_date, _xlfn.MINIFS(_xlpm.date_col, _xlpm.doc_col, M15, _xlpm.status_col, "APP"),
  _xlpm.first_awc_date, _xlfn.MINIFS(_xlpm.date_col, _xlpm.doc_col, M15, _xlpm.status_col, "AWC"),
  _xlpm.earliest_date, IF(
    AND(_xlpm.first_app_date=0, _xlpm.first_awc_date=0), 0,
    IF(_xlpm.first_app_date=0, _xlpm.first_awc_date,
    IF(_xlpm.first_awc_date=0, _xlpm.first_app_date,
    MIN(_xlpm.first_app_date, _xlpm.first_awc_date)))
  ),
  IF(_xlpm.earliest_date=0, "", _xlpm.earliest_date)
))</f>
        <v/>
      </c>
      <c r="Y15" s="40" t="str" cm="1">
        <f t="array" ref="Y15">IF(OR(M15="", M15="Deleted"), "", _xlfn.LET(
  _xlpm.doc_col, [1]SubmittalLog!$E$1:$E$4000,
  _xlpm.date_col, [1]SubmittalLog!$H$1:$H$4000,
  _xlpm.status_col, [1]SubmittalLog!$O$1:$O$4000,
  _xlpm.has_sub, COUNTIF(_xlpm.doc_col, M15),
  _xlpm.latest_reviewed_date, _xlfn.MAXIFS(_xlpm.date_col, _xlpm.doc_col, M15, _xlpm.status_col, "&lt;&gt;"),
  IF(_xlpm.has_sub=0, "",
    IF(_xlpm.latest_reviewed_date=0, "",
      _xlfn.LET(
        _xlpm.res, _xlfn.XLOOKUP(1, (_xlpm.doc_col=M15) * (_xlpm.date_col=_xlpm.latest_reviewed_date) * (_xlpm.status_col&lt;&gt;""), _xlpm.status_col, ""),
        IF(OR(_xlpm.res="", _xlpm.res=0), "", _xlpm.res)
      )
    )
  )
))</f>
        <v/>
      </c>
    </row>
    <row r="16" spans="1:25" x14ac:dyDescent="0.35">
      <c r="A16" s="11"/>
    </row>
    <row r="17" spans="1:1" x14ac:dyDescent="0.35">
      <c r="A17" s="11"/>
    </row>
    <row r="18" spans="1:1" x14ac:dyDescent="0.35">
      <c r="A18" s="11"/>
    </row>
    <row r="19" spans="1:1" x14ac:dyDescent="0.35">
      <c r="A19" s="11"/>
    </row>
    <row r="20" spans="1:1" x14ac:dyDescent="0.35">
      <c r="A20" s="11"/>
    </row>
    <row r="21" spans="1:1" x14ac:dyDescent="0.35">
      <c r="A21" s="11"/>
    </row>
    <row r="22" spans="1:1" x14ac:dyDescent="0.35">
      <c r="A22" s="11"/>
    </row>
    <row r="23" spans="1:1" x14ac:dyDescent="0.35">
      <c r="A23" s="11"/>
    </row>
    <row r="24" spans="1:1" x14ac:dyDescent="0.35">
      <c r="A24" s="11"/>
    </row>
    <row r="25" spans="1:1" x14ac:dyDescent="0.35">
      <c r="A25" s="11"/>
    </row>
    <row r="26" spans="1:1" x14ac:dyDescent="0.35">
      <c r="A26" s="11"/>
    </row>
    <row r="27" spans="1:1" x14ac:dyDescent="0.35">
      <c r="A27" s="11"/>
    </row>
    <row r="28" spans="1:1" x14ac:dyDescent="0.35">
      <c r="A28" s="11"/>
    </row>
    <row r="29" spans="1:1" x14ac:dyDescent="0.35">
      <c r="A29" s="11"/>
    </row>
    <row r="30" spans="1:1" x14ac:dyDescent="0.35">
      <c r="A30" s="11"/>
    </row>
    <row r="31" spans="1:1" x14ac:dyDescent="0.35">
      <c r="A31" s="11"/>
    </row>
    <row r="32" spans="1:1" x14ac:dyDescent="0.35">
      <c r="A32" s="11"/>
    </row>
    <row r="33" spans="1:1" x14ac:dyDescent="0.35">
      <c r="A33" s="11"/>
    </row>
    <row r="34" spans="1:1" x14ac:dyDescent="0.35">
      <c r="A34" s="11"/>
    </row>
    <row r="35" spans="1:1" x14ac:dyDescent="0.35">
      <c r="A35" s="11"/>
    </row>
    <row r="36" spans="1:1" x14ac:dyDescent="0.35">
      <c r="A36" s="11"/>
    </row>
    <row r="37" spans="1:1" x14ac:dyDescent="0.35">
      <c r="A37" s="11"/>
    </row>
    <row r="38" spans="1:1" x14ac:dyDescent="0.35">
      <c r="A38" s="11"/>
    </row>
  </sheetData>
  <conditionalFormatting sqref="A1:XFD1048576">
    <cfRule type="expression" dxfId="2" priority="1">
      <formula>_xlfn.ISFORMULA(A1)</formula>
    </cfRule>
  </conditionalFormatting>
  <dataValidations count="2">
    <dataValidation type="date" operator="greaterThan" allowBlank="1" showInputMessage="1" showErrorMessage="1" sqref="S2:T1048576 U16:U1048576" xr:uid="{7EDD0899-B75A-4DFE-B933-8D7BDAF36C49}">
      <formula1>45658</formula1>
    </dataValidation>
    <dataValidation type="list" allowBlank="1" showInputMessage="1" showErrorMessage="1" sqref="R2:R1048576 P2:P1048576" xr:uid="{A807B2B9-0D56-4A15-AE56-AC3D86B0E399}">
      <formula1>"YES,NO"</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8">
        <x14:dataValidation type="list" allowBlank="1" showInputMessage="1" showErrorMessage="1" xr:uid="{AD68C5AE-FDDD-493A-B4B4-0933C8707D51}">
          <x14:formula1>
            <xm:f>BQ!$A:$A</xm:f>
          </x14:formula1>
          <xm:sqref>E2:E1048576</xm:sqref>
        </x14:dataValidation>
        <x14:dataValidation type="list" allowBlank="1" showInputMessage="1" showErrorMessage="1" xr:uid="{D01CD80C-4E91-43BA-ACE2-46A4C8B35E7C}">
          <x14:formula1>
            <xm:f>Code!$E:$E</xm:f>
          </x14:formula1>
          <xm:sqref>B2:B1048576</xm:sqref>
        </x14:dataValidation>
        <x14:dataValidation type="list" allowBlank="1" showInputMessage="1" showErrorMessage="1" xr:uid="{A73891E8-F509-4327-976A-AF8A7DC64F45}">
          <x14:formula1>
            <xm:f>Code!$H:$H</xm:f>
          </x14:formula1>
          <xm:sqref>C2:C1048576</xm:sqref>
        </x14:dataValidation>
        <x14:dataValidation type="list" allowBlank="1" showInputMessage="1" showErrorMessage="1" xr:uid="{C5E55EB1-DE3D-45A8-96EA-10BF18E07595}">
          <x14:formula1>
            <xm:f>Code!$N:$N</xm:f>
          </x14:formula1>
          <xm:sqref>H2:H1048576</xm:sqref>
        </x14:dataValidation>
        <x14:dataValidation type="list" allowBlank="1" showInputMessage="1" showErrorMessage="1" xr:uid="{6B12E9C8-A2EA-4FA0-BFC3-E00471FB9963}">
          <x14:formula1>
            <xm:f>Code!$Q:$Q</xm:f>
          </x14:formula1>
          <xm:sqref>I2:I1048576</xm:sqref>
        </x14:dataValidation>
        <x14:dataValidation type="list" allowBlank="1" showInputMessage="1" showErrorMessage="1" xr:uid="{BC887038-263C-4F0A-A4D3-249C8B9783A7}">
          <x14:formula1>
            <xm:f>Code!$T:$T</xm:f>
          </x14:formula1>
          <xm:sqref>J2:J1048576</xm:sqref>
        </x14:dataValidation>
        <x14:dataValidation type="list" allowBlank="1" showInputMessage="1" showErrorMessage="1" xr:uid="{ECED4C68-ACC8-4BCF-B0C3-52DEAF83E4A0}">
          <x14:formula1>
            <xm:f>Code!$K:$K</xm:f>
          </x14:formula1>
          <xm:sqref>G2:G1048576</xm:sqref>
        </x14:dataValidation>
        <x14:dataValidation type="list" allowBlank="1" showInputMessage="1" showErrorMessage="1" xr:uid="{4230A7CB-9E41-4253-AA90-4DD2F3E4FC2F}">
          <x14:formula1>
            <xm:f>Code!$Z:$Z</xm:f>
          </x14:formula1>
          <xm:sqref>Q2:Q1048576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4854C-8C4C-4399-8A04-F00C268CFE6A}">
  <dimension ref="A1:Y38"/>
  <sheetViews>
    <sheetView topLeftCell="J1" workbookViewId="0">
      <selection activeCell="U2" sqref="U2:Y15"/>
    </sheetView>
  </sheetViews>
  <sheetFormatPr defaultRowHeight="14.5" x14ac:dyDescent="0.35"/>
  <cols>
    <col min="3" max="3" width="14.1796875" bestFit="1" customWidth="1"/>
    <col min="4" max="4" width="12" bestFit="1" customWidth="1"/>
    <col min="5" max="5" width="10.7265625" style="23" bestFit="1" customWidth="1"/>
    <col min="6" max="6" width="7.1796875" bestFit="1" customWidth="1"/>
    <col min="7" max="7" width="11.7265625" style="11" bestFit="1" customWidth="1"/>
    <col min="8" max="8" width="12.54296875" style="11" bestFit="1" customWidth="1"/>
    <col min="9" max="9" width="8.54296875" style="11" bestFit="1" customWidth="1"/>
    <col min="10" max="10" width="9.26953125" style="11" bestFit="1" customWidth="1"/>
    <col min="11" max="11" width="8.7265625" style="11"/>
    <col min="12" max="12" width="5.1796875" style="11" customWidth="1"/>
    <col min="13" max="13" width="23.1796875" style="15" bestFit="1" customWidth="1"/>
    <col min="14" max="14" width="29.1796875" style="15" customWidth="1"/>
    <col min="15" max="16" width="8.453125" style="15" customWidth="1"/>
    <col min="17" max="17" width="9" style="15" bestFit="1" customWidth="1"/>
    <col min="18" max="18" width="11.453125" style="15" bestFit="1" customWidth="1"/>
    <col min="19" max="19" width="20.1796875" style="17" bestFit="1" customWidth="1"/>
    <col min="20" max="20" width="24.54296875" style="17" customWidth="1"/>
    <col min="21" max="21" width="18.54296875" style="17" bestFit="1" customWidth="1"/>
    <col min="22" max="22" width="13.81640625" style="11" bestFit="1" customWidth="1"/>
    <col min="23" max="23" width="22.453125" style="11" bestFit="1" customWidth="1"/>
    <col min="24" max="24" width="18.54296875" style="17" bestFit="1" customWidth="1"/>
    <col min="25" max="25" width="19.81640625" style="11" bestFit="1" customWidth="1"/>
  </cols>
  <sheetData>
    <row r="1" spans="1:25" s="12" customFormat="1" x14ac:dyDescent="0.35">
      <c r="A1" s="13" t="s">
        <v>225</v>
      </c>
      <c r="B1" s="14" t="s">
        <v>237</v>
      </c>
      <c r="C1" s="14" t="s">
        <v>30</v>
      </c>
      <c r="D1" s="14" t="s">
        <v>260</v>
      </c>
      <c r="E1" s="30" t="s">
        <v>270</v>
      </c>
      <c r="F1" s="14" t="s">
        <v>281</v>
      </c>
      <c r="G1" s="13" t="s">
        <v>75</v>
      </c>
      <c r="H1" s="13" t="s">
        <v>303</v>
      </c>
      <c r="I1" s="13" t="s">
        <v>315</v>
      </c>
      <c r="J1" s="13" t="s">
        <v>327</v>
      </c>
      <c r="K1" s="13" t="s">
        <v>334</v>
      </c>
      <c r="L1" s="13" t="s">
        <v>340</v>
      </c>
      <c r="M1" s="13" t="s">
        <v>346</v>
      </c>
      <c r="N1" s="13" t="s">
        <v>352</v>
      </c>
      <c r="O1" s="13" t="s">
        <v>358</v>
      </c>
      <c r="P1" s="14" t="s">
        <v>364</v>
      </c>
      <c r="Q1" s="14" t="s">
        <v>370</v>
      </c>
      <c r="R1" s="14" t="s">
        <v>376</v>
      </c>
      <c r="S1" s="27" t="s">
        <v>380</v>
      </c>
      <c r="T1" s="27" t="s">
        <v>384</v>
      </c>
      <c r="U1" s="27" t="s">
        <v>388</v>
      </c>
      <c r="V1" s="14" t="s">
        <v>392</v>
      </c>
      <c r="W1" s="14" t="s">
        <v>44</v>
      </c>
      <c r="X1" s="16" t="s">
        <v>399</v>
      </c>
      <c r="Y1" s="14" t="s">
        <v>403</v>
      </c>
    </row>
    <row r="2" spans="1:25" x14ac:dyDescent="0.35">
      <c r="A2" s="11" t="str">
        <f>IF($M2="","",MAX($A$1:A1)+1)</f>
        <v/>
      </c>
      <c r="M2" s="34" t="str">
        <f t="shared" ref="M2:M15" si="0">IF(B2="Deleted","Deleted",_xlfn.TEXTJOIN("-",TRUE,G2,H2,I2,J2,IF(K2="","",TEXT(K2,"0000"))))</f>
        <v/>
      </c>
      <c r="U2" s="21" t="str" cm="1">
        <f t="array" ref="U2">IF(OR(M2="", M2="Deleted"), "", _xlfn.LET(
  _xlpm.dates,
  _xlfn._xlws.FILTER(
    [1]SubmittalLog!$H$1:$H$4000,
    [1]SubmittalLog!$E$1:$E$4000=M2,
    ""
  ),
  _xlpm.min_date, IFERROR(MIN(_xlpm.dates), ""),
  IF(_xlpm.min_date=0, "", _xlpm.min_date)
))</f>
        <v/>
      </c>
      <c r="V2" s="63" t="str" cm="1">
        <f t="array" ref="V2">IF(OR(M2="", M2="Deleted"), "", IFERROR(
  _xlfn.TEXTJOIN(", ", TRUE,
    _xlfn.MAP(
      _xlfn.UNIQUE(
        _xlfn._xlws.FILTER(
          [1]SubmittalLog!$B$1:$B$4000,
          ([1]SubmittalLog!$E$1:$E$4000=M2) *
          ([1]SubmittalLog!$B$1:$B$4000&lt;&gt;""),
          ""
        )
      ),
      _xlfn.LAMBDA(_xlpm.val, TEXT(_xlpm.val, "000000"))
    )
  ),
""))</f>
        <v/>
      </c>
      <c r="W2" s="40" t="str" cm="1">
        <f t="array" ref="W2">IF(OR(M2="", M2="Deleted"), "", _xlfn.LET(
  _xlpm.doc_col, [1]SubmittalLog!$E$1:$E$4000,
  _xlpm.date_col, [1]SubmittalLog!$H$1:$H$4000,
  _xlpm.status_col, [1]SubmittalLog!$N$1:$N$4000,
  _xlpm.latest_date, _xlfn.MAXIFS(_xlpm.date_col, _xlpm.doc_col, M2),
  IF(_xlpm.latest_date=0, "NFS",
    _xlfn.LET(
      _xlpm.res, _xlfn.XLOOKUP(M2 &amp; "|" &amp; _xlpm.latest_date, _xlpm.doc_col &amp; "|" &amp; _xlpm.date_col, _xlpm.status_col, ""),
      IF(OR(_xlpm.res="", _xlpm.res=0), "", _xlpm.res)
    )
  )
))</f>
        <v/>
      </c>
      <c r="X2" s="39" t="str">
        <f>IF(OR(M2="", M2="Deleted"), "", _xlfn.LET(
  _xlpm.doc_col, [1]SubmittalLog!$E$1:$E$4000,
  _xlpm.date_col, [1]SubmittalLog!$H$1:$H$4000,
  _xlpm.status_col, [1]SubmittalLog!$O$1:$O$4000,
  _xlpm.first_app_date, _xlfn.MINIFS(_xlpm.date_col, _xlpm.doc_col, M2, _xlpm.status_col, "APP"),
  _xlpm.first_awc_date, _xlfn.MINIFS(_xlpm.date_col, _xlpm.doc_col, M2, _xlpm.status_col, "AWC"),
  _xlpm.earliest_date, IF(
    AND(_xlpm.first_app_date=0, _xlpm.first_awc_date=0), 0,
    IF(_xlpm.first_app_date=0, _xlpm.first_awc_date,
    IF(_xlpm.first_awc_date=0, _xlpm.first_app_date,
    MIN(_xlpm.first_app_date, _xlpm.first_awc_date)))
  ),
  IF(_xlpm.earliest_date=0, "", _xlpm.earliest_date)
))</f>
        <v/>
      </c>
      <c r="Y2" s="40" t="str" cm="1">
        <f t="array" ref="Y2">IF(OR(M2="", M2="Deleted"), "", _xlfn.LET(
  _xlpm.doc_col, [1]SubmittalLog!$E$1:$E$4000,
  _xlpm.date_col, [1]SubmittalLog!$H$1:$H$4000,
  _xlpm.status_col, [1]SubmittalLog!$O$1:$O$4000,
  _xlpm.has_sub, COUNTIF(_xlpm.doc_col, M2),
  _xlpm.latest_reviewed_date, _xlfn.MAXIFS(_xlpm.date_col, _xlpm.doc_col, M2, _xlpm.status_col, "&lt;&gt;"),
  IF(_xlpm.has_sub=0, "",
    IF(_xlpm.latest_reviewed_date=0, "",
      _xlfn.LET(
        _xlpm.res, _xlfn.XLOOKUP(1, (_xlpm.doc_col=M2) * (_xlpm.date_col=_xlpm.latest_reviewed_date) * (_xlpm.status_col&lt;&gt;""), _xlpm.status_col, ""),
        IF(OR(_xlpm.res="", _xlpm.res=0), "", _xlpm.res)
      )
    )
  )
))</f>
        <v/>
      </c>
    </row>
    <row r="3" spans="1:25" x14ac:dyDescent="0.35">
      <c r="A3" s="11">
        <f>IF($M3="","",MAX($A$1:A2)+1)</f>
        <v>1</v>
      </c>
      <c r="B3" t="s">
        <v>213</v>
      </c>
      <c r="C3" t="s">
        <v>295</v>
      </c>
      <c r="G3" s="11">
        <v>131236</v>
      </c>
      <c r="H3" s="11" t="s">
        <v>59</v>
      </c>
      <c r="I3" s="11" t="s">
        <v>442</v>
      </c>
      <c r="J3" s="11" t="s">
        <v>206</v>
      </c>
      <c r="K3" s="11" t="s">
        <v>3466</v>
      </c>
      <c r="M3" s="34" t="str">
        <f t="shared" si="0"/>
        <v>131236-WIL21-SN-IM-xxxx</v>
      </c>
      <c r="P3" s="15" t="s">
        <v>3467</v>
      </c>
      <c r="R3" s="15" t="s">
        <v>3467</v>
      </c>
      <c r="S3" s="17">
        <v>46024</v>
      </c>
      <c r="U3" s="21" t="str" cm="1">
        <f t="array" ref="U3">IF(OR(M3="", M3="Deleted"), "", _xlfn.LET(
  _xlpm.dates,
  _xlfn._xlws.FILTER(
    [1]SubmittalLog!$H$1:$H$4000,
    [1]SubmittalLog!$E$1:$E$4000=M3,
    ""
  ),
  _xlpm.min_date, IFERROR(MIN(_xlpm.dates), ""),
  IF(_xlpm.min_date=0, "", _xlpm.min_date)
))</f>
        <v/>
      </c>
      <c r="V3" s="63" t="str" cm="1">
        <f t="array" ref="V3">IF(OR(M3="", M3="Deleted"), "", IFERROR(
  _xlfn.TEXTJOIN(", ", TRUE,
    _xlfn.MAP(
      _xlfn.UNIQUE(
        _xlfn._xlws.FILTER(
          [1]SubmittalLog!$B$1:$B$4000,
          ([1]SubmittalLog!$E$1:$E$4000=M3) *
          ([1]SubmittalLog!$B$1:$B$4000&lt;&gt;""),
          ""
        )
      ),
      _xlfn.LAMBDA(_xlpm.val, TEXT(_xlpm.val, "000000"))
    )
  ),
""))</f>
        <v/>
      </c>
      <c r="W3" s="40" t="str" cm="1">
        <f t="array" ref="W3">IF(OR(M3="", M3="Deleted"), "", _xlfn.LET(
  _xlpm.doc_col, [1]SubmittalLog!$E$1:$E$4000,
  _xlpm.date_col, [1]SubmittalLog!$H$1:$H$4000,
  _xlpm.status_col, [1]SubmittalLog!$N$1:$N$4000,
  _xlpm.latest_date, _xlfn.MAXIFS(_xlpm.date_col, _xlpm.doc_col, M3),
  IF(_xlpm.latest_date=0, "NFS",
    _xlfn.LET(
      _xlpm.res, _xlfn.XLOOKUP(M3 &amp; "|" &amp; _xlpm.latest_date, _xlpm.doc_col &amp; "|" &amp; _xlpm.date_col, _xlpm.status_col, ""),
      IF(OR(_xlpm.res="", _xlpm.res=0), "", _xlpm.res)
    )
  )
))</f>
        <v>NFS</v>
      </c>
      <c r="X3" s="39" t="str">
        <f>IF(OR(M3="", M3="Deleted"), "", _xlfn.LET(
  _xlpm.doc_col, [1]SubmittalLog!$E$1:$E$4000,
  _xlpm.date_col, [1]SubmittalLog!$H$1:$H$4000,
  _xlpm.status_col, [1]SubmittalLog!$O$1:$O$4000,
  _xlpm.first_app_date, _xlfn.MINIFS(_xlpm.date_col, _xlpm.doc_col, M3, _xlpm.status_col, "APP"),
  _xlpm.first_awc_date, _xlfn.MINIFS(_xlpm.date_col, _xlpm.doc_col, M3, _xlpm.status_col, "AWC"),
  _xlpm.earliest_date, IF(
    AND(_xlpm.first_app_date=0, _xlpm.first_awc_date=0), 0,
    IF(_xlpm.first_app_date=0, _xlpm.first_awc_date,
    IF(_xlpm.first_awc_date=0, _xlpm.first_app_date,
    MIN(_xlpm.first_app_date, _xlpm.first_awc_date)))
  ),
  IF(_xlpm.earliest_date=0, "", _xlpm.earliest_date)
))</f>
        <v/>
      </c>
      <c r="Y3" s="40" t="str" cm="1">
        <f t="array" ref="Y3">IF(OR(M3="", M3="Deleted"), "", _xlfn.LET(
  _xlpm.doc_col, [1]SubmittalLog!$E$1:$E$4000,
  _xlpm.date_col, [1]SubmittalLog!$H$1:$H$4000,
  _xlpm.status_col, [1]SubmittalLog!$O$1:$O$4000,
  _xlpm.has_sub, COUNTIF(_xlpm.doc_col, M3),
  _xlpm.latest_reviewed_date, _xlfn.MAXIFS(_xlpm.date_col, _xlpm.doc_col, M3, _xlpm.status_col, "&lt;&gt;"),
  IF(_xlpm.has_sub=0, "",
    IF(_xlpm.latest_reviewed_date=0, "",
      _xlfn.LET(
        _xlpm.res, _xlfn.XLOOKUP(1, (_xlpm.doc_col=M3) * (_xlpm.date_col=_xlpm.latest_reviewed_date) * (_xlpm.status_col&lt;&gt;""), _xlpm.status_col, ""),
        IF(OR(_xlpm.res="", _xlpm.res=0), "", _xlpm.res)
      )
    )
  )
))</f>
        <v/>
      </c>
    </row>
    <row r="4" spans="1:25" x14ac:dyDescent="0.35">
      <c r="A4" s="11">
        <f>IF($M4="","",MAX($A$1:A3)+1)</f>
        <v>2</v>
      </c>
      <c r="B4" t="s">
        <v>213</v>
      </c>
      <c r="C4" t="s">
        <v>295</v>
      </c>
      <c r="G4" s="11">
        <v>131236</v>
      </c>
      <c r="H4" s="11" t="s">
        <v>59</v>
      </c>
      <c r="I4" s="11" t="s">
        <v>442</v>
      </c>
      <c r="J4" s="11" t="s">
        <v>206</v>
      </c>
      <c r="K4" s="11" t="s">
        <v>3466</v>
      </c>
      <c r="M4" s="34" t="str">
        <f t="shared" si="0"/>
        <v>131236-WIL21-SN-IM-xxxx</v>
      </c>
      <c r="P4" s="15" t="s">
        <v>3467</v>
      </c>
      <c r="R4" s="15" t="s">
        <v>3467</v>
      </c>
      <c r="S4" s="17">
        <v>46025</v>
      </c>
      <c r="U4" s="21" t="str" cm="1">
        <f t="array" ref="U4">IF(OR(M4="", M4="Deleted"), "", _xlfn.LET(
  _xlpm.dates,
  _xlfn._xlws.FILTER(
    [1]SubmittalLog!$H$1:$H$4000,
    [1]SubmittalLog!$E$1:$E$4000=M4,
    ""
  ),
  _xlpm.min_date, IFERROR(MIN(_xlpm.dates), ""),
  IF(_xlpm.min_date=0, "", _xlpm.min_date)
))</f>
        <v/>
      </c>
      <c r="V4" s="63" t="str" cm="1">
        <f t="array" ref="V4">IF(OR(M4="", M4="Deleted"), "", IFERROR(
  _xlfn.TEXTJOIN(", ", TRUE,
    _xlfn.MAP(
      _xlfn.UNIQUE(
        _xlfn._xlws.FILTER(
          [1]SubmittalLog!$B$1:$B$4000,
          ([1]SubmittalLog!$E$1:$E$4000=M4) *
          ([1]SubmittalLog!$B$1:$B$4000&lt;&gt;""),
          ""
        )
      ),
      _xlfn.LAMBDA(_xlpm.val, TEXT(_xlpm.val, "000000"))
    )
  ),
""))</f>
        <v/>
      </c>
      <c r="W4" s="40" t="str" cm="1">
        <f t="array" ref="W4">IF(OR(M4="", M4="Deleted"), "", _xlfn.LET(
  _xlpm.doc_col, [1]SubmittalLog!$E$1:$E$4000,
  _xlpm.date_col, [1]SubmittalLog!$H$1:$H$4000,
  _xlpm.status_col, [1]SubmittalLog!$N$1:$N$4000,
  _xlpm.latest_date, _xlfn.MAXIFS(_xlpm.date_col, _xlpm.doc_col, M4),
  IF(_xlpm.latest_date=0, "NFS",
    _xlfn.LET(
      _xlpm.res, _xlfn.XLOOKUP(M4 &amp; "|" &amp; _xlpm.latest_date, _xlpm.doc_col &amp; "|" &amp; _xlpm.date_col, _xlpm.status_col, ""),
      IF(OR(_xlpm.res="", _xlpm.res=0), "", _xlpm.res)
    )
  )
))</f>
        <v>NFS</v>
      </c>
      <c r="X4" s="39" t="str">
        <f>IF(OR(M4="", M4="Deleted"), "", _xlfn.LET(
  _xlpm.doc_col, [1]SubmittalLog!$E$1:$E$4000,
  _xlpm.date_col, [1]SubmittalLog!$H$1:$H$4000,
  _xlpm.status_col, [1]SubmittalLog!$O$1:$O$4000,
  _xlpm.first_app_date, _xlfn.MINIFS(_xlpm.date_col, _xlpm.doc_col, M4, _xlpm.status_col, "APP"),
  _xlpm.first_awc_date, _xlfn.MINIFS(_xlpm.date_col, _xlpm.doc_col, M4, _xlpm.status_col, "AWC"),
  _xlpm.earliest_date, IF(
    AND(_xlpm.first_app_date=0, _xlpm.first_awc_date=0), 0,
    IF(_xlpm.first_app_date=0, _xlpm.first_awc_date,
    IF(_xlpm.first_awc_date=0, _xlpm.first_app_date,
    MIN(_xlpm.first_app_date, _xlpm.first_awc_date)))
  ),
  IF(_xlpm.earliest_date=0, "", _xlpm.earliest_date)
))</f>
        <v/>
      </c>
      <c r="Y4" s="40" t="str" cm="1">
        <f t="array" ref="Y4">IF(OR(M4="", M4="Deleted"), "", _xlfn.LET(
  _xlpm.doc_col, [1]SubmittalLog!$E$1:$E$4000,
  _xlpm.date_col, [1]SubmittalLog!$H$1:$H$4000,
  _xlpm.status_col, [1]SubmittalLog!$O$1:$O$4000,
  _xlpm.has_sub, COUNTIF(_xlpm.doc_col, M4),
  _xlpm.latest_reviewed_date, _xlfn.MAXIFS(_xlpm.date_col, _xlpm.doc_col, M4, _xlpm.status_col, "&lt;&gt;"),
  IF(_xlpm.has_sub=0, "",
    IF(_xlpm.latest_reviewed_date=0, "",
      _xlfn.LET(
        _xlpm.res, _xlfn.XLOOKUP(1, (_xlpm.doc_col=M4) * (_xlpm.date_col=_xlpm.latest_reviewed_date) * (_xlpm.status_col&lt;&gt;""), _xlpm.status_col, ""),
        IF(OR(_xlpm.res="", _xlpm.res=0), "", _xlpm.res)
      )
    )
  )
))</f>
        <v/>
      </c>
    </row>
    <row r="5" spans="1:25" x14ac:dyDescent="0.35">
      <c r="A5" s="11">
        <f>IF($M5="","",MAX($A$1:A4)+1)</f>
        <v>3</v>
      </c>
      <c r="B5" t="s">
        <v>213</v>
      </c>
      <c r="C5" t="s">
        <v>295</v>
      </c>
      <c r="G5" s="11">
        <v>131236</v>
      </c>
      <c r="H5" s="11" t="s">
        <v>59</v>
      </c>
      <c r="I5" s="11" t="s">
        <v>442</v>
      </c>
      <c r="J5" s="11" t="s">
        <v>206</v>
      </c>
      <c r="K5" s="11" t="s">
        <v>3466</v>
      </c>
      <c r="M5" s="34" t="str">
        <f t="shared" si="0"/>
        <v>131236-WIL21-SN-IM-xxxx</v>
      </c>
      <c r="P5" s="15" t="s">
        <v>3467</v>
      </c>
      <c r="R5" s="15" t="s">
        <v>3467</v>
      </c>
      <c r="S5" s="17">
        <v>46026</v>
      </c>
      <c r="U5" s="21" t="str" cm="1">
        <f t="array" ref="U5">IF(OR(M5="", M5="Deleted"), "", _xlfn.LET(
  _xlpm.dates,
  _xlfn._xlws.FILTER(
    [1]SubmittalLog!$H$1:$H$4000,
    [1]SubmittalLog!$E$1:$E$4000=M5,
    ""
  ),
  _xlpm.min_date, IFERROR(MIN(_xlpm.dates), ""),
  IF(_xlpm.min_date=0, "", _xlpm.min_date)
))</f>
        <v/>
      </c>
      <c r="V5" s="63" t="str" cm="1">
        <f t="array" ref="V5">IF(OR(M5="", M5="Deleted"), "", IFERROR(
  _xlfn.TEXTJOIN(", ", TRUE,
    _xlfn.MAP(
      _xlfn.UNIQUE(
        _xlfn._xlws.FILTER(
          [1]SubmittalLog!$B$1:$B$4000,
          ([1]SubmittalLog!$E$1:$E$4000=M5) *
          ([1]SubmittalLog!$B$1:$B$4000&lt;&gt;""),
          ""
        )
      ),
      _xlfn.LAMBDA(_xlpm.val, TEXT(_xlpm.val, "000000"))
    )
  ),
""))</f>
        <v/>
      </c>
      <c r="W5" s="40" t="str" cm="1">
        <f t="array" ref="W5">IF(OR(M5="", M5="Deleted"), "", _xlfn.LET(
  _xlpm.doc_col, [1]SubmittalLog!$E$1:$E$4000,
  _xlpm.date_col, [1]SubmittalLog!$H$1:$H$4000,
  _xlpm.status_col, [1]SubmittalLog!$N$1:$N$4000,
  _xlpm.latest_date, _xlfn.MAXIFS(_xlpm.date_col, _xlpm.doc_col, M5),
  IF(_xlpm.latest_date=0, "NFS",
    _xlfn.LET(
      _xlpm.res, _xlfn.XLOOKUP(M5 &amp; "|" &amp; _xlpm.latest_date, _xlpm.doc_col &amp; "|" &amp; _xlpm.date_col, _xlpm.status_col, ""),
      IF(OR(_xlpm.res="", _xlpm.res=0), "", _xlpm.res)
    )
  )
))</f>
        <v>NFS</v>
      </c>
      <c r="X5" s="39" t="str">
        <f>IF(OR(M5="", M5="Deleted"), "", _xlfn.LET(
  _xlpm.doc_col, [1]SubmittalLog!$E$1:$E$4000,
  _xlpm.date_col, [1]SubmittalLog!$H$1:$H$4000,
  _xlpm.status_col, [1]SubmittalLog!$O$1:$O$4000,
  _xlpm.first_app_date, _xlfn.MINIFS(_xlpm.date_col, _xlpm.doc_col, M5, _xlpm.status_col, "APP"),
  _xlpm.first_awc_date, _xlfn.MINIFS(_xlpm.date_col, _xlpm.doc_col, M5, _xlpm.status_col, "AWC"),
  _xlpm.earliest_date, IF(
    AND(_xlpm.first_app_date=0, _xlpm.first_awc_date=0), 0,
    IF(_xlpm.first_app_date=0, _xlpm.first_awc_date,
    IF(_xlpm.first_awc_date=0, _xlpm.first_app_date,
    MIN(_xlpm.first_app_date, _xlpm.first_awc_date)))
  ),
  IF(_xlpm.earliest_date=0, "", _xlpm.earliest_date)
))</f>
        <v/>
      </c>
      <c r="Y5" s="40" t="str" cm="1">
        <f t="array" ref="Y5">IF(OR(M5="", M5="Deleted"), "", _xlfn.LET(
  _xlpm.doc_col, [1]SubmittalLog!$E$1:$E$4000,
  _xlpm.date_col, [1]SubmittalLog!$H$1:$H$4000,
  _xlpm.status_col, [1]SubmittalLog!$O$1:$O$4000,
  _xlpm.has_sub, COUNTIF(_xlpm.doc_col, M5),
  _xlpm.latest_reviewed_date, _xlfn.MAXIFS(_xlpm.date_col, _xlpm.doc_col, M5, _xlpm.status_col, "&lt;&gt;"),
  IF(_xlpm.has_sub=0, "",
    IF(_xlpm.latest_reviewed_date=0, "",
      _xlfn.LET(
        _xlpm.res, _xlfn.XLOOKUP(1, (_xlpm.doc_col=M5) * (_xlpm.date_col=_xlpm.latest_reviewed_date) * (_xlpm.status_col&lt;&gt;""), _xlpm.status_col, ""),
        IF(OR(_xlpm.res="", _xlpm.res=0), "", _xlpm.res)
      )
    )
  )
))</f>
        <v/>
      </c>
    </row>
    <row r="6" spans="1:25" x14ac:dyDescent="0.35">
      <c r="A6" s="11">
        <f>IF($M6="","",MAX($A$1:A5)+1)</f>
        <v>4</v>
      </c>
      <c r="B6" t="s">
        <v>213</v>
      </c>
      <c r="C6" t="s">
        <v>295</v>
      </c>
      <c r="G6" s="11">
        <v>131236</v>
      </c>
      <c r="H6" s="11" t="s">
        <v>59</v>
      </c>
      <c r="I6" s="11" t="s">
        <v>442</v>
      </c>
      <c r="J6" s="11" t="s">
        <v>206</v>
      </c>
      <c r="K6" s="11" t="s">
        <v>3466</v>
      </c>
      <c r="M6" s="34" t="str">
        <f t="shared" si="0"/>
        <v>131236-WIL21-SN-IM-xxxx</v>
      </c>
      <c r="P6" s="15" t="s">
        <v>3467</v>
      </c>
      <c r="R6" s="15" t="s">
        <v>3467</v>
      </c>
      <c r="S6" s="17">
        <v>46027</v>
      </c>
      <c r="U6" s="21" t="str" cm="1">
        <f t="array" ref="U6">IF(OR(M6="", M6="Deleted"), "", _xlfn.LET(
  _xlpm.dates,
  _xlfn._xlws.FILTER(
    [1]SubmittalLog!$H$1:$H$4000,
    [1]SubmittalLog!$E$1:$E$4000=M6,
    ""
  ),
  _xlpm.min_date, IFERROR(MIN(_xlpm.dates), ""),
  IF(_xlpm.min_date=0, "", _xlpm.min_date)
))</f>
        <v/>
      </c>
      <c r="V6" s="63" t="str" cm="1">
        <f t="array" ref="V6">IF(OR(M6="", M6="Deleted"), "", IFERROR(
  _xlfn.TEXTJOIN(", ", TRUE,
    _xlfn.MAP(
      _xlfn.UNIQUE(
        _xlfn._xlws.FILTER(
          [1]SubmittalLog!$B$1:$B$4000,
          ([1]SubmittalLog!$E$1:$E$4000=M6) *
          ([1]SubmittalLog!$B$1:$B$4000&lt;&gt;""),
          ""
        )
      ),
      _xlfn.LAMBDA(_xlpm.val, TEXT(_xlpm.val, "000000"))
    )
  ),
""))</f>
        <v/>
      </c>
      <c r="W6" s="40" t="str" cm="1">
        <f t="array" ref="W6">IF(OR(M6="", M6="Deleted"), "", _xlfn.LET(
  _xlpm.doc_col, [1]SubmittalLog!$E$1:$E$4000,
  _xlpm.date_col, [1]SubmittalLog!$H$1:$H$4000,
  _xlpm.status_col, [1]SubmittalLog!$N$1:$N$4000,
  _xlpm.latest_date, _xlfn.MAXIFS(_xlpm.date_col, _xlpm.doc_col, M6),
  IF(_xlpm.latest_date=0, "NFS",
    _xlfn.LET(
      _xlpm.res, _xlfn.XLOOKUP(M6 &amp; "|" &amp; _xlpm.latest_date, _xlpm.doc_col &amp; "|" &amp; _xlpm.date_col, _xlpm.status_col, ""),
      IF(OR(_xlpm.res="", _xlpm.res=0), "", _xlpm.res)
    )
  )
))</f>
        <v>NFS</v>
      </c>
      <c r="X6" s="39" t="str">
        <f>IF(OR(M6="", M6="Deleted"), "", _xlfn.LET(
  _xlpm.doc_col, [1]SubmittalLog!$E$1:$E$4000,
  _xlpm.date_col, [1]SubmittalLog!$H$1:$H$4000,
  _xlpm.status_col, [1]SubmittalLog!$O$1:$O$4000,
  _xlpm.first_app_date, _xlfn.MINIFS(_xlpm.date_col, _xlpm.doc_col, M6, _xlpm.status_col, "APP"),
  _xlpm.first_awc_date, _xlfn.MINIFS(_xlpm.date_col, _xlpm.doc_col, M6, _xlpm.status_col, "AWC"),
  _xlpm.earliest_date, IF(
    AND(_xlpm.first_app_date=0, _xlpm.first_awc_date=0), 0,
    IF(_xlpm.first_app_date=0, _xlpm.first_awc_date,
    IF(_xlpm.first_awc_date=0, _xlpm.first_app_date,
    MIN(_xlpm.first_app_date, _xlpm.first_awc_date)))
  ),
  IF(_xlpm.earliest_date=0, "", _xlpm.earliest_date)
))</f>
        <v/>
      </c>
      <c r="Y6" s="40" t="str" cm="1">
        <f t="array" ref="Y6">IF(OR(M6="", M6="Deleted"), "", _xlfn.LET(
  _xlpm.doc_col, [1]SubmittalLog!$E$1:$E$4000,
  _xlpm.date_col, [1]SubmittalLog!$H$1:$H$4000,
  _xlpm.status_col, [1]SubmittalLog!$O$1:$O$4000,
  _xlpm.has_sub, COUNTIF(_xlpm.doc_col, M6),
  _xlpm.latest_reviewed_date, _xlfn.MAXIFS(_xlpm.date_col, _xlpm.doc_col, M6, _xlpm.status_col, "&lt;&gt;"),
  IF(_xlpm.has_sub=0, "",
    IF(_xlpm.latest_reviewed_date=0, "",
      _xlfn.LET(
        _xlpm.res, _xlfn.XLOOKUP(1, (_xlpm.doc_col=M6) * (_xlpm.date_col=_xlpm.latest_reviewed_date) * (_xlpm.status_col&lt;&gt;""), _xlpm.status_col, ""),
        IF(OR(_xlpm.res="", _xlpm.res=0), "", _xlpm.res)
      )
    )
  )
))</f>
        <v/>
      </c>
    </row>
    <row r="7" spans="1:25" x14ac:dyDescent="0.35">
      <c r="A7" s="11">
        <f>IF($M7="","",MAX($A$1:A6)+1)</f>
        <v>5</v>
      </c>
      <c r="B7" t="s">
        <v>213</v>
      </c>
      <c r="C7" t="s">
        <v>295</v>
      </c>
      <c r="G7" s="11">
        <v>131236</v>
      </c>
      <c r="H7" s="11" t="s">
        <v>59</v>
      </c>
      <c r="I7" s="11" t="s">
        <v>442</v>
      </c>
      <c r="J7" s="11" t="s">
        <v>206</v>
      </c>
      <c r="K7" s="11" t="s">
        <v>3466</v>
      </c>
      <c r="M7" s="34" t="str">
        <f t="shared" si="0"/>
        <v>131236-WIL21-SN-IM-xxxx</v>
      </c>
      <c r="P7" s="15" t="s">
        <v>3467</v>
      </c>
      <c r="R7" s="15" t="s">
        <v>3467</v>
      </c>
      <c r="S7" s="17">
        <v>46028</v>
      </c>
      <c r="U7" s="21" t="str" cm="1">
        <f t="array" ref="U7">IF(OR(M7="", M7="Deleted"), "", _xlfn.LET(
  _xlpm.dates,
  _xlfn._xlws.FILTER(
    [1]SubmittalLog!$H$1:$H$4000,
    [1]SubmittalLog!$E$1:$E$4000=M7,
    ""
  ),
  _xlpm.min_date, IFERROR(MIN(_xlpm.dates), ""),
  IF(_xlpm.min_date=0, "", _xlpm.min_date)
))</f>
        <v/>
      </c>
      <c r="V7" s="63" t="str" cm="1">
        <f t="array" ref="V7">IF(OR(M7="", M7="Deleted"), "", IFERROR(
  _xlfn.TEXTJOIN(", ", TRUE,
    _xlfn.MAP(
      _xlfn.UNIQUE(
        _xlfn._xlws.FILTER(
          [1]SubmittalLog!$B$1:$B$4000,
          ([1]SubmittalLog!$E$1:$E$4000=M7) *
          ([1]SubmittalLog!$B$1:$B$4000&lt;&gt;""),
          ""
        )
      ),
      _xlfn.LAMBDA(_xlpm.val, TEXT(_xlpm.val, "000000"))
    )
  ),
""))</f>
        <v/>
      </c>
      <c r="W7" s="40" t="str" cm="1">
        <f t="array" ref="W7">IF(OR(M7="", M7="Deleted"), "", _xlfn.LET(
  _xlpm.doc_col, [1]SubmittalLog!$E$1:$E$4000,
  _xlpm.date_col, [1]SubmittalLog!$H$1:$H$4000,
  _xlpm.status_col, [1]SubmittalLog!$N$1:$N$4000,
  _xlpm.latest_date, _xlfn.MAXIFS(_xlpm.date_col, _xlpm.doc_col, M7),
  IF(_xlpm.latest_date=0, "NFS",
    _xlfn.LET(
      _xlpm.res, _xlfn.XLOOKUP(M7 &amp; "|" &amp; _xlpm.latest_date, _xlpm.doc_col &amp; "|" &amp; _xlpm.date_col, _xlpm.status_col, ""),
      IF(OR(_xlpm.res="", _xlpm.res=0), "", _xlpm.res)
    )
  )
))</f>
        <v>NFS</v>
      </c>
      <c r="X7" s="39" t="str">
        <f>IF(OR(M7="", M7="Deleted"), "", _xlfn.LET(
  _xlpm.doc_col, [1]SubmittalLog!$E$1:$E$4000,
  _xlpm.date_col, [1]SubmittalLog!$H$1:$H$4000,
  _xlpm.status_col, [1]SubmittalLog!$O$1:$O$4000,
  _xlpm.first_app_date, _xlfn.MINIFS(_xlpm.date_col, _xlpm.doc_col, M7, _xlpm.status_col, "APP"),
  _xlpm.first_awc_date, _xlfn.MINIFS(_xlpm.date_col, _xlpm.doc_col, M7, _xlpm.status_col, "AWC"),
  _xlpm.earliest_date, IF(
    AND(_xlpm.first_app_date=0, _xlpm.first_awc_date=0), 0,
    IF(_xlpm.first_app_date=0, _xlpm.first_awc_date,
    IF(_xlpm.first_awc_date=0, _xlpm.first_app_date,
    MIN(_xlpm.first_app_date, _xlpm.first_awc_date)))
  ),
  IF(_xlpm.earliest_date=0, "", _xlpm.earliest_date)
))</f>
        <v/>
      </c>
      <c r="Y7" s="40" t="str" cm="1">
        <f t="array" ref="Y7">IF(OR(M7="", M7="Deleted"), "", _xlfn.LET(
  _xlpm.doc_col, [1]SubmittalLog!$E$1:$E$4000,
  _xlpm.date_col, [1]SubmittalLog!$H$1:$H$4000,
  _xlpm.status_col, [1]SubmittalLog!$O$1:$O$4000,
  _xlpm.has_sub, COUNTIF(_xlpm.doc_col, M7),
  _xlpm.latest_reviewed_date, _xlfn.MAXIFS(_xlpm.date_col, _xlpm.doc_col, M7, _xlpm.status_col, "&lt;&gt;"),
  IF(_xlpm.has_sub=0, "",
    IF(_xlpm.latest_reviewed_date=0, "",
      _xlfn.LET(
        _xlpm.res, _xlfn.XLOOKUP(1, (_xlpm.doc_col=M7) * (_xlpm.date_col=_xlpm.latest_reviewed_date) * (_xlpm.status_col&lt;&gt;""), _xlpm.status_col, ""),
        IF(OR(_xlpm.res="", _xlpm.res=0), "", _xlpm.res)
      )
    )
  )
))</f>
        <v/>
      </c>
    </row>
    <row r="8" spans="1:25" x14ac:dyDescent="0.35">
      <c r="A8" s="11">
        <f>IF($M8="","",MAX($A$1:A7)+1)</f>
        <v>6</v>
      </c>
      <c r="B8" t="s">
        <v>213</v>
      </c>
      <c r="C8" t="s">
        <v>295</v>
      </c>
      <c r="G8" s="11">
        <v>131236</v>
      </c>
      <c r="H8" s="11" t="s">
        <v>59</v>
      </c>
      <c r="I8" s="11" t="s">
        <v>442</v>
      </c>
      <c r="J8" s="11" t="s">
        <v>206</v>
      </c>
      <c r="K8" s="11" t="s">
        <v>3466</v>
      </c>
      <c r="M8" s="34" t="str">
        <f t="shared" si="0"/>
        <v>131236-WIL21-SN-IM-xxxx</v>
      </c>
      <c r="P8" s="15" t="s">
        <v>3467</v>
      </c>
      <c r="R8" s="15" t="s">
        <v>3467</v>
      </c>
      <c r="S8" s="17">
        <v>46029</v>
      </c>
      <c r="U8" s="21" t="str" cm="1">
        <f t="array" ref="U8">IF(OR(M8="", M8="Deleted"), "", _xlfn.LET(
  _xlpm.dates,
  _xlfn._xlws.FILTER(
    [1]SubmittalLog!$H$1:$H$4000,
    [1]SubmittalLog!$E$1:$E$4000=M8,
    ""
  ),
  _xlpm.min_date, IFERROR(MIN(_xlpm.dates), ""),
  IF(_xlpm.min_date=0, "", _xlpm.min_date)
))</f>
        <v/>
      </c>
      <c r="V8" s="63" t="str" cm="1">
        <f t="array" ref="V8">IF(OR(M8="", M8="Deleted"), "", IFERROR(
  _xlfn.TEXTJOIN(", ", TRUE,
    _xlfn.MAP(
      _xlfn.UNIQUE(
        _xlfn._xlws.FILTER(
          [1]SubmittalLog!$B$1:$B$4000,
          ([1]SubmittalLog!$E$1:$E$4000=M8) *
          ([1]SubmittalLog!$B$1:$B$4000&lt;&gt;""),
          ""
        )
      ),
      _xlfn.LAMBDA(_xlpm.val, TEXT(_xlpm.val, "000000"))
    )
  ),
""))</f>
        <v/>
      </c>
      <c r="W8" s="40" t="str" cm="1">
        <f t="array" ref="W8">IF(OR(M8="", M8="Deleted"), "", _xlfn.LET(
  _xlpm.doc_col, [1]SubmittalLog!$E$1:$E$4000,
  _xlpm.date_col, [1]SubmittalLog!$H$1:$H$4000,
  _xlpm.status_col, [1]SubmittalLog!$N$1:$N$4000,
  _xlpm.latest_date, _xlfn.MAXIFS(_xlpm.date_col, _xlpm.doc_col, M8),
  IF(_xlpm.latest_date=0, "NFS",
    _xlfn.LET(
      _xlpm.res, _xlfn.XLOOKUP(M8 &amp; "|" &amp; _xlpm.latest_date, _xlpm.doc_col &amp; "|" &amp; _xlpm.date_col, _xlpm.status_col, ""),
      IF(OR(_xlpm.res="", _xlpm.res=0), "", _xlpm.res)
    )
  )
))</f>
        <v>NFS</v>
      </c>
      <c r="X8" s="39" t="str">
        <f>IF(OR(M8="", M8="Deleted"), "", _xlfn.LET(
  _xlpm.doc_col, [1]SubmittalLog!$E$1:$E$4000,
  _xlpm.date_col, [1]SubmittalLog!$H$1:$H$4000,
  _xlpm.status_col, [1]SubmittalLog!$O$1:$O$4000,
  _xlpm.first_app_date, _xlfn.MINIFS(_xlpm.date_col, _xlpm.doc_col, M8, _xlpm.status_col, "APP"),
  _xlpm.first_awc_date, _xlfn.MINIFS(_xlpm.date_col, _xlpm.doc_col, M8, _xlpm.status_col, "AWC"),
  _xlpm.earliest_date, IF(
    AND(_xlpm.first_app_date=0, _xlpm.first_awc_date=0), 0,
    IF(_xlpm.first_app_date=0, _xlpm.first_awc_date,
    IF(_xlpm.first_awc_date=0, _xlpm.first_app_date,
    MIN(_xlpm.first_app_date, _xlpm.first_awc_date)))
  ),
  IF(_xlpm.earliest_date=0, "", _xlpm.earliest_date)
))</f>
        <v/>
      </c>
      <c r="Y8" s="40" t="str" cm="1">
        <f t="array" ref="Y8">IF(OR(M8="", M8="Deleted"), "", _xlfn.LET(
  _xlpm.doc_col, [1]SubmittalLog!$E$1:$E$4000,
  _xlpm.date_col, [1]SubmittalLog!$H$1:$H$4000,
  _xlpm.status_col, [1]SubmittalLog!$O$1:$O$4000,
  _xlpm.has_sub, COUNTIF(_xlpm.doc_col, M8),
  _xlpm.latest_reviewed_date, _xlfn.MAXIFS(_xlpm.date_col, _xlpm.doc_col, M8, _xlpm.status_col, "&lt;&gt;"),
  IF(_xlpm.has_sub=0, "",
    IF(_xlpm.latest_reviewed_date=0, "",
      _xlfn.LET(
        _xlpm.res, _xlfn.XLOOKUP(1, (_xlpm.doc_col=M8) * (_xlpm.date_col=_xlpm.latest_reviewed_date) * (_xlpm.status_col&lt;&gt;""), _xlpm.status_col, ""),
        IF(OR(_xlpm.res="", _xlpm.res=0), "", _xlpm.res)
      )
    )
  )
))</f>
        <v/>
      </c>
    </row>
    <row r="9" spans="1:25" x14ac:dyDescent="0.35">
      <c r="A9" s="11" t="str">
        <f>IF($M9="","",MAX($A$1:A8)+1)</f>
        <v/>
      </c>
      <c r="M9" s="34" t="str">
        <f t="shared" si="0"/>
        <v/>
      </c>
      <c r="U9" s="21" t="str" cm="1">
        <f t="array" ref="U9">IF(OR(M9="", M9="Deleted"), "", _xlfn.LET(
  _xlpm.dates,
  _xlfn._xlws.FILTER(
    [1]SubmittalLog!$H$1:$H$4000,
    [1]SubmittalLog!$E$1:$E$4000=M9,
    ""
  ),
  _xlpm.min_date, IFERROR(MIN(_xlpm.dates), ""),
  IF(_xlpm.min_date=0, "", _xlpm.min_date)
))</f>
        <v/>
      </c>
      <c r="V9" s="63" t="str" cm="1">
        <f t="array" ref="V9">IF(OR(M9="", M9="Deleted"), "", IFERROR(
  _xlfn.TEXTJOIN(", ", TRUE,
    _xlfn.MAP(
      _xlfn.UNIQUE(
        _xlfn._xlws.FILTER(
          [1]SubmittalLog!$B$1:$B$4000,
          ([1]SubmittalLog!$E$1:$E$4000=M9) *
          ([1]SubmittalLog!$B$1:$B$4000&lt;&gt;""),
          ""
        )
      ),
      _xlfn.LAMBDA(_xlpm.val, TEXT(_xlpm.val, "000000"))
    )
  ),
""))</f>
        <v/>
      </c>
      <c r="W9" s="40" t="str" cm="1">
        <f t="array" ref="W9">IF(OR(M9="", M9="Deleted"), "", _xlfn.LET(
  _xlpm.doc_col, [1]SubmittalLog!$E$1:$E$4000,
  _xlpm.date_col, [1]SubmittalLog!$H$1:$H$4000,
  _xlpm.status_col, [1]SubmittalLog!$N$1:$N$4000,
  _xlpm.latest_date, _xlfn.MAXIFS(_xlpm.date_col, _xlpm.doc_col, M9),
  IF(_xlpm.latest_date=0, "NFS",
    _xlfn.LET(
      _xlpm.res, _xlfn.XLOOKUP(M9 &amp; "|" &amp; _xlpm.latest_date, _xlpm.doc_col &amp; "|" &amp; _xlpm.date_col, _xlpm.status_col, ""),
      IF(OR(_xlpm.res="", _xlpm.res=0), "", _xlpm.res)
    )
  )
))</f>
        <v/>
      </c>
      <c r="X9" s="39" t="str">
        <f>IF(OR(M9="", M9="Deleted"), "", _xlfn.LET(
  _xlpm.doc_col, [1]SubmittalLog!$E$1:$E$4000,
  _xlpm.date_col, [1]SubmittalLog!$H$1:$H$4000,
  _xlpm.status_col, [1]SubmittalLog!$O$1:$O$4000,
  _xlpm.first_app_date, _xlfn.MINIFS(_xlpm.date_col, _xlpm.doc_col, M9, _xlpm.status_col, "APP"),
  _xlpm.first_awc_date, _xlfn.MINIFS(_xlpm.date_col, _xlpm.doc_col, M9, _xlpm.status_col, "AWC"),
  _xlpm.earliest_date, IF(
    AND(_xlpm.first_app_date=0, _xlpm.first_awc_date=0), 0,
    IF(_xlpm.first_app_date=0, _xlpm.first_awc_date,
    IF(_xlpm.first_awc_date=0, _xlpm.first_app_date,
    MIN(_xlpm.first_app_date, _xlpm.first_awc_date)))
  ),
  IF(_xlpm.earliest_date=0, "", _xlpm.earliest_date)
))</f>
        <v/>
      </c>
      <c r="Y9" s="40" t="str" cm="1">
        <f t="array" ref="Y9">IF(OR(M9="", M9="Deleted"), "", _xlfn.LET(
  _xlpm.doc_col, [1]SubmittalLog!$E$1:$E$4000,
  _xlpm.date_col, [1]SubmittalLog!$H$1:$H$4000,
  _xlpm.status_col, [1]SubmittalLog!$O$1:$O$4000,
  _xlpm.has_sub, COUNTIF(_xlpm.doc_col, M9),
  _xlpm.latest_reviewed_date, _xlfn.MAXIFS(_xlpm.date_col, _xlpm.doc_col, M9, _xlpm.status_col, "&lt;&gt;"),
  IF(_xlpm.has_sub=0, "",
    IF(_xlpm.latest_reviewed_date=0, "",
      _xlfn.LET(
        _xlpm.res, _xlfn.XLOOKUP(1, (_xlpm.doc_col=M9) * (_xlpm.date_col=_xlpm.latest_reviewed_date) * (_xlpm.status_col&lt;&gt;""), _xlpm.status_col, ""),
        IF(OR(_xlpm.res="", _xlpm.res=0), "", _xlpm.res)
      )
    )
  )
))</f>
        <v/>
      </c>
    </row>
    <row r="10" spans="1:25" x14ac:dyDescent="0.35">
      <c r="A10" s="11">
        <f>IF($M10="","",MAX($A$1:A9)+1)</f>
        <v>7</v>
      </c>
      <c r="B10" t="s">
        <v>213</v>
      </c>
      <c r="C10" t="s">
        <v>295</v>
      </c>
      <c r="G10" s="11">
        <v>131236</v>
      </c>
      <c r="H10" s="11" t="s">
        <v>59</v>
      </c>
      <c r="I10" s="11" t="s">
        <v>442</v>
      </c>
      <c r="J10" s="11" t="s">
        <v>206</v>
      </c>
      <c r="K10" s="11" t="s">
        <v>3466</v>
      </c>
      <c r="M10" s="34" t="str">
        <f t="shared" si="0"/>
        <v>131236-WIL21-SN-IM-xxxx</v>
      </c>
      <c r="P10" s="15" t="s">
        <v>3467</v>
      </c>
      <c r="R10" s="15" t="s">
        <v>3467</v>
      </c>
      <c r="S10" s="17">
        <v>46031</v>
      </c>
      <c r="U10" s="21" t="str" cm="1">
        <f t="array" ref="U10">IF(OR(M10="", M10="Deleted"), "", _xlfn.LET(
  _xlpm.dates,
  _xlfn._xlws.FILTER(
    [1]SubmittalLog!$H$1:$H$4000,
    [1]SubmittalLog!$E$1:$E$4000=M10,
    ""
  ),
  _xlpm.min_date, IFERROR(MIN(_xlpm.dates), ""),
  IF(_xlpm.min_date=0, "", _xlpm.min_date)
))</f>
        <v/>
      </c>
      <c r="V10" s="63" t="str" cm="1">
        <f t="array" ref="V10">IF(OR(M10="", M10="Deleted"), "", IFERROR(
  _xlfn.TEXTJOIN(", ", TRUE,
    _xlfn.MAP(
      _xlfn.UNIQUE(
        _xlfn._xlws.FILTER(
          [1]SubmittalLog!$B$1:$B$4000,
          ([1]SubmittalLog!$E$1:$E$4000=M10) *
          ([1]SubmittalLog!$B$1:$B$4000&lt;&gt;""),
          ""
        )
      ),
      _xlfn.LAMBDA(_xlpm.val, TEXT(_xlpm.val, "000000"))
    )
  ),
""))</f>
        <v/>
      </c>
      <c r="W10" s="40" t="str" cm="1">
        <f t="array" ref="W10">IF(OR(M10="", M10="Deleted"), "", _xlfn.LET(
  _xlpm.doc_col, [1]SubmittalLog!$E$1:$E$4000,
  _xlpm.date_col, [1]SubmittalLog!$H$1:$H$4000,
  _xlpm.status_col, [1]SubmittalLog!$N$1:$N$4000,
  _xlpm.latest_date, _xlfn.MAXIFS(_xlpm.date_col, _xlpm.doc_col, M10),
  IF(_xlpm.latest_date=0, "NFS",
    _xlfn.LET(
      _xlpm.res, _xlfn.XLOOKUP(M10 &amp; "|" &amp; _xlpm.latest_date, _xlpm.doc_col &amp; "|" &amp; _xlpm.date_col, _xlpm.status_col, ""),
      IF(OR(_xlpm.res="", _xlpm.res=0), "", _xlpm.res)
    )
  )
))</f>
        <v>NFS</v>
      </c>
      <c r="X10" s="39" t="str">
        <f>IF(OR(M10="", M10="Deleted"), "", _xlfn.LET(
  _xlpm.doc_col, [1]SubmittalLog!$E$1:$E$4000,
  _xlpm.date_col, [1]SubmittalLog!$H$1:$H$4000,
  _xlpm.status_col, [1]SubmittalLog!$O$1:$O$4000,
  _xlpm.first_app_date, _xlfn.MINIFS(_xlpm.date_col, _xlpm.doc_col, M10, _xlpm.status_col, "APP"),
  _xlpm.first_awc_date, _xlfn.MINIFS(_xlpm.date_col, _xlpm.doc_col, M10, _xlpm.status_col, "AWC"),
  _xlpm.earliest_date, IF(
    AND(_xlpm.first_app_date=0, _xlpm.first_awc_date=0), 0,
    IF(_xlpm.first_app_date=0, _xlpm.first_awc_date,
    IF(_xlpm.first_awc_date=0, _xlpm.first_app_date,
    MIN(_xlpm.first_app_date, _xlpm.first_awc_date)))
  ),
  IF(_xlpm.earliest_date=0, "", _xlpm.earliest_date)
))</f>
        <v/>
      </c>
      <c r="Y10" s="40" t="str" cm="1">
        <f t="array" ref="Y10">IF(OR(M10="", M10="Deleted"), "", _xlfn.LET(
  _xlpm.doc_col, [1]SubmittalLog!$E$1:$E$4000,
  _xlpm.date_col, [1]SubmittalLog!$H$1:$H$4000,
  _xlpm.status_col, [1]SubmittalLog!$O$1:$O$4000,
  _xlpm.has_sub, COUNTIF(_xlpm.doc_col, M10),
  _xlpm.latest_reviewed_date, _xlfn.MAXIFS(_xlpm.date_col, _xlpm.doc_col, M10, _xlpm.status_col, "&lt;&gt;"),
  IF(_xlpm.has_sub=0, "",
    IF(_xlpm.latest_reviewed_date=0, "",
      _xlfn.LET(
        _xlpm.res, _xlfn.XLOOKUP(1, (_xlpm.doc_col=M10) * (_xlpm.date_col=_xlpm.latest_reviewed_date) * (_xlpm.status_col&lt;&gt;""), _xlpm.status_col, ""),
        IF(OR(_xlpm.res="", _xlpm.res=0), "", _xlpm.res)
      )
    )
  )
))</f>
        <v/>
      </c>
    </row>
    <row r="11" spans="1:25" x14ac:dyDescent="0.35">
      <c r="A11" s="11">
        <f>IF($M11="","",MAX($A$1:A10)+1)</f>
        <v>8</v>
      </c>
      <c r="B11" t="s">
        <v>213</v>
      </c>
      <c r="C11" t="s">
        <v>295</v>
      </c>
      <c r="G11" s="11">
        <v>131236</v>
      </c>
      <c r="H11" s="11" t="s">
        <v>59</v>
      </c>
      <c r="I11" s="11" t="s">
        <v>442</v>
      </c>
      <c r="J11" s="11" t="s">
        <v>206</v>
      </c>
      <c r="K11" s="11" t="s">
        <v>3466</v>
      </c>
      <c r="M11" s="34" t="str">
        <f t="shared" si="0"/>
        <v>131236-WIL21-SN-IM-xxxx</v>
      </c>
      <c r="P11" s="15" t="s">
        <v>3467</v>
      </c>
      <c r="R11" s="15" t="s">
        <v>3467</v>
      </c>
      <c r="S11" s="17">
        <v>46032</v>
      </c>
      <c r="U11" s="21" t="str" cm="1">
        <f t="array" ref="U11">IF(OR(M11="", M11="Deleted"), "", _xlfn.LET(
  _xlpm.dates,
  _xlfn._xlws.FILTER(
    [1]SubmittalLog!$H$1:$H$4000,
    [1]SubmittalLog!$E$1:$E$4000=M11,
    ""
  ),
  _xlpm.min_date, IFERROR(MIN(_xlpm.dates), ""),
  IF(_xlpm.min_date=0, "", _xlpm.min_date)
))</f>
        <v/>
      </c>
      <c r="V11" s="63" t="str" cm="1">
        <f t="array" ref="V11">IF(OR(M11="", M11="Deleted"), "", IFERROR(
  _xlfn.TEXTJOIN(", ", TRUE,
    _xlfn.MAP(
      _xlfn.UNIQUE(
        _xlfn._xlws.FILTER(
          [1]SubmittalLog!$B$1:$B$4000,
          ([1]SubmittalLog!$E$1:$E$4000=M11) *
          ([1]SubmittalLog!$B$1:$B$4000&lt;&gt;""),
          ""
        )
      ),
      _xlfn.LAMBDA(_xlpm.val, TEXT(_xlpm.val, "000000"))
    )
  ),
""))</f>
        <v/>
      </c>
      <c r="W11" s="40" t="str" cm="1">
        <f t="array" ref="W11">IF(OR(M11="", M11="Deleted"), "", _xlfn.LET(
  _xlpm.doc_col, [1]SubmittalLog!$E$1:$E$4000,
  _xlpm.date_col, [1]SubmittalLog!$H$1:$H$4000,
  _xlpm.status_col, [1]SubmittalLog!$N$1:$N$4000,
  _xlpm.latest_date, _xlfn.MAXIFS(_xlpm.date_col, _xlpm.doc_col, M11),
  IF(_xlpm.latest_date=0, "NFS",
    _xlfn.LET(
      _xlpm.res, _xlfn.XLOOKUP(M11 &amp; "|" &amp; _xlpm.latest_date, _xlpm.doc_col &amp; "|" &amp; _xlpm.date_col, _xlpm.status_col, ""),
      IF(OR(_xlpm.res="", _xlpm.res=0), "", _xlpm.res)
    )
  )
))</f>
        <v>NFS</v>
      </c>
      <c r="X11" s="39" t="str">
        <f>IF(OR(M11="", M11="Deleted"), "", _xlfn.LET(
  _xlpm.doc_col, [1]SubmittalLog!$E$1:$E$4000,
  _xlpm.date_col, [1]SubmittalLog!$H$1:$H$4000,
  _xlpm.status_col, [1]SubmittalLog!$O$1:$O$4000,
  _xlpm.first_app_date, _xlfn.MINIFS(_xlpm.date_col, _xlpm.doc_col, M11, _xlpm.status_col, "APP"),
  _xlpm.first_awc_date, _xlfn.MINIFS(_xlpm.date_col, _xlpm.doc_col, M11, _xlpm.status_col, "AWC"),
  _xlpm.earliest_date, IF(
    AND(_xlpm.first_app_date=0, _xlpm.first_awc_date=0), 0,
    IF(_xlpm.first_app_date=0, _xlpm.first_awc_date,
    IF(_xlpm.first_awc_date=0, _xlpm.first_app_date,
    MIN(_xlpm.first_app_date, _xlpm.first_awc_date)))
  ),
  IF(_xlpm.earliest_date=0, "", _xlpm.earliest_date)
))</f>
        <v/>
      </c>
      <c r="Y11" s="40" t="str" cm="1">
        <f t="array" ref="Y11">IF(OR(M11="", M11="Deleted"), "", _xlfn.LET(
  _xlpm.doc_col, [1]SubmittalLog!$E$1:$E$4000,
  _xlpm.date_col, [1]SubmittalLog!$H$1:$H$4000,
  _xlpm.status_col, [1]SubmittalLog!$O$1:$O$4000,
  _xlpm.has_sub, COUNTIF(_xlpm.doc_col, M11),
  _xlpm.latest_reviewed_date, _xlfn.MAXIFS(_xlpm.date_col, _xlpm.doc_col, M11, _xlpm.status_col, "&lt;&gt;"),
  IF(_xlpm.has_sub=0, "",
    IF(_xlpm.latest_reviewed_date=0, "",
      _xlfn.LET(
        _xlpm.res, _xlfn.XLOOKUP(1, (_xlpm.doc_col=M11) * (_xlpm.date_col=_xlpm.latest_reviewed_date) * (_xlpm.status_col&lt;&gt;""), _xlpm.status_col, ""),
        IF(OR(_xlpm.res="", _xlpm.res=0), "", _xlpm.res)
      )
    )
  )
))</f>
        <v/>
      </c>
    </row>
    <row r="12" spans="1:25" x14ac:dyDescent="0.35">
      <c r="A12" s="11">
        <f>IF($M12="","",MAX($A$1:A11)+1)</f>
        <v>9</v>
      </c>
      <c r="B12" t="s">
        <v>213</v>
      </c>
      <c r="C12" t="s">
        <v>295</v>
      </c>
      <c r="G12" s="11">
        <v>131236</v>
      </c>
      <c r="H12" s="11" t="s">
        <v>59</v>
      </c>
      <c r="I12" s="11" t="s">
        <v>442</v>
      </c>
      <c r="J12" s="11" t="s">
        <v>206</v>
      </c>
      <c r="K12" s="11" t="s">
        <v>3466</v>
      </c>
      <c r="M12" s="34" t="str">
        <f t="shared" si="0"/>
        <v>131236-WIL21-SN-IM-xxxx</v>
      </c>
      <c r="P12" s="15" t="s">
        <v>3467</v>
      </c>
      <c r="R12" s="15" t="s">
        <v>3467</v>
      </c>
      <c r="S12" s="17">
        <v>46033</v>
      </c>
      <c r="U12" s="21" t="str" cm="1">
        <f t="array" ref="U12">IF(OR(M12="", M12="Deleted"), "", _xlfn.LET(
  _xlpm.dates,
  _xlfn._xlws.FILTER(
    [1]SubmittalLog!$H$1:$H$4000,
    [1]SubmittalLog!$E$1:$E$4000=M12,
    ""
  ),
  _xlpm.min_date, IFERROR(MIN(_xlpm.dates), ""),
  IF(_xlpm.min_date=0, "", _xlpm.min_date)
))</f>
        <v/>
      </c>
      <c r="V12" s="63" t="str" cm="1">
        <f t="array" ref="V12">IF(OR(M12="", M12="Deleted"), "", IFERROR(
  _xlfn.TEXTJOIN(", ", TRUE,
    _xlfn.MAP(
      _xlfn.UNIQUE(
        _xlfn._xlws.FILTER(
          [1]SubmittalLog!$B$1:$B$4000,
          ([1]SubmittalLog!$E$1:$E$4000=M12) *
          ([1]SubmittalLog!$B$1:$B$4000&lt;&gt;""),
          ""
        )
      ),
      _xlfn.LAMBDA(_xlpm.val, TEXT(_xlpm.val, "000000"))
    )
  ),
""))</f>
        <v/>
      </c>
      <c r="W12" s="40" t="str" cm="1">
        <f t="array" ref="W12">IF(OR(M12="", M12="Deleted"), "", _xlfn.LET(
  _xlpm.doc_col, [1]SubmittalLog!$E$1:$E$4000,
  _xlpm.date_col, [1]SubmittalLog!$H$1:$H$4000,
  _xlpm.status_col, [1]SubmittalLog!$N$1:$N$4000,
  _xlpm.latest_date, _xlfn.MAXIFS(_xlpm.date_col, _xlpm.doc_col, M12),
  IF(_xlpm.latest_date=0, "NFS",
    _xlfn.LET(
      _xlpm.res, _xlfn.XLOOKUP(M12 &amp; "|" &amp; _xlpm.latest_date, _xlpm.doc_col &amp; "|" &amp; _xlpm.date_col, _xlpm.status_col, ""),
      IF(OR(_xlpm.res="", _xlpm.res=0), "", _xlpm.res)
    )
  )
))</f>
        <v>NFS</v>
      </c>
      <c r="X12" s="39" t="str">
        <f>IF(OR(M12="", M12="Deleted"), "", _xlfn.LET(
  _xlpm.doc_col, [1]SubmittalLog!$E$1:$E$4000,
  _xlpm.date_col, [1]SubmittalLog!$H$1:$H$4000,
  _xlpm.status_col, [1]SubmittalLog!$O$1:$O$4000,
  _xlpm.first_app_date, _xlfn.MINIFS(_xlpm.date_col, _xlpm.doc_col, M12, _xlpm.status_col, "APP"),
  _xlpm.first_awc_date, _xlfn.MINIFS(_xlpm.date_col, _xlpm.doc_col, M12, _xlpm.status_col, "AWC"),
  _xlpm.earliest_date, IF(
    AND(_xlpm.first_app_date=0, _xlpm.first_awc_date=0), 0,
    IF(_xlpm.first_app_date=0, _xlpm.first_awc_date,
    IF(_xlpm.first_awc_date=0, _xlpm.first_app_date,
    MIN(_xlpm.first_app_date, _xlpm.first_awc_date)))
  ),
  IF(_xlpm.earliest_date=0, "", _xlpm.earliest_date)
))</f>
        <v/>
      </c>
      <c r="Y12" s="40" t="str" cm="1">
        <f t="array" ref="Y12">IF(OR(M12="", M12="Deleted"), "", _xlfn.LET(
  _xlpm.doc_col, [1]SubmittalLog!$E$1:$E$4000,
  _xlpm.date_col, [1]SubmittalLog!$H$1:$H$4000,
  _xlpm.status_col, [1]SubmittalLog!$O$1:$O$4000,
  _xlpm.has_sub, COUNTIF(_xlpm.doc_col, M12),
  _xlpm.latest_reviewed_date, _xlfn.MAXIFS(_xlpm.date_col, _xlpm.doc_col, M12, _xlpm.status_col, "&lt;&gt;"),
  IF(_xlpm.has_sub=0, "",
    IF(_xlpm.latest_reviewed_date=0, "",
      _xlfn.LET(
        _xlpm.res, _xlfn.XLOOKUP(1, (_xlpm.doc_col=M12) * (_xlpm.date_col=_xlpm.latest_reviewed_date) * (_xlpm.status_col&lt;&gt;""), _xlpm.status_col, ""),
        IF(OR(_xlpm.res="", _xlpm.res=0), "", _xlpm.res)
      )
    )
  )
))</f>
        <v/>
      </c>
    </row>
    <row r="13" spans="1:25" x14ac:dyDescent="0.35">
      <c r="A13" s="11">
        <f>IF($M13="","",MAX($A$1:A12)+1)</f>
        <v>10</v>
      </c>
      <c r="B13" t="s">
        <v>213</v>
      </c>
      <c r="C13" t="s">
        <v>295</v>
      </c>
      <c r="G13" s="11">
        <v>131236</v>
      </c>
      <c r="H13" s="11" t="s">
        <v>59</v>
      </c>
      <c r="I13" s="11" t="s">
        <v>442</v>
      </c>
      <c r="J13" s="11" t="s">
        <v>206</v>
      </c>
      <c r="K13" s="11" t="s">
        <v>3466</v>
      </c>
      <c r="M13" s="34" t="str">
        <f t="shared" si="0"/>
        <v>131236-WIL21-SN-IM-xxxx</v>
      </c>
      <c r="P13" s="15" t="s">
        <v>3467</v>
      </c>
      <c r="R13" s="15" t="s">
        <v>3467</v>
      </c>
      <c r="S13" s="17">
        <v>46034</v>
      </c>
      <c r="U13" s="21" t="str" cm="1">
        <f t="array" ref="U13">IF(OR(M13="", M13="Deleted"), "", _xlfn.LET(
  _xlpm.dates,
  _xlfn._xlws.FILTER(
    [1]SubmittalLog!$H$1:$H$4000,
    [1]SubmittalLog!$E$1:$E$4000=M13,
    ""
  ),
  _xlpm.min_date, IFERROR(MIN(_xlpm.dates), ""),
  IF(_xlpm.min_date=0, "", _xlpm.min_date)
))</f>
        <v/>
      </c>
      <c r="V13" s="63" t="str" cm="1">
        <f t="array" ref="V13">IF(OR(M13="", M13="Deleted"), "", IFERROR(
  _xlfn.TEXTJOIN(", ", TRUE,
    _xlfn.MAP(
      _xlfn.UNIQUE(
        _xlfn._xlws.FILTER(
          [1]SubmittalLog!$B$1:$B$4000,
          ([1]SubmittalLog!$E$1:$E$4000=M13) *
          ([1]SubmittalLog!$B$1:$B$4000&lt;&gt;""),
          ""
        )
      ),
      _xlfn.LAMBDA(_xlpm.val, TEXT(_xlpm.val, "000000"))
    )
  ),
""))</f>
        <v/>
      </c>
      <c r="W13" s="40" t="str" cm="1">
        <f t="array" ref="W13">IF(OR(M13="", M13="Deleted"), "", _xlfn.LET(
  _xlpm.doc_col, [1]SubmittalLog!$E$1:$E$4000,
  _xlpm.date_col, [1]SubmittalLog!$H$1:$H$4000,
  _xlpm.status_col, [1]SubmittalLog!$N$1:$N$4000,
  _xlpm.latest_date, _xlfn.MAXIFS(_xlpm.date_col, _xlpm.doc_col, M13),
  IF(_xlpm.latest_date=0, "NFS",
    _xlfn.LET(
      _xlpm.res, _xlfn.XLOOKUP(M13 &amp; "|" &amp; _xlpm.latest_date, _xlpm.doc_col &amp; "|" &amp; _xlpm.date_col, _xlpm.status_col, ""),
      IF(OR(_xlpm.res="", _xlpm.res=0), "", _xlpm.res)
    )
  )
))</f>
        <v>NFS</v>
      </c>
      <c r="X13" s="39" t="str">
        <f>IF(OR(M13="", M13="Deleted"), "", _xlfn.LET(
  _xlpm.doc_col, [1]SubmittalLog!$E$1:$E$4000,
  _xlpm.date_col, [1]SubmittalLog!$H$1:$H$4000,
  _xlpm.status_col, [1]SubmittalLog!$O$1:$O$4000,
  _xlpm.first_app_date, _xlfn.MINIFS(_xlpm.date_col, _xlpm.doc_col, M13, _xlpm.status_col, "APP"),
  _xlpm.first_awc_date, _xlfn.MINIFS(_xlpm.date_col, _xlpm.doc_col, M13, _xlpm.status_col, "AWC"),
  _xlpm.earliest_date, IF(
    AND(_xlpm.first_app_date=0, _xlpm.first_awc_date=0), 0,
    IF(_xlpm.first_app_date=0, _xlpm.first_awc_date,
    IF(_xlpm.first_awc_date=0, _xlpm.first_app_date,
    MIN(_xlpm.first_app_date, _xlpm.first_awc_date)))
  ),
  IF(_xlpm.earliest_date=0, "", _xlpm.earliest_date)
))</f>
        <v/>
      </c>
      <c r="Y13" s="40" t="str" cm="1">
        <f t="array" ref="Y13">IF(OR(M13="", M13="Deleted"), "", _xlfn.LET(
  _xlpm.doc_col, [1]SubmittalLog!$E$1:$E$4000,
  _xlpm.date_col, [1]SubmittalLog!$H$1:$H$4000,
  _xlpm.status_col, [1]SubmittalLog!$O$1:$O$4000,
  _xlpm.has_sub, COUNTIF(_xlpm.doc_col, M13),
  _xlpm.latest_reviewed_date, _xlfn.MAXIFS(_xlpm.date_col, _xlpm.doc_col, M13, _xlpm.status_col, "&lt;&gt;"),
  IF(_xlpm.has_sub=0, "",
    IF(_xlpm.latest_reviewed_date=0, "",
      _xlfn.LET(
        _xlpm.res, _xlfn.XLOOKUP(1, (_xlpm.doc_col=M13) * (_xlpm.date_col=_xlpm.latest_reviewed_date) * (_xlpm.status_col&lt;&gt;""), _xlpm.status_col, ""),
        IF(OR(_xlpm.res="", _xlpm.res=0), "", _xlpm.res)
      )
    )
  )
))</f>
        <v/>
      </c>
    </row>
    <row r="14" spans="1:25" x14ac:dyDescent="0.35">
      <c r="A14" s="11">
        <f>IF($M14="","",MAX($A$1:A13)+1)</f>
        <v>11</v>
      </c>
      <c r="B14" t="s">
        <v>213</v>
      </c>
      <c r="C14" t="s">
        <v>295</v>
      </c>
      <c r="G14" s="11">
        <v>131236</v>
      </c>
      <c r="H14" s="11" t="s">
        <v>59</v>
      </c>
      <c r="I14" s="11" t="s">
        <v>442</v>
      </c>
      <c r="J14" s="11" t="s">
        <v>206</v>
      </c>
      <c r="K14" s="11" t="s">
        <v>3466</v>
      </c>
      <c r="M14" s="34" t="str">
        <f t="shared" si="0"/>
        <v>131236-WIL21-SN-IM-xxxx</v>
      </c>
      <c r="P14" s="15" t="s">
        <v>3467</v>
      </c>
      <c r="R14" s="15" t="s">
        <v>3467</v>
      </c>
      <c r="S14" s="17">
        <v>46035</v>
      </c>
      <c r="U14" s="21" t="str" cm="1">
        <f t="array" ref="U14">IF(OR(M14="", M14="Deleted"), "", _xlfn.LET(
  _xlpm.dates,
  _xlfn._xlws.FILTER(
    [1]SubmittalLog!$H$1:$H$4000,
    [1]SubmittalLog!$E$1:$E$4000=M14,
    ""
  ),
  _xlpm.min_date, IFERROR(MIN(_xlpm.dates), ""),
  IF(_xlpm.min_date=0, "", _xlpm.min_date)
))</f>
        <v/>
      </c>
      <c r="V14" s="63" t="str" cm="1">
        <f t="array" ref="V14">IF(OR(M14="", M14="Deleted"), "", IFERROR(
  _xlfn.TEXTJOIN(", ", TRUE,
    _xlfn.MAP(
      _xlfn.UNIQUE(
        _xlfn._xlws.FILTER(
          [1]SubmittalLog!$B$1:$B$4000,
          ([1]SubmittalLog!$E$1:$E$4000=M14) *
          ([1]SubmittalLog!$B$1:$B$4000&lt;&gt;""),
          ""
        )
      ),
      _xlfn.LAMBDA(_xlpm.val, TEXT(_xlpm.val, "000000"))
    )
  ),
""))</f>
        <v/>
      </c>
      <c r="W14" s="40" t="str" cm="1">
        <f t="array" ref="W14">IF(OR(M14="", M14="Deleted"), "", _xlfn.LET(
  _xlpm.doc_col, [1]SubmittalLog!$E$1:$E$4000,
  _xlpm.date_col, [1]SubmittalLog!$H$1:$H$4000,
  _xlpm.status_col, [1]SubmittalLog!$N$1:$N$4000,
  _xlpm.latest_date, _xlfn.MAXIFS(_xlpm.date_col, _xlpm.doc_col, M14),
  IF(_xlpm.latest_date=0, "NFS",
    _xlfn.LET(
      _xlpm.res, _xlfn.XLOOKUP(M14 &amp; "|" &amp; _xlpm.latest_date, _xlpm.doc_col &amp; "|" &amp; _xlpm.date_col, _xlpm.status_col, ""),
      IF(OR(_xlpm.res="", _xlpm.res=0), "", _xlpm.res)
    )
  )
))</f>
        <v>NFS</v>
      </c>
      <c r="X14" s="39" t="str">
        <f>IF(OR(M14="", M14="Deleted"), "", _xlfn.LET(
  _xlpm.doc_col, [1]SubmittalLog!$E$1:$E$4000,
  _xlpm.date_col, [1]SubmittalLog!$H$1:$H$4000,
  _xlpm.status_col, [1]SubmittalLog!$O$1:$O$4000,
  _xlpm.first_app_date, _xlfn.MINIFS(_xlpm.date_col, _xlpm.doc_col, M14, _xlpm.status_col, "APP"),
  _xlpm.first_awc_date, _xlfn.MINIFS(_xlpm.date_col, _xlpm.doc_col, M14, _xlpm.status_col, "AWC"),
  _xlpm.earliest_date, IF(
    AND(_xlpm.first_app_date=0, _xlpm.first_awc_date=0), 0,
    IF(_xlpm.first_app_date=0, _xlpm.first_awc_date,
    IF(_xlpm.first_awc_date=0, _xlpm.first_app_date,
    MIN(_xlpm.first_app_date, _xlpm.first_awc_date)))
  ),
  IF(_xlpm.earliest_date=0, "", _xlpm.earliest_date)
))</f>
        <v/>
      </c>
      <c r="Y14" s="40" t="str" cm="1">
        <f t="array" ref="Y14">IF(OR(M14="", M14="Deleted"), "", _xlfn.LET(
  _xlpm.doc_col, [1]SubmittalLog!$E$1:$E$4000,
  _xlpm.date_col, [1]SubmittalLog!$H$1:$H$4000,
  _xlpm.status_col, [1]SubmittalLog!$O$1:$O$4000,
  _xlpm.has_sub, COUNTIF(_xlpm.doc_col, M14),
  _xlpm.latest_reviewed_date, _xlfn.MAXIFS(_xlpm.date_col, _xlpm.doc_col, M14, _xlpm.status_col, "&lt;&gt;"),
  IF(_xlpm.has_sub=0, "",
    IF(_xlpm.latest_reviewed_date=0, "",
      _xlfn.LET(
        _xlpm.res, _xlfn.XLOOKUP(1, (_xlpm.doc_col=M14) * (_xlpm.date_col=_xlpm.latest_reviewed_date) * (_xlpm.status_col&lt;&gt;""), _xlpm.status_col, ""),
        IF(OR(_xlpm.res="", _xlpm.res=0), "", _xlpm.res)
      )
    )
  )
))</f>
        <v/>
      </c>
    </row>
    <row r="15" spans="1:25" x14ac:dyDescent="0.35">
      <c r="A15" s="11">
        <f>IF($M15="","",MAX($A$1:A14)+1)</f>
        <v>12</v>
      </c>
      <c r="B15" t="s">
        <v>213</v>
      </c>
      <c r="C15" t="s">
        <v>295</v>
      </c>
      <c r="G15" s="11">
        <v>131236</v>
      </c>
      <c r="H15" s="11" t="s">
        <v>59</v>
      </c>
      <c r="I15" s="11" t="s">
        <v>442</v>
      </c>
      <c r="J15" s="11" t="s">
        <v>206</v>
      </c>
      <c r="K15" s="11" t="s">
        <v>3466</v>
      </c>
      <c r="M15" s="34" t="str">
        <f t="shared" si="0"/>
        <v>131236-WIL21-SN-IM-xxxx</v>
      </c>
      <c r="P15" s="15" t="s">
        <v>3467</v>
      </c>
      <c r="R15" s="15" t="s">
        <v>3467</v>
      </c>
      <c r="S15" s="17">
        <v>46036</v>
      </c>
      <c r="U15" s="21" t="str" cm="1">
        <f t="array" ref="U15">IF(OR(M15="", M15="Deleted"), "", _xlfn.LET(
  _xlpm.dates,
  _xlfn._xlws.FILTER(
    [1]SubmittalLog!$H$1:$H$4000,
    [1]SubmittalLog!$E$1:$E$4000=M15,
    ""
  ),
  _xlpm.min_date, IFERROR(MIN(_xlpm.dates), ""),
  IF(_xlpm.min_date=0, "", _xlpm.min_date)
))</f>
        <v/>
      </c>
      <c r="V15" s="63" t="str" cm="1">
        <f t="array" ref="V15">IF(OR(M15="", M15="Deleted"), "", IFERROR(
  _xlfn.TEXTJOIN(", ", TRUE,
    _xlfn.MAP(
      _xlfn.UNIQUE(
        _xlfn._xlws.FILTER(
          [1]SubmittalLog!$B$1:$B$4000,
          ([1]SubmittalLog!$E$1:$E$4000=M15) *
          ([1]SubmittalLog!$B$1:$B$4000&lt;&gt;""),
          ""
        )
      ),
      _xlfn.LAMBDA(_xlpm.val, TEXT(_xlpm.val, "000000"))
    )
  ),
""))</f>
        <v/>
      </c>
      <c r="W15" s="40" t="str" cm="1">
        <f t="array" ref="W15">IF(OR(M15="", M15="Deleted"), "", _xlfn.LET(
  _xlpm.doc_col, [1]SubmittalLog!$E$1:$E$4000,
  _xlpm.date_col, [1]SubmittalLog!$H$1:$H$4000,
  _xlpm.status_col, [1]SubmittalLog!$N$1:$N$4000,
  _xlpm.latest_date, _xlfn.MAXIFS(_xlpm.date_col, _xlpm.doc_col, M15),
  IF(_xlpm.latest_date=0, "NFS",
    _xlfn.LET(
      _xlpm.res, _xlfn.XLOOKUP(M15 &amp; "|" &amp; _xlpm.latest_date, _xlpm.doc_col &amp; "|" &amp; _xlpm.date_col, _xlpm.status_col, ""),
      IF(OR(_xlpm.res="", _xlpm.res=0), "", _xlpm.res)
    )
  )
))</f>
        <v>NFS</v>
      </c>
      <c r="X15" s="39" t="str">
        <f>IF(OR(M15="", M15="Deleted"), "", _xlfn.LET(
  _xlpm.doc_col, [1]SubmittalLog!$E$1:$E$4000,
  _xlpm.date_col, [1]SubmittalLog!$H$1:$H$4000,
  _xlpm.status_col, [1]SubmittalLog!$O$1:$O$4000,
  _xlpm.first_app_date, _xlfn.MINIFS(_xlpm.date_col, _xlpm.doc_col, M15, _xlpm.status_col, "APP"),
  _xlpm.first_awc_date, _xlfn.MINIFS(_xlpm.date_col, _xlpm.doc_col, M15, _xlpm.status_col, "AWC"),
  _xlpm.earliest_date, IF(
    AND(_xlpm.first_app_date=0, _xlpm.first_awc_date=0), 0,
    IF(_xlpm.first_app_date=0, _xlpm.first_awc_date,
    IF(_xlpm.first_awc_date=0, _xlpm.first_app_date,
    MIN(_xlpm.first_app_date, _xlpm.first_awc_date)))
  ),
  IF(_xlpm.earliest_date=0, "", _xlpm.earliest_date)
))</f>
        <v/>
      </c>
      <c r="Y15" s="40" t="str" cm="1">
        <f t="array" ref="Y15">IF(OR(M15="", M15="Deleted"), "", _xlfn.LET(
  _xlpm.doc_col, [1]SubmittalLog!$E$1:$E$4000,
  _xlpm.date_col, [1]SubmittalLog!$H$1:$H$4000,
  _xlpm.status_col, [1]SubmittalLog!$O$1:$O$4000,
  _xlpm.has_sub, COUNTIF(_xlpm.doc_col, M15),
  _xlpm.latest_reviewed_date, _xlfn.MAXIFS(_xlpm.date_col, _xlpm.doc_col, M15, _xlpm.status_col, "&lt;&gt;"),
  IF(_xlpm.has_sub=0, "",
    IF(_xlpm.latest_reviewed_date=0, "",
      _xlfn.LET(
        _xlpm.res, _xlfn.XLOOKUP(1, (_xlpm.doc_col=M15) * (_xlpm.date_col=_xlpm.latest_reviewed_date) * (_xlpm.status_col&lt;&gt;""), _xlpm.status_col, ""),
        IF(OR(_xlpm.res="", _xlpm.res=0), "", _xlpm.res)
      )
    )
  )
))</f>
        <v/>
      </c>
    </row>
    <row r="16" spans="1:25" x14ac:dyDescent="0.35">
      <c r="A16" s="11"/>
    </row>
    <row r="17" spans="1:1" x14ac:dyDescent="0.35">
      <c r="A17" s="11"/>
    </row>
    <row r="18" spans="1:1" x14ac:dyDescent="0.35">
      <c r="A18" s="11"/>
    </row>
    <row r="19" spans="1:1" x14ac:dyDescent="0.35">
      <c r="A19" s="11"/>
    </row>
    <row r="20" spans="1:1" x14ac:dyDescent="0.35">
      <c r="A20" s="11"/>
    </row>
    <row r="21" spans="1:1" x14ac:dyDescent="0.35">
      <c r="A21" s="11"/>
    </row>
    <row r="22" spans="1:1" x14ac:dyDescent="0.35">
      <c r="A22" s="11"/>
    </row>
    <row r="23" spans="1:1" x14ac:dyDescent="0.35">
      <c r="A23" s="11"/>
    </row>
    <row r="24" spans="1:1" x14ac:dyDescent="0.35">
      <c r="A24" s="11"/>
    </row>
    <row r="25" spans="1:1" x14ac:dyDescent="0.35">
      <c r="A25" s="11"/>
    </row>
    <row r="26" spans="1:1" x14ac:dyDescent="0.35">
      <c r="A26" s="11"/>
    </row>
    <row r="27" spans="1:1" x14ac:dyDescent="0.35">
      <c r="A27" s="11"/>
    </row>
    <row r="28" spans="1:1" x14ac:dyDescent="0.35">
      <c r="A28" s="11"/>
    </row>
    <row r="29" spans="1:1" x14ac:dyDescent="0.35">
      <c r="A29" s="11"/>
    </row>
    <row r="30" spans="1:1" x14ac:dyDescent="0.35">
      <c r="A30" s="11"/>
    </row>
    <row r="31" spans="1:1" x14ac:dyDescent="0.35">
      <c r="A31" s="11"/>
    </row>
    <row r="32" spans="1:1" x14ac:dyDescent="0.35">
      <c r="A32" s="11"/>
    </row>
    <row r="33" spans="1:1" x14ac:dyDescent="0.35">
      <c r="A33" s="11"/>
    </row>
    <row r="34" spans="1:1" x14ac:dyDescent="0.35">
      <c r="A34" s="11"/>
    </row>
    <row r="35" spans="1:1" x14ac:dyDescent="0.35">
      <c r="A35" s="11"/>
    </row>
    <row r="36" spans="1:1" x14ac:dyDescent="0.35">
      <c r="A36" s="11"/>
    </row>
    <row r="37" spans="1:1" x14ac:dyDescent="0.35">
      <c r="A37" s="11"/>
    </row>
    <row r="38" spans="1:1" x14ac:dyDescent="0.35">
      <c r="A38" s="11"/>
    </row>
  </sheetData>
  <conditionalFormatting sqref="A1:XFD1048576">
    <cfRule type="expression" dxfId="1" priority="1">
      <formula>_xlfn.ISFORMULA(A1)</formula>
    </cfRule>
  </conditionalFormatting>
  <dataValidations count="2">
    <dataValidation type="list" allowBlank="1" showInputMessage="1" showErrorMessage="1" sqref="R2:R1048576 P2:P1048576" xr:uid="{B5CEFF8F-C994-40E1-88FB-D3AB5305670B}">
      <formula1>"YES,NO"</formula1>
    </dataValidation>
    <dataValidation type="date" operator="greaterThan" allowBlank="1" showInputMessage="1" showErrorMessage="1" sqref="S2:T1048576 U16:U1048576" xr:uid="{B7A140F1-6EC8-44DF-93EE-E69D0CD6A0A9}">
      <formula1>45658</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8">
        <x14:dataValidation type="list" allowBlank="1" showInputMessage="1" showErrorMessage="1" xr:uid="{49A40C50-5E5B-4D79-962D-36EA46AE0DDD}">
          <x14:formula1>
            <xm:f>BQ!$A:$A</xm:f>
          </x14:formula1>
          <xm:sqref>E2:E1048576</xm:sqref>
        </x14:dataValidation>
        <x14:dataValidation type="list" allowBlank="1" showInputMessage="1" showErrorMessage="1" xr:uid="{01FEE6AD-C561-4C32-8FD8-A5A590E00638}">
          <x14:formula1>
            <xm:f>Code!$K:$K</xm:f>
          </x14:formula1>
          <xm:sqref>G2:G1048576</xm:sqref>
        </x14:dataValidation>
        <x14:dataValidation type="list" allowBlank="1" showInputMessage="1" showErrorMessage="1" xr:uid="{07B883AD-8E9F-4630-8C8E-D34DFB57E270}">
          <x14:formula1>
            <xm:f>Code!$T:$T</xm:f>
          </x14:formula1>
          <xm:sqref>J2:J1048576</xm:sqref>
        </x14:dataValidation>
        <x14:dataValidation type="list" allowBlank="1" showInputMessage="1" showErrorMessage="1" xr:uid="{E487917C-6B0D-4E60-9CAA-0F9A346CEDAF}">
          <x14:formula1>
            <xm:f>Code!$Q:$Q</xm:f>
          </x14:formula1>
          <xm:sqref>I2:I1048576</xm:sqref>
        </x14:dataValidation>
        <x14:dataValidation type="list" allowBlank="1" showInputMessage="1" showErrorMessage="1" xr:uid="{5E738728-D342-4F53-8C70-1FC319EB76F6}">
          <x14:formula1>
            <xm:f>Code!$N:$N</xm:f>
          </x14:formula1>
          <xm:sqref>H2:H1048576</xm:sqref>
        </x14:dataValidation>
        <x14:dataValidation type="list" allowBlank="1" showInputMessage="1" showErrorMessage="1" xr:uid="{58C1CAC1-3166-4C47-B34F-E0AD78D8C301}">
          <x14:formula1>
            <xm:f>Code!$H:$H</xm:f>
          </x14:formula1>
          <xm:sqref>C2:C1048576</xm:sqref>
        </x14:dataValidation>
        <x14:dataValidation type="list" allowBlank="1" showInputMessage="1" showErrorMessage="1" xr:uid="{7EF40BCA-12FE-460C-A5D5-CD5F3489A7CB}">
          <x14:formula1>
            <xm:f>Code!$E:$E</xm:f>
          </x14:formula1>
          <xm:sqref>B2:B1048576</xm:sqref>
        </x14:dataValidation>
        <x14:dataValidation type="list" allowBlank="1" showInputMessage="1" showErrorMessage="1" xr:uid="{6FC1B99A-9505-4C54-AFE1-3F0A9409D320}">
          <x14:formula1>
            <xm:f>Code!$Z:$Z</xm:f>
          </x14:formula1>
          <xm:sqref>Q2:Q1048576</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44B09C-53CA-4869-98A3-D9D178D32974}">
  <dimension ref="A1:Y38"/>
  <sheetViews>
    <sheetView topLeftCell="J1" workbookViewId="0">
      <selection activeCell="U2" sqref="U2:Y15"/>
    </sheetView>
  </sheetViews>
  <sheetFormatPr defaultRowHeight="14.5" x14ac:dyDescent="0.35"/>
  <cols>
    <col min="3" max="3" width="14.1796875" bestFit="1" customWidth="1"/>
    <col min="4" max="4" width="12" bestFit="1" customWidth="1"/>
    <col min="5" max="5" width="10.7265625" style="23" bestFit="1" customWidth="1"/>
    <col min="6" max="6" width="7.1796875" bestFit="1" customWidth="1"/>
    <col min="7" max="7" width="11.7265625" style="11" bestFit="1" customWidth="1"/>
    <col min="8" max="8" width="12.54296875" style="11" bestFit="1" customWidth="1"/>
    <col min="9" max="9" width="8.54296875" style="11" bestFit="1" customWidth="1"/>
    <col min="10" max="10" width="9.26953125" style="11" bestFit="1" customWidth="1"/>
    <col min="11" max="11" width="8.7265625" style="11"/>
    <col min="12" max="12" width="5.1796875" style="11" customWidth="1"/>
    <col min="13" max="13" width="23.1796875" style="15" bestFit="1" customWidth="1"/>
    <col min="14" max="14" width="29.1796875" style="15" customWidth="1"/>
    <col min="15" max="16" width="8.453125" style="15" customWidth="1"/>
    <col min="17" max="17" width="9" style="15" bestFit="1" customWidth="1"/>
    <col min="18" max="18" width="11.453125" style="15" bestFit="1" customWidth="1"/>
    <col min="19" max="19" width="20.1796875" style="17" bestFit="1" customWidth="1"/>
    <col min="20" max="20" width="24.54296875" style="17" customWidth="1"/>
    <col min="21" max="21" width="18.54296875" style="17" bestFit="1" customWidth="1"/>
    <col min="22" max="22" width="13.81640625" style="11" bestFit="1" customWidth="1"/>
    <col min="23" max="23" width="22.453125" style="11" bestFit="1" customWidth="1"/>
    <col min="24" max="24" width="18.54296875" style="17" bestFit="1" customWidth="1"/>
    <col min="25" max="25" width="19.81640625" style="11" bestFit="1" customWidth="1"/>
  </cols>
  <sheetData>
    <row r="1" spans="1:25" s="12" customFormat="1" x14ac:dyDescent="0.35">
      <c r="A1" s="13" t="s">
        <v>225</v>
      </c>
      <c r="B1" s="14" t="s">
        <v>237</v>
      </c>
      <c r="C1" s="14" t="s">
        <v>30</v>
      </c>
      <c r="D1" s="14" t="s">
        <v>260</v>
      </c>
      <c r="E1" s="30" t="s">
        <v>270</v>
      </c>
      <c r="F1" s="14" t="s">
        <v>281</v>
      </c>
      <c r="G1" s="13" t="s">
        <v>75</v>
      </c>
      <c r="H1" s="13" t="s">
        <v>303</v>
      </c>
      <c r="I1" s="13" t="s">
        <v>315</v>
      </c>
      <c r="J1" s="13" t="s">
        <v>327</v>
      </c>
      <c r="K1" s="13" t="s">
        <v>334</v>
      </c>
      <c r="L1" s="13" t="s">
        <v>340</v>
      </c>
      <c r="M1" s="13" t="s">
        <v>346</v>
      </c>
      <c r="N1" s="13" t="s">
        <v>352</v>
      </c>
      <c r="O1" s="13" t="s">
        <v>358</v>
      </c>
      <c r="P1" s="14" t="s">
        <v>364</v>
      </c>
      <c r="Q1" s="14" t="s">
        <v>370</v>
      </c>
      <c r="R1" s="14" t="s">
        <v>376</v>
      </c>
      <c r="S1" s="27" t="s">
        <v>380</v>
      </c>
      <c r="T1" s="27" t="s">
        <v>384</v>
      </c>
      <c r="U1" s="27" t="s">
        <v>388</v>
      </c>
      <c r="V1" s="14" t="s">
        <v>392</v>
      </c>
      <c r="W1" s="14" t="s">
        <v>44</v>
      </c>
      <c r="X1" s="16" t="s">
        <v>399</v>
      </c>
      <c r="Y1" s="14" t="s">
        <v>403</v>
      </c>
    </row>
    <row r="2" spans="1:25" x14ac:dyDescent="0.35">
      <c r="A2" s="11" t="str">
        <f>IF($M2="","",MAX($A$1:A1)+1)</f>
        <v/>
      </c>
      <c r="M2" s="34" t="str">
        <f t="shared" ref="M2:M15" si="0">IF(B2="Deleted","Deleted",_xlfn.TEXTJOIN("-",TRUE,G2,H2,I2,J2,IF(K2="","",TEXT(K2,"0000"))))</f>
        <v/>
      </c>
      <c r="U2" s="21" t="str" cm="1">
        <f t="array" ref="U2">IF(OR(M2="", M2="Deleted"), "", _xlfn.LET(
  _xlpm.dates,
  _xlfn._xlws.FILTER(
    [1]SubmittalLog!$H$1:$H$4000,
    [1]SubmittalLog!$E$1:$E$4000=M2,
    ""
  ),
  _xlpm.min_date, IFERROR(MIN(_xlpm.dates), ""),
  IF(_xlpm.min_date=0, "", _xlpm.min_date)
))</f>
        <v/>
      </c>
      <c r="V2" s="63" t="str" cm="1">
        <f t="array" ref="V2">IF(OR(M2="", M2="Deleted"), "", IFERROR(
  _xlfn.TEXTJOIN(", ", TRUE,
    _xlfn.MAP(
      _xlfn.UNIQUE(
        _xlfn._xlws.FILTER(
          [1]SubmittalLog!$B$1:$B$4000,
          ([1]SubmittalLog!$E$1:$E$4000=M2) *
          ([1]SubmittalLog!$B$1:$B$4000&lt;&gt;""),
          ""
        )
      ),
      _xlfn.LAMBDA(_xlpm.val, TEXT(_xlpm.val, "000000"))
    )
  ),
""))</f>
        <v/>
      </c>
      <c r="W2" s="40" t="str" cm="1">
        <f t="array" ref="W2">IF(OR(M2="", M2="Deleted"), "", _xlfn.LET(
  _xlpm.doc_col, [1]SubmittalLog!$E$1:$E$4000,
  _xlpm.date_col, [1]SubmittalLog!$H$1:$H$4000,
  _xlpm.status_col, [1]SubmittalLog!$N$1:$N$4000,
  _xlpm.latest_date, _xlfn.MAXIFS(_xlpm.date_col, _xlpm.doc_col, M2),
  IF(_xlpm.latest_date=0, "NFS",
    _xlfn.LET(
      _xlpm.res, _xlfn.XLOOKUP(M2 &amp; "|" &amp; _xlpm.latest_date, _xlpm.doc_col &amp; "|" &amp; _xlpm.date_col, _xlpm.status_col, ""),
      IF(OR(_xlpm.res="", _xlpm.res=0), "", _xlpm.res)
    )
  )
))</f>
        <v/>
      </c>
      <c r="X2" s="39" t="str">
        <f>IF(OR(M2="", M2="Deleted"), "", _xlfn.LET(
  _xlpm.doc_col, [1]SubmittalLog!$E$1:$E$4000,
  _xlpm.date_col, [1]SubmittalLog!$H$1:$H$4000,
  _xlpm.status_col, [1]SubmittalLog!$O$1:$O$4000,
  _xlpm.first_app_date, _xlfn.MINIFS(_xlpm.date_col, _xlpm.doc_col, M2, _xlpm.status_col, "APP"),
  _xlpm.first_awc_date, _xlfn.MINIFS(_xlpm.date_col, _xlpm.doc_col, M2, _xlpm.status_col, "AWC"),
  _xlpm.earliest_date, IF(
    AND(_xlpm.first_app_date=0, _xlpm.first_awc_date=0), 0,
    IF(_xlpm.first_app_date=0, _xlpm.first_awc_date,
    IF(_xlpm.first_awc_date=0, _xlpm.first_app_date,
    MIN(_xlpm.first_app_date, _xlpm.first_awc_date)))
  ),
  IF(_xlpm.earliest_date=0, "", _xlpm.earliest_date)
))</f>
        <v/>
      </c>
      <c r="Y2" s="40" t="str" cm="1">
        <f t="array" ref="Y2">IF(OR(M2="", M2="Deleted"), "", _xlfn.LET(
  _xlpm.doc_col, [1]SubmittalLog!$E$1:$E$4000,
  _xlpm.date_col, [1]SubmittalLog!$H$1:$H$4000,
  _xlpm.status_col, [1]SubmittalLog!$O$1:$O$4000,
  _xlpm.has_sub, COUNTIF(_xlpm.doc_col, M2),
  _xlpm.latest_reviewed_date, _xlfn.MAXIFS(_xlpm.date_col, _xlpm.doc_col, M2, _xlpm.status_col, "&lt;&gt;"),
  IF(_xlpm.has_sub=0, "",
    IF(_xlpm.latest_reviewed_date=0, "",
      _xlfn.LET(
        _xlpm.res, _xlfn.XLOOKUP(1, (_xlpm.doc_col=M2) * (_xlpm.date_col=_xlpm.latest_reviewed_date) * (_xlpm.status_col&lt;&gt;""), _xlpm.status_col, ""),
        IF(OR(_xlpm.res="", _xlpm.res=0), "", _xlpm.res)
      )
    )
  )
))</f>
        <v/>
      </c>
    </row>
    <row r="3" spans="1:25" x14ac:dyDescent="0.35">
      <c r="A3" s="11">
        <f>IF($M3="","",MAX($A$1:A2)+1)</f>
        <v>1</v>
      </c>
      <c r="B3" t="s">
        <v>213</v>
      </c>
      <c r="C3" t="s">
        <v>307</v>
      </c>
      <c r="G3" s="11">
        <v>131236</v>
      </c>
      <c r="H3" s="11" t="s">
        <v>59</v>
      </c>
      <c r="I3" s="11" t="s">
        <v>442</v>
      </c>
      <c r="J3" s="11" t="s">
        <v>206</v>
      </c>
      <c r="K3" s="11" t="s">
        <v>3466</v>
      </c>
      <c r="M3" s="34" t="str">
        <f t="shared" si="0"/>
        <v>131236-WIL21-SN-IM-xxxx</v>
      </c>
      <c r="P3" s="15" t="s">
        <v>3467</v>
      </c>
      <c r="R3" s="15" t="s">
        <v>3467</v>
      </c>
      <c r="S3" s="17">
        <v>46024</v>
      </c>
      <c r="U3" s="21" t="str" cm="1">
        <f t="array" ref="U3">IF(OR(M3="", M3="Deleted"), "", _xlfn.LET(
  _xlpm.dates,
  _xlfn._xlws.FILTER(
    [1]SubmittalLog!$H$1:$H$4000,
    [1]SubmittalLog!$E$1:$E$4000=M3,
    ""
  ),
  _xlpm.min_date, IFERROR(MIN(_xlpm.dates), ""),
  IF(_xlpm.min_date=0, "", _xlpm.min_date)
))</f>
        <v/>
      </c>
      <c r="V3" s="63" t="str" cm="1">
        <f t="array" ref="V3">IF(OR(M3="", M3="Deleted"), "", IFERROR(
  _xlfn.TEXTJOIN(", ", TRUE,
    _xlfn.MAP(
      _xlfn.UNIQUE(
        _xlfn._xlws.FILTER(
          [1]SubmittalLog!$B$1:$B$4000,
          ([1]SubmittalLog!$E$1:$E$4000=M3) *
          ([1]SubmittalLog!$B$1:$B$4000&lt;&gt;""),
          ""
        )
      ),
      _xlfn.LAMBDA(_xlpm.val, TEXT(_xlpm.val, "000000"))
    )
  ),
""))</f>
        <v/>
      </c>
      <c r="W3" s="40" t="str" cm="1">
        <f t="array" ref="W3">IF(OR(M3="", M3="Deleted"), "", _xlfn.LET(
  _xlpm.doc_col, [1]SubmittalLog!$E$1:$E$4000,
  _xlpm.date_col, [1]SubmittalLog!$H$1:$H$4000,
  _xlpm.status_col, [1]SubmittalLog!$N$1:$N$4000,
  _xlpm.latest_date, _xlfn.MAXIFS(_xlpm.date_col, _xlpm.doc_col, M3),
  IF(_xlpm.latest_date=0, "NFS",
    _xlfn.LET(
      _xlpm.res, _xlfn.XLOOKUP(M3 &amp; "|" &amp; _xlpm.latest_date, _xlpm.doc_col &amp; "|" &amp; _xlpm.date_col, _xlpm.status_col, ""),
      IF(OR(_xlpm.res="", _xlpm.res=0), "", _xlpm.res)
    )
  )
))</f>
        <v>NFS</v>
      </c>
      <c r="X3" s="39" t="str">
        <f>IF(OR(M3="", M3="Deleted"), "", _xlfn.LET(
  _xlpm.doc_col, [1]SubmittalLog!$E$1:$E$4000,
  _xlpm.date_col, [1]SubmittalLog!$H$1:$H$4000,
  _xlpm.status_col, [1]SubmittalLog!$O$1:$O$4000,
  _xlpm.first_app_date, _xlfn.MINIFS(_xlpm.date_col, _xlpm.doc_col, M3, _xlpm.status_col, "APP"),
  _xlpm.first_awc_date, _xlfn.MINIFS(_xlpm.date_col, _xlpm.doc_col, M3, _xlpm.status_col, "AWC"),
  _xlpm.earliest_date, IF(
    AND(_xlpm.first_app_date=0, _xlpm.first_awc_date=0), 0,
    IF(_xlpm.first_app_date=0, _xlpm.first_awc_date,
    IF(_xlpm.first_awc_date=0, _xlpm.first_app_date,
    MIN(_xlpm.first_app_date, _xlpm.first_awc_date)))
  ),
  IF(_xlpm.earliest_date=0, "", _xlpm.earliest_date)
))</f>
        <v/>
      </c>
      <c r="Y3" s="40" t="str" cm="1">
        <f t="array" ref="Y3">IF(OR(M3="", M3="Deleted"), "", _xlfn.LET(
  _xlpm.doc_col, [1]SubmittalLog!$E$1:$E$4000,
  _xlpm.date_col, [1]SubmittalLog!$H$1:$H$4000,
  _xlpm.status_col, [1]SubmittalLog!$O$1:$O$4000,
  _xlpm.has_sub, COUNTIF(_xlpm.doc_col, M3),
  _xlpm.latest_reviewed_date, _xlfn.MAXIFS(_xlpm.date_col, _xlpm.doc_col, M3, _xlpm.status_col, "&lt;&gt;"),
  IF(_xlpm.has_sub=0, "",
    IF(_xlpm.latest_reviewed_date=0, "",
      _xlfn.LET(
        _xlpm.res, _xlfn.XLOOKUP(1, (_xlpm.doc_col=M3) * (_xlpm.date_col=_xlpm.latest_reviewed_date) * (_xlpm.status_col&lt;&gt;""), _xlpm.status_col, ""),
        IF(OR(_xlpm.res="", _xlpm.res=0), "", _xlpm.res)
      )
    )
  )
))</f>
        <v/>
      </c>
    </row>
    <row r="4" spans="1:25" x14ac:dyDescent="0.35">
      <c r="A4" s="11">
        <f>IF($M4="","",MAX($A$1:A3)+1)</f>
        <v>2</v>
      </c>
      <c r="B4" t="s">
        <v>213</v>
      </c>
      <c r="C4" t="s">
        <v>307</v>
      </c>
      <c r="G4" s="11">
        <v>131236</v>
      </c>
      <c r="H4" s="11" t="s">
        <v>59</v>
      </c>
      <c r="I4" s="11" t="s">
        <v>442</v>
      </c>
      <c r="J4" s="11" t="s">
        <v>206</v>
      </c>
      <c r="K4" s="11" t="s">
        <v>3466</v>
      </c>
      <c r="M4" s="34" t="str">
        <f t="shared" si="0"/>
        <v>131236-WIL21-SN-IM-xxxx</v>
      </c>
      <c r="P4" s="15" t="s">
        <v>3467</v>
      </c>
      <c r="R4" s="15" t="s">
        <v>3467</v>
      </c>
      <c r="S4" s="17">
        <v>46025</v>
      </c>
      <c r="U4" s="21" t="str" cm="1">
        <f t="array" ref="U4">IF(OR(M4="", M4="Deleted"), "", _xlfn.LET(
  _xlpm.dates,
  _xlfn._xlws.FILTER(
    [1]SubmittalLog!$H$1:$H$4000,
    [1]SubmittalLog!$E$1:$E$4000=M4,
    ""
  ),
  _xlpm.min_date, IFERROR(MIN(_xlpm.dates), ""),
  IF(_xlpm.min_date=0, "", _xlpm.min_date)
))</f>
        <v/>
      </c>
      <c r="V4" s="63" t="str" cm="1">
        <f t="array" ref="V4">IF(OR(M4="", M4="Deleted"), "", IFERROR(
  _xlfn.TEXTJOIN(", ", TRUE,
    _xlfn.MAP(
      _xlfn.UNIQUE(
        _xlfn._xlws.FILTER(
          [1]SubmittalLog!$B$1:$B$4000,
          ([1]SubmittalLog!$E$1:$E$4000=M4) *
          ([1]SubmittalLog!$B$1:$B$4000&lt;&gt;""),
          ""
        )
      ),
      _xlfn.LAMBDA(_xlpm.val, TEXT(_xlpm.val, "000000"))
    )
  ),
""))</f>
        <v/>
      </c>
      <c r="W4" s="40" t="str" cm="1">
        <f t="array" ref="W4">IF(OR(M4="", M4="Deleted"), "", _xlfn.LET(
  _xlpm.doc_col, [1]SubmittalLog!$E$1:$E$4000,
  _xlpm.date_col, [1]SubmittalLog!$H$1:$H$4000,
  _xlpm.status_col, [1]SubmittalLog!$N$1:$N$4000,
  _xlpm.latest_date, _xlfn.MAXIFS(_xlpm.date_col, _xlpm.doc_col, M4),
  IF(_xlpm.latest_date=0, "NFS",
    _xlfn.LET(
      _xlpm.res, _xlfn.XLOOKUP(M4 &amp; "|" &amp; _xlpm.latest_date, _xlpm.doc_col &amp; "|" &amp; _xlpm.date_col, _xlpm.status_col, ""),
      IF(OR(_xlpm.res="", _xlpm.res=0), "", _xlpm.res)
    )
  )
))</f>
        <v>NFS</v>
      </c>
      <c r="X4" s="39" t="str">
        <f>IF(OR(M4="", M4="Deleted"), "", _xlfn.LET(
  _xlpm.doc_col, [1]SubmittalLog!$E$1:$E$4000,
  _xlpm.date_col, [1]SubmittalLog!$H$1:$H$4000,
  _xlpm.status_col, [1]SubmittalLog!$O$1:$O$4000,
  _xlpm.first_app_date, _xlfn.MINIFS(_xlpm.date_col, _xlpm.doc_col, M4, _xlpm.status_col, "APP"),
  _xlpm.first_awc_date, _xlfn.MINIFS(_xlpm.date_col, _xlpm.doc_col, M4, _xlpm.status_col, "AWC"),
  _xlpm.earliest_date, IF(
    AND(_xlpm.first_app_date=0, _xlpm.first_awc_date=0), 0,
    IF(_xlpm.first_app_date=0, _xlpm.first_awc_date,
    IF(_xlpm.first_awc_date=0, _xlpm.first_app_date,
    MIN(_xlpm.first_app_date, _xlpm.first_awc_date)))
  ),
  IF(_xlpm.earliest_date=0, "", _xlpm.earliest_date)
))</f>
        <v/>
      </c>
      <c r="Y4" s="40" t="str" cm="1">
        <f t="array" ref="Y4">IF(OR(M4="", M4="Deleted"), "", _xlfn.LET(
  _xlpm.doc_col, [1]SubmittalLog!$E$1:$E$4000,
  _xlpm.date_col, [1]SubmittalLog!$H$1:$H$4000,
  _xlpm.status_col, [1]SubmittalLog!$O$1:$O$4000,
  _xlpm.has_sub, COUNTIF(_xlpm.doc_col, M4),
  _xlpm.latest_reviewed_date, _xlfn.MAXIFS(_xlpm.date_col, _xlpm.doc_col, M4, _xlpm.status_col, "&lt;&gt;"),
  IF(_xlpm.has_sub=0, "",
    IF(_xlpm.latest_reviewed_date=0, "",
      _xlfn.LET(
        _xlpm.res, _xlfn.XLOOKUP(1, (_xlpm.doc_col=M4) * (_xlpm.date_col=_xlpm.latest_reviewed_date) * (_xlpm.status_col&lt;&gt;""), _xlpm.status_col, ""),
        IF(OR(_xlpm.res="", _xlpm.res=0), "", _xlpm.res)
      )
    )
  )
))</f>
        <v/>
      </c>
    </row>
    <row r="5" spans="1:25" x14ac:dyDescent="0.35">
      <c r="A5" s="11">
        <f>IF($M5="","",MAX($A$1:A4)+1)</f>
        <v>3</v>
      </c>
      <c r="B5" t="s">
        <v>213</v>
      </c>
      <c r="C5" t="s">
        <v>307</v>
      </c>
      <c r="G5" s="11">
        <v>131236</v>
      </c>
      <c r="H5" s="11" t="s">
        <v>59</v>
      </c>
      <c r="I5" s="11" t="s">
        <v>442</v>
      </c>
      <c r="J5" s="11" t="s">
        <v>206</v>
      </c>
      <c r="K5" s="11" t="s">
        <v>3466</v>
      </c>
      <c r="M5" s="34" t="str">
        <f t="shared" si="0"/>
        <v>131236-WIL21-SN-IM-xxxx</v>
      </c>
      <c r="P5" s="15" t="s">
        <v>3467</v>
      </c>
      <c r="R5" s="15" t="s">
        <v>3467</v>
      </c>
      <c r="S5" s="17">
        <v>46026</v>
      </c>
      <c r="U5" s="21" t="str" cm="1">
        <f t="array" ref="U5">IF(OR(M5="", M5="Deleted"), "", _xlfn.LET(
  _xlpm.dates,
  _xlfn._xlws.FILTER(
    [1]SubmittalLog!$H$1:$H$4000,
    [1]SubmittalLog!$E$1:$E$4000=M5,
    ""
  ),
  _xlpm.min_date, IFERROR(MIN(_xlpm.dates), ""),
  IF(_xlpm.min_date=0, "", _xlpm.min_date)
))</f>
        <v/>
      </c>
      <c r="V5" s="63" t="str" cm="1">
        <f t="array" ref="V5">IF(OR(M5="", M5="Deleted"), "", IFERROR(
  _xlfn.TEXTJOIN(", ", TRUE,
    _xlfn.MAP(
      _xlfn.UNIQUE(
        _xlfn._xlws.FILTER(
          [1]SubmittalLog!$B$1:$B$4000,
          ([1]SubmittalLog!$E$1:$E$4000=M5) *
          ([1]SubmittalLog!$B$1:$B$4000&lt;&gt;""),
          ""
        )
      ),
      _xlfn.LAMBDA(_xlpm.val, TEXT(_xlpm.val, "000000"))
    )
  ),
""))</f>
        <v/>
      </c>
      <c r="W5" s="40" t="str" cm="1">
        <f t="array" ref="W5">IF(OR(M5="", M5="Deleted"), "", _xlfn.LET(
  _xlpm.doc_col, [1]SubmittalLog!$E$1:$E$4000,
  _xlpm.date_col, [1]SubmittalLog!$H$1:$H$4000,
  _xlpm.status_col, [1]SubmittalLog!$N$1:$N$4000,
  _xlpm.latest_date, _xlfn.MAXIFS(_xlpm.date_col, _xlpm.doc_col, M5),
  IF(_xlpm.latest_date=0, "NFS",
    _xlfn.LET(
      _xlpm.res, _xlfn.XLOOKUP(M5 &amp; "|" &amp; _xlpm.latest_date, _xlpm.doc_col &amp; "|" &amp; _xlpm.date_col, _xlpm.status_col, ""),
      IF(OR(_xlpm.res="", _xlpm.res=0), "", _xlpm.res)
    )
  )
))</f>
        <v>NFS</v>
      </c>
      <c r="X5" s="39" t="str">
        <f>IF(OR(M5="", M5="Deleted"), "", _xlfn.LET(
  _xlpm.doc_col, [1]SubmittalLog!$E$1:$E$4000,
  _xlpm.date_col, [1]SubmittalLog!$H$1:$H$4000,
  _xlpm.status_col, [1]SubmittalLog!$O$1:$O$4000,
  _xlpm.first_app_date, _xlfn.MINIFS(_xlpm.date_col, _xlpm.doc_col, M5, _xlpm.status_col, "APP"),
  _xlpm.first_awc_date, _xlfn.MINIFS(_xlpm.date_col, _xlpm.doc_col, M5, _xlpm.status_col, "AWC"),
  _xlpm.earliest_date, IF(
    AND(_xlpm.first_app_date=0, _xlpm.first_awc_date=0), 0,
    IF(_xlpm.first_app_date=0, _xlpm.first_awc_date,
    IF(_xlpm.first_awc_date=0, _xlpm.first_app_date,
    MIN(_xlpm.first_app_date, _xlpm.first_awc_date)))
  ),
  IF(_xlpm.earliest_date=0, "", _xlpm.earliest_date)
))</f>
        <v/>
      </c>
      <c r="Y5" s="40" t="str" cm="1">
        <f t="array" ref="Y5">IF(OR(M5="", M5="Deleted"), "", _xlfn.LET(
  _xlpm.doc_col, [1]SubmittalLog!$E$1:$E$4000,
  _xlpm.date_col, [1]SubmittalLog!$H$1:$H$4000,
  _xlpm.status_col, [1]SubmittalLog!$O$1:$O$4000,
  _xlpm.has_sub, COUNTIF(_xlpm.doc_col, M5),
  _xlpm.latest_reviewed_date, _xlfn.MAXIFS(_xlpm.date_col, _xlpm.doc_col, M5, _xlpm.status_col, "&lt;&gt;"),
  IF(_xlpm.has_sub=0, "",
    IF(_xlpm.latest_reviewed_date=0, "",
      _xlfn.LET(
        _xlpm.res, _xlfn.XLOOKUP(1, (_xlpm.doc_col=M5) * (_xlpm.date_col=_xlpm.latest_reviewed_date) * (_xlpm.status_col&lt;&gt;""), _xlpm.status_col, ""),
        IF(OR(_xlpm.res="", _xlpm.res=0), "", _xlpm.res)
      )
    )
  )
))</f>
        <v/>
      </c>
    </row>
    <row r="6" spans="1:25" x14ac:dyDescent="0.35">
      <c r="A6" s="11">
        <f>IF($M6="","",MAX($A$1:A5)+1)</f>
        <v>4</v>
      </c>
      <c r="B6" t="s">
        <v>213</v>
      </c>
      <c r="C6" t="s">
        <v>307</v>
      </c>
      <c r="G6" s="11">
        <v>131236</v>
      </c>
      <c r="H6" s="11" t="s">
        <v>59</v>
      </c>
      <c r="I6" s="11" t="s">
        <v>442</v>
      </c>
      <c r="J6" s="11" t="s">
        <v>206</v>
      </c>
      <c r="K6" s="11" t="s">
        <v>3466</v>
      </c>
      <c r="M6" s="34" t="str">
        <f t="shared" si="0"/>
        <v>131236-WIL21-SN-IM-xxxx</v>
      </c>
      <c r="P6" s="15" t="s">
        <v>3467</v>
      </c>
      <c r="R6" s="15" t="s">
        <v>3467</v>
      </c>
      <c r="S6" s="17">
        <v>46027</v>
      </c>
      <c r="U6" s="21" t="str" cm="1">
        <f t="array" ref="U6">IF(OR(M6="", M6="Deleted"), "", _xlfn.LET(
  _xlpm.dates,
  _xlfn._xlws.FILTER(
    [1]SubmittalLog!$H$1:$H$4000,
    [1]SubmittalLog!$E$1:$E$4000=M6,
    ""
  ),
  _xlpm.min_date, IFERROR(MIN(_xlpm.dates), ""),
  IF(_xlpm.min_date=0, "", _xlpm.min_date)
))</f>
        <v/>
      </c>
      <c r="V6" s="63" t="str" cm="1">
        <f t="array" ref="V6">IF(OR(M6="", M6="Deleted"), "", IFERROR(
  _xlfn.TEXTJOIN(", ", TRUE,
    _xlfn.MAP(
      _xlfn.UNIQUE(
        _xlfn._xlws.FILTER(
          [1]SubmittalLog!$B$1:$B$4000,
          ([1]SubmittalLog!$E$1:$E$4000=M6) *
          ([1]SubmittalLog!$B$1:$B$4000&lt;&gt;""),
          ""
        )
      ),
      _xlfn.LAMBDA(_xlpm.val, TEXT(_xlpm.val, "000000"))
    )
  ),
""))</f>
        <v/>
      </c>
      <c r="W6" s="40" t="str" cm="1">
        <f t="array" ref="W6">IF(OR(M6="", M6="Deleted"), "", _xlfn.LET(
  _xlpm.doc_col, [1]SubmittalLog!$E$1:$E$4000,
  _xlpm.date_col, [1]SubmittalLog!$H$1:$H$4000,
  _xlpm.status_col, [1]SubmittalLog!$N$1:$N$4000,
  _xlpm.latest_date, _xlfn.MAXIFS(_xlpm.date_col, _xlpm.doc_col, M6),
  IF(_xlpm.latest_date=0, "NFS",
    _xlfn.LET(
      _xlpm.res, _xlfn.XLOOKUP(M6 &amp; "|" &amp; _xlpm.latest_date, _xlpm.doc_col &amp; "|" &amp; _xlpm.date_col, _xlpm.status_col, ""),
      IF(OR(_xlpm.res="", _xlpm.res=0), "", _xlpm.res)
    )
  )
))</f>
        <v>NFS</v>
      </c>
      <c r="X6" s="39" t="str">
        <f>IF(OR(M6="", M6="Deleted"), "", _xlfn.LET(
  _xlpm.doc_col, [1]SubmittalLog!$E$1:$E$4000,
  _xlpm.date_col, [1]SubmittalLog!$H$1:$H$4000,
  _xlpm.status_col, [1]SubmittalLog!$O$1:$O$4000,
  _xlpm.first_app_date, _xlfn.MINIFS(_xlpm.date_col, _xlpm.doc_col, M6, _xlpm.status_col, "APP"),
  _xlpm.first_awc_date, _xlfn.MINIFS(_xlpm.date_col, _xlpm.doc_col, M6, _xlpm.status_col, "AWC"),
  _xlpm.earliest_date, IF(
    AND(_xlpm.first_app_date=0, _xlpm.first_awc_date=0), 0,
    IF(_xlpm.first_app_date=0, _xlpm.first_awc_date,
    IF(_xlpm.first_awc_date=0, _xlpm.first_app_date,
    MIN(_xlpm.first_app_date, _xlpm.first_awc_date)))
  ),
  IF(_xlpm.earliest_date=0, "", _xlpm.earliest_date)
))</f>
        <v/>
      </c>
      <c r="Y6" s="40" t="str" cm="1">
        <f t="array" ref="Y6">IF(OR(M6="", M6="Deleted"), "", _xlfn.LET(
  _xlpm.doc_col, [1]SubmittalLog!$E$1:$E$4000,
  _xlpm.date_col, [1]SubmittalLog!$H$1:$H$4000,
  _xlpm.status_col, [1]SubmittalLog!$O$1:$O$4000,
  _xlpm.has_sub, COUNTIF(_xlpm.doc_col, M6),
  _xlpm.latest_reviewed_date, _xlfn.MAXIFS(_xlpm.date_col, _xlpm.doc_col, M6, _xlpm.status_col, "&lt;&gt;"),
  IF(_xlpm.has_sub=0, "",
    IF(_xlpm.latest_reviewed_date=0, "",
      _xlfn.LET(
        _xlpm.res, _xlfn.XLOOKUP(1, (_xlpm.doc_col=M6) * (_xlpm.date_col=_xlpm.latest_reviewed_date) * (_xlpm.status_col&lt;&gt;""), _xlpm.status_col, ""),
        IF(OR(_xlpm.res="", _xlpm.res=0), "", _xlpm.res)
      )
    )
  )
))</f>
        <v/>
      </c>
    </row>
    <row r="7" spans="1:25" x14ac:dyDescent="0.35">
      <c r="A7" s="11">
        <f>IF($M7="","",MAX($A$1:A6)+1)</f>
        <v>5</v>
      </c>
      <c r="B7" t="s">
        <v>213</v>
      </c>
      <c r="C7" t="s">
        <v>307</v>
      </c>
      <c r="G7" s="11">
        <v>131236</v>
      </c>
      <c r="H7" s="11" t="s">
        <v>59</v>
      </c>
      <c r="I7" s="11" t="s">
        <v>442</v>
      </c>
      <c r="J7" s="11" t="s">
        <v>206</v>
      </c>
      <c r="K7" s="11" t="s">
        <v>3466</v>
      </c>
      <c r="M7" s="34" t="str">
        <f t="shared" si="0"/>
        <v>131236-WIL21-SN-IM-xxxx</v>
      </c>
      <c r="P7" s="15" t="s">
        <v>3467</v>
      </c>
      <c r="R7" s="15" t="s">
        <v>3467</v>
      </c>
      <c r="S7" s="17">
        <v>46028</v>
      </c>
      <c r="U7" s="21" t="str" cm="1">
        <f t="array" ref="U7">IF(OR(M7="", M7="Deleted"), "", _xlfn.LET(
  _xlpm.dates,
  _xlfn._xlws.FILTER(
    [1]SubmittalLog!$H$1:$H$4000,
    [1]SubmittalLog!$E$1:$E$4000=M7,
    ""
  ),
  _xlpm.min_date, IFERROR(MIN(_xlpm.dates), ""),
  IF(_xlpm.min_date=0, "", _xlpm.min_date)
))</f>
        <v/>
      </c>
      <c r="V7" s="63" t="str" cm="1">
        <f t="array" ref="V7">IF(OR(M7="", M7="Deleted"), "", IFERROR(
  _xlfn.TEXTJOIN(", ", TRUE,
    _xlfn.MAP(
      _xlfn.UNIQUE(
        _xlfn._xlws.FILTER(
          [1]SubmittalLog!$B$1:$B$4000,
          ([1]SubmittalLog!$E$1:$E$4000=M7) *
          ([1]SubmittalLog!$B$1:$B$4000&lt;&gt;""),
          ""
        )
      ),
      _xlfn.LAMBDA(_xlpm.val, TEXT(_xlpm.val, "000000"))
    )
  ),
""))</f>
        <v/>
      </c>
      <c r="W7" s="40" t="str" cm="1">
        <f t="array" ref="W7">IF(OR(M7="", M7="Deleted"), "", _xlfn.LET(
  _xlpm.doc_col, [1]SubmittalLog!$E$1:$E$4000,
  _xlpm.date_col, [1]SubmittalLog!$H$1:$H$4000,
  _xlpm.status_col, [1]SubmittalLog!$N$1:$N$4000,
  _xlpm.latest_date, _xlfn.MAXIFS(_xlpm.date_col, _xlpm.doc_col, M7),
  IF(_xlpm.latest_date=0, "NFS",
    _xlfn.LET(
      _xlpm.res, _xlfn.XLOOKUP(M7 &amp; "|" &amp; _xlpm.latest_date, _xlpm.doc_col &amp; "|" &amp; _xlpm.date_col, _xlpm.status_col, ""),
      IF(OR(_xlpm.res="", _xlpm.res=0), "", _xlpm.res)
    )
  )
))</f>
        <v>NFS</v>
      </c>
      <c r="X7" s="39" t="str">
        <f>IF(OR(M7="", M7="Deleted"), "", _xlfn.LET(
  _xlpm.doc_col, [1]SubmittalLog!$E$1:$E$4000,
  _xlpm.date_col, [1]SubmittalLog!$H$1:$H$4000,
  _xlpm.status_col, [1]SubmittalLog!$O$1:$O$4000,
  _xlpm.first_app_date, _xlfn.MINIFS(_xlpm.date_col, _xlpm.doc_col, M7, _xlpm.status_col, "APP"),
  _xlpm.first_awc_date, _xlfn.MINIFS(_xlpm.date_col, _xlpm.doc_col, M7, _xlpm.status_col, "AWC"),
  _xlpm.earliest_date, IF(
    AND(_xlpm.first_app_date=0, _xlpm.first_awc_date=0), 0,
    IF(_xlpm.first_app_date=0, _xlpm.first_awc_date,
    IF(_xlpm.first_awc_date=0, _xlpm.first_app_date,
    MIN(_xlpm.first_app_date, _xlpm.first_awc_date)))
  ),
  IF(_xlpm.earliest_date=0, "", _xlpm.earliest_date)
))</f>
        <v/>
      </c>
      <c r="Y7" s="40" t="str" cm="1">
        <f t="array" ref="Y7">IF(OR(M7="", M7="Deleted"), "", _xlfn.LET(
  _xlpm.doc_col, [1]SubmittalLog!$E$1:$E$4000,
  _xlpm.date_col, [1]SubmittalLog!$H$1:$H$4000,
  _xlpm.status_col, [1]SubmittalLog!$O$1:$O$4000,
  _xlpm.has_sub, COUNTIF(_xlpm.doc_col, M7),
  _xlpm.latest_reviewed_date, _xlfn.MAXIFS(_xlpm.date_col, _xlpm.doc_col, M7, _xlpm.status_col, "&lt;&gt;"),
  IF(_xlpm.has_sub=0, "",
    IF(_xlpm.latest_reviewed_date=0, "",
      _xlfn.LET(
        _xlpm.res, _xlfn.XLOOKUP(1, (_xlpm.doc_col=M7) * (_xlpm.date_col=_xlpm.latest_reviewed_date) * (_xlpm.status_col&lt;&gt;""), _xlpm.status_col, ""),
        IF(OR(_xlpm.res="", _xlpm.res=0), "", _xlpm.res)
      )
    )
  )
))</f>
        <v/>
      </c>
    </row>
    <row r="8" spans="1:25" x14ac:dyDescent="0.35">
      <c r="A8" s="11">
        <f>IF($M8="","",MAX($A$1:A7)+1)</f>
        <v>6</v>
      </c>
      <c r="B8" t="s">
        <v>213</v>
      </c>
      <c r="C8" t="s">
        <v>307</v>
      </c>
      <c r="G8" s="11">
        <v>131236</v>
      </c>
      <c r="H8" s="11" t="s">
        <v>59</v>
      </c>
      <c r="I8" s="11" t="s">
        <v>442</v>
      </c>
      <c r="J8" s="11" t="s">
        <v>206</v>
      </c>
      <c r="K8" s="11" t="s">
        <v>3466</v>
      </c>
      <c r="M8" s="34" t="str">
        <f t="shared" si="0"/>
        <v>131236-WIL21-SN-IM-xxxx</v>
      </c>
      <c r="P8" s="15" t="s">
        <v>3467</v>
      </c>
      <c r="R8" s="15" t="s">
        <v>3467</v>
      </c>
      <c r="S8" s="17">
        <v>46029</v>
      </c>
      <c r="U8" s="21" t="str" cm="1">
        <f t="array" ref="U8">IF(OR(M8="", M8="Deleted"), "", _xlfn.LET(
  _xlpm.dates,
  _xlfn._xlws.FILTER(
    [1]SubmittalLog!$H$1:$H$4000,
    [1]SubmittalLog!$E$1:$E$4000=M8,
    ""
  ),
  _xlpm.min_date, IFERROR(MIN(_xlpm.dates), ""),
  IF(_xlpm.min_date=0, "", _xlpm.min_date)
))</f>
        <v/>
      </c>
      <c r="V8" s="63" t="str" cm="1">
        <f t="array" ref="V8">IF(OR(M8="", M8="Deleted"), "", IFERROR(
  _xlfn.TEXTJOIN(", ", TRUE,
    _xlfn.MAP(
      _xlfn.UNIQUE(
        _xlfn._xlws.FILTER(
          [1]SubmittalLog!$B$1:$B$4000,
          ([1]SubmittalLog!$E$1:$E$4000=M8) *
          ([1]SubmittalLog!$B$1:$B$4000&lt;&gt;""),
          ""
        )
      ),
      _xlfn.LAMBDA(_xlpm.val, TEXT(_xlpm.val, "000000"))
    )
  ),
""))</f>
        <v/>
      </c>
      <c r="W8" s="40" t="str" cm="1">
        <f t="array" ref="W8">IF(OR(M8="", M8="Deleted"), "", _xlfn.LET(
  _xlpm.doc_col, [1]SubmittalLog!$E$1:$E$4000,
  _xlpm.date_col, [1]SubmittalLog!$H$1:$H$4000,
  _xlpm.status_col, [1]SubmittalLog!$N$1:$N$4000,
  _xlpm.latest_date, _xlfn.MAXIFS(_xlpm.date_col, _xlpm.doc_col, M8),
  IF(_xlpm.latest_date=0, "NFS",
    _xlfn.LET(
      _xlpm.res, _xlfn.XLOOKUP(M8 &amp; "|" &amp; _xlpm.latest_date, _xlpm.doc_col &amp; "|" &amp; _xlpm.date_col, _xlpm.status_col, ""),
      IF(OR(_xlpm.res="", _xlpm.res=0), "", _xlpm.res)
    )
  )
))</f>
        <v>NFS</v>
      </c>
      <c r="X8" s="39" t="str">
        <f>IF(OR(M8="", M8="Deleted"), "", _xlfn.LET(
  _xlpm.doc_col, [1]SubmittalLog!$E$1:$E$4000,
  _xlpm.date_col, [1]SubmittalLog!$H$1:$H$4000,
  _xlpm.status_col, [1]SubmittalLog!$O$1:$O$4000,
  _xlpm.first_app_date, _xlfn.MINIFS(_xlpm.date_col, _xlpm.doc_col, M8, _xlpm.status_col, "APP"),
  _xlpm.first_awc_date, _xlfn.MINIFS(_xlpm.date_col, _xlpm.doc_col, M8, _xlpm.status_col, "AWC"),
  _xlpm.earliest_date, IF(
    AND(_xlpm.first_app_date=0, _xlpm.first_awc_date=0), 0,
    IF(_xlpm.first_app_date=0, _xlpm.first_awc_date,
    IF(_xlpm.first_awc_date=0, _xlpm.first_app_date,
    MIN(_xlpm.first_app_date, _xlpm.first_awc_date)))
  ),
  IF(_xlpm.earliest_date=0, "", _xlpm.earliest_date)
))</f>
        <v/>
      </c>
      <c r="Y8" s="40" t="str" cm="1">
        <f t="array" ref="Y8">IF(OR(M8="", M8="Deleted"), "", _xlfn.LET(
  _xlpm.doc_col, [1]SubmittalLog!$E$1:$E$4000,
  _xlpm.date_col, [1]SubmittalLog!$H$1:$H$4000,
  _xlpm.status_col, [1]SubmittalLog!$O$1:$O$4000,
  _xlpm.has_sub, COUNTIF(_xlpm.doc_col, M8),
  _xlpm.latest_reviewed_date, _xlfn.MAXIFS(_xlpm.date_col, _xlpm.doc_col, M8, _xlpm.status_col, "&lt;&gt;"),
  IF(_xlpm.has_sub=0, "",
    IF(_xlpm.latest_reviewed_date=0, "",
      _xlfn.LET(
        _xlpm.res, _xlfn.XLOOKUP(1, (_xlpm.doc_col=M8) * (_xlpm.date_col=_xlpm.latest_reviewed_date) * (_xlpm.status_col&lt;&gt;""), _xlpm.status_col, ""),
        IF(OR(_xlpm.res="", _xlpm.res=0), "", _xlpm.res)
      )
    )
  )
))</f>
        <v/>
      </c>
    </row>
    <row r="9" spans="1:25" x14ac:dyDescent="0.35">
      <c r="A9" s="11" t="str">
        <f>IF($M9="","",MAX($A$1:A8)+1)</f>
        <v/>
      </c>
      <c r="M9" s="34" t="str">
        <f t="shared" si="0"/>
        <v/>
      </c>
      <c r="U9" s="21" t="str" cm="1">
        <f t="array" ref="U9">IF(OR(M9="", M9="Deleted"), "", _xlfn.LET(
  _xlpm.dates,
  _xlfn._xlws.FILTER(
    [1]SubmittalLog!$H$1:$H$4000,
    [1]SubmittalLog!$E$1:$E$4000=M9,
    ""
  ),
  _xlpm.min_date, IFERROR(MIN(_xlpm.dates), ""),
  IF(_xlpm.min_date=0, "", _xlpm.min_date)
))</f>
        <v/>
      </c>
      <c r="V9" s="63" t="str" cm="1">
        <f t="array" ref="V9">IF(OR(M9="", M9="Deleted"), "", IFERROR(
  _xlfn.TEXTJOIN(", ", TRUE,
    _xlfn.MAP(
      _xlfn.UNIQUE(
        _xlfn._xlws.FILTER(
          [1]SubmittalLog!$B$1:$B$4000,
          ([1]SubmittalLog!$E$1:$E$4000=M9) *
          ([1]SubmittalLog!$B$1:$B$4000&lt;&gt;""),
          ""
        )
      ),
      _xlfn.LAMBDA(_xlpm.val, TEXT(_xlpm.val, "000000"))
    )
  ),
""))</f>
        <v/>
      </c>
      <c r="W9" s="40" t="str" cm="1">
        <f t="array" ref="W9">IF(OR(M9="", M9="Deleted"), "", _xlfn.LET(
  _xlpm.doc_col, [1]SubmittalLog!$E$1:$E$4000,
  _xlpm.date_col, [1]SubmittalLog!$H$1:$H$4000,
  _xlpm.status_col, [1]SubmittalLog!$N$1:$N$4000,
  _xlpm.latest_date, _xlfn.MAXIFS(_xlpm.date_col, _xlpm.doc_col, M9),
  IF(_xlpm.latest_date=0, "NFS",
    _xlfn.LET(
      _xlpm.res, _xlfn.XLOOKUP(M9 &amp; "|" &amp; _xlpm.latest_date, _xlpm.doc_col &amp; "|" &amp; _xlpm.date_col, _xlpm.status_col, ""),
      IF(OR(_xlpm.res="", _xlpm.res=0), "", _xlpm.res)
    )
  )
))</f>
        <v/>
      </c>
      <c r="X9" s="39" t="str">
        <f>IF(OR(M9="", M9="Deleted"), "", _xlfn.LET(
  _xlpm.doc_col, [1]SubmittalLog!$E$1:$E$4000,
  _xlpm.date_col, [1]SubmittalLog!$H$1:$H$4000,
  _xlpm.status_col, [1]SubmittalLog!$O$1:$O$4000,
  _xlpm.first_app_date, _xlfn.MINIFS(_xlpm.date_col, _xlpm.doc_col, M9, _xlpm.status_col, "APP"),
  _xlpm.first_awc_date, _xlfn.MINIFS(_xlpm.date_col, _xlpm.doc_col, M9, _xlpm.status_col, "AWC"),
  _xlpm.earliest_date, IF(
    AND(_xlpm.first_app_date=0, _xlpm.first_awc_date=0), 0,
    IF(_xlpm.first_app_date=0, _xlpm.first_awc_date,
    IF(_xlpm.first_awc_date=0, _xlpm.first_app_date,
    MIN(_xlpm.first_app_date, _xlpm.first_awc_date)))
  ),
  IF(_xlpm.earliest_date=0, "", _xlpm.earliest_date)
))</f>
        <v/>
      </c>
      <c r="Y9" s="40" t="str" cm="1">
        <f t="array" ref="Y9">IF(OR(M9="", M9="Deleted"), "", _xlfn.LET(
  _xlpm.doc_col, [1]SubmittalLog!$E$1:$E$4000,
  _xlpm.date_col, [1]SubmittalLog!$H$1:$H$4000,
  _xlpm.status_col, [1]SubmittalLog!$O$1:$O$4000,
  _xlpm.has_sub, COUNTIF(_xlpm.doc_col, M9),
  _xlpm.latest_reviewed_date, _xlfn.MAXIFS(_xlpm.date_col, _xlpm.doc_col, M9, _xlpm.status_col, "&lt;&gt;"),
  IF(_xlpm.has_sub=0, "",
    IF(_xlpm.latest_reviewed_date=0, "",
      _xlfn.LET(
        _xlpm.res, _xlfn.XLOOKUP(1, (_xlpm.doc_col=M9) * (_xlpm.date_col=_xlpm.latest_reviewed_date) * (_xlpm.status_col&lt;&gt;""), _xlpm.status_col, ""),
        IF(OR(_xlpm.res="", _xlpm.res=0), "", _xlpm.res)
      )
    )
  )
))</f>
        <v/>
      </c>
    </row>
    <row r="10" spans="1:25" x14ac:dyDescent="0.35">
      <c r="A10" s="11">
        <f>IF($M10="","",MAX($A$1:A9)+1)</f>
        <v>7</v>
      </c>
      <c r="B10" t="s">
        <v>213</v>
      </c>
      <c r="C10" t="s">
        <v>307</v>
      </c>
      <c r="G10" s="11">
        <v>131236</v>
      </c>
      <c r="H10" s="11" t="s">
        <v>59</v>
      </c>
      <c r="I10" s="11" t="s">
        <v>442</v>
      </c>
      <c r="J10" s="11" t="s">
        <v>206</v>
      </c>
      <c r="K10" s="11" t="s">
        <v>3466</v>
      </c>
      <c r="M10" s="34" t="str">
        <f t="shared" si="0"/>
        <v>131236-WIL21-SN-IM-xxxx</v>
      </c>
      <c r="P10" s="15" t="s">
        <v>3467</v>
      </c>
      <c r="R10" s="15" t="s">
        <v>3467</v>
      </c>
      <c r="S10" s="17">
        <v>46031</v>
      </c>
      <c r="U10" s="21" t="str" cm="1">
        <f t="array" ref="U10">IF(OR(M10="", M10="Deleted"), "", _xlfn.LET(
  _xlpm.dates,
  _xlfn._xlws.FILTER(
    [1]SubmittalLog!$H$1:$H$4000,
    [1]SubmittalLog!$E$1:$E$4000=M10,
    ""
  ),
  _xlpm.min_date, IFERROR(MIN(_xlpm.dates), ""),
  IF(_xlpm.min_date=0, "", _xlpm.min_date)
))</f>
        <v/>
      </c>
      <c r="V10" s="63" t="str" cm="1">
        <f t="array" ref="V10">IF(OR(M10="", M10="Deleted"), "", IFERROR(
  _xlfn.TEXTJOIN(", ", TRUE,
    _xlfn.MAP(
      _xlfn.UNIQUE(
        _xlfn._xlws.FILTER(
          [1]SubmittalLog!$B$1:$B$4000,
          ([1]SubmittalLog!$E$1:$E$4000=M10) *
          ([1]SubmittalLog!$B$1:$B$4000&lt;&gt;""),
          ""
        )
      ),
      _xlfn.LAMBDA(_xlpm.val, TEXT(_xlpm.val, "000000"))
    )
  ),
""))</f>
        <v/>
      </c>
      <c r="W10" s="40" t="str" cm="1">
        <f t="array" ref="W10">IF(OR(M10="", M10="Deleted"), "", _xlfn.LET(
  _xlpm.doc_col, [1]SubmittalLog!$E$1:$E$4000,
  _xlpm.date_col, [1]SubmittalLog!$H$1:$H$4000,
  _xlpm.status_col, [1]SubmittalLog!$N$1:$N$4000,
  _xlpm.latest_date, _xlfn.MAXIFS(_xlpm.date_col, _xlpm.doc_col, M10),
  IF(_xlpm.latest_date=0, "NFS",
    _xlfn.LET(
      _xlpm.res, _xlfn.XLOOKUP(M10 &amp; "|" &amp; _xlpm.latest_date, _xlpm.doc_col &amp; "|" &amp; _xlpm.date_col, _xlpm.status_col, ""),
      IF(OR(_xlpm.res="", _xlpm.res=0), "", _xlpm.res)
    )
  )
))</f>
        <v>NFS</v>
      </c>
      <c r="X10" s="39" t="str">
        <f>IF(OR(M10="", M10="Deleted"), "", _xlfn.LET(
  _xlpm.doc_col, [1]SubmittalLog!$E$1:$E$4000,
  _xlpm.date_col, [1]SubmittalLog!$H$1:$H$4000,
  _xlpm.status_col, [1]SubmittalLog!$O$1:$O$4000,
  _xlpm.first_app_date, _xlfn.MINIFS(_xlpm.date_col, _xlpm.doc_col, M10, _xlpm.status_col, "APP"),
  _xlpm.first_awc_date, _xlfn.MINIFS(_xlpm.date_col, _xlpm.doc_col, M10, _xlpm.status_col, "AWC"),
  _xlpm.earliest_date, IF(
    AND(_xlpm.first_app_date=0, _xlpm.first_awc_date=0), 0,
    IF(_xlpm.first_app_date=0, _xlpm.first_awc_date,
    IF(_xlpm.first_awc_date=0, _xlpm.first_app_date,
    MIN(_xlpm.first_app_date, _xlpm.first_awc_date)))
  ),
  IF(_xlpm.earliest_date=0, "", _xlpm.earliest_date)
))</f>
        <v/>
      </c>
      <c r="Y10" s="40" t="str" cm="1">
        <f t="array" ref="Y10">IF(OR(M10="", M10="Deleted"), "", _xlfn.LET(
  _xlpm.doc_col, [1]SubmittalLog!$E$1:$E$4000,
  _xlpm.date_col, [1]SubmittalLog!$H$1:$H$4000,
  _xlpm.status_col, [1]SubmittalLog!$O$1:$O$4000,
  _xlpm.has_sub, COUNTIF(_xlpm.doc_col, M10),
  _xlpm.latest_reviewed_date, _xlfn.MAXIFS(_xlpm.date_col, _xlpm.doc_col, M10, _xlpm.status_col, "&lt;&gt;"),
  IF(_xlpm.has_sub=0, "",
    IF(_xlpm.latest_reviewed_date=0, "",
      _xlfn.LET(
        _xlpm.res, _xlfn.XLOOKUP(1, (_xlpm.doc_col=M10) * (_xlpm.date_col=_xlpm.latest_reviewed_date) * (_xlpm.status_col&lt;&gt;""), _xlpm.status_col, ""),
        IF(OR(_xlpm.res="", _xlpm.res=0), "", _xlpm.res)
      )
    )
  )
))</f>
        <v/>
      </c>
    </row>
    <row r="11" spans="1:25" x14ac:dyDescent="0.35">
      <c r="A11" s="11">
        <f>IF($M11="","",MAX($A$1:A10)+1)</f>
        <v>8</v>
      </c>
      <c r="B11" t="s">
        <v>213</v>
      </c>
      <c r="C11" t="s">
        <v>307</v>
      </c>
      <c r="G11" s="11">
        <v>131236</v>
      </c>
      <c r="H11" s="11" t="s">
        <v>59</v>
      </c>
      <c r="I11" s="11" t="s">
        <v>442</v>
      </c>
      <c r="J11" s="11" t="s">
        <v>206</v>
      </c>
      <c r="K11" s="11" t="s">
        <v>3466</v>
      </c>
      <c r="M11" s="34" t="str">
        <f t="shared" si="0"/>
        <v>131236-WIL21-SN-IM-xxxx</v>
      </c>
      <c r="P11" s="15" t="s">
        <v>3467</v>
      </c>
      <c r="R11" s="15" t="s">
        <v>3467</v>
      </c>
      <c r="S11" s="17">
        <v>46032</v>
      </c>
      <c r="U11" s="21" t="str" cm="1">
        <f t="array" ref="U11">IF(OR(M11="", M11="Deleted"), "", _xlfn.LET(
  _xlpm.dates,
  _xlfn._xlws.FILTER(
    [1]SubmittalLog!$H$1:$H$4000,
    [1]SubmittalLog!$E$1:$E$4000=M11,
    ""
  ),
  _xlpm.min_date, IFERROR(MIN(_xlpm.dates), ""),
  IF(_xlpm.min_date=0, "", _xlpm.min_date)
))</f>
        <v/>
      </c>
      <c r="V11" s="63" t="str" cm="1">
        <f t="array" ref="V11">IF(OR(M11="", M11="Deleted"), "", IFERROR(
  _xlfn.TEXTJOIN(", ", TRUE,
    _xlfn.MAP(
      _xlfn.UNIQUE(
        _xlfn._xlws.FILTER(
          [1]SubmittalLog!$B$1:$B$4000,
          ([1]SubmittalLog!$E$1:$E$4000=M11) *
          ([1]SubmittalLog!$B$1:$B$4000&lt;&gt;""),
          ""
        )
      ),
      _xlfn.LAMBDA(_xlpm.val, TEXT(_xlpm.val, "000000"))
    )
  ),
""))</f>
        <v/>
      </c>
      <c r="W11" s="40" t="str" cm="1">
        <f t="array" ref="W11">IF(OR(M11="", M11="Deleted"), "", _xlfn.LET(
  _xlpm.doc_col, [1]SubmittalLog!$E$1:$E$4000,
  _xlpm.date_col, [1]SubmittalLog!$H$1:$H$4000,
  _xlpm.status_col, [1]SubmittalLog!$N$1:$N$4000,
  _xlpm.latest_date, _xlfn.MAXIFS(_xlpm.date_col, _xlpm.doc_col, M11),
  IF(_xlpm.latest_date=0, "NFS",
    _xlfn.LET(
      _xlpm.res, _xlfn.XLOOKUP(M11 &amp; "|" &amp; _xlpm.latest_date, _xlpm.doc_col &amp; "|" &amp; _xlpm.date_col, _xlpm.status_col, ""),
      IF(OR(_xlpm.res="", _xlpm.res=0), "", _xlpm.res)
    )
  )
))</f>
        <v>NFS</v>
      </c>
      <c r="X11" s="39" t="str">
        <f>IF(OR(M11="", M11="Deleted"), "", _xlfn.LET(
  _xlpm.doc_col, [1]SubmittalLog!$E$1:$E$4000,
  _xlpm.date_col, [1]SubmittalLog!$H$1:$H$4000,
  _xlpm.status_col, [1]SubmittalLog!$O$1:$O$4000,
  _xlpm.first_app_date, _xlfn.MINIFS(_xlpm.date_col, _xlpm.doc_col, M11, _xlpm.status_col, "APP"),
  _xlpm.first_awc_date, _xlfn.MINIFS(_xlpm.date_col, _xlpm.doc_col, M11, _xlpm.status_col, "AWC"),
  _xlpm.earliest_date, IF(
    AND(_xlpm.first_app_date=0, _xlpm.first_awc_date=0), 0,
    IF(_xlpm.first_app_date=0, _xlpm.first_awc_date,
    IF(_xlpm.first_awc_date=0, _xlpm.first_app_date,
    MIN(_xlpm.first_app_date, _xlpm.first_awc_date)))
  ),
  IF(_xlpm.earliest_date=0, "", _xlpm.earliest_date)
))</f>
        <v/>
      </c>
      <c r="Y11" s="40" t="str" cm="1">
        <f t="array" ref="Y11">IF(OR(M11="", M11="Deleted"), "", _xlfn.LET(
  _xlpm.doc_col, [1]SubmittalLog!$E$1:$E$4000,
  _xlpm.date_col, [1]SubmittalLog!$H$1:$H$4000,
  _xlpm.status_col, [1]SubmittalLog!$O$1:$O$4000,
  _xlpm.has_sub, COUNTIF(_xlpm.doc_col, M11),
  _xlpm.latest_reviewed_date, _xlfn.MAXIFS(_xlpm.date_col, _xlpm.doc_col, M11, _xlpm.status_col, "&lt;&gt;"),
  IF(_xlpm.has_sub=0, "",
    IF(_xlpm.latest_reviewed_date=0, "",
      _xlfn.LET(
        _xlpm.res, _xlfn.XLOOKUP(1, (_xlpm.doc_col=M11) * (_xlpm.date_col=_xlpm.latest_reviewed_date) * (_xlpm.status_col&lt;&gt;""), _xlpm.status_col, ""),
        IF(OR(_xlpm.res="", _xlpm.res=0), "", _xlpm.res)
      )
    )
  )
))</f>
        <v/>
      </c>
    </row>
    <row r="12" spans="1:25" x14ac:dyDescent="0.35">
      <c r="A12" s="11">
        <f>IF($M12="","",MAX($A$1:A11)+1)</f>
        <v>9</v>
      </c>
      <c r="B12" t="s">
        <v>213</v>
      </c>
      <c r="C12" t="s">
        <v>307</v>
      </c>
      <c r="G12" s="11">
        <v>131236</v>
      </c>
      <c r="H12" s="11" t="s">
        <v>59</v>
      </c>
      <c r="I12" s="11" t="s">
        <v>442</v>
      </c>
      <c r="J12" s="11" t="s">
        <v>206</v>
      </c>
      <c r="K12" s="11" t="s">
        <v>3466</v>
      </c>
      <c r="M12" s="34" t="str">
        <f t="shared" si="0"/>
        <v>131236-WIL21-SN-IM-xxxx</v>
      </c>
      <c r="P12" s="15" t="s">
        <v>3467</v>
      </c>
      <c r="R12" s="15" t="s">
        <v>3467</v>
      </c>
      <c r="S12" s="17">
        <v>46033</v>
      </c>
      <c r="U12" s="21" t="str" cm="1">
        <f t="array" ref="U12">IF(OR(M12="", M12="Deleted"), "", _xlfn.LET(
  _xlpm.dates,
  _xlfn._xlws.FILTER(
    [1]SubmittalLog!$H$1:$H$4000,
    [1]SubmittalLog!$E$1:$E$4000=M12,
    ""
  ),
  _xlpm.min_date, IFERROR(MIN(_xlpm.dates), ""),
  IF(_xlpm.min_date=0, "", _xlpm.min_date)
))</f>
        <v/>
      </c>
      <c r="V12" s="63" t="str" cm="1">
        <f t="array" ref="V12">IF(OR(M12="", M12="Deleted"), "", IFERROR(
  _xlfn.TEXTJOIN(", ", TRUE,
    _xlfn.MAP(
      _xlfn.UNIQUE(
        _xlfn._xlws.FILTER(
          [1]SubmittalLog!$B$1:$B$4000,
          ([1]SubmittalLog!$E$1:$E$4000=M12) *
          ([1]SubmittalLog!$B$1:$B$4000&lt;&gt;""),
          ""
        )
      ),
      _xlfn.LAMBDA(_xlpm.val, TEXT(_xlpm.val, "000000"))
    )
  ),
""))</f>
        <v/>
      </c>
      <c r="W12" s="40" t="str" cm="1">
        <f t="array" ref="W12">IF(OR(M12="", M12="Deleted"), "", _xlfn.LET(
  _xlpm.doc_col, [1]SubmittalLog!$E$1:$E$4000,
  _xlpm.date_col, [1]SubmittalLog!$H$1:$H$4000,
  _xlpm.status_col, [1]SubmittalLog!$N$1:$N$4000,
  _xlpm.latest_date, _xlfn.MAXIFS(_xlpm.date_col, _xlpm.doc_col, M12),
  IF(_xlpm.latest_date=0, "NFS",
    _xlfn.LET(
      _xlpm.res, _xlfn.XLOOKUP(M12 &amp; "|" &amp; _xlpm.latest_date, _xlpm.doc_col &amp; "|" &amp; _xlpm.date_col, _xlpm.status_col, ""),
      IF(OR(_xlpm.res="", _xlpm.res=0), "", _xlpm.res)
    )
  )
))</f>
        <v>NFS</v>
      </c>
      <c r="X12" s="39" t="str">
        <f>IF(OR(M12="", M12="Deleted"), "", _xlfn.LET(
  _xlpm.doc_col, [1]SubmittalLog!$E$1:$E$4000,
  _xlpm.date_col, [1]SubmittalLog!$H$1:$H$4000,
  _xlpm.status_col, [1]SubmittalLog!$O$1:$O$4000,
  _xlpm.first_app_date, _xlfn.MINIFS(_xlpm.date_col, _xlpm.doc_col, M12, _xlpm.status_col, "APP"),
  _xlpm.first_awc_date, _xlfn.MINIFS(_xlpm.date_col, _xlpm.doc_col, M12, _xlpm.status_col, "AWC"),
  _xlpm.earliest_date, IF(
    AND(_xlpm.first_app_date=0, _xlpm.first_awc_date=0), 0,
    IF(_xlpm.first_app_date=0, _xlpm.first_awc_date,
    IF(_xlpm.first_awc_date=0, _xlpm.first_app_date,
    MIN(_xlpm.first_app_date, _xlpm.first_awc_date)))
  ),
  IF(_xlpm.earliest_date=0, "", _xlpm.earliest_date)
))</f>
        <v/>
      </c>
      <c r="Y12" s="40" t="str" cm="1">
        <f t="array" ref="Y12">IF(OR(M12="", M12="Deleted"), "", _xlfn.LET(
  _xlpm.doc_col, [1]SubmittalLog!$E$1:$E$4000,
  _xlpm.date_col, [1]SubmittalLog!$H$1:$H$4000,
  _xlpm.status_col, [1]SubmittalLog!$O$1:$O$4000,
  _xlpm.has_sub, COUNTIF(_xlpm.doc_col, M12),
  _xlpm.latest_reviewed_date, _xlfn.MAXIFS(_xlpm.date_col, _xlpm.doc_col, M12, _xlpm.status_col, "&lt;&gt;"),
  IF(_xlpm.has_sub=0, "",
    IF(_xlpm.latest_reviewed_date=0, "",
      _xlfn.LET(
        _xlpm.res, _xlfn.XLOOKUP(1, (_xlpm.doc_col=M12) * (_xlpm.date_col=_xlpm.latest_reviewed_date) * (_xlpm.status_col&lt;&gt;""), _xlpm.status_col, ""),
        IF(OR(_xlpm.res="", _xlpm.res=0), "", _xlpm.res)
      )
    )
  )
))</f>
        <v/>
      </c>
    </row>
    <row r="13" spans="1:25" x14ac:dyDescent="0.35">
      <c r="A13" s="11">
        <f>IF($M13="","",MAX($A$1:A12)+1)</f>
        <v>10</v>
      </c>
      <c r="B13" t="s">
        <v>213</v>
      </c>
      <c r="C13" t="s">
        <v>307</v>
      </c>
      <c r="G13" s="11">
        <v>131236</v>
      </c>
      <c r="H13" s="11" t="s">
        <v>59</v>
      </c>
      <c r="I13" s="11" t="s">
        <v>442</v>
      </c>
      <c r="J13" s="11" t="s">
        <v>206</v>
      </c>
      <c r="K13" s="11" t="s">
        <v>3466</v>
      </c>
      <c r="M13" s="34" t="str">
        <f t="shared" si="0"/>
        <v>131236-WIL21-SN-IM-xxxx</v>
      </c>
      <c r="P13" s="15" t="s">
        <v>3467</v>
      </c>
      <c r="R13" s="15" t="s">
        <v>3467</v>
      </c>
      <c r="S13" s="17">
        <v>46034</v>
      </c>
      <c r="U13" s="21" t="str" cm="1">
        <f t="array" ref="U13">IF(OR(M13="", M13="Deleted"), "", _xlfn.LET(
  _xlpm.dates,
  _xlfn._xlws.FILTER(
    [1]SubmittalLog!$H$1:$H$4000,
    [1]SubmittalLog!$E$1:$E$4000=M13,
    ""
  ),
  _xlpm.min_date, IFERROR(MIN(_xlpm.dates), ""),
  IF(_xlpm.min_date=0, "", _xlpm.min_date)
))</f>
        <v/>
      </c>
      <c r="V13" s="63" t="str" cm="1">
        <f t="array" ref="V13">IF(OR(M13="", M13="Deleted"), "", IFERROR(
  _xlfn.TEXTJOIN(", ", TRUE,
    _xlfn.MAP(
      _xlfn.UNIQUE(
        _xlfn._xlws.FILTER(
          [1]SubmittalLog!$B$1:$B$4000,
          ([1]SubmittalLog!$E$1:$E$4000=M13) *
          ([1]SubmittalLog!$B$1:$B$4000&lt;&gt;""),
          ""
        )
      ),
      _xlfn.LAMBDA(_xlpm.val, TEXT(_xlpm.val, "000000"))
    )
  ),
""))</f>
        <v/>
      </c>
      <c r="W13" s="40" t="str" cm="1">
        <f t="array" ref="W13">IF(OR(M13="", M13="Deleted"), "", _xlfn.LET(
  _xlpm.doc_col, [1]SubmittalLog!$E$1:$E$4000,
  _xlpm.date_col, [1]SubmittalLog!$H$1:$H$4000,
  _xlpm.status_col, [1]SubmittalLog!$N$1:$N$4000,
  _xlpm.latest_date, _xlfn.MAXIFS(_xlpm.date_col, _xlpm.doc_col, M13),
  IF(_xlpm.latest_date=0, "NFS",
    _xlfn.LET(
      _xlpm.res, _xlfn.XLOOKUP(M13 &amp; "|" &amp; _xlpm.latest_date, _xlpm.doc_col &amp; "|" &amp; _xlpm.date_col, _xlpm.status_col, ""),
      IF(OR(_xlpm.res="", _xlpm.res=0), "", _xlpm.res)
    )
  )
))</f>
        <v>NFS</v>
      </c>
      <c r="X13" s="39" t="str">
        <f>IF(OR(M13="", M13="Deleted"), "", _xlfn.LET(
  _xlpm.doc_col, [1]SubmittalLog!$E$1:$E$4000,
  _xlpm.date_col, [1]SubmittalLog!$H$1:$H$4000,
  _xlpm.status_col, [1]SubmittalLog!$O$1:$O$4000,
  _xlpm.first_app_date, _xlfn.MINIFS(_xlpm.date_col, _xlpm.doc_col, M13, _xlpm.status_col, "APP"),
  _xlpm.first_awc_date, _xlfn.MINIFS(_xlpm.date_col, _xlpm.doc_col, M13, _xlpm.status_col, "AWC"),
  _xlpm.earliest_date, IF(
    AND(_xlpm.first_app_date=0, _xlpm.first_awc_date=0), 0,
    IF(_xlpm.first_app_date=0, _xlpm.first_awc_date,
    IF(_xlpm.first_awc_date=0, _xlpm.first_app_date,
    MIN(_xlpm.first_app_date, _xlpm.first_awc_date)))
  ),
  IF(_xlpm.earliest_date=0, "", _xlpm.earliest_date)
))</f>
        <v/>
      </c>
      <c r="Y13" s="40" t="str" cm="1">
        <f t="array" ref="Y13">IF(OR(M13="", M13="Deleted"), "", _xlfn.LET(
  _xlpm.doc_col, [1]SubmittalLog!$E$1:$E$4000,
  _xlpm.date_col, [1]SubmittalLog!$H$1:$H$4000,
  _xlpm.status_col, [1]SubmittalLog!$O$1:$O$4000,
  _xlpm.has_sub, COUNTIF(_xlpm.doc_col, M13),
  _xlpm.latest_reviewed_date, _xlfn.MAXIFS(_xlpm.date_col, _xlpm.doc_col, M13, _xlpm.status_col, "&lt;&gt;"),
  IF(_xlpm.has_sub=0, "",
    IF(_xlpm.latest_reviewed_date=0, "",
      _xlfn.LET(
        _xlpm.res, _xlfn.XLOOKUP(1, (_xlpm.doc_col=M13) * (_xlpm.date_col=_xlpm.latest_reviewed_date) * (_xlpm.status_col&lt;&gt;""), _xlpm.status_col, ""),
        IF(OR(_xlpm.res="", _xlpm.res=0), "", _xlpm.res)
      )
    )
  )
))</f>
        <v/>
      </c>
    </row>
    <row r="14" spans="1:25" x14ac:dyDescent="0.35">
      <c r="A14" s="11">
        <f>IF($M14="","",MAX($A$1:A13)+1)</f>
        <v>11</v>
      </c>
      <c r="B14" t="s">
        <v>213</v>
      </c>
      <c r="C14" t="s">
        <v>307</v>
      </c>
      <c r="G14" s="11">
        <v>131236</v>
      </c>
      <c r="H14" s="11" t="s">
        <v>59</v>
      </c>
      <c r="I14" s="11" t="s">
        <v>442</v>
      </c>
      <c r="J14" s="11" t="s">
        <v>206</v>
      </c>
      <c r="K14" s="11" t="s">
        <v>3466</v>
      </c>
      <c r="M14" s="34" t="str">
        <f t="shared" si="0"/>
        <v>131236-WIL21-SN-IM-xxxx</v>
      </c>
      <c r="P14" s="15" t="s">
        <v>3467</v>
      </c>
      <c r="R14" s="15" t="s">
        <v>3467</v>
      </c>
      <c r="S14" s="17">
        <v>46035</v>
      </c>
      <c r="U14" s="21" t="str" cm="1">
        <f t="array" ref="U14">IF(OR(M14="", M14="Deleted"), "", _xlfn.LET(
  _xlpm.dates,
  _xlfn._xlws.FILTER(
    [1]SubmittalLog!$H$1:$H$4000,
    [1]SubmittalLog!$E$1:$E$4000=M14,
    ""
  ),
  _xlpm.min_date, IFERROR(MIN(_xlpm.dates), ""),
  IF(_xlpm.min_date=0, "", _xlpm.min_date)
))</f>
        <v/>
      </c>
      <c r="V14" s="63" t="str" cm="1">
        <f t="array" ref="V14">IF(OR(M14="", M14="Deleted"), "", IFERROR(
  _xlfn.TEXTJOIN(", ", TRUE,
    _xlfn.MAP(
      _xlfn.UNIQUE(
        _xlfn._xlws.FILTER(
          [1]SubmittalLog!$B$1:$B$4000,
          ([1]SubmittalLog!$E$1:$E$4000=M14) *
          ([1]SubmittalLog!$B$1:$B$4000&lt;&gt;""),
          ""
        )
      ),
      _xlfn.LAMBDA(_xlpm.val, TEXT(_xlpm.val, "000000"))
    )
  ),
""))</f>
        <v/>
      </c>
      <c r="W14" s="40" t="str" cm="1">
        <f t="array" ref="W14">IF(OR(M14="", M14="Deleted"), "", _xlfn.LET(
  _xlpm.doc_col, [1]SubmittalLog!$E$1:$E$4000,
  _xlpm.date_col, [1]SubmittalLog!$H$1:$H$4000,
  _xlpm.status_col, [1]SubmittalLog!$N$1:$N$4000,
  _xlpm.latest_date, _xlfn.MAXIFS(_xlpm.date_col, _xlpm.doc_col, M14),
  IF(_xlpm.latest_date=0, "NFS",
    _xlfn.LET(
      _xlpm.res, _xlfn.XLOOKUP(M14 &amp; "|" &amp; _xlpm.latest_date, _xlpm.doc_col &amp; "|" &amp; _xlpm.date_col, _xlpm.status_col, ""),
      IF(OR(_xlpm.res="", _xlpm.res=0), "", _xlpm.res)
    )
  )
))</f>
        <v>NFS</v>
      </c>
      <c r="X14" s="39" t="str">
        <f>IF(OR(M14="", M14="Deleted"), "", _xlfn.LET(
  _xlpm.doc_col, [1]SubmittalLog!$E$1:$E$4000,
  _xlpm.date_col, [1]SubmittalLog!$H$1:$H$4000,
  _xlpm.status_col, [1]SubmittalLog!$O$1:$O$4000,
  _xlpm.first_app_date, _xlfn.MINIFS(_xlpm.date_col, _xlpm.doc_col, M14, _xlpm.status_col, "APP"),
  _xlpm.first_awc_date, _xlfn.MINIFS(_xlpm.date_col, _xlpm.doc_col, M14, _xlpm.status_col, "AWC"),
  _xlpm.earliest_date, IF(
    AND(_xlpm.first_app_date=0, _xlpm.first_awc_date=0), 0,
    IF(_xlpm.first_app_date=0, _xlpm.first_awc_date,
    IF(_xlpm.first_awc_date=0, _xlpm.first_app_date,
    MIN(_xlpm.first_app_date, _xlpm.first_awc_date)))
  ),
  IF(_xlpm.earliest_date=0, "", _xlpm.earliest_date)
))</f>
        <v/>
      </c>
      <c r="Y14" s="40" t="str" cm="1">
        <f t="array" ref="Y14">IF(OR(M14="", M14="Deleted"), "", _xlfn.LET(
  _xlpm.doc_col, [1]SubmittalLog!$E$1:$E$4000,
  _xlpm.date_col, [1]SubmittalLog!$H$1:$H$4000,
  _xlpm.status_col, [1]SubmittalLog!$O$1:$O$4000,
  _xlpm.has_sub, COUNTIF(_xlpm.doc_col, M14),
  _xlpm.latest_reviewed_date, _xlfn.MAXIFS(_xlpm.date_col, _xlpm.doc_col, M14, _xlpm.status_col, "&lt;&gt;"),
  IF(_xlpm.has_sub=0, "",
    IF(_xlpm.latest_reviewed_date=0, "",
      _xlfn.LET(
        _xlpm.res, _xlfn.XLOOKUP(1, (_xlpm.doc_col=M14) * (_xlpm.date_col=_xlpm.latest_reviewed_date) * (_xlpm.status_col&lt;&gt;""), _xlpm.status_col, ""),
        IF(OR(_xlpm.res="", _xlpm.res=0), "", _xlpm.res)
      )
    )
  )
))</f>
        <v/>
      </c>
    </row>
    <row r="15" spans="1:25" x14ac:dyDescent="0.35">
      <c r="A15" s="11">
        <f>IF($M15="","",MAX($A$1:A14)+1)</f>
        <v>12</v>
      </c>
      <c r="B15" t="s">
        <v>213</v>
      </c>
      <c r="C15" t="s">
        <v>307</v>
      </c>
      <c r="G15" s="11">
        <v>131236</v>
      </c>
      <c r="H15" s="11" t="s">
        <v>59</v>
      </c>
      <c r="I15" s="11" t="s">
        <v>442</v>
      </c>
      <c r="J15" s="11" t="s">
        <v>206</v>
      </c>
      <c r="K15" s="11" t="s">
        <v>3466</v>
      </c>
      <c r="M15" s="34" t="str">
        <f t="shared" si="0"/>
        <v>131236-WIL21-SN-IM-xxxx</v>
      </c>
      <c r="P15" s="15" t="s">
        <v>3467</v>
      </c>
      <c r="R15" s="15" t="s">
        <v>3467</v>
      </c>
      <c r="S15" s="17">
        <v>46036</v>
      </c>
      <c r="U15" s="21" t="str" cm="1">
        <f t="array" ref="U15">IF(OR(M15="", M15="Deleted"), "", _xlfn.LET(
  _xlpm.dates,
  _xlfn._xlws.FILTER(
    [1]SubmittalLog!$H$1:$H$4000,
    [1]SubmittalLog!$E$1:$E$4000=M15,
    ""
  ),
  _xlpm.min_date, IFERROR(MIN(_xlpm.dates), ""),
  IF(_xlpm.min_date=0, "", _xlpm.min_date)
))</f>
        <v/>
      </c>
      <c r="V15" s="63" t="str" cm="1">
        <f t="array" ref="V15">IF(OR(M15="", M15="Deleted"), "", IFERROR(
  _xlfn.TEXTJOIN(", ", TRUE,
    _xlfn.MAP(
      _xlfn.UNIQUE(
        _xlfn._xlws.FILTER(
          [1]SubmittalLog!$B$1:$B$4000,
          ([1]SubmittalLog!$E$1:$E$4000=M15) *
          ([1]SubmittalLog!$B$1:$B$4000&lt;&gt;""),
          ""
        )
      ),
      _xlfn.LAMBDA(_xlpm.val, TEXT(_xlpm.val, "000000"))
    )
  ),
""))</f>
        <v/>
      </c>
      <c r="W15" s="40" t="str" cm="1">
        <f t="array" ref="W15">IF(OR(M15="", M15="Deleted"), "", _xlfn.LET(
  _xlpm.doc_col, [1]SubmittalLog!$E$1:$E$4000,
  _xlpm.date_col, [1]SubmittalLog!$H$1:$H$4000,
  _xlpm.status_col, [1]SubmittalLog!$N$1:$N$4000,
  _xlpm.latest_date, _xlfn.MAXIFS(_xlpm.date_col, _xlpm.doc_col, M15),
  IF(_xlpm.latest_date=0, "NFS",
    _xlfn.LET(
      _xlpm.res, _xlfn.XLOOKUP(M15 &amp; "|" &amp; _xlpm.latest_date, _xlpm.doc_col &amp; "|" &amp; _xlpm.date_col, _xlpm.status_col, ""),
      IF(OR(_xlpm.res="", _xlpm.res=0), "", _xlpm.res)
    )
  )
))</f>
        <v>NFS</v>
      </c>
      <c r="X15" s="39" t="str">
        <f>IF(OR(M15="", M15="Deleted"), "", _xlfn.LET(
  _xlpm.doc_col, [1]SubmittalLog!$E$1:$E$4000,
  _xlpm.date_col, [1]SubmittalLog!$H$1:$H$4000,
  _xlpm.status_col, [1]SubmittalLog!$O$1:$O$4000,
  _xlpm.first_app_date, _xlfn.MINIFS(_xlpm.date_col, _xlpm.doc_col, M15, _xlpm.status_col, "APP"),
  _xlpm.first_awc_date, _xlfn.MINIFS(_xlpm.date_col, _xlpm.doc_col, M15, _xlpm.status_col, "AWC"),
  _xlpm.earliest_date, IF(
    AND(_xlpm.first_app_date=0, _xlpm.first_awc_date=0), 0,
    IF(_xlpm.first_app_date=0, _xlpm.first_awc_date,
    IF(_xlpm.first_awc_date=0, _xlpm.first_app_date,
    MIN(_xlpm.first_app_date, _xlpm.first_awc_date)))
  ),
  IF(_xlpm.earliest_date=0, "", _xlpm.earliest_date)
))</f>
        <v/>
      </c>
      <c r="Y15" s="40" t="str" cm="1">
        <f t="array" ref="Y15">IF(OR(M15="", M15="Deleted"), "", _xlfn.LET(
  _xlpm.doc_col, [1]SubmittalLog!$E$1:$E$4000,
  _xlpm.date_col, [1]SubmittalLog!$H$1:$H$4000,
  _xlpm.status_col, [1]SubmittalLog!$O$1:$O$4000,
  _xlpm.has_sub, COUNTIF(_xlpm.doc_col, M15),
  _xlpm.latest_reviewed_date, _xlfn.MAXIFS(_xlpm.date_col, _xlpm.doc_col, M15, _xlpm.status_col, "&lt;&gt;"),
  IF(_xlpm.has_sub=0, "",
    IF(_xlpm.latest_reviewed_date=0, "",
      _xlfn.LET(
        _xlpm.res, _xlfn.XLOOKUP(1, (_xlpm.doc_col=M15) * (_xlpm.date_col=_xlpm.latest_reviewed_date) * (_xlpm.status_col&lt;&gt;""), _xlpm.status_col, ""),
        IF(OR(_xlpm.res="", _xlpm.res=0), "", _xlpm.res)
      )
    )
  )
))</f>
        <v/>
      </c>
    </row>
    <row r="16" spans="1:25" x14ac:dyDescent="0.35">
      <c r="A16" s="11"/>
    </row>
    <row r="17" spans="1:1" x14ac:dyDescent="0.35">
      <c r="A17" s="11"/>
    </row>
    <row r="18" spans="1:1" x14ac:dyDescent="0.35">
      <c r="A18" s="11"/>
    </row>
    <row r="19" spans="1:1" x14ac:dyDescent="0.35">
      <c r="A19" s="11"/>
    </row>
    <row r="20" spans="1:1" x14ac:dyDescent="0.35">
      <c r="A20" s="11"/>
    </row>
    <row r="21" spans="1:1" x14ac:dyDescent="0.35">
      <c r="A21" s="11"/>
    </row>
    <row r="22" spans="1:1" x14ac:dyDescent="0.35">
      <c r="A22" s="11"/>
    </row>
    <row r="23" spans="1:1" x14ac:dyDescent="0.35">
      <c r="A23" s="11"/>
    </row>
    <row r="24" spans="1:1" x14ac:dyDescent="0.35">
      <c r="A24" s="11"/>
    </row>
    <row r="25" spans="1:1" x14ac:dyDescent="0.35">
      <c r="A25" s="11"/>
    </row>
    <row r="26" spans="1:1" x14ac:dyDescent="0.35">
      <c r="A26" s="11"/>
    </row>
    <row r="27" spans="1:1" x14ac:dyDescent="0.35">
      <c r="A27" s="11"/>
    </row>
    <row r="28" spans="1:1" x14ac:dyDescent="0.35">
      <c r="A28" s="11"/>
    </row>
    <row r="29" spans="1:1" x14ac:dyDescent="0.35">
      <c r="A29" s="11"/>
    </row>
    <row r="30" spans="1:1" x14ac:dyDescent="0.35">
      <c r="A30" s="11"/>
    </row>
    <row r="31" spans="1:1" x14ac:dyDescent="0.35">
      <c r="A31" s="11"/>
    </row>
    <row r="32" spans="1:1" x14ac:dyDescent="0.35">
      <c r="A32" s="11"/>
    </row>
    <row r="33" spans="1:1" x14ac:dyDescent="0.35">
      <c r="A33" s="11"/>
    </row>
    <row r="34" spans="1:1" x14ac:dyDescent="0.35">
      <c r="A34" s="11"/>
    </row>
    <row r="35" spans="1:1" x14ac:dyDescent="0.35">
      <c r="A35" s="11"/>
    </row>
    <row r="36" spans="1:1" x14ac:dyDescent="0.35">
      <c r="A36" s="11"/>
    </row>
    <row r="37" spans="1:1" x14ac:dyDescent="0.35">
      <c r="A37" s="11"/>
    </row>
    <row r="38" spans="1:1" x14ac:dyDescent="0.35">
      <c r="A38" s="11"/>
    </row>
  </sheetData>
  <conditionalFormatting sqref="A1:XFD1048576">
    <cfRule type="expression" dxfId="0" priority="1">
      <formula>_xlfn.ISFORMULA(A1)</formula>
    </cfRule>
  </conditionalFormatting>
  <dataValidations count="2">
    <dataValidation type="date" operator="greaterThan" allowBlank="1" showInputMessage="1" showErrorMessage="1" sqref="S2:T1048576 U16:U1048576" xr:uid="{75B58AD9-03B7-4A96-AFCE-B8E866105497}">
      <formula1>45658</formula1>
    </dataValidation>
    <dataValidation type="list" allowBlank="1" showInputMessage="1" showErrorMessage="1" sqref="R2:R1048576 P2:P1048576" xr:uid="{59641338-C4E6-4CF8-A6D8-3223763919C3}">
      <formula1>"YES,NO"</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8">
        <x14:dataValidation type="list" allowBlank="1" showInputMessage="1" showErrorMessage="1" xr:uid="{ED6A856C-3977-4DB3-AE65-0537F74E164C}">
          <x14:formula1>
            <xm:f>BQ!$A:$A</xm:f>
          </x14:formula1>
          <xm:sqref>E2:E1048576</xm:sqref>
        </x14:dataValidation>
        <x14:dataValidation type="list" allowBlank="1" showInputMessage="1" showErrorMessage="1" xr:uid="{86114B69-00C9-4A66-A58B-6EBB73F7C0DE}">
          <x14:formula1>
            <xm:f>Code!$E:$E</xm:f>
          </x14:formula1>
          <xm:sqref>B2:B1048576</xm:sqref>
        </x14:dataValidation>
        <x14:dataValidation type="list" allowBlank="1" showInputMessage="1" showErrorMessage="1" xr:uid="{E46612FF-FD40-4D3E-B1F0-7C36EC54EEA3}">
          <x14:formula1>
            <xm:f>Code!$H:$H</xm:f>
          </x14:formula1>
          <xm:sqref>C2:C1048576</xm:sqref>
        </x14:dataValidation>
        <x14:dataValidation type="list" allowBlank="1" showInputMessage="1" showErrorMessage="1" xr:uid="{CA2C9B6A-ADD0-4551-B4B7-8D5B7FEB2F82}">
          <x14:formula1>
            <xm:f>Code!$N:$N</xm:f>
          </x14:formula1>
          <xm:sqref>H2:H1048576</xm:sqref>
        </x14:dataValidation>
        <x14:dataValidation type="list" allowBlank="1" showInputMessage="1" showErrorMessage="1" xr:uid="{AC18B8F0-EEDE-47E7-BEB5-33B42964EB81}">
          <x14:formula1>
            <xm:f>Code!$Q:$Q</xm:f>
          </x14:formula1>
          <xm:sqref>I2:I1048576</xm:sqref>
        </x14:dataValidation>
        <x14:dataValidation type="list" allowBlank="1" showInputMessage="1" showErrorMessage="1" xr:uid="{C210DD18-6B2B-4097-B3F0-B057A7D065DB}">
          <x14:formula1>
            <xm:f>Code!$T:$T</xm:f>
          </x14:formula1>
          <xm:sqref>J2:J1048576</xm:sqref>
        </x14:dataValidation>
        <x14:dataValidation type="list" allowBlank="1" showInputMessage="1" showErrorMessage="1" xr:uid="{68BBBCBA-D895-4868-B5A6-5957E64A8157}">
          <x14:formula1>
            <xm:f>Code!$K:$K</xm:f>
          </x14:formula1>
          <xm:sqref>G2:G1048576</xm:sqref>
        </x14:dataValidation>
        <x14:dataValidation type="list" allowBlank="1" showInputMessage="1" showErrorMessage="1" xr:uid="{ECFB5AD6-8A01-41B7-B6BF-E9B03DA49B48}">
          <x14:formula1>
            <xm:f>Code!$Z:$Z</xm:f>
          </x14:formula1>
          <xm:sqref>Q2:Q1048576</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1E075E1F5F4354EAA6D40AAFDD7C5B7" ma:contentTypeVersion="11" ma:contentTypeDescription="Create a new document." ma:contentTypeScope="" ma:versionID="413e7fbc6bfff51495b9935fab9c9eb7">
  <xsd:schema xmlns:xsd="http://www.w3.org/2001/XMLSchema" xmlns:xs="http://www.w3.org/2001/XMLSchema" xmlns:p="http://schemas.microsoft.com/office/2006/metadata/properties" xmlns:ns2="d9e77098-5d25-4da0-8ec0-b428d9dfa13b" xmlns:ns3="dabe0c67-3730-4fa0-82e4-66182d905f97" targetNamespace="http://schemas.microsoft.com/office/2006/metadata/properties" ma:root="true" ma:fieldsID="72eddbe93d13f361e6527edddba36bff" ns2:_="" ns3:_="">
    <xsd:import namespace="d9e77098-5d25-4da0-8ec0-b428d9dfa13b"/>
    <xsd:import namespace="dabe0c67-3730-4fa0-82e4-66182d905f9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9e77098-5d25-4da0-8ec0-b428d9dfa13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a420194-0c98-419b-8655-40353cf4b98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abe0c67-3730-4fa0-82e4-66182d905f97"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39e00196-d256-4905-95b7-e5466cd208c7}" ma:internalName="TaxCatchAll" ma:showField="CatchAllData" ma:web="dabe0c67-3730-4fa0-82e4-66182d905f9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dabe0c67-3730-4fa0-82e4-66182d905f97" xsi:nil="true"/>
    <lcf76f155ced4ddcb4097134ff3c332f xmlns="d9e77098-5d25-4da0-8ec0-b428d9dfa13b">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548AF77F-53C4-4EFA-A539-1E61A50753D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9e77098-5d25-4da0-8ec0-b428d9dfa13b"/>
    <ds:schemaRef ds:uri="dabe0c67-3730-4fa0-82e4-66182d905f9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75E2873-D913-4DBC-B6EC-1D2BA2604128}">
  <ds:schemaRefs>
    <ds:schemaRef ds:uri="http://schemas.microsoft.com/sharepoint/v3/contenttype/forms"/>
  </ds:schemaRefs>
</ds:datastoreItem>
</file>

<file path=customXml/itemProps3.xml><?xml version="1.0" encoding="utf-8"?>
<ds:datastoreItem xmlns:ds="http://schemas.openxmlformats.org/officeDocument/2006/customXml" ds:itemID="{F74556AA-7050-4324-BDDA-C9AA1FC0640C}">
  <ds:schemaRefs>
    <ds:schemaRef ds:uri="http://schemas.microsoft.com/office/2006/metadata/properties"/>
    <ds:schemaRef ds:uri="http://schemas.microsoft.com/office/infopath/2007/PartnerControls"/>
    <ds:schemaRef ds:uri="dabe0c67-3730-4fa0-82e4-66182d905f97"/>
    <ds:schemaRef ds:uri="d9e77098-5d25-4da0-8ec0-b428d9dfa13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Notes</vt:lpstr>
      <vt:lpstr>Dashboard</vt:lpstr>
      <vt:lpstr>Code</vt:lpstr>
      <vt:lpstr>BQ</vt:lpstr>
      <vt:lpstr>Validation</vt:lpstr>
      <vt:lpstr>Project</vt:lpstr>
      <vt:lpstr>QAQC</vt:lpstr>
      <vt:lpstr>Process</vt:lpstr>
      <vt:lpstr>Mech</vt:lpstr>
      <vt:lpstr>Electrical</vt:lpstr>
      <vt:lpstr>ICA</vt:lpstr>
      <vt:lpstr>BS</vt:lpstr>
      <vt:lpstr>CSA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Franklin Song Qinhua</cp:lastModifiedBy>
  <cp:revision/>
  <dcterms:created xsi:type="dcterms:W3CDTF">2026-09-29T00:37:46Z</dcterms:created>
  <dcterms:modified xsi:type="dcterms:W3CDTF">2026-10-02T03:44:47Z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0x01010061E075E1F5F4354EAA6D40AAFDD7C5B7</vt:lpwstr>
  </property>
  <property fmtid="{D5CDD505-2E9C-101B-9397-08002B2CF9AE}" pid="3" name="MediaServiceImageTags">
    <vt:lpwstr/>
  </property>
</Properties>
</file>