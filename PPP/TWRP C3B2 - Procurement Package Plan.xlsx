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qinghua.song\DSAI\workbuddy\PPP\"/>
    </mc:Choice>
  </mc:AlternateContent>
  <xr:revisionPtr revIDLastSave="0" documentId="13_ncr:1_{E70964AB-7117-438F-AF08-D9B4800A6382}" xr6:coauthVersionLast="47" xr6:coauthVersionMax="47" xr10:uidLastSave="{00000000-0000-0000-0000-000000000000}"/>
  <bookViews>
    <workbookView xWindow="28680" yWindow="-120" windowWidth="29040" windowHeight="15720" activeTab="1" xr2:uid="{00000000-000D-0000-FFFF-FFFF00000000}"/>
  </bookViews>
  <sheets>
    <sheet name="Dashboard" sheetId="3" r:id="rId1"/>
    <sheet name="Code" sheetId="2" r:id="rId2"/>
    <sheet name="PPP" sheetId="1" r:id="rId3"/>
  </sheets>
  <definedNames>
    <definedName name="_xlnm._FilterDatabase" localSheetId="2" hidden="1">PPP!$A$1:$AC$130</definedName>
    <definedName name="_xlnm.Print_Area" localSheetId="2">PPP!$A$1:$AE$131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9" i="1" l="1"/>
  <c r="W91" i="1"/>
  <c r="Z125" i="1"/>
  <c r="Z107" i="1"/>
  <c r="J61" i="1"/>
  <c r="D9" i="1"/>
  <c r="Z122" i="1"/>
  <c r="D122" i="1"/>
  <c r="J99" i="1"/>
  <c r="D35" i="1"/>
  <c r="Z123" i="1"/>
  <c r="D123" i="1"/>
  <c r="Z126" i="1"/>
  <c r="D126" i="1"/>
  <c r="AC124" i="1"/>
  <c r="Z124" i="1" s="1"/>
  <c r="D124" i="1"/>
  <c r="D125" i="1"/>
  <c r="D16" i="1"/>
  <c r="Z121" i="1"/>
  <c r="D36" i="1"/>
  <c r="D37" i="1"/>
  <c r="D127" i="1"/>
  <c r="D128" i="1"/>
  <c r="D129"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130" i="1"/>
  <c r="D75" i="1"/>
  <c r="D76" i="1"/>
  <c r="D77" i="1"/>
  <c r="D78" i="1"/>
  <c r="D79" i="1"/>
  <c r="D80" i="1"/>
  <c r="D81" i="1"/>
  <c r="D82" i="1"/>
  <c r="D83" i="1"/>
  <c r="D84" i="1"/>
  <c r="D85" i="1"/>
  <c r="D86" i="1"/>
  <c r="D121" i="1"/>
  <c r="W118" i="1"/>
  <c r="Q118" i="1"/>
  <c r="Q117" i="1"/>
  <c r="W117" i="1"/>
  <c r="W116" i="1"/>
  <c r="Q116" i="1"/>
  <c r="W115" i="1"/>
  <c r="Q115" i="1"/>
  <c r="W114" i="1"/>
  <c r="Q114" i="1"/>
  <c r="W113" i="1"/>
  <c r="Q113" i="1"/>
  <c r="W112" i="1"/>
  <c r="Q112" i="1"/>
  <c r="W111" i="1"/>
  <c r="Q111" i="1"/>
  <c r="W110" i="1"/>
  <c r="Q110" i="1"/>
  <c r="W108" i="1"/>
  <c r="Q108" i="1"/>
  <c r="W107" i="1"/>
  <c r="W106" i="1"/>
  <c r="Z89" i="1"/>
  <c r="Z98" i="1"/>
  <c r="AC108" i="1"/>
  <c r="Z108" i="1" s="1"/>
  <c r="Z109" i="1"/>
  <c r="AC110" i="1"/>
  <c r="AC111" i="1"/>
  <c r="AC112" i="1"/>
  <c r="AC113" i="1"/>
  <c r="Z113" i="1" s="1"/>
  <c r="AC114" i="1"/>
  <c r="AC115" i="1"/>
  <c r="Z115" i="1" s="1"/>
  <c r="AC116" i="1"/>
  <c r="AC117" i="1"/>
  <c r="AC118" i="1"/>
  <c r="W105" i="1"/>
  <c r="W104" i="1"/>
  <c r="W103" i="1"/>
  <c r="W102" i="1"/>
  <c r="W96" i="1"/>
  <c r="W97" i="1"/>
  <c r="W95" i="1"/>
  <c r="W90" i="1"/>
  <c r="T15" i="1"/>
  <c r="D4" i="1"/>
  <c r="D5" i="1"/>
  <c r="D87" i="1"/>
  <c r="D88" i="1"/>
  <c r="D6" i="1"/>
  <c r="D7" i="1"/>
  <c r="D8" i="1"/>
  <c r="D10" i="1"/>
  <c r="D11" i="1"/>
  <c r="D12" i="1"/>
  <c r="D13" i="1"/>
  <c r="D14" i="1"/>
  <c r="D89" i="1"/>
  <c r="D90" i="1"/>
  <c r="D91" i="1"/>
  <c r="D92" i="1"/>
  <c r="D93" i="1"/>
  <c r="D15" i="1"/>
  <c r="D94" i="1"/>
  <c r="D95" i="1"/>
  <c r="D96" i="1"/>
  <c r="D97" i="1"/>
  <c r="D98" i="1"/>
  <c r="D99" i="1"/>
  <c r="D100" i="1"/>
  <c r="D101" i="1"/>
  <c r="D102" i="1"/>
  <c r="D103" i="1"/>
  <c r="D104" i="1"/>
  <c r="D105" i="1"/>
  <c r="D106" i="1"/>
  <c r="D107" i="1"/>
  <c r="D108" i="1"/>
  <c r="D109" i="1"/>
  <c r="D110" i="1"/>
  <c r="D111" i="1"/>
  <c r="D112" i="1"/>
  <c r="D113" i="1"/>
  <c r="D114" i="1"/>
  <c r="D115" i="1"/>
  <c r="D116" i="1"/>
  <c r="D117" i="1"/>
  <c r="D17" i="1"/>
  <c r="D18" i="1"/>
  <c r="D19" i="1"/>
  <c r="D20" i="1"/>
  <c r="D21" i="1"/>
  <c r="D118" i="1"/>
  <c r="D22" i="1"/>
  <c r="D23" i="1"/>
  <c r="D24" i="1"/>
  <c r="D25" i="1"/>
  <c r="D26" i="1"/>
  <c r="D27" i="1"/>
  <c r="D28" i="1"/>
  <c r="D29" i="1"/>
  <c r="D30" i="1"/>
  <c r="D31" i="1"/>
  <c r="D32" i="1"/>
  <c r="D33" i="1"/>
  <c r="D34" i="1"/>
  <c r="D119" i="1"/>
  <c r="D120" i="1"/>
  <c r="J39" i="1"/>
  <c r="J127" i="1"/>
  <c r="J38" i="1"/>
  <c r="J129" i="1"/>
  <c r="J128" i="1"/>
  <c r="J130" i="1"/>
  <c r="J74" i="1"/>
  <c r="J73" i="1"/>
  <c r="J56" i="1"/>
  <c r="J72" i="1"/>
  <c r="J71" i="1"/>
  <c r="J70" i="1"/>
  <c r="J69" i="1"/>
  <c r="J64" i="1"/>
  <c r="J63" i="1"/>
  <c r="J65" i="1"/>
  <c r="J62" i="1"/>
  <c r="J66" i="1"/>
  <c r="J67" i="1"/>
  <c r="J60" i="1"/>
  <c r="J59" i="1"/>
  <c r="J55" i="1"/>
  <c r="J58" i="1"/>
  <c r="J57" i="1"/>
  <c r="J53" i="1"/>
  <c r="J51" i="1"/>
  <c r="J50" i="1"/>
  <c r="J49" i="1"/>
  <c r="J48" i="1"/>
  <c r="J47" i="1"/>
  <c r="J46" i="1"/>
  <c r="J45" i="1"/>
  <c r="J44" i="1"/>
  <c r="J103" i="1"/>
  <c r="J101" i="1"/>
  <c r="J100" i="1"/>
  <c r="D2" i="1"/>
  <c r="D3" i="1"/>
  <c r="W93" i="1" l="1"/>
  <c r="W98" i="1"/>
  <c r="W122" i="1"/>
  <c r="W109" i="1"/>
  <c r="Z35" i="1"/>
  <c r="W35" i="1"/>
  <c r="Z16" i="1"/>
  <c r="W16" i="1"/>
  <c r="W15" i="1"/>
  <c r="AC15" i="1"/>
  <c r="Z15" i="1" s="1"/>
  <c r="W17" i="1"/>
  <c r="AC17" i="1"/>
  <c r="Z17" i="1" s="1"/>
  <c r="W18" i="1"/>
  <c r="AC18" i="1"/>
  <c r="Z18" i="1" s="1"/>
  <c r="W19" i="1"/>
  <c r="AC19" i="1"/>
  <c r="Z19" i="1" s="1"/>
  <c r="W20" i="1"/>
  <c r="AC20" i="1"/>
  <c r="Z20" i="1" s="1"/>
  <c r="W21" i="1"/>
  <c r="AC21" i="1"/>
  <c r="Z21" i="1" s="1"/>
  <c r="Z105" i="1"/>
  <c r="Z104" i="1"/>
  <c r="Z103" i="1"/>
  <c r="Z102" i="1"/>
  <c r="Z99" i="1"/>
  <c r="Z96" i="1"/>
  <c r="Z97" i="1"/>
  <c r="Z93" i="1"/>
  <c r="Z91" i="1"/>
  <c r="Z90" i="1"/>
  <c r="W36" i="1"/>
  <c r="Z36" i="1"/>
  <c r="W37" i="1"/>
  <c r="Z37" i="1"/>
  <c r="Z127" i="1"/>
  <c r="Z128" i="1"/>
  <c r="W38" i="1"/>
  <c r="Z38" i="1"/>
  <c r="W39" i="1"/>
  <c r="Z39" i="1"/>
  <c r="W40" i="1"/>
  <c r="Z40" i="1"/>
  <c r="W41" i="1"/>
  <c r="Z41" i="1"/>
  <c r="W42" i="1"/>
  <c r="Z42" i="1"/>
  <c r="W43" i="1"/>
  <c r="Z43" i="1"/>
  <c r="W44" i="1"/>
  <c r="Z44" i="1"/>
  <c r="W45" i="1"/>
  <c r="Z45" i="1"/>
  <c r="W46" i="1"/>
  <c r="Z46" i="1"/>
  <c r="W47" i="1"/>
  <c r="Z47" i="1"/>
  <c r="W48" i="1"/>
  <c r="Z48" i="1"/>
  <c r="W49" i="1"/>
  <c r="Z49" i="1"/>
  <c r="W50" i="1"/>
  <c r="Z50" i="1"/>
  <c r="W51" i="1"/>
  <c r="Z51" i="1"/>
  <c r="W52" i="1"/>
  <c r="Z52" i="1"/>
  <c r="W53" i="1"/>
  <c r="Z53" i="1"/>
  <c r="W54" i="1"/>
  <c r="Z54" i="1"/>
  <c r="W55" i="1"/>
  <c r="Z55" i="1"/>
  <c r="W56" i="1"/>
  <c r="Z56" i="1"/>
  <c r="W57" i="1"/>
  <c r="Z57" i="1"/>
  <c r="W58" i="1"/>
  <c r="Z58" i="1"/>
  <c r="W59" i="1"/>
  <c r="Z59" i="1"/>
  <c r="W60" i="1"/>
  <c r="Z60" i="1"/>
  <c r="W61" i="1"/>
  <c r="Z61" i="1"/>
  <c r="W62" i="1"/>
  <c r="Z62" i="1"/>
  <c r="W63" i="1"/>
  <c r="Z63" i="1"/>
  <c r="W64" i="1"/>
  <c r="Z64" i="1"/>
  <c r="W65" i="1"/>
  <c r="Z65" i="1"/>
  <c r="W66" i="1"/>
  <c r="Z66" i="1"/>
  <c r="W67" i="1"/>
  <c r="Z67" i="1"/>
  <c r="W68" i="1"/>
  <c r="Z68" i="1"/>
  <c r="W69" i="1"/>
  <c r="Z69" i="1"/>
  <c r="W70" i="1"/>
  <c r="Z70" i="1"/>
  <c r="W71" i="1"/>
  <c r="Z71" i="1"/>
  <c r="W72" i="1"/>
  <c r="Z72" i="1"/>
  <c r="W73" i="1"/>
  <c r="Z73" i="1"/>
  <c r="W74" i="1"/>
  <c r="Z74" i="1"/>
  <c r="Z130" i="1"/>
  <c r="W75" i="1"/>
  <c r="Z75" i="1"/>
  <c r="W76" i="1"/>
  <c r="Z76" i="1"/>
  <c r="W77" i="1"/>
  <c r="Z77" i="1"/>
  <c r="W78" i="1"/>
  <c r="Z78" i="1"/>
  <c r="W79" i="1"/>
  <c r="Z79" i="1"/>
  <c r="W80" i="1"/>
  <c r="Z80" i="1"/>
  <c r="W81" i="1"/>
  <c r="Z81" i="1"/>
  <c r="W82" i="1"/>
  <c r="Z82" i="1"/>
  <c r="W83" i="1"/>
  <c r="Z83" i="1"/>
  <c r="W84" i="1"/>
  <c r="Z84" i="1"/>
  <c r="W85" i="1"/>
  <c r="Z85" i="1"/>
  <c r="W86" i="1"/>
  <c r="Z86" i="1"/>
  <c r="Z119" i="1"/>
  <c r="Z120" i="1"/>
  <c r="Z118" i="1"/>
  <c r="Z117" i="1"/>
  <c r="Z116" i="1"/>
  <c r="Z114" i="1"/>
  <c r="Z112" i="1"/>
  <c r="Z111" i="1"/>
  <c r="Z110" i="1"/>
  <c r="Z106" i="1"/>
  <c r="Z95" i="1"/>
  <c r="Z129" i="1" l="1"/>
  <c r="W101" i="1"/>
  <c r="W100" i="1"/>
  <c r="W92" i="1"/>
  <c r="W94" i="1"/>
  <c r="Z101" i="1"/>
  <c r="Z94" i="1"/>
  <c r="Z92" i="1"/>
  <c r="Z10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Song Qinghua</author>
  </authors>
  <commentList>
    <comment ref="A1" authorId="0" shapeId="0" xr:uid="{4C04038F-B77B-445B-8626-36AA7E1E3291}">
      <text>
        <r>
          <rPr>
            <sz val="9"/>
            <color indexed="81"/>
            <rFont val="Tahoma"/>
            <family val="2"/>
          </rPr>
          <t xml:space="preserve">if a package is deleted, do not reuse the running numnber for another pakcage.
</t>
        </r>
      </text>
    </comment>
    <comment ref="T1" authorId="0" shapeId="0" xr:uid="{2E1E6BB2-1C62-4A2D-B4B2-E46F46EC4D80}">
      <text>
        <r>
          <rPr>
            <b/>
            <sz val="9"/>
            <color indexed="81"/>
            <rFont val="Tahoma"/>
            <family val="2"/>
          </rPr>
          <t>Estimate 60 days for MRQ, TBE, CBE, VI approval, and PO issuance.</t>
        </r>
      </text>
    </comment>
    <comment ref="W1" authorId="0" shapeId="0" xr:uid="{1B5EDCDC-F52C-44BE-8CDF-72394E440562}">
      <text>
        <r>
          <rPr>
            <b/>
            <sz val="9"/>
            <color indexed="81"/>
            <rFont val="Tahoma"/>
            <family val="2"/>
          </rPr>
          <t>Estimate 60 days from PO issuance.</t>
        </r>
      </text>
    </comment>
  </commentList>
</comments>
</file>

<file path=xl/sharedStrings.xml><?xml version="1.0" encoding="utf-8"?>
<sst xmlns="http://schemas.openxmlformats.org/spreadsheetml/2006/main" count="1401" uniqueCount="590">
  <si>
    <t>Refer to "Procurement-Dashboard.html" file.</t>
  </si>
  <si>
    <t>Project Metadata Title</t>
  </si>
  <si>
    <t>Project Metadata Values</t>
  </si>
  <si>
    <t>Project Metadata Data Type</t>
  </si>
  <si>
    <t>Discipline Code</t>
  </si>
  <si>
    <t>Discipline Description</t>
  </si>
  <si>
    <t>Criticality Code</t>
  </si>
  <si>
    <t>Criticality</t>
  </si>
  <si>
    <t>Status Code</t>
  </si>
  <si>
    <t>Package Status</t>
  </si>
  <si>
    <t>Category Code</t>
  </si>
  <si>
    <t>Item Category</t>
  </si>
  <si>
    <t>Error Description</t>
  </si>
  <si>
    <t>Project Title</t>
  </si>
  <si>
    <t>TWRP C3B2</t>
  </si>
  <si>
    <t>Text</t>
  </si>
  <si>
    <t>A</t>
  </si>
  <si>
    <t>Architecture</t>
  </si>
  <si>
    <t>Not Applicable</t>
  </si>
  <si>
    <t>NS</t>
  </si>
  <si>
    <t>Not Start</t>
  </si>
  <si>
    <t>BSW</t>
  </si>
  <si>
    <t>Building Service Work Package</t>
  </si>
  <si>
    <t>V-01</t>
  </si>
  <si>
    <t>Project Code</t>
  </si>
  <si>
    <t>C3B2</t>
  </si>
  <si>
    <t>B</t>
  </si>
  <si>
    <t>Building Services</t>
  </si>
  <si>
    <t>Factory In-house Quality Control</t>
  </si>
  <si>
    <t>MR</t>
  </si>
  <si>
    <t>Requisition in Progress</t>
  </si>
  <si>
    <t>CAB</t>
  </si>
  <si>
    <t>Cable</t>
  </si>
  <si>
    <t>V-02</t>
  </si>
  <si>
    <t>Client</t>
  </si>
  <si>
    <t>PUB</t>
  </si>
  <si>
    <t>C</t>
  </si>
  <si>
    <t>Civil</t>
  </si>
  <si>
    <t>Third Party Inspection</t>
  </si>
  <si>
    <t>VI</t>
  </si>
  <si>
    <t>Pending Vendor Approval</t>
  </si>
  <si>
    <t>CTL</t>
  </si>
  <si>
    <t>Cable Tray and Ladder</t>
  </si>
  <si>
    <t>V-03</t>
  </si>
  <si>
    <t>Consultant</t>
  </si>
  <si>
    <t>Jacobs</t>
  </si>
  <si>
    <t>D</t>
  </si>
  <si>
    <t>Design Management</t>
  </si>
  <si>
    <t>Witness Point</t>
  </si>
  <si>
    <t>PP</t>
  </si>
  <si>
    <t>Pending PO Confirmation</t>
  </si>
  <si>
    <t>CWP</t>
  </si>
  <si>
    <t>Construction Work Package</t>
  </si>
  <si>
    <t>V-04</t>
  </si>
  <si>
    <t>Project Start Date</t>
  </si>
  <si>
    <t>Date</t>
  </si>
  <si>
    <t>E</t>
  </si>
  <si>
    <t>Electrical</t>
  </si>
  <si>
    <t>FAT Record Submission Only</t>
  </si>
  <si>
    <t>PO</t>
  </si>
  <si>
    <t>PO Issued, Prepare Vendor Data Submission</t>
  </si>
  <si>
    <t>DCS</t>
  </si>
  <si>
    <t>Design Consultancy Service</t>
  </si>
  <si>
    <t>V-05</t>
  </si>
  <si>
    <t>Header Row</t>
  </si>
  <si>
    <t>Int</t>
  </si>
  <si>
    <t>G</t>
  </si>
  <si>
    <t>Geotechnical</t>
  </si>
  <si>
    <t>VDA</t>
  </si>
  <si>
    <t>Pending Vendor Data Approval</t>
  </si>
  <si>
    <t>EBK</t>
  </si>
  <si>
    <t>EICA Bulk</t>
  </si>
  <si>
    <t>V-06</t>
  </si>
  <si>
    <t>List End Row</t>
  </si>
  <si>
    <t>HS</t>
  </si>
  <si>
    <t>Environmental, Health, Safety &amp; Security</t>
  </si>
  <si>
    <t>FAB</t>
  </si>
  <si>
    <t>Fabrication in Progress</t>
  </si>
  <si>
    <t>EPN</t>
  </si>
  <si>
    <t>EICA Panels</t>
  </si>
  <si>
    <t>V-07</t>
  </si>
  <si>
    <t>S No.</t>
  </si>
  <si>
    <t>Column-A</t>
  </si>
  <si>
    <t>I</t>
  </si>
  <si>
    <t>Instrument, Control &amp; Automation (ICA)</t>
  </si>
  <si>
    <t>FAT</t>
  </si>
  <si>
    <t>FAT Completed</t>
  </si>
  <si>
    <t>EEQ</t>
  </si>
  <si>
    <t>Electrical Equipment</t>
  </si>
  <si>
    <t>V-08</t>
  </si>
  <si>
    <t>Discipline</t>
  </si>
  <si>
    <t>Column-B</t>
  </si>
  <si>
    <t>IM</t>
  </si>
  <si>
    <t>Information Management/IT</t>
  </si>
  <si>
    <t>DEL</t>
  </si>
  <si>
    <t>Delivered</t>
  </si>
  <si>
    <t>EQP</t>
  </si>
  <si>
    <t>Equipment Package</t>
  </si>
  <si>
    <t>V-09</t>
  </si>
  <si>
    <t>Package Title</t>
  </si>
  <si>
    <t>Column-C</t>
  </si>
  <si>
    <t>K</t>
  </si>
  <si>
    <t>Construction Management</t>
  </si>
  <si>
    <t>RI</t>
  </si>
  <si>
    <t>Receive Inspection Done</t>
  </si>
  <si>
    <t>IEQ</t>
  </si>
  <si>
    <t>ICA Equipment</t>
  </si>
  <si>
    <t>V-10</t>
  </si>
  <si>
    <t>Package No.</t>
  </si>
  <si>
    <t>Column-D</t>
  </si>
  <si>
    <t>M</t>
  </si>
  <si>
    <t>Mechanical</t>
  </si>
  <si>
    <t>IPN</t>
  </si>
  <si>
    <t>ICA Panel</t>
  </si>
  <si>
    <t>V-11</t>
  </si>
  <si>
    <t>Column-E</t>
  </si>
  <si>
    <t>PI</t>
  </si>
  <si>
    <t>Piping</t>
  </si>
  <si>
    <t>INS</t>
  </si>
  <si>
    <t>Instrument</t>
  </si>
  <si>
    <t>V-12</t>
  </si>
  <si>
    <t>Area</t>
  </si>
  <si>
    <t>Column-F</t>
  </si>
  <si>
    <t>PR</t>
  </si>
  <si>
    <t>Process</t>
  </si>
  <si>
    <t>MMI</t>
  </si>
  <si>
    <t>Misc. Mech Item</t>
  </si>
  <si>
    <t>V-13</t>
  </si>
  <si>
    <t>Equipment Tags</t>
  </si>
  <si>
    <t>Column-G</t>
  </si>
  <si>
    <t>PC</t>
  </si>
  <si>
    <t>Project Controls</t>
  </si>
  <si>
    <t>PBK</t>
  </si>
  <si>
    <t>Piping Bulk</t>
  </si>
  <si>
    <t>V-14</t>
  </si>
  <si>
    <t>Package Notes</t>
  </si>
  <si>
    <t>Column-H</t>
  </si>
  <si>
    <t>PM</t>
  </si>
  <si>
    <t>Project Management</t>
  </si>
  <si>
    <t>PSP</t>
  </si>
  <si>
    <t>Piping SP</t>
  </si>
  <si>
    <t>V-15</t>
  </si>
  <si>
    <t>Column-I</t>
  </si>
  <si>
    <t>Q</t>
  </si>
  <si>
    <t>Quantity Survey/Estimating</t>
  </si>
  <si>
    <t>REQ</t>
  </si>
  <si>
    <t>Rotating Equipment</t>
  </si>
  <si>
    <t>V-16</t>
  </si>
  <si>
    <t>Quantity</t>
  </si>
  <si>
    <t>Column-J</t>
  </si>
  <si>
    <t>Number</t>
  </si>
  <si>
    <t>S</t>
  </si>
  <si>
    <t>Structural</t>
  </si>
  <si>
    <t>SEQ</t>
  </si>
  <si>
    <t>Static Equipment</t>
  </si>
  <si>
    <t>V-17</t>
  </si>
  <si>
    <t>Estimate Lead Time</t>
  </si>
  <si>
    <t>Column-K</t>
  </si>
  <si>
    <t>W</t>
  </si>
  <si>
    <t>Procurement, Contract</t>
  </si>
  <si>
    <t>VAL</t>
  </si>
  <si>
    <t>Valve</t>
  </si>
  <si>
    <t>V-18</t>
  </si>
  <si>
    <t>Column-L</t>
  </si>
  <si>
    <t>Z</t>
  </si>
  <si>
    <t>General (non-specific)</t>
  </si>
  <si>
    <t>PSV</t>
  </si>
  <si>
    <t>Pressure Vessel</t>
  </si>
  <si>
    <t>V-19</t>
  </si>
  <si>
    <t>Supplier</t>
  </si>
  <si>
    <t>Column-M</t>
  </si>
  <si>
    <t>V-20</t>
  </si>
  <si>
    <t>Design Engineer</t>
  </si>
  <si>
    <t>Column-N</t>
  </si>
  <si>
    <t>Buyer</t>
  </si>
  <si>
    <t>Column-O</t>
  </si>
  <si>
    <t>Project Engineer</t>
  </si>
  <si>
    <t>Column-P</t>
  </si>
  <si>
    <t>MR Plan Date</t>
  </si>
  <si>
    <t>Column-Q</t>
  </si>
  <si>
    <t>MR Forecast Date</t>
  </si>
  <si>
    <t>Column-R</t>
  </si>
  <si>
    <t>MR Actual Date</t>
  </si>
  <si>
    <t>Column-S</t>
  </si>
  <si>
    <t>PO Plan Date</t>
  </si>
  <si>
    <t>Column-T</t>
  </si>
  <si>
    <t>PO Forecast Date</t>
  </si>
  <si>
    <t>Column-U</t>
  </si>
  <si>
    <t>PO Actual Date</t>
  </si>
  <si>
    <t>Column-V</t>
  </si>
  <si>
    <t>VD Approval Plan Date</t>
  </si>
  <si>
    <t>Column-W</t>
  </si>
  <si>
    <t>VD Approval Forecast Date</t>
  </si>
  <si>
    <t>Column-X</t>
  </si>
  <si>
    <t>VD Approval Actual Date</t>
  </si>
  <si>
    <t>Column-Y</t>
  </si>
  <si>
    <t>FAT Plan Date</t>
  </si>
  <si>
    <t>Column-Z</t>
  </si>
  <si>
    <t>FAT Forecast Date</t>
  </si>
  <si>
    <t>Column-AA</t>
  </si>
  <si>
    <t>FAT Actual Date</t>
  </si>
  <si>
    <t>Column-AB</t>
  </si>
  <si>
    <t>ROS Plan Date</t>
  </si>
  <si>
    <t>Column-AC</t>
  </si>
  <si>
    <t>ROS Forecast Date</t>
  </si>
  <si>
    <t>Column-AD</t>
  </si>
  <si>
    <t>ROS Actual Date</t>
  </si>
  <si>
    <t>Column-AE</t>
  </si>
  <si>
    <t>S/No.
(A1)</t>
  </si>
  <si>
    <t>Discipline
(A2)</t>
  </si>
  <si>
    <t>Package Title
(A3)</t>
  </si>
  <si>
    <t>Package No.
(A4)</t>
  </si>
  <si>
    <t>Item Category
(A5)</t>
  </si>
  <si>
    <t>Area
(A6)</t>
  </si>
  <si>
    <t>Equipment Tags
(A7)</t>
  </si>
  <si>
    <t>Package Notes
(A8)</t>
  </si>
  <si>
    <t>Criticality
(A9)</t>
  </si>
  <si>
    <t>Quantity
(Nos.)
(A10)</t>
  </si>
  <si>
    <t>Estimate
Lead Time
(Days)
(A11)</t>
  </si>
  <si>
    <t>Package Status
(A12)</t>
  </si>
  <si>
    <t>Supplier
(A13)</t>
  </si>
  <si>
    <t>Design Engineer
(B1)</t>
  </si>
  <si>
    <t>Buyer
(B2)</t>
  </si>
  <si>
    <t>PE
(B3)</t>
  </si>
  <si>
    <t>MR
Plan Date
(C1)</t>
  </si>
  <si>
    <t>MR
Forecast Date
(C2)</t>
  </si>
  <si>
    <t>MR
Actual Date
(C3)</t>
  </si>
  <si>
    <t>PO
Plan Date
(D1)</t>
  </si>
  <si>
    <t>PO
Forecast Date
(D2)</t>
  </si>
  <si>
    <t>PO
Actual Date
(D3)</t>
  </si>
  <si>
    <t>VD Approval
Plan Date
(E1)</t>
  </si>
  <si>
    <t>VD Approval
Forecast Date
(E2)</t>
  </si>
  <si>
    <t>VD Approval
Actual Date
(E3)</t>
  </si>
  <si>
    <t>FAT
Plan Date
(F1)</t>
  </si>
  <si>
    <t>FAT
Forecast Date
(F2)</t>
  </si>
  <si>
    <t>FAT
Actual Date
(F3)</t>
  </si>
  <si>
    <t>ROS
Plan Date
(G1)</t>
  </si>
  <si>
    <t>ROS
Forecast Date
(G2)</t>
  </si>
  <si>
    <t>ROS
Actual Date
(G3)</t>
  </si>
  <si>
    <t>CSA Consultant</t>
  </si>
  <si>
    <t>All</t>
  </si>
  <si>
    <t>Mark</t>
  </si>
  <si>
    <t>HAZOP and ALMOP Consultant</t>
  </si>
  <si>
    <t>[2026/09/11] SO suggested to engage PureTach.</t>
  </si>
  <si>
    <t>Kenny</t>
  </si>
  <si>
    <t>M&amp;E Consultant (Building Service)</t>
  </si>
  <si>
    <t>Fadil</t>
  </si>
  <si>
    <t>Mechanical Consultant</t>
  </si>
  <si>
    <t>Franklin</t>
  </si>
  <si>
    <t>Tank PVC Lining Installation Contractor</t>
  </si>
  <si>
    <t>[2026/10/05] PO# 22151</t>
  </si>
  <si>
    <t>VORTEX</t>
  </si>
  <si>
    <t>Mechanical Installation Contractor</t>
  </si>
  <si>
    <t>TBC</t>
  </si>
  <si>
    <t>Electrical Installation Contractor</t>
  </si>
  <si>
    <t>to consider direct sub contracting.</t>
  </si>
  <si>
    <t>Ammar</t>
  </si>
  <si>
    <t>ICA Installation Contractor</t>
  </si>
  <si>
    <t>Ricarte</t>
  </si>
  <si>
    <t>Structure Steel Fabricator</t>
  </si>
  <si>
    <t>Structure Steel Installation Contractor</t>
  </si>
  <si>
    <t>Concrete Work Contractor</t>
  </si>
  <si>
    <t>GI grating</t>
  </si>
  <si>
    <t>Aluminium Railing, Ladder and Cover</t>
  </si>
  <si>
    <t>Ejector</t>
  </si>
  <si>
    <t>WIL23</t>
  </si>
  <si>
    <t>WIL23 - ILM2 MBR Filtrate Air Ejector 1~9 (TBC)</t>
  </si>
  <si>
    <t>Fadhli</t>
  </si>
  <si>
    <t>CFD analysis/ hydraulic modelling / surge analysis</t>
  </si>
  <si>
    <t>Kenny/Franklin</t>
  </si>
  <si>
    <t>Pressure Relief Valve</t>
  </si>
  <si>
    <t>Pressure Reducing Valve - Metal</t>
  </si>
  <si>
    <t>Pressure Sustaning Valve - Metal</t>
  </si>
  <si>
    <t>Plastic Valve (Ball, Check, Back Pressure)</t>
  </si>
  <si>
    <t>Condensate Drain</t>
  </si>
  <si>
    <t>Stainless Steel Piping</t>
  </si>
  <si>
    <t>Cast-in piping may be ordered separately.</t>
  </si>
  <si>
    <t>Dilip/Siva</t>
  </si>
  <si>
    <t>CSEL Piping</t>
  </si>
  <si>
    <t>DI and DIPU Piping</t>
  </si>
  <si>
    <t>FRP Piping</t>
  </si>
  <si>
    <t>PVC and cPVC Piping</t>
  </si>
  <si>
    <t>HDPE Piping</t>
  </si>
  <si>
    <t>Chemical Valve Box</t>
  </si>
  <si>
    <t>Piping Gasket</t>
  </si>
  <si>
    <r>
      <t>Piping Standard</t>
    </r>
    <r>
      <rPr>
        <sz val="11"/>
        <color rgb="FFFF0000"/>
        <rFont val="Calibri"/>
        <family val="2"/>
        <scheme val="minor"/>
      </rPr>
      <t>/Primary</t>
    </r>
    <r>
      <rPr>
        <sz val="11"/>
        <color theme="1"/>
        <rFont val="Calibri"/>
        <family val="2"/>
        <scheme val="minor"/>
      </rPr>
      <t xml:space="preserve"> Support</t>
    </r>
  </si>
  <si>
    <t>Piping Bolts and Nuts</t>
  </si>
  <si>
    <t>Piping SP Items (to be separated)</t>
  </si>
  <si>
    <t>Piping Secondary Support (MS)</t>
  </si>
  <si>
    <t>Piping Secondary Support (Unistrut)</t>
  </si>
  <si>
    <t>VDB</t>
  </si>
  <si>
    <t>Valve Sub-DB(160A) - 5 nos
Valve Sub-DB(80A) - 11 nos
Valve Sub-DB(63A) - 30 nos
Local DB - FP Equipment - 5 nos</t>
  </si>
  <si>
    <t>Sunlight</t>
  </si>
  <si>
    <t>MV, LV, and Earthing Cable</t>
  </si>
  <si>
    <t>Tai Jie</t>
  </si>
  <si>
    <t>Lighting and Small Power</t>
  </si>
  <si>
    <t>Main Breaker 80A TPN MCCB 65KA c/w SHT TRIP - Sub breaker 39×1P 50kA MCB/ 4×3P 50kA MCB - Outgoing breaker 39×2P 40A 30mA RCCB/ 4×4P 40A 100mA RCD</t>
  </si>
  <si>
    <t>LCP Panel</t>
  </si>
  <si>
    <t xml:space="preserve"> WIL23-LCP-CA-0101</t>
  </si>
  <si>
    <t>To confirm LCP panel list
Process: 16 nos.
Non-process: 1 nos.</t>
  </si>
  <si>
    <t>ICA Field UPS DB</t>
  </si>
  <si>
    <t>WIL13
WIL23</t>
  </si>
  <si>
    <t>WIL23-UPS-0002 to 0004
WIL13-UPS-0001, 0002</t>
  </si>
  <si>
    <t>To confirm UPS panel list</t>
  </si>
  <si>
    <t>ICA Junction Box</t>
  </si>
  <si>
    <t>Refer to panel master list and panel GA</t>
  </si>
  <si>
    <t>Instrument, Control, and Communication Cable</t>
  </si>
  <si>
    <t>Refer to instrument cable schedule</t>
  </si>
  <si>
    <t>Instrument power, control, signal, data, and fibre optic.
To consider separate package for early works.</t>
  </si>
  <si>
    <t>KEI</t>
  </si>
  <si>
    <t>Cable Gland</t>
  </si>
  <si>
    <t>Refer to ICA Bulk MTO</t>
  </si>
  <si>
    <t>Include electrical and ICA</t>
  </si>
  <si>
    <t>Cable Raceway</t>
  </si>
  <si>
    <t>Refer to cable tray MTO</t>
  </si>
  <si>
    <t>SS and Galv. MS, for Electrical and ICA</t>
  </si>
  <si>
    <t>TRI-STAR</t>
  </si>
  <si>
    <t>Pressure Gauge</t>
  </si>
  <si>
    <t>WIL00
WIL06</t>
  </si>
  <si>
    <t>Refer to Process Instrument List</t>
  </si>
  <si>
    <t>BAUMER</t>
  </si>
  <si>
    <t>Pressure Transmitter</t>
  </si>
  <si>
    <t>WIL00
WIL21</t>
  </si>
  <si>
    <t>EMERSON</t>
  </si>
  <si>
    <t>Pressure Switch</t>
  </si>
  <si>
    <t>WIL00</t>
  </si>
  <si>
    <t>WIKA INSTRUMENTATION</t>
  </si>
  <si>
    <t>Differential Pressure Transmitter</t>
  </si>
  <si>
    <t>WNS03</t>
  </si>
  <si>
    <t>Temperature Transmitter c/w RTD</t>
  </si>
  <si>
    <t>WIL21
WIL23</t>
  </si>
  <si>
    <t>ENDRESS + HAUSER</t>
  </si>
  <si>
    <t>Temperature Switch c/w RTD</t>
  </si>
  <si>
    <t>WIL22</t>
  </si>
  <si>
    <t>Room Temperature Sensor</t>
  </si>
  <si>
    <t>WIL21
WIL22
WIL23</t>
  </si>
  <si>
    <t>KELE &amp; ASSOCIATES</t>
  </si>
  <si>
    <t>Level Transmitter Radar (Non-Contacting)
Level Transmitter – RF Admittance
Level Switch – Conductive Probe
Level Switch – Tuning Fork</t>
  </si>
  <si>
    <t>Level Switch Sludge Blanket – Ultrasonic</t>
  </si>
  <si>
    <t>PULSAR – MAESTRO</t>
  </si>
  <si>
    <t>Level Switch - Ultrasonic</t>
  </si>
  <si>
    <t>Level Gauge - Magnetic
Level Switch for Magnetic Level Gauge</t>
  </si>
  <si>
    <t>Thermal Mass Flowmeter
Thermal Flow Switch</t>
  </si>
  <si>
    <t>WIL00
WIL21
WIL22
WIL23</t>
  </si>
  <si>
    <t>Rotameter c/w Flow (Reed) Switch</t>
  </si>
  <si>
    <t>with flow switch - 20 nos.</t>
  </si>
  <si>
    <t>Flowmeter - Electromagnetic</t>
  </si>
  <si>
    <t>WIL00
WIL06
WIL21
WIL22
WIL23</t>
  </si>
  <si>
    <t>Flowmeter - Open Channel Ultrasonic</t>
  </si>
  <si>
    <t>WIL21
WIL22</t>
  </si>
  <si>
    <t>Low Point Leak Detector</t>
  </si>
  <si>
    <t>WIL06
WIL23</t>
  </si>
  <si>
    <t>IFM ELECTRONIC</t>
  </si>
  <si>
    <t>Hydrogen Sulfide Gas Detector
Carbon Monoxide Gas Detector
Flammable (LEL) Gas Detector</t>
  </si>
  <si>
    <t>WIL21</t>
  </si>
  <si>
    <t>LEL detector display</t>
  </si>
  <si>
    <t>DRAEGER</t>
  </si>
  <si>
    <t>Turbidity Analyser
Ammonia Analyser
Total Suspended Solid (MLSS) Analyser
Nitrate / Nitrite Analyser</t>
  </si>
  <si>
    <t>WIL22
WIL23</t>
  </si>
  <si>
    <t>HACH WATER</t>
  </si>
  <si>
    <t>pH Analyser
Dissolved Oxygen Analyser</t>
  </si>
  <si>
    <t>Toxicity Analyser</t>
  </si>
  <si>
    <t>AI ANALYTICAL</t>
  </si>
  <si>
    <t>Volatile Organic Compound (VOC) Gas Analyser</t>
  </si>
  <si>
    <t>HONEYWELL</t>
  </si>
  <si>
    <t>Total Solid Analyser</t>
  </si>
  <si>
    <t>VALMET - WETEC</t>
  </si>
  <si>
    <t>Orthophosphate Analyser
Conductivity Analyser</t>
  </si>
  <si>
    <t>ORP Analyser</t>
  </si>
  <si>
    <t>YOKOGAWA</t>
  </si>
  <si>
    <t>Portable Analyser</t>
  </si>
  <si>
    <t>Auto Sampler</t>
  </si>
  <si>
    <t>Weight Transmitter</t>
  </si>
  <si>
    <t>Load cell</t>
  </si>
  <si>
    <t>METTLER – TOLEDO</t>
  </si>
  <si>
    <t>Motion Switch</t>
  </si>
  <si>
    <t>Limit Switch</t>
  </si>
  <si>
    <t>Truck Position Sensor</t>
  </si>
  <si>
    <t>Vibration Transmitter</t>
  </si>
  <si>
    <t>Solenoid Valve</t>
  </si>
  <si>
    <t>Surge Protection Device</t>
  </si>
  <si>
    <t>for outdoor. To confirm requirements for spare I/Os.</t>
  </si>
  <si>
    <t>ICA Nameplate</t>
  </si>
  <si>
    <t>EICA Labelling</t>
  </si>
  <si>
    <t>Refer to EICA cable tray layout</t>
  </si>
  <si>
    <t>Instrument Tubing System</t>
  </si>
  <si>
    <t>Refer to ICA tubing system MTO</t>
  </si>
  <si>
    <t>Instrument Stanchion Support</t>
  </si>
  <si>
    <t>Refer to support list</t>
  </si>
  <si>
    <t>EICA Unistrut Support</t>
  </si>
  <si>
    <t>Fire Protection System</t>
  </si>
  <si>
    <t>ACMV System</t>
  </si>
  <si>
    <t>BMS</t>
  </si>
  <si>
    <t>Air Damper</t>
  </si>
  <si>
    <t>Fire Seal</t>
  </si>
  <si>
    <t>BIM Consultant</t>
  </si>
  <si>
    <t>[2026/10/1] PO#22007</t>
  </si>
  <si>
    <t>Southwest Municipal Engg</t>
  </si>
  <si>
    <t>Lin Ting</t>
  </si>
  <si>
    <t>Electrical Consultant</t>
  </si>
  <si>
    <t>[2026/10/1] PO# 21704</t>
  </si>
  <si>
    <t>RES</t>
  </si>
  <si>
    <t>High Speed Turbo Blower</t>
  </si>
  <si>
    <t xml:space="preserve">WIL21
</t>
  </si>
  <si>
    <t xml:space="preserve">WIL21 - ILM2 Grit Air Blower (WIL21-024-B-0101/0201/0301)
</t>
  </si>
  <si>
    <t>Wang Yiqian</t>
  </si>
  <si>
    <t>Integrally Geared (Single-Stage Centrifugal) Blower</t>
  </si>
  <si>
    <t>WIL23
WIL23</t>
  </si>
  <si>
    <t>WIL23 - ILM2 Bioreactor Process Aeration Blowers (WIL23-043-B-0101~0801)
WIL23 - ILM2 Membrane Air Scour Blowers (WIL23-043-B-1001~1301)</t>
  </si>
  <si>
    <t>Compressed Air System</t>
  </si>
  <si>
    <t>WIL23
WIL23
WIL23</t>
  </si>
  <si>
    <t>WIL23 - Air Compressor  (TBC)
WIL23 - Air Dryer (TBC)
WIL23 - Air Receiver Tank (TBC)</t>
  </si>
  <si>
    <t>Wu Hongqing</t>
  </si>
  <si>
    <t>PST System</t>
  </si>
  <si>
    <t>WIL21
WIL21
WIL23
WIL22
WIL22</t>
  </si>
  <si>
    <t>WIL21 - ILM2 Intermediate Screens Dewatering Presses (WIL21-021-SW-0301~0501)
WIL21 - ILM2 Fine Screens Dewatering Presses (WIL21-022-SW-0301/0401/0501)
WIL23 - ILM2 MBR Fine Screens Dewatering Presses (WIL23-041-SCN-0101/0201)
WIL22 - ILM2 PST 1/2/3 Lamella Plates (WIL22-034-LPT-0101/0201/0301)
WIL22 - ILM2 PST 1/2/3PST Scraper (WIL22-034-SCP-0101/0201/0301)</t>
  </si>
  <si>
    <t xml:space="preserve">Include
- Dewatering Press and Lamella Plates
- Surface Scum Scraper
- Skimmer and Bottom Sludge Scrapers
</t>
  </si>
  <si>
    <t>Nova</t>
  </si>
  <si>
    <t>Diffusers</t>
  </si>
  <si>
    <t>WIL21
WIL21
WIL21
WIL23</t>
  </si>
  <si>
    <t>WIL21 - ILM2 Grit Tanks Inlet Channel Coarse Bubble Diffuser (WIL21-024-CBD-0201/0301/0302/0501)
WIL21 - ILM2 Grit Tanks Outlet Channel Coarse Bubble Diffuser (WIL21-024-CBD-0303/0403/0503/0603)
WIL21 - ILM2 Grit Tank 3/4/5 Coarse Bubble Diffusers (WIL21-024-CBD-0302/0402/0502)
WIL23 - ILM2 Bioreactor 1~6 Aerobic Zone Fine Bubble Diffuser (NA)</t>
  </si>
  <si>
    <t>[2026/10/1] PO# 22074</t>
  </si>
  <si>
    <t>EDI</t>
  </si>
  <si>
    <t>Lifting Equipment</t>
  </si>
  <si>
    <t>WIL21
WIL21
WIL21
WIL21
WIL21
WIL21
WIL21
WIL21
WIL21
WIL21
WIL23
WIL23
WIL23
WIL23
WIL23
WIL22
WIL22
WIL22
WIL23
WIL23
WIL23
WIL23
WIL23
WIL23</t>
  </si>
  <si>
    <t>WIL21 - ILM2 Intermediate Screens Crane (WIL21-021-CRN-0001)
WIL21 - ILM2 Influent Flowmeter Chamber Sump Pump Crane (WIL21-021-CRN-0201)
WIL21 - ILM2 Influent Flowmeter Chamber Crane (WIL21-021-CRN-0101)
WIL21 - ILM2 Fine Screens Crane (WIL21-022-CRN-0001)
WIL21 - ILM2 Grease &amp; Scum Wet Wells Crane (WIL21-024-CRN-0001)
WIL21 - ILM2 Grit Tanks Crane (WIL21-024-CRN-0002)
WIL21 - ILM2 Grit Pumps Crane (WIL21-024-CRN-0003)
WIL21 - ILM2 Grit Tank Inlet Crane 3 (WIL21-024-CRN-0301)
WIL21 - ILM2 Grit Tank Inlet Crane 4 (WIL21-024-CRN-0301)
WIL21 - ILM2 Grit Tank Inlet Crane 5 (WIL21-024-CRN-0501)
WIL23 - ILM2 MBR Fine Screens Crane (WIL23-041-CRN-0001)
WIL23 - ILM2 DEOX/RAS Tank 1 Crane (WIL23-047-CRN-0001)
WIL23 - ILM2 DEOX/RAS Tank 2 Crane (WIL23-047-CRN-0002)
WIL23 - ILM2 Membrane Tanks Crane (WIL23-044-CRN-0001)
WIL23 - ILM2 MBR Filtrate Tanks Crane (WIL23-051-CRN-0001)
WIL22 - ILM2 PST Lifting Davit Sockets (N.A.)
WIL22 - ILM2 Primary Scum Wet Wells Crane (WIL22-026-CRN-0001)
WIL22 - ILM2 PST Crane (N.A.)
WIL23 -  ILM2 Process Air Blowers Crane (WIL23-043-CRN-0001)
WIL23 -  ILM2 Membrane Air Blowers Crane (WIL23-043-CRN-0002)
WIL23 - ILM2 Bioreactor Mixers Mobile Lifting Equipment (N.A.)
WIL23 - Mobile Crane (N.A.)
WIL23 - ILM2 Bioreactor Lifting Davit Sockets (N.A.)
WIL23 - ILM2 Bioreactor Area Pumps Lifting Crane (N.A.)</t>
  </si>
  <si>
    <t>MFS Membrane</t>
  </si>
  <si>
    <t>WIL23 - ILM2 MFS Membranes (WIL23-044-MB-(0101-0117) ~ (0901~0917))</t>
  </si>
  <si>
    <t>[2026/10/1] PO# 21899</t>
  </si>
  <si>
    <t>Veolia</t>
  </si>
  <si>
    <t>Static Mixer</t>
  </si>
  <si>
    <t>WIL23 - ILM2 MBR Cleaning Header Mixer 1/2/3/4 (WIL23-044-SMX-0130/0131/0530/0531)</t>
  </si>
  <si>
    <t>Hyperbolic Mixers</t>
  </si>
  <si>
    <t>WIL23 - ILM2 Bioreactor 1~6 Mixed Liquor Mixer 1/2 (WIL23-042-MXR-0101/0102/0201/0202/0301/0302/0401/0402/0501/0502/0601/0602)</t>
  </si>
  <si>
    <t>Fix speed, top entry vertical shaft
[2026/10/1] PO# 21615</t>
  </si>
  <si>
    <t>INVENT UMWELT</t>
  </si>
  <si>
    <t>Surge Vessel and Accumulator</t>
  </si>
  <si>
    <t>WNS03
WNS03</t>
  </si>
  <si>
    <t>WNS03 - NW HH BLADDER SURGE VESSEL (WNS03-063-PV-0101/0201/0301/0401)
WNS03 - NW LH BLADDER SURGE VESSEL (WNS03-063-0601/0701)</t>
  </si>
  <si>
    <t>Including portable air compressor
[2026/10/1] PO# 22229</t>
  </si>
  <si>
    <t>SYNCHONG HOE</t>
  </si>
  <si>
    <t>Centrifugal Pump</t>
  </si>
  <si>
    <t>WIL00
WIL21
WIL21
WIL21
WIL22
WIL23
WIL23
WIL23
WIL23
WIL23
WIL23
WIL23
WIL23
WIL23</t>
  </si>
  <si>
    <t>WIL00 - ILM2 Plant Water High Pressure Pump 1/2/3 (WIL00-003-P-0201A/B/C)
WIL21 - ILM2 Influent Flowmeter Chamber Drainage Sump Pump 1/2 (WIL21-021-P-0101/0102)
WIL21 - ILM2 Grit Tank 3/4/5 Pump (WIL21-024-P-0301/0401/0501)
WIL21 -  ILM Plant Drainage PS Wet Well Compartment 2 Pump 1/2 (WIL21-008-P-0201A/B)
WIL22 - ILM2 PST 1/2/3 Primary Sludge Transfer Pump 1/2
WIL23 - ILM2 Bioreactor Drainage Pump 1 (WIL23-042-P-0101)
WIL23 -  ILM2 WAS Wet Well 1/2 WAS Pump 1/2/3 (WIL23-048-P-0101/0201 A/B/C)
WIL23 - ILM2 DEOX/RAS Tank 1/2 RAS Pump 1/2/3 (WIL23-047-P-0101/0102 A/B/C)
WIL23 -  ILM2 DEOX/RAS Tank Drainage Pump (WIL23-047-P-0110)
WIL23 -  ILM2 Membrane Cleaning Pump 1/2/5/6 (WIL23-044-P-0101/0201/0501/0601)
WIL23 -  ILM2 MBR Filtrate Pump 1~14 (WIL23-045-P-0101~0901, 0102/0304/0506/0708/0910Z)
WIL23 - ILM2 MBR Filtrate Tank Drainage Pump 1 (WIL23-051-P-0103)
WIL23 - ILM2 G2I Pump 1/2/3/4 (WIL23-051-P-0101/0201 A/B)
WIL23 - ILM2 Mixed Liquor Return Pump (WIL23-044-P-0121)</t>
  </si>
  <si>
    <t>Centrifugal Pump
Sump Dewatering Pump
Recessed Impeller Pump
Submersible Screw Induced Flow
Submersible Screw Induced Flow
Submersible Pump
Submersible Pump
Submersible Pump
Submersible Pump
Centrifugal Pump
Centrifugal Pump (Closed Impeller)
Vertical Turbine Pump
Submersible Pump
Submersible Pump</t>
  </si>
  <si>
    <t>PC Pump</t>
  </si>
  <si>
    <t>WIL21
WIL22
WIL23
WIL23</t>
  </si>
  <si>
    <t>WIL21 - ILM2 Grit Tanks Inlet Sampling Point Pump 1 (WIL21-024-P-1010)
WIL22 - ILM2 PSI Transfer Pump 1/2/3/4 (WIL22-035-P-0101/0201/0301/0401)
WIL23 - Bioreactor 1/2/3/4/5/6 Sampling Pump 1/2 (WIL23-042-P-0101A/B~0601A/B)
WIL23 - ILM2 MBR Filtrate Tank Membrane Filtrate Sampling Pump 1/2 (WIL23-051-P-1001/1002)</t>
  </si>
  <si>
    <t>Progressive Cavity Pump</t>
  </si>
  <si>
    <t>Double Disc Centrifugal Pump</t>
  </si>
  <si>
    <t>WDL21
WIL22
WIL23</t>
  </si>
  <si>
    <t>WDL21 -  ILM2 Grease and Scum Wet Well 2/3 Pump 1/2 (WIL21-026-P-0201/0301 A/B)
WIL22 -  ILM2 Primary Scum Wet Well 1/2/3 Pump 1/2 (WIL22-026-P-0101/0201/0301 A/B)
WIL23 - ILM2 Membrane Scum Wet Well 1~7 Pump 1/2 (WIL23-044-P-0110~0710 A/B)</t>
  </si>
  <si>
    <t>Extended Drive Shaft Submersible Double Disc Centrifugal Pump</t>
  </si>
  <si>
    <t>Chemical Dosing Pump</t>
  </si>
  <si>
    <t>WIL06
WIL06</t>
  </si>
  <si>
    <t>WIL06 - ILM2 MFS Citric Acid Dosing Pump 1/2 (WIL06-405-P-0102/0202)
WIL06 - ILM2 MFS Sodium Hypochlorite Dosing Pump 1/2 (WIL06-402-P-0102/0202)</t>
  </si>
  <si>
    <t>Reciprocating Diaphragm</t>
  </si>
  <si>
    <t>Intermediate Screen, Conveyor system, and Grit Classifier</t>
  </si>
  <si>
    <t>WIL21
WIL21
WIL21
WIL21
WIL21
WIL21
WIL21
WIL21</t>
  </si>
  <si>
    <t>WIL21 - ILM2 Intermediate Screens (WIL21-021-SCN-0301~0501)
WIL21 - ILM2 Intermediate Screen 3~5 Cross Conveyors (WIL21-021-CNV-0301~0501)
WIL21 - ILM2 Intermediate Screen Loadout Conveyors 1/2/3/4 (WIL21-021-CNV-0102~0402)
WIL21 - ILM2 Fine Screen 3~5 Cross Conveyors (WIL21-022-CNV-0301/0401/0501)
WIL21 - ILM2 Fine Screen Loadout Conveyors 1/2/3/4 (WDL11-022-CNV-0102/0202/0302/0402)
WIL21 - ILM2 Submerged Grit Screw Conveyor (WIL21-024-CNV-0301/0401/0501)
WIL21 - ILM2 Grit Loadout Conveyors 1/2 (WIL21-025-CNV-0101/0201)
WIL21 - ILM2 Grit Classifiers 1/2 (WIL21-025-GRC-0201/0301 A)</t>
  </si>
  <si>
    <t>[2026/10/1] PO# 21804</t>
  </si>
  <si>
    <t>WMA</t>
  </si>
  <si>
    <t>Travellng Band Screen (Fine Screen and MBR Fine Screen)</t>
  </si>
  <si>
    <t>WIL21
WIL21
WIL21
WIL23
WIL23
WIL23
WIL23</t>
  </si>
  <si>
    <t>WIL21 - ILM2 Fine Screens - Dive Unit Band (WIL21-022-SCN-0301/0401/0501 A)
WIL21 - ILM2 Fine Screens - Dive Unit Brush (WIL21-022-SCN-0301/0401/0501 B)
WIL21 - ILM2 Fine Screens - Discharge Screw (WIL21-022-SCN-0301/0401/0501 C)
WIL23 - ILM2 MBR Fine Screen - Drive Unit Band (WIL23-041-SCN-0101/0201/0301 A)
WIL23 - ILM2 MBR Fine Screen - Drive Unit Brush (WIL23-041-SCN-0101/0201/0301 B)
WIL23 - ILM2 MBR Fine Screen - Discharge Screw (WIL23-041-SCN-0101/0201/0301 C)
WIL23 - ILM2 MBR Fine Screen Screenings Channel Launder (NA)</t>
  </si>
  <si>
    <t>Scum and Grease Removal System</t>
  </si>
  <si>
    <t>WIL21 - ILM2 Grit Tank Scum Collector (WIL21-024-SC-0301/0401/0501)
WIL22 - ILM2 PST 1/2/3 Scum Collector  (WIL22-034-SC-0101/0201/0301)</t>
  </si>
  <si>
    <t>[2026/10/1] PO# 22052</t>
  </si>
  <si>
    <t>PROBIG GmbH</t>
  </si>
  <si>
    <t>Hopper and Hopper slide gate</t>
  </si>
  <si>
    <t>WIL21
WIL21</t>
  </si>
  <si>
    <t>WIL21 - ILM2 Screenings Hoppers 1/2 (WIL21-023-HO-0101/0201)
WIL21 - ILM2 Grit Hoppers 1/2 (WIL21-025-HO-0101/0201)</t>
  </si>
  <si>
    <t>FRP Tank Cover</t>
  </si>
  <si>
    <t>Automatic Lubircation System (ALS)</t>
  </si>
  <si>
    <t>Penstock</t>
  </si>
  <si>
    <t>Spray Nozzle</t>
  </si>
  <si>
    <t>Safety Shower and Eye Wash</t>
  </si>
  <si>
    <t>Hose Point and Hose Reel</t>
  </si>
  <si>
    <t>Metal Knife Gate Valve (Manual and On-off)</t>
  </si>
  <si>
    <t>Metal Ball Valves (Manual and On-off)</t>
  </si>
  <si>
    <t>Metal Butterfly Valves (Manual and On-off)</t>
  </si>
  <si>
    <t>Metal Gate, Check, Globe Valves (Manual and On-off)</t>
  </si>
  <si>
    <t>Air Release Valve</t>
  </si>
  <si>
    <t xml:space="preserve">Aeration Control Valve </t>
  </si>
  <si>
    <t>Transformer</t>
  </si>
  <si>
    <t>Teco</t>
  </si>
  <si>
    <t>HVSG Panel</t>
  </si>
  <si>
    <t xml:space="preserve"> WIL23-HVSG-0001A/B</t>
  </si>
  <si>
    <t>Schneider Electric</t>
  </si>
  <si>
    <t>LVSG, MCC including VFD, Harmonic Filter</t>
  </si>
  <si>
    <t>LVSG - 10 nos
MCC - 24 nos
LV VFD 55kW - 10
LV VFD 75kW - 4
LV VFD 132kW - 14
LV VFD 250kW - 6
LCS - Type 1 - 78
LCS - Type 2A - 49
LCS - Type 3 - 2
LCS - Type 4 - 6
LCS - Type 9 - 28
LCS - Type 31 - 4
LCS - Type B2 - 30
LCS - Type B3 - 30
LCS - Type B4 - 2</t>
  </si>
  <si>
    <t>MDB</t>
  </si>
  <si>
    <t>MDB- 22 nos</t>
  </si>
  <si>
    <t>LCS</t>
  </si>
  <si>
    <t>LCS - Type 1 - 78
LCS - Type 2A - 49
LCS - Type 3 - 2
LCS - Type 4 - 6
LCS - Type 9 - 28
LCS - Type 31 - 4
LCS - Type B2 - 30
LCS - Type B3 - 30
LCS - Type B4 - 2</t>
  </si>
  <si>
    <t>Emergency Generator</t>
  </si>
  <si>
    <t>Vibropower</t>
  </si>
  <si>
    <t>ESSB</t>
  </si>
  <si>
    <t>6.6kV DOL STARTER</t>
  </si>
  <si>
    <t>6.6kV DOL STARTER - 750kW - 8 Nos
6.6kV DOL STARTER - 500kW - 4 Nos</t>
  </si>
  <si>
    <t>PLC Panel</t>
  </si>
  <si>
    <t>WIL06
WIL21
WIL22
WIL23
WNS03</t>
  </si>
  <si>
    <t>To confirm PLC panel list.
Grit Air Blower PLC
Bio Aeration Blower PLC
Membrane Blower PLC</t>
  </si>
  <si>
    <t>RIO Panel Component</t>
  </si>
  <si>
    <t>To confirm RIO panel list
Process: 64 nos. (vs 58 os.)
Non-process: 32 Nos.</t>
  </si>
  <si>
    <t>RIO Panel Rack and Component Installation</t>
  </si>
  <si>
    <t>Local Display</t>
  </si>
  <si>
    <t>22/6.6kV Distribution Transformer, 2 nos
22/0.415 Distrbution Transformer, 10 nos
[2026/10/6] expecting delays to installation</t>
  </si>
  <si>
    <t>22kV-HVSG - 2 nos
6.6kV-HVSG - 2 nos
[2026/10/5] PO# 21945
[2026/10/6] expecting delays to installation</t>
  </si>
  <si>
    <t>Group</t>
  </si>
  <si>
    <t>Severity</t>
  </si>
  <si>
    <t>Kind</t>
  </si>
  <si>
    <t>Structure / Rows</t>
  </si>
  <si>
    <t>info</t>
  </si>
  <si>
    <t>system</t>
  </si>
  <si>
    <t>Row in range has no Package Title</t>
  </si>
  <si>
    <t>Rows inside the data range with a blank Package Title are skipped</t>
  </si>
  <si>
    <t>Dates</t>
  </si>
  <si>
    <t>error</t>
  </si>
  <si>
    <t>data</t>
  </si>
  <si>
    <t>Date field is a number but not in the Excel date range (40000–70000)</t>
  </si>
  <si>
    <t>Value is a number but not a real Excel date</t>
  </si>
  <si>
    <t>Date field is text that cannot be parsed</t>
  </si>
  <si>
    <t>Text value cannot be read as a date</t>
  </si>
  <si>
    <t>Values / Numeric</t>
  </si>
  <si>
    <t>Quantity or Lead Time is non-numeric</t>
  </si>
  <si>
    <t>Value is not numeric</t>
  </si>
  <si>
    <t>error / warning</t>
  </si>
  <si>
    <t>Criticality not in the Code sheet (code or description); aggregate blank count</t>
  </si>
  <si>
    <t>Criticality must be one of the listed values; empty count is reported separately</t>
  </si>
  <si>
    <t>warning</t>
  </si>
  <si>
    <t>Discipline not in the Code sheet list</t>
  </si>
  <si>
    <t>Discipline not found in the Code sheet list</t>
  </si>
  <si>
    <t>Status</t>
  </si>
  <si>
    <t>Status not in the Code sheet list (code or description)</t>
  </si>
  <si>
    <t>Status not found in the Code sheet list</t>
  </si>
  <si>
    <t>Dates / Stages</t>
  </si>
  <si>
    <t>Stage plan out of sequence (e.g., MR Plan &gt; PO Plan)</t>
  </si>
  <si>
    <t>Stage plan dates are out of sequence</t>
  </si>
  <si>
    <t>Actual date present but the matching Plan is empty</t>
  </si>
  <si>
    <t>Actual date entered but the Plan is empty</t>
  </si>
  <si>
    <t>Actual date later than today (the as-of date)</t>
  </si>
  <si>
    <t>Actual date is later than today</t>
  </si>
  <si>
    <t>Identity</t>
  </si>
  <si>
    <t>Duplicate Package No.</t>
  </si>
  <si>
    <t>Duplicate Package No. — appears N times</t>
  </si>
  <si>
    <t>Engineer</t>
  </si>
  <si>
    <t>Same engineer written differently (whitespace / slash-spacing variants)</t>
  </si>
  <si>
    <t>Same engineer written different ways — counted as N separate people</t>
  </si>
  <si>
    <t>PPP rows with a Title beyond List End Row</t>
  </si>
  <si>
    <t>Rows after List End Row contain a Package Title but are excluded</t>
  </si>
  <si>
    <t>Lead time</t>
  </si>
  <si>
    <t>Lead time missing on more than 50% of packages</t>
  </si>
  <si>
    <t>Lead time missing on N packages (X%)</t>
  </si>
  <si>
    <t>Config / Code sheet</t>
  </si>
  <si>
    <t>Code-sheet config / Data-Type mismatch (Header / List End / Start / Type)</t>
  </si>
  <si>
    <t>Header Row, List End Row, Project Start Date or Data Type issue</t>
  </si>
  <si>
    <t>Code sheet column C empty (no Data Types)</t>
  </si>
  <si>
    <t>Column C has no Data Type values — fell back to built-in</t>
  </si>
  <si>
    <t>Category</t>
  </si>
  <si>
    <t>Item Category not in the Code sheet list</t>
  </si>
  <si>
    <t>Item Category not found in the Code sheet list (reference only)</t>
  </si>
  <si>
    <t>Config / Lookup</t>
  </si>
  <si>
    <t>A lookup block absent from Code row 1, or its code column empty</t>
  </si>
  <si>
    <t>Lookup block not found in row 1</t>
  </si>
  <si>
    <t>PPP Header Row cell at the title column is blank</t>
  </si>
  <si>
    <t>Header Row has no value in the Package Title column</t>
  </si>
  <si>
    <t>Expected data rows exceed actual parsed rows</t>
  </si>
  <si>
    <t>Expected N data rows but only M had content</t>
  </si>
  <si>
    <t>V-21</t>
  </si>
  <si>
    <t>Config / Workbook</t>
  </si>
  <si>
    <t>A rule code has no row in the Code!Q:R Error table</t>
  </si>
  <si>
    <t>Rule code has no row in the Code sheet Error table</t>
  </si>
  <si>
    <t>V-22</t>
  </si>
  <si>
    <t>A lookup block's CODE column is empty while its description column has values</t>
  </si>
  <si>
    <t>Lookup code column is empty — values cannot be cross-checked</t>
  </si>
  <si>
    <t>V-23</t>
  </si>
  <si>
    <t>Progress / Execution</t>
  </si>
  <si>
    <t>Execution progress = 0 (no Actual dates in any stage, any package)</t>
  </si>
  <si>
    <t>No Actual dates entered in any stage for any package</t>
  </si>
  <si>
    <t>V-24</t>
  </si>
  <si>
    <t>Engineer unassigned / blank</t>
  </si>
  <si>
    <t>Package has no Design Engineer</t>
  </si>
  <si>
    <t>V-25</t>
  </si>
  <si>
    <t>Plan-date inconsistency (MR Plan sparse vs PO Plan present)</t>
  </si>
  <si>
    <t>MR Plan entered for few packages while PO Plan present for many</t>
  </si>
  <si>
    <t>Trigger Check</t>
  </si>
  <si>
    <t>Error Code</t>
  </si>
  <si>
    <t>Dashboard Title</t>
  </si>
  <si>
    <t>Procurement Package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</si>
</sst>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809]d\ mmm\ yyyy;@"/>
  </numFmts>
  <fonts count="10" x14ac:knownFonts="1">
    <font>
      <sz val="11"/>
      <color theme="1"/>
      <name val="Calibri"/>
      <family val="2"/>
      <scheme val="minor"/>
    </font>
    <font>
      <b/>
      <sz val="11"/>
      <color theme="1"/>
      <name val="Calibri"/>
      <family val="2"/>
      <scheme val="minor"/>
    </font>
    <font>
      <sz val="8"/>
      <name val="Calibri"/>
      <family val="2"/>
      <scheme val="minor"/>
    </font>
    <font>
      <sz val="8"/>
      <color theme="1"/>
      <name val="Calibri"/>
      <family val="2"/>
      <scheme val="minor"/>
    </font>
    <font>
      <sz val="9"/>
      <color indexed="81"/>
      <name val="Tahoma"/>
      <family val="2"/>
    </font>
    <font>
      <b/>
      <sz val="9"/>
      <color indexed="81"/>
      <name val="Tahoma"/>
      <family val="2"/>
    </font>
    <font>
      <sz val="11"/>
      <name val="Calibri"/>
      <family val="2"/>
      <scheme val="minor"/>
    </font>
    <font>
      <sz val="11"/>
      <color rgb="FFFF0000"/>
      <name val="Calibri"/>
      <family val="2"/>
      <scheme val="minor"/>
    </font>
    <font>
      <sz val="8"/>
      <color rgb="FFFF0000"/>
      <name val="Calibri"/>
      <family val="2"/>
      <scheme val="minor"/>
    </font>
    <font>
      <sz val="11"/>
      <color rgb="FF9C5700"/>
      <name val="Calibri"/>
      <family val="2"/>
      <scheme val="minor"/>
    </font>
  </fonts>
  <fills count="10">
    <fill>
      <patternFill patternType="none"/>
    </fill>
    <fill>
      <patternFill patternType="gray125"/>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EB9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9" borderId="0" applyNumberFormat="0" applyBorder="0" applyAlignment="0" applyProtection="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1"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xf>
    <xf numFmtId="0" fontId="3" fillId="0" borderId="1" xfId="0" applyFont="1" applyBorder="1" applyAlignment="1">
      <alignment vertical="top" wrapText="1"/>
    </xf>
    <xf numFmtId="0" fontId="0" fillId="0" borderId="1" xfId="0" applyBorder="1" applyAlignment="1">
      <alignment vertical="top" wrapText="1"/>
    </xf>
    <xf numFmtId="0" fontId="1" fillId="0" borderId="1" xfId="0" applyFont="1" applyBorder="1"/>
    <xf numFmtId="0" fontId="0" fillId="0" borderId="1" xfId="0" applyBorder="1"/>
    <xf numFmtId="0" fontId="0" fillId="7" borderId="1" xfId="0" applyFill="1" applyBorder="1"/>
    <xf numFmtId="0" fontId="0" fillId="0" borderId="0" xfId="0" applyAlignment="1">
      <alignment horizontal="left"/>
    </xf>
    <xf numFmtId="0" fontId="1" fillId="0" borderId="1" xfId="0" applyFont="1" applyBorder="1" applyAlignment="1">
      <alignment horizontal="left"/>
    </xf>
    <xf numFmtId="0" fontId="0" fillId="0" borderId="1" xfId="0" applyBorder="1" applyAlignment="1">
      <alignment horizontal="left"/>
    </xf>
    <xf numFmtId="164" fontId="1" fillId="4" borderId="1" xfId="0" applyNumberFormat="1" applyFont="1" applyFill="1" applyBorder="1" applyAlignment="1">
      <alignment horizontal="center" vertical="center" wrapText="1"/>
    </xf>
    <xf numFmtId="164" fontId="1" fillId="5" borderId="1" xfId="0" applyNumberFormat="1" applyFon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4" fontId="0" fillId="0" borderId="1" xfId="0" applyNumberFormat="1" applyBorder="1" applyAlignment="1">
      <alignment vertical="top"/>
    </xf>
    <xf numFmtId="164" fontId="0" fillId="0" borderId="0" xfId="0" applyNumberFormat="1" applyAlignment="1">
      <alignment vertical="top"/>
    </xf>
    <xf numFmtId="164" fontId="1" fillId="8"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7" borderId="1" xfId="0" applyFill="1" applyBorder="1" applyAlignment="1">
      <alignment vertical="top"/>
    </xf>
    <xf numFmtId="0" fontId="0" fillId="7" borderId="1" xfId="0" applyFill="1" applyBorder="1" applyAlignment="1">
      <alignment vertical="top" wrapText="1"/>
    </xf>
    <xf numFmtId="0" fontId="6" fillId="7" borderId="1" xfId="0" applyFont="1" applyFill="1" applyBorder="1" applyAlignment="1">
      <alignment vertical="top"/>
    </xf>
    <xf numFmtId="0" fontId="2" fillId="0" borderId="1" xfId="0" applyFont="1" applyBorder="1" applyAlignment="1">
      <alignment vertical="top" wrapText="1"/>
    </xf>
    <xf numFmtId="0" fontId="6" fillId="7" borderId="1" xfId="0" applyFont="1" applyFill="1" applyBorder="1" applyAlignment="1">
      <alignment vertical="top" wrapText="1"/>
    </xf>
    <xf numFmtId="0" fontId="6" fillId="7" borderId="1" xfId="0" applyFont="1" applyFill="1" applyBorder="1" applyAlignment="1">
      <alignment horizontal="left" vertical="top" wrapText="1"/>
    </xf>
    <xf numFmtId="0" fontId="7" fillId="0" borderId="1" xfId="0" applyFont="1" applyBorder="1" applyAlignment="1">
      <alignment vertical="top"/>
    </xf>
    <xf numFmtId="0" fontId="7" fillId="7" borderId="1" xfId="0" applyFont="1" applyFill="1" applyBorder="1" applyAlignment="1">
      <alignment vertical="top"/>
    </xf>
    <xf numFmtId="0" fontId="8" fillId="0" borderId="1" xfId="0" applyFont="1" applyBorder="1" applyAlignment="1">
      <alignment vertical="top" wrapText="1"/>
    </xf>
    <xf numFmtId="164" fontId="0" fillId="0" borderId="1" xfId="0" applyNumberFormat="1" applyBorder="1" applyAlignment="1">
      <alignment horizontal="left"/>
    </xf>
    <xf numFmtId="164" fontId="0" fillId="7" borderId="1" xfId="0" applyNumberFormat="1" applyFill="1" applyBorder="1" applyAlignment="1">
      <alignment vertical="top"/>
    </xf>
    <xf numFmtId="0" fontId="1" fillId="0" borderId="1" xfId="0" applyFont="1" applyBorder="1" applyAlignment="1">
      <alignment wrapText="1"/>
    </xf>
    <xf numFmtId="0" fontId="0" fillId="0" borderId="1" xfId="0" applyBorder="1" applyAlignment="1">
      <alignment wrapText="1"/>
    </xf>
    <xf numFmtId="0" fontId="0" fillId="0" borderId="0" xfId="0" applyAlignment="1">
      <alignment wrapText="1"/>
    </xf>
    <xf numFmtId="164" fontId="0" fillId="7" borderId="1" xfId="0" applyNumberFormat="1" applyFill="1" applyBorder="1" applyAlignment="1">
      <alignment horizontal="left"/>
    </xf>
    <xf numFmtId="0" fontId="0" fillId="7" borderId="1" xfId="0" applyFill="1" applyBorder="1" applyAlignment="1">
      <alignment horizontal="left"/>
    </xf>
    <xf numFmtId="0" fontId="3" fillId="7" borderId="1" xfId="0" applyFont="1" applyFill="1" applyBorder="1" applyAlignment="1">
      <alignment vertical="top" wrapText="1"/>
    </xf>
    <xf numFmtId="164" fontId="7" fillId="7" borderId="1" xfId="0" applyNumberFormat="1" applyFont="1" applyFill="1" applyBorder="1" applyAlignment="1">
      <alignment vertical="top"/>
    </xf>
    <xf numFmtId="0" fontId="0" fillId="7" borderId="0" xfId="0" applyFill="1" applyAlignment="1">
      <alignment vertical="top"/>
    </xf>
    <xf numFmtId="164" fontId="9" fillId="7" borderId="1" xfId="1" applyNumberFormat="1" applyFill="1" applyBorder="1" applyAlignment="1">
      <alignment vertical="top"/>
    </xf>
    <xf numFmtId="0" fontId="0" fillId="7" borderId="1" xfId="0" applyFill="1" applyBorder="1" applyAlignment="1">
      <alignment horizontal="center" vertical="top"/>
    </xf>
  </cellXfs>
  <cellStyles count="2">
    <cellStyle name="Neutral" xfId="1" builtinId="28"/>
    <cellStyle name="Normal" xfId="0" builtinId="0"/>
  </cellStyles>
  <dxfs count="7">
    <dxf>
      <border>
        <left style="thin">
          <color auto="1"/>
        </left>
        <right style="thin">
          <color auto="1"/>
        </right>
        <top style="thin">
          <color auto="1"/>
        </top>
        <bottom style="thin">
          <color auto="1"/>
        </bottom>
        <vertical/>
        <horizontal/>
      </border>
    </dxf>
    <dxf>
      <font>
        <color rgb="FF9C0006"/>
      </font>
      <fill>
        <patternFill>
          <bgColor rgb="FFFFC7CE"/>
        </patternFill>
      </fill>
    </dxf>
    <dxf>
      <fill>
        <patternFill>
          <bgColor theme="0" tint="-4.9989318521683403E-2"/>
        </patternFill>
      </fill>
    </dxf>
    <dxf>
      <font>
        <color rgb="FF9C0006"/>
      </font>
      <fill>
        <patternFill>
          <bgColor rgb="FFFFC7CE"/>
        </patternFill>
      </fill>
    </dxf>
    <dxf>
      <font>
        <color rgb="FF0070C0"/>
      </font>
    </dxf>
    <dxf>
      <font>
        <color rgb="FF0070C0"/>
      </font>
      <fill>
        <patternFill>
          <bgColor theme="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5B347-A212-4523-8E04-C68DA09295EC}">
  <dimension ref="A1"/>
  <sheetViews>
    <sheetView workbookViewId="0">
      <selection activeCell="D39" sqref="D39"/>
    </sheetView>
  </sheetViews>
  <sheetFormatPr defaultRowHeight="14.5" x14ac:dyDescent="0.35"/>
  <sheetData>
    <row r="1" spans="1:1" x14ac:dyDescent="0.3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4886C-5156-47C9-8E13-982672904BF9}">
  <dimension ref="A1:V40"/>
  <sheetViews>
    <sheetView tabSelected="1" workbookViewId="0">
      <selection activeCell="C12" sqref="C12"/>
    </sheetView>
  </sheetViews>
  <sheetFormatPr defaultRowHeight="14.5" x14ac:dyDescent="0.35"/>
  <cols>
    <col min="1" max="1" width="30.54296875" bestFit="1" customWidth="1"/>
    <col min="2" max="2" width="23.7265625" bestFit="1" customWidth="1"/>
    <col min="3" max="3" width="24.81640625" bestFit="1" customWidth="1"/>
    <col min="4" max="4" width="8.81640625" customWidth="1"/>
    <col min="5" max="5" width="14.1796875" bestFit="1" customWidth="1"/>
    <col min="6" max="6" width="37.81640625" bestFit="1" customWidth="1"/>
    <col min="7" max="7" width="5.1796875" bestFit="1" customWidth="1"/>
    <col min="8" max="8" width="13.81640625" style="13" bestFit="1" customWidth="1"/>
    <col min="9" max="9" width="28.81640625" style="13" bestFit="1" customWidth="1"/>
    <col min="11" max="11" width="10.81640625" bestFit="1" customWidth="1"/>
    <col min="12" max="12" width="38.81640625" bestFit="1" customWidth="1"/>
    <col min="14" max="14" width="13.26953125" bestFit="1" customWidth="1"/>
    <col min="15" max="15" width="27.1796875" bestFit="1" customWidth="1"/>
    <col min="17" max="17" width="12.36328125" customWidth="1"/>
    <col min="18" max="18" width="66.6328125" bestFit="1" customWidth="1"/>
    <col min="19" max="19" width="13.7265625" bestFit="1" customWidth="1"/>
    <col min="20" max="20" width="17.90625" style="37" bestFit="1" customWidth="1"/>
    <col min="21" max="21" width="8.1796875" customWidth="1"/>
    <col min="22" max="22" width="67.54296875" bestFit="1" customWidth="1"/>
  </cols>
  <sheetData>
    <row r="1" spans="1:22" x14ac:dyDescent="0.35">
      <c r="A1" s="10" t="s">
        <v>1</v>
      </c>
      <c r="B1" s="10" t="s">
        <v>2</v>
      </c>
      <c r="C1" s="10" t="s">
        <v>3</v>
      </c>
      <c r="E1" s="10" t="s">
        <v>4</v>
      </c>
      <c r="F1" s="10" t="s">
        <v>5</v>
      </c>
      <c r="H1" s="14" t="s">
        <v>6</v>
      </c>
      <c r="I1" s="14" t="s">
        <v>7</v>
      </c>
      <c r="K1" s="10" t="s">
        <v>8</v>
      </c>
      <c r="L1" s="10" t="s">
        <v>9</v>
      </c>
      <c r="N1" s="10" t="s">
        <v>10</v>
      </c>
      <c r="O1" s="10" t="s">
        <v>11</v>
      </c>
      <c r="Q1" s="10" t="s">
        <v>587</v>
      </c>
      <c r="R1" s="10" t="s">
        <v>12</v>
      </c>
      <c r="S1" s="10" t="s">
        <v>510</v>
      </c>
      <c r="T1" s="35" t="s">
        <v>509</v>
      </c>
      <c r="U1" s="10" t="s">
        <v>511</v>
      </c>
      <c r="V1" s="10" t="s">
        <v>586</v>
      </c>
    </row>
    <row r="2" spans="1:22" x14ac:dyDescent="0.35">
      <c r="A2" s="11" t="s">
        <v>13</v>
      </c>
      <c r="B2" s="12" t="s">
        <v>14</v>
      </c>
      <c r="C2" s="11" t="s">
        <v>15</v>
      </c>
      <c r="E2" s="11" t="s">
        <v>16</v>
      </c>
      <c r="F2" s="11" t="s">
        <v>17</v>
      </c>
      <c r="H2" s="15">
        <v>0</v>
      </c>
      <c r="I2" s="15" t="s">
        <v>18</v>
      </c>
      <c r="K2" s="11" t="s">
        <v>19</v>
      </c>
      <c r="L2" s="11" t="s">
        <v>20</v>
      </c>
      <c r="N2" s="11" t="s">
        <v>21</v>
      </c>
      <c r="O2" s="11" t="s">
        <v>22</v>
      </c>
      <c r="Q2" s="11" t="s">
        <v>23</v>
      </c>
      <c r="R2" s="11" t="s">
        <v>516</v>
      </c>
      <c r="S2" s="11" t="s">
        <v>513</v>
      </c>
      <c r="T2" s="36" t="s">
        <v>512</v>
      </c>
      <c r="U2" s="11" t="s">
        <v>514</v>
      </c>
      <c r="V2" s="11" t="s">
        <v>515</v>
      </c>
    </row>
    <row r="3" spans="1:22" x14ac:dyDescent="0.35">
      <c r="A3" s="11" t="s">
        <v>24</v>
      </c>
      <c r="B3" s="12" t="s">
        <v>25</v>
      </c>
      <c r="C3" s="11" t="s">
        <v>15</v>
      </c>
      <c r="E3" s="11" t="s">
        <v>26</v>
      </c>
      <c r="F3" s="11" t="s">
        <v>27</v>
      </c>
      <c r="H3" s="15">
        <v>1</v>
      </c>
      <c r="I3" s="15" t="s">
        <v>28</v>
      </c>
      <c r="K3" s="11" t="s">
        <v>29</v>
      </c>
      <c r="L3" s="11" t="s">
        <v>30</v>
      </c>
      <c r="N3" s="11" t="s">
        <v>31</v>
      </c>
      <c r="O3" s="11" t="s">
        <v>32</v>
      </c>
      <c r="Q3" s="11" t="s">
        <v>33</v>
      </c>
      <c r="R3" s="11" t="s">
        <v>521</v>
      </c>
      <c r="S3" s="11" t="s">
        <v>518</v>
      </c>
      <c r="T3" s="36" t="s">
        <v>517</v>
      </c>
      <c r="U3" s="11" t="s">
        <v>519</v>
      </c>
      <c r="V3" s="11" t="s">
        <v>520</v>
      </c>
    </row>
    <row r="4" spans="1:22" x14ac:dyDescent="0.35">
      <c r="A4" s="11" t="s">
        <v>34</v>
      </c>
      <c r="B4" s="12" t="s">
        <v>35</v>
      </c>
      <c r="C4" s="11" t="s">
        <v>15</v>
      </c>
      <c r="E4" s="11" t="s">
        <v>36</v>
      </c>
      <c r="F4" s="11" t="s">
        <v>37</v>
      </c>
      <c r="H4" s="15">
        <v>2</v>
      </c>
      <c r="I4" s="15" t="s">
        <v>38</v>
      </c>
      <c r="K4" s="11" t="s">
        <v>39</v>
      </c>
      <c r="L4" s="11" t="s">
        <v>40</v>
      </c>
      <c r="N4" s="11" t="s">
        <v>41</v>
      </c>
      <c r="O4" s="11" t="s">
        <v>42</v>
      </c>
      <c r="Q4" s="11" t="s">
        <v>43</v>
      </c>
      <c r="R4" s="11" t="s">
        <v>523</v>
      </c>
      <c r="S4" s="11" t="s">
        <v>518</v>
      </c>
      <c r="T4" s="36" t="s">
        <v>517</v>
      </c>
      <c r="U4" s="11" t="s">
        <v>519</v>
      </c>
      <c r="V4" s="11" t="s">
        <v>522</v>
      </c>
    </row>
    <row r="5" spans="1:22" x14ac:dyDescent="0.35">
      <c r="A5" s="11" t="s">
        <v>44</v>
      </c>
      <c r="B5" s="12" t="s">
        <v>45</v>
      </c>
      <c r="C5" s="11" t="s">
        <v>15</v>
      </c>
      <c r="E5" s="11" t="s">
        <v>46</v>
      </c>
      <c r="F5" s="11" t="s">
        <v>47</v>
      </c>
      <c r="H5" s="15">
        <v>3</v>
      </c>
      <c r="I5" s="15" t="s">
        <v>48</v>
      </c>
      <c r="K5" s="11" t="s">
        <v>49</v>
      </c>
      <c r="L5" s="11" t="s">
        <v>50</v>
      </c>
      <c r="N5" s="11" t="s">
        <v>51</v>
      </c>
      <c r="O5" s="11" t="s">
        <v>52</v>
      </c>
      <c r="Q5" s="11" t="s">
        <v>53</v>
      </c>
      <c r="R5" s="11" t="s">
        <v>526</v>
      </c>
      <c r="S5" s="11" t="s">
        <v>518</v>
      </c>
      <c r="T5" s="36" t="s">
        <v>524</v>
      </c>
      <c r="U5" s="11" t="s">
        <v>519</v>
      </c>
      <c r="V5" s="11" t="s">
        <v>525</v>
      </c>
    </row>
    <row r="6" spans="1:22" x14ac:dyDescent="0.35">
      <c r="A6" s="11" t="s">
        <v>588</v>
      </c>
      <c r="B6" s="12" t="s">
        <v>589</v>
      </c>
      <c r="C6" s="11" t="s">
        <v>15</v>
      </c>
      <c r="E6" s="11" t="s">
        <v>56</v>
      </c>
      <c r="F6" s="11" t="s">
        <v>57</v>
      </c>
      <c r="H6" s="15">
        <v>4</v>
      </c>
      <c r="I6" s="15" t="s">
        <v>58</v>
      </c>
      <c r="K6" s="11" t="s">
        <v>59</v>
      </c>
      <c r="L6" s="11" t="s">
        <v>60</v>
      </c>
      <c r="N6" s="11" t="s">
        <v>61</v>
      </c>
      <c r="O6" s="11" t="s">
        <v>62</v>
      </c>
      <c r="Q6" s="11" t="s">
        <v>63</v>
      </c>
      <c r="R6" s="11" t="s">
        <v>529</v>
      </c>
      <c r="S6" s="11" t="s">
        <v>527</v>
      </c>
      <c r="T6" s="36" t="s">
        <v>7</v>
      </c>
      <c r="U6" s="11" t="s">
        <v>519</v>
      </c>
      <c r="V6" s="11" t="s">
        <v>528</v>
      </c>
    </row>
    <row r="7" spans="1:22" x14ac:dyDescent="0.35">
      <c r="A7" s="11" t="s">
        <v>54</v>
      </c>
      <c r="B7" s="38">
        <v>46100</v>
      </c>
      <c r="C7" s="33" t="s">
        <v>55</v>
      </c>
      <c r="E7" s="11" t="s">
        <v>66</v>
      </c>
      <c r="F7" s="11" t="s">
        <v>67</v>
      </c>
      <c r="H7" s="15"/>
      <c r="I7" s="15"/>
      <c r="K7" s="11" t="s">
        <v>68</v>
      </c>
      <c r="L7" s="11" t="s">
        <v>69</v>
      </c>
      <c r="N7" s="11" t="s">
        <v>70</v>
      </c>
      <c r="O7" s="11" t="s">
        <v>71</v>
      </c>
      <c r="Q7" s="11" t="s">
        <v>72</v>
      </c>
      <c r="R7" s="11" t="s">
        <v>532</v>
      </c>
      <c r="S7" s="11" t="s">
        <v>530</v>
      </c>
      <c r="T7" s="36" t="s">
        <v>90</v>
      </c>
      <c r="U7" s="11" t="s">
        <v>519</v>
      </c>
      <c r="V7" s="11" t="s">
        <v>531</v>
      </c>
    </row>
    <row r="8" spans="1:22" x14ac:dyDescent="0.35">
      <c r="A8" s="11" t="s">
        <v>64</v>
      </c>
      <c r="B8" s="39">
        <v>1</v>
      </c>
      <c r="C8" s="15" t="s">
        <v>65</v>
      </c>
      <c r="E8" s="11" t="s">
        <v>74</v>
      </c>
      <c r="F8" s="11" t="s">
        <v>75</v>
      </c>
      <c r="K8" s="11" t="s">
        <v>76</v>
      </c>
      <c r="L8" s="11" t="s">
        <v>77</v>
      </c>
      <c r="N8" s="11" t="s">
        <v>78</v>
      </c>
      <c r="O8" s="11" t="s">
        <v>79</v>
      </c>
      <c r="Q8" s="11" t="s">
        <v>80</v>
      </c>
      <c r="R8" s="11" t="s">
        <v>535</v>
      </c>
      <c r="S8" s="11" t="s">
        <v>518</v>
      </c>
      <c r="T8" s="36" t="s">
        <v>533</v>
      </c>
      <c r="U8" s="11" t="s">
        <v>519</v>
      </c>
      <c r="V8" s="11" t="s">
        <v>534</v>
      </c>
    </row>
    <row r="9" spans="1:22" x14ac:dyDescent="0.35">
      <c r="A9" s="11" t="s">
        <v>73</v>
      </c>
      <c r="B9" s="39">
        <v>300</v>
      </c>
      <c r="C9" s="15" t="s">
        <v>65</v>
      </c>
      <c r="E9" s="11" t="s">
        <v>83</v>
      </c>
      <c r="F9" s="11" t="s">
        <v>84</v>
      </c>
      <c r="K9" s="11" t="s">
        <v>85</v>
      </c>
      <c r="L9" s="11" t="s">
        <v>86</v>
      </c>
      <c r="N9" s="11" t="s">
        <v>87</v>
      </c>
      <c r="O9" s="11" t="s">
        <v>88</v>
      </c>
      <c r="Q9" s="11" t="s">
        <v>89</v>
      </c>
      <c r="R9" s="11" t="s">
        <v>538</v>
      </c>
      <c r="S9" s="11" t="s">
        <v>530</v>
      </c>
      <c r="T9" s="36" t="s">
        <v>536</v>
      </c>
      <c r="U9" s="11" t="s">
        <v>519</v>
      </c>
      <c r="V9" s="11" t="s">
        <v>537</v>
      </c>
    </row>
    <row r="10" spans="1:22" x14ac:dyDescent="0.35">
      <c r="A10" s="11" t="s">
        <v>81</v>
      </c>
      <c r="B10" s="15" t="s">
        <v>82</v>
      </c>
      <c r="C10" s="15" t="s">
        <v>65</v>
      </c>
      <c r="E10" s="11" t="s">
        <v>92</v>
      </c>
      <c r="F10" s="11" t="s">
        <v>93</v>
      </c>
      <c r="K10" s="11" t="s">
        <v>94</v>
      </c>
      <c r="L10" s="11" t="s">
        <v>95</v>
      </c>
      <c r="N10" s="11" t="s">
        <v>96</v>
      </c>
      <c r="O10" s="11" t="s">
        <v>97</v>
      </c>
      <c r="Q10" s="11" t="s">
        <v>98</v>
      </c>
      <c r="R10" s="11" t="s">
        <v>540</v>
      </c>
      <c r="S10" s="11" t="s">
        <v>530</v>
      </c>
      <c r="T10" s="36" t="s">
        <v>536</v>
      </c>
      <c r="U10" s="11" t="s">
        <v>519</v>
      </c>
      <c r="V10" s="11" t="s">
        <v>539</v>
      </c>
    </row>
    <row r="11" spans="1:22" x14ac:dyDescent="0.35">
      <c r="A11" s="11" t="s">
        <v>90</v>
      </c>
      <c r="B11" s="15" t="s">
        <v>91</v>
      </c>
      <c r="C11" s="15" t="s">
        <v>15</v>
      </c>
      <c r="E11" s="11" t="s">
        <v>101</v>
      </c>
      <c r="F11" s="11" t="s">
        <v>102</v>
      </c>
      <c r="K11" s="11" t="s">
        <v>103</v>
      </c>
      <c r="L11" s="11" t="s">
        <v>104</v>
      </c>
      <c r="N11" s="11" t="s">
        <v>105</v>
      </c>
      <c r="O11" s="11" t="s">
        <v>106</v>
      </c>
      <c r="Q11" s="11" t="s">
        <v>107</v>
      </c>
      <c r="R11" s="11" t="s">
        <v>542</v>
      </c>
      <c r="S11" s="11" t="s">
        <v>530</v>
      </c>
      <c r="T11" s="36" t="s">
        <v>536</v>
      </c>
      <c r="U11" s="11" t="s">
        <v>519</v>
      </c>
      <c r="V11" s="11" t="s">
        <v>541</v>
      </c>
    </row>
    <row r="12" spans="1:22" x14ac:dyDescent="0.35">
      <c r="A12" s="11" t="s">
        <v>99</v>
      </c>
      <c r="B12" s="15" t="s">
        <v>100</v>
      </c>
      <c r="C12" s="15" t="s">
        <v>15</v>
      </c>
      <c r="E12" s="11" t="s">
        <v>110</v>
      </c>
      <c r="F12" s="11" t="s">
        <v>111</v>
      </c>
      <c r="K12" s="11"/>
      <c r="L12" s="11"/>
      <c r="N12" s="11" t="s">
        <v>112</v>
      </c>
      <c r="O12" s="11" t="s">
        <v>113</v>
      </c>
      <c r="Q12" s="11" t="s">
        <v>114</v>
      </c>
      <c r="R12" s="11" t="s">
        <v>545</v>
      </c>
      <c r="S12" s="11" t="s">
        <v>530</v>
      </c>
      <c r="T12" s="36" t="s">
        <v>543</v>
      </c>
      <c r="U12" s="11" t="s">
        <v>519</v>
      </c>
      <c r="V12" s="11" t="s">
        <v>544</v>
      </c>
    </row>
    <row r="13" spans="1:22" x14ac:dyDescent="0.35">
      <c r="A13" s="11" t="s">
        <v>108</v>
      </c>
      <c r="B13" s="15" t="s">
        <v>109</v>
      </c>
      <c r="C13" s="15" t="s">
        <v>15</v>
      </c>
      <c r="E13" s="11" t="s">
        <v>116</v>
      </c>
      <c r="F13" s="11" t="s">
        <v>117</v>
      </c>
      <c r="N13" s="11" t="s">
        <v>118</v>
      </c>
      <c r="O13" s="11" t="s">
        <v>119</v>
      </c>
      <c r="Q13" s="11" t="s">
        <v>120</v>
      </c>
      <c r="R13" s="11" t="s">
        <v>548</v>
      </c>
      <c r="S13" s="11" t="s">
        <v>530</v>
      </c>
      <c r="T13" s="36" t="s">
        <v>546</v>
      </c>
      <c r="U13" s="11" t="s">
        <v>519</v>
      </c>
      <c r="V13" s="11" t="s">
        <v>547</v>
      </c>
    </row>
    <row r="14" spans="1:22" x14ac:dyDescent="0.35">
      <c r="A14" s="11" t="s">
        <v>11</v>
      </c>
      <c r="B14" s="15" t="s">
        <v>115</v>
      </c>
      <c r="C14" s="15" t="s">
        <v>15</v>
      </c>
      <c r="E14" s="11" t="s">
        <v>123</v>
      </c>
      <c r="F14" s="11" t="s">
        <v>124</v>
      </c>
      <c r="N14" s="11" t="s">
        <v>125</v>
      </c>
      <c r="O14" s="11" t="s">
        <v>126</v>
      </c>
      <c r="Q14" s="11" t="s">
        <v>127</v>
      </c>
      <c r="R14" s="11" t="s">
        <v>550</v>
      </c>
      <c r="S14" s="11" t="s">
        <v>530</v>
      </c>
      <c r="T14" s="36" t="s">
        <v>512</v>
      </c>
      <c r="U14" s="11" t="s">
        <v>514</v>
      </c>
      <c r="V14" s="11" t="s">
        <v>549</v>
      </c>
    </row>
    <row r="15" spans="1:22" x14ac:dyDescent="0.35">
      <c r="A15" s="11" t="s">
        <v>121</v>
      </c>
      <c r="B15" s="15" t="s">
        <v>122</v>
      </c>
      <c r="C15" s="15" t="s">
        <v>15</v>
      </c>
      <c r="E15" s="11" t="s">
        <v>130</v>
      </c>
      <c r="F15" s="11" t="s">
        <v>131</v>
      </c>
      <c r="N15" s="11" t="s">
        <v>132</v>
      </c>
      <c r="O15" s="11" t="s">
        <v>133</v>
      </c>
      <c r="Q15" s="11" t="s">
        <v>134</v>
      </c>
      <c r="R15" s="11" t="s">
        <v>553</v>
      </c>
      <c r="S15" s="11" t="s">
        <v>530</v>
      </c>
      <c r="T15" s="36" t="s">
        <v>551</v>
      </c>
      <c r="U15" s="11" t="s">
        <v>519</v>
      </c>
      <c r="V15" s="11" t="s">
        <v>552</v>
      </c>
    </row>
    <row r="16" spans="1:22" x14ac:dyDescent="0.35">
      <c r="A16" s="11" t="s">
        <v>128</v>
      </c>
      <c r="B16" s="15" t="s">
        <v>129</v>
      </c>
      <c r="C16" s="15" t="s">
        <v>15</v>
      </c>
      <c r="E16" s="11" t="s">
        <v>137</v>
      </c>
      <c r="F16" s="11" t="s">
        <v>138</v>
      </c>
      <c r="N16" s="11" t="s">
        <v>139</v>
      </c>
      <c r="O16" s="11" t="s">
        <v>140</v>
      </c>
      <c r="Q16" s="11" t="s">
        <v>141</v>
      </c>
      <c r="R16" s="11" t="s">
        <v>556</v>
      </c>
      <c r="S16" s="11" t="s">
        <v>527</v>
      </c>
      <c r="T16" s="36" t="s">
        <v>554</v>
      </c>
      <c r="U16" s="11" t="s">
        <v>514</v>
      </c>
      <c r="V16" s="11" t="s">
        <v>555</v>
      </c>
    </row>
    <row r="17" spans="1:22" x14ac:dyDescent="0.35">
      <c r="A17" s="11" t="s">
        <v>135</v>
      </c>
      <c r="B17" s="15" t="s">
        <v>136</v>
      </c>
      <c r="C17" s="15" t="s">
        <v>15</v>
      </c>
      <c r="E17" s="11" t="s">
        <v>143</v>
      </c>
      <c r="F17" s="11" t="s">
        <v>144</v>
      </c>
      <c r="N17" s="11" t="s">
        <v>145</v>
      </c>
      <c r="O17" s="11" t="s">
        <v>146</v>
      </c>
      <c r="Q17" s="11" t="s">
        <v>147</v>
      </c>
      <c r="R17" s="11" t="s">
        <v>558</v>
      </c>
      <c r="S17" s="11" t="s">
        <v>530</v>
      </c>
      <c r="T17" s="36" t="s">
        <v>554</v>
      </c>
      <c r="U17" s="11" t="s">
        <v>514</v>
      </c>
      <c r="V17" s="11" t="s">
        <v>557</v>
      </c>
    </row>
    <row r="18" spans="1:22" x14ac:dyDescent="0.35">
      <c r="A18" s="11" t="s">
        <v>7</v>
      </c>
      <c r="B18" s="15" t="s">
        <v>142</v>
      </c>
      <c r="C18" s="15" t="s">
        <v>15</v>
      </c>
      <c r="E18" s="11" t="s">
        <v>151</v>
      </c>
      <c r="F18" s="11" t="s">
        <v>152</v>
      </c>
      <c r="N18" s="11" t="s">
        <v>153</v>
      </c>
      <c r="O18" s="11" t="s">
        <v>154</v>
      </c>
      <c r="Q18" s="11" t="s">
        <v>155</v>
      </c>
      <c r="R18" s="11" t="s">
        <v>561</v>
      </c>
      <c r="S18" s="11" t="s">
        <v>513</v>
      </c>
      <c r="T18" s="36" t="s">
        <v>559</v>
      </c>
      <c r="U18" s="11" t="s">
        <v>519</v>
      </c>
      <c r="V18" s="11" t="s">
        <v>560</v>
      </c>
    </row>
    <row r="19" spans="1:22" x14ac:dyDescent="0.35">
      <c r="A19" s="11" t="s">
        <v>148</v>
      </c>
      <c r="B19" s="15" t="s">
        <v>149</v>
      </c>
      <c r="C19" s="15" t="s">
        <v>150</v>
      </c>
      <c r="E19" s="11" t="s">
        <v>158</v>
      </c>
      <c r="F19" s="11" t="s">
        <v>159</v>
      </c>
      <c r="N19" s="11" t="s">
        <v>160</v>
      </c>
      <c r="O19" s="11" t="s">
        <v>161</v>
      </c>
      <c r="Q19" s="11" t="s">
        <v>162</v>
      </c>
      <c r="R19" s="11" t="s">
        <v>564</v>
      </c>
      <c r="S19" s="11" t="s">
        <v>530</v>
      </c>
      <c r="T19" s="36" t="s">
        <v>562</v>
      </c>
      <c r="U19" s="11" t="s">
        <v>514</v>
      </c>
      <c r="V19" s="11" t="s">
        <v>563</v>
      </c>
    </row>
    <row r="20" spans="1:22" x14ac:dyDescent="0.35">
      <c r="A20" s="11" t="s">
        <v>156</v>
      </c>
      <c r="B20" s="15" t="s">
        <v>157</v>
      </c>
      <c r="C20" s="15" t="s">
        <v>65</v>
      </c>
      <c r="E20" s="11" t="s">
        <v>164</v>
      </c>
      <c r="F20" s="11" t="s">
        <v>165</v>
      </c>
      <c r="N20" s="11" t="s">
        <v>166</v>
      </c>
      <c r="O20" s="11" t="s">
        <v>167</v>
      </c>
      <c r="Q20" s="11" t="s">
        <v>168</v>
      </c>
      <c r="R20" s="11" t="s">
        <v>566</v>
      </c>
      <c r="S20" s="11" t="s">
        <v>530</v>
      </c>
      <c r="T20" s="11" t="s">
        <v>554</v>
      </c>
      <c r="U20" s="11" t="s">
        <v>514</v>
      </c>
      <c r="V20" s="11" t="s">
        <v>565</v>
      </c>
    </row>
    <row r="21" spans="1:22" x14ac:dyDescent="0.35">
      <c r="A21" s="11" t="s">
        <v>9</v>
      </c>
      <c r="B21" s="15" t="s">
        <v>163</v>
      </c>
      <c r="C21" s="15" t="s">
        <v>15</v>
      </c>
      <c r="E21" s="11"/>
      <c r="F21" s="11"/>
      <c r="N21" s="11"/>
      <c r="O21" s="11"/>
      <c r="Q21" s="11" t="s">
        <v>171</v>
      </c>
      <c r="R21" s="11" t="s">
        <v>568</v>
      </c>
      <c r="S21" s="11" t="s">
        <v>530</v>
      </c>
      <c r="T21" s="36" t="s">
        <v>512</v>
      </c>
      <c r="U21" s="11" t="s">
        <v>514</v>
      </c>
      <c r="V21" s="11" t="s">
        <v>567</v>
      </c>
    </row>
    <row r="22" spans="1:22" x14ac:dyDescent="0.35">
      <c r="A22" s="11" t="s">
        <v>169</v>
      </c>
      <c r="B22" s="15" t="s">
        <v>170</v>
      </c>
      <c r="C22" s="15" t="s">
        <v>15</v>
      </c>
      <c r="Q22" s="11" t="s">
        <v>569</v>
      </c>
      <c r="R22" s="11" t="s">
        <v>572</v>
      </c>
      <c r="S22" s="11" t="s">
        <v>530</v>
      </c>
      <c r="T22" s="36" t="s">
        <v>570</v>
      </c>
      <c r="U22" s="11" t="s">
        <v>514</v>
      </c>
      <c r="V22" s="11" t="s">
        <v>571</v>
      </c>
    </row>
    <row r="23" spans="1:22" x14ac:dyDescent="0.35">
      <c r="A23" s="11" t="s">
        <v>172</v>
      </c>
      <c r="B23" s="15" t="s">
        <v>173</v>
      </c>
      <c r="C23" s="15" t="s">
        <v>15</v>
      </c>
      <c r="Q23" s="11" t="s">
        <v>573</v>
      </c>
      <c r="R23" s="11" t="s">
        <v>575</v>
      </c>
      <c r="S23" s="11" t="s">
        <v>530</v>
      </c>
      <c r="T23" s="36" t="s">
        <v>562</v>
      </c>
      <c r="U23" s="11" t="s">
        <v>514</v>
      </c>
      <c r="V23" s="11" t="s">
        <v>574</v>
      </c>
    </row>
    <row r="24" spans="1:22" x14ac:dyDescent="0.35">
      <c r="A24" s="11" t="s">
        <v>174</v>
      </c>
      <c r="B24" s="15" t="s">
        <v>175</v>
      </c>
      <c r="C24" s="15" t="s">
        <v>15</v>
      </c>
      <c r="Q24" s="11" t="s">
        <v>576</v>
      </c>
      <c r="R24" s="11" t="s">
        <v>579</v>
      </c>
      <c r="S24" s="11" t="s">
        <v>530</v>
      </c>
      <c r="T24" s="36" t="s">
        <v>577</v>
      </c>
      <c r="U24" s="11" t="s">
        <v>519</v>
      </c>
      <c r="V24" s="11" t="s">
        <v>578</v>
      </c>
    </row>
    <row r="25" spans="1:22" x14ac:dyDescent="0.35">
      <c r="A25" s="11" t="s">
        <v>176</v>
      </c>
      <c r="B25" s="15" t="s">
        <v>177</v>
      </c>
      <c r="C25" s="15" t="s">
        <v>15</v>
      </c>
      <c r="Q25" s="11" t="s">
        <v>580</v>
      </c>
      <c r="R25" s="11" t="s">
        <v>582</v>
      </c>
      <c r="S25" s="11" t="s">
        <v>530</v>
      </c>
      <c r="T25" s="36" t="s">
        <v>546</v>
      </c>
      <c r="U25" s="11" t="s">
        <v>519</v>
      </c>
      <c r="V25" s="11" t="s">
        <v>581</v>
      </c>
    </row>
    <row r="26" spans="1:22" x14ac:dyDescent="0.35">
      <c r="A26" s="11" t="s">
        <v>178</v>
      </c>
      <c r="B26" s="15" t="s">
        <v>179</v>
      </c>
      <c r="C26" s="15" t="s">
        <v>55</v>
      </c>
      <c r="Q26" s="11" t="s">
        <v>583</v>
      </c>
      <c r="R26" s="11" t="s">
        <v>585</v>
      </c>
      <c r="S26" s="11" t="s">
        <v>530</v>
      </c>
      <c r="T26" s="36" t="s">
        <v>536</v>
      </c>
      <c r="U26" s="11" t="s">
        <v>519</v>
      </c>
      <c r="V26" s="11" t="s">
        <v>584</v>
      </c>
    </row>
    <row r="27" spans="1:22" x14ac:dyDescent="0.35">
      <c r="A27" s="11" t="s">
        <v>180</v>
      </c>
      <c r="B27" s="15" t="s">
        <v>181</v>
      </c>
      <c r="C27" s="15" t="s">
        <v>55</v>
      </c>
      <c r="Q27" s="11"/>
      <c r="R27" s="11"/>
      <c r="S27" s="11"/>
      <c r="T27" s="36"/>
      <c r="U27" s="11"/>
      <c r="V27" s="11"/>
    </row>
    <row r="28" spans="1:22" x14ac:dyDescent="0.35">
      <c r="A28" s="11" t="s">
        <v>182</v>
      </c>
      <c r="B28" s="15" t="s">
        <v>183</v>
      </c>
      <c r="C28" s="15" t="s">
        <v>55</v>
      </c>
    </row>
    <row r="29" spans="1:22" x14ac:dyDescent="0.35">
      <c r="A29" s="11" t="s">
        <v>184</v>
      </c>
      <c r="B29" s="15" t="s">
        <v>185</v>
      </c>
      <c r="C29" s="15" t="s">
        <v>55</v>
      </c>
    </row>
    <row r="30" spans="1:22" x14ac:dyDescent="0.35">
      <c r="A30" s="11" t="s">
        <v>186</v>
      </c>
      <c r="B30" s="15" t="s">
        <v>187</v>
      </c>
      <c r="C30" s="15" t="s">
        <v>55</v>
      </c>
    </row>
    <row r="31" spans="1:22" x14ac:dyDescent="0.35">
      <c r="A31" s="11" t="s">
        <v>188</v>
      </c>
      <c r="B31" s="15" t="s">
        <v>189</v>
      </c>
      <c r="C31" s="15" t="s">
        <v>55</v>
      </c>
    </row>
    <row r="32" spans="1:22" x14ac:dyDescent="0.35">
      <c r="A32" s="11" t="s">
        <v>190</v>
      </c>
      <c r="B32" s="15" t="s">
        <v>191</v>
      </c>
      <c r="C32" s="15" t="s">
        <v>55</v>
      </c>
    </row>
    <row r="33" spans="1:3" x14ac:dyDescent="0.35">
      <c r="A33" s="11" t="s">
        <v>192</v>
      </c>
      <c r="B33" s="15" t="s">
        <v>193</v>
      </c>
      <c r="C33" s="15" t="s">
        <v>55</v>
      </c>
    </row>
    <row r="34" spans="1:3" x14ac:dyDescent="0.35">
      <c r="A34" s="11" t="s">
        <v>194</v>
      </c>
      <c r="B34" s="15" t="s">
        <v>195</v>
      </c>
      <c r="C34" s="15" t="s">
        <v>55</v>
      </c>
    </row>
    <row r="35" spans="1:3" x14ac:dyDescent="0.35">
      <c r="A35" s="11" t="s">
        <v>196</v>
      </c>
      <c r="B35" s="15" t="s">
        <v>197</v>
      </c>
      <c r="C35" s="15" t="s">
        <v>55</v>
      </c>
    </row>
    <row r="36" spans="1:3" x14ac:dyDescent="0.35">
      <c r="A36" s="11" t="s">
        <v>198</v>
      </c>
      <c r="B36" s="15" t="s">
        <v>199</v>
      </c>
      <c r="C36" s="15" t="s">
        <v>55</v>
      </c>
    </row>
    <row r="37" spans="1:3" x14ac:dyDescent="0.35">
      <c r="A37" s="11" t="s">
        <v>200</v>
      </c>
      <c r="B37" s="15" t="s">
        <v>201</v>
      </c>
      <c r="C37" s="15" t="s">
        <v>55</v>
      </c>
    </row>
    <row r="38" spans="1:3" x14ac:dyDescent="0.35">
      <c r="A38" s="11" t="s">
        <v>202</v>
      </c>
      <c r="B38" s="15" t="s">
        <v>203</v>
      </c>
      <c r="C38" s="15" t="s">
        <v>55</v>
      </c>
    </row>
    <row r="39" spans="1:3" x14ac:dyDescent="0.35">
      <c r="A39" s="11" t="s">
        <v>204</v>
      </c>
      <c r="B39" s="15" t="s">
        <v>205</v>
      </c>
      <c r="C39" s="15" t="s">
        <v>55</v>
      </c>
    </row>
    <row r="40" spans="1:3" x14ac:dyDescent="0.35">
      <c r="A40" s="11" t="s">
        <v>206</v>
      </c>
      <c r="B40" s="15" t="s">
        <v>207</v>
      </c>
      <c r="C40" s="15" t="s">
        <v>55</v>
      </c>
    </row>
  </sheetData>
  <sortState xmlns:xlrd2="http://schemas.microsoft.com/office/spreadsheetml/2017/richdata2" ref="O2:O19">
    <sortCondition ref="O2:O19"/>
  </sortState>
  <phoneticPr fontId="2" type="noConversion"/>
  <conditionalFormatting sqref="A1:XFD1">
    <cfRule type="duplicateValues" dxfId="6" priority="1"/>
  </conditionalFormatting>
  <conditionalFormatting sqref="F2:F21">
    <cfRule type="expression" dxfId="5" priority="4">
      <formula>F2=""</formula>
    </cfRule>
  </conditionalFormatting>
  <conditionalFormatting sqref="I2:I7">
    <cfRule type="expression" dxfId="4" priority="3">
      <formula>I2=""</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AE130"/>
  <sheetViews>
    <sheetView view="pageBreakPreview" zoomScale="85" zoomScaleNormal="40" zoomScaleSheetLayoutView="85" workbookViewId="0">
      <pane xSplit="3" ySplit="1" topLeftCell="N4" activePane="bottomRight" state="frozen"/>
      <selection pane="topRight" activeCell="D1" sqref="D1"/>
      <selection pane="bottomLeft" activeCell="A2" sqref="A2"/>
      <selection pane="bottomRight" activeCell="T109" sqref="T109"/>
    </sheetView>
  </sheetViews>
  <sheetFormatPr defaultColWidth="8.7265625" defaultRowHeight="14.5" x14ac:dyDescent="0.35"/>
  <cols>
    <col min="1" max="1" width="6.54296875" style="2" customWidth="1"/>
    <col min="2" max="2" width="35.81640625" style="3" bestFit="1" customWidth="1"/>
    <col min="3" max="3" width="46.26953125" style="3" customWidth="1"/>
    <col min="4" max="4" width="12" style="3" customWidth="1"/>
    <col min="5" max="5" width="28.1796875" style="3" bestFit="1" customWidth="1"/>
    <col min="6" max="6" width="10.1796875" style="4" bestFit="1" customWidth="1"/>
    <col min="7" max="7" width="72.1796875" style="4" customWidth="1"/>
    <col min="8" max="8" width="31.1796875" style="4" customWidth="1"/>
    <col min="9" max="9" width="28.7265625" style="3" bestFit="1" customWidth="1"/>
    <col min="10" max="10" width="12.1796875" style="3" bestFit="1" customWidth="1"/>
    <col min="11" max="11" width="12.1796875" style="3" customWidth="1"/>
    <col min="12" max="12" width="40.81640625" style="3" bestFit="1" customWidth="1"/>
    <col min="13" max="13" width="23.453125" style="3" bestFit="1" customWidth="1"/>
    <col min="14" max="14" width="18.26953125" style="3" customWidth="1"/>
    <col min="15" max="16" width="11.1796875" style="3" customWidth="1"/>
    <col min="17" max="19" width="12.54296875" style="21" customWidth="1"/>
    <col min="20" max="20" width="15.1796875" style="21" customWidth="1"/>
    <col min="21" max="31" width="12.54296875" style="21" customWidth="1"/>
    <col min="32" max="16384" width="8.7265625" style="3"/>
  </cols>
  <sheetData>
    <row r="1" spans="1:31" s="1" customFormat="1" ht="58" x14ac:dyDescent="0.35">
      <c r="A1" s="5" t="s">
        <v>208</v>
      </c>
      <c r="B1" s="5" t="s">
        <v>209</v>
      </c>
      <c r="C1" s="5" t="s">
        <v>210</v>
      </c>
      <c r="D1" s="5" t="s">
        <v>211</v>
      </c>
      <c r="E1" s="5" t="s">
        <v>212</v>
      </c>
      <c r="F1" s="5" t="s">
        <v>213</v>
      </c>
      <c r="G1" s="5" t="s">
        <v>214</v>
      </c>
      <c r="H1" s="5" t="s">
        <v>215</v>
      </c>
      <c r="I1" s="5" t="s">
        <v>216</v>
      </c>
      <c r="J1" s="5" t="s">
        <v>217</v>
      </c>
      <c r="K1" s="5" t="s">
        <v>218</v>
      </c>
      <c r="L1" s="5" t="s">
        <v>219</v>
      </c>
      <c r="M1" s="5" t="s">
        <v>220</v>
      </c>
      <c r="N1" s="23" t="s">
        <v>221</v>
      </c>
      <c r="O1" s="23" t="s">
        <v>222</v>
      </c>
      <c r="P1" s="23" t="s">
        <v>223</v>
      </c>
      <c r="Q1" s="16" t="s">
        <v>224</v>
      </c>
      <c r="R1" s="16" t="s">
        <v>225</v>
      </c>
      <c r="S1" s="16" t="s">
        <v>226</v>
      </c>
      <c r="T1" s="17" t="s">
        <v>227</v>
      </c>
      <c r="U1" s="17" t="s">
        <v>228</v>
      </c>
      <c r="V1" s="17" t="s">
        <v>229</v>
      </c>
      <c r="W1" s="22" t="s">
        <v>230</v>
      </c>
      <c r="X1" s="22" t="s">
        <v>231</v>
      </c>
      <c r="Y1" s="22" t="s">
        <v>232</v>
      </c>
      <c r="Z1" s="18" t="s">
        <v>233</v>
      </c>
      <c r="AA1" s="18" t="s">
        <v>234</v>
      </c>
      <c r="AB1" s="18" t="s">
        <v>235</v>
      </c>
      <c r="AC1" s="19" t="s">
        <v>236</v>
      </c>
      <c r="AD1" s="19" t="s">
        <v>237</v>
      </c>
      <c r="AE1" s="19" t="s">
        <v>238</v>
      </c>
    </row>
    <row r="2" spans="1:31" hidden="1" x14ac:dyDescent="0.35">
      <c r="A2" s="6">
        <v>1</v>
      </c>
      <c r="B2" s="7" t="s">
        <v>47</v>
      </c>
      <c r="C2" s="24" t="s">
        <v>239</v>
      </c>
      <c r="D2" s="7" t="str">
        <f>"MR-"&amp;_xlfn.XLOOKUP(B2, Code!$F:$F, Code!$E:$E, "NA")&amp;"-"&amp;TEXT(A2,"0000")</f>
        <v>MR-D-0001</v>
      </c>
      <c r="E2" s="7" t="s">
        <v>62</v>
      </c>
      <c r="F2" s="8" t="s">
        <v>240</v>
      </c>
      <c r="G2" s="8"/>
      <c r="H2" s="8"/>
      <c r="I2" s="24" t="s">
        <v>18</v>
      </c>
      <c r="J2" s="7"/>
      <c r="K2" s="7">
        <v>30</v>
      </c>
      <c r="L2" s="24" t="s">
        <v>60</v>
      </c>
      <c r="M2" s="7"/>
      <c r="N2" s="7" t="s">
        <v>241</v>
      </c>
      <c r="O2" s="7"/>
      <c r="P2" s="7"/>
      <c r="Q2" s="34">
        <v>46218</v>
      </c>
      <c r="R2" s="20"/>
      <c r="S2" s="20"/>
      <c r="T2" s="34">
        <v>46249</v>
      </c>
      <c r="U2" s="20"/>
      <c r="V2" s="34">
        <v>46295</v>
      </c>
      <c r="W2" s="34"/>
      <c r="X2" s="20"/>
      <c r="Y2" s="20"/>
      <c r="Z2" s="34"/>
      <c r="AA2" s="20"/>
      <c r="AB2" s="20"/>
      <c r="AC2" s="34">
        <v>46280</v>
      </c>
      <c r="AD2" s="20"/>
      <c r="AE2" s="20"/>
    </row>
    <row r="3" spans="1:31" ht="25.15" hidden="1" customHeight="1" x14ac:dyDescent="0.35">
      <c r="A3" s="6">
        <v>2</v>
      </c>
      <c r="B3" s="7" t="s">
        <v>47</v>
      </c>
      <c r="C3" s="24" t="s">
        <v>242</v>
      </c>
      <c r="D3" s="7" t="str">
        <f>"MR-"&amp;_xlfn.XLOOKUP(B3, Code!$F:$F, Code!$E:$E, "NA")&amp;"-"&amp;TEXT(A3,"0000")</f>
        <v>MR-D-0002</v>
      </c>
      <c r="E3" s="7" t="s">
        <v>62</v>
      </c>
      <c r="F3" s="8" t="s">
        <v>240</v>
      </c>
      <c r="G3" s="8"/>
      <c r="H3" s="8" t="s">
        <v>243</v>
      </c>
      <c r="I3" s="24" t="s">
        <v>18</v>
      </c>
      <c r="J3" s="7"/>
      <c r="K3" s="7">
        <v>30</v>
      </c>
      <c r="L3" s="24" t="s">
        <v>20</v>
      </c>
      <c r="M3" s="7"/>
      <c r="N3" s="7" t="s">
        <v>244</v>
      </c>
      <c r="O3" s="7"/>
      <c r="P3" s="7"/>
      <c r="Q3" s="34">
        <v>46267</v>
      </c>
      <c r="R3" s="20"/>
      <c r="S3" s="20"/>
      <c r="T3" s="34">
        <v>46327</v>
      </c>
      <c r="U3" s="20"/>
      <c r="V3" s="20"/>
      <c r="W3" s="34"/>
      <c r="X3" s="20"/>
      <c r="Y3" s="20"/>
      <c r="Z3" s="34"/>
      <c r="AA3" s="20"/>
      <c r="AB3" s="20"/>
      <c r="AC3" s="34">
        <v>46402</v>
      </c>
      <c r="AD3" s="20"/>
      <c r="AE3" s="20"/>
    </row>
    <row r="4" spans="1:31" x14ac:dyDescent="0.35">
      <c r="A4" s="6">
        <v>3</v>
      </c>
      <c r="B4" s="7" t="s">
        <v>47</v>
      </c>
      <c r="C4" s="24" t="s">
        <v>245</v>
      </c>
      <c r="D4" s="7" t="str">
        <f>"MR-"&amp;_xlfn.XLOOKUP(B4, Code!$F:$F, Code!$E:$E, "NA")&amp;"-"&amp;TEXT(A4,"0000")</f>
        <v>MR-D-0003</v>
      </c>
      <c r="E4" s="7" t="s">
        <v>62</v>
      </c>
      <c r="F4" s="8" t="s">
        <v>240</v>
      </c>
      <c r="G4" s="8"/>
      <c r="H4" s="8"/>
      <c r="I4" s="24" t="s">
        <v>18</v>
      </c>
      <c r="J4" s="7"/>
      <c r="K4" s="7">
        <v>30</v>
      </c>
      <c r="L4" s="24" t="s">
        <v>20</v>
      </c>
      <c r="M4" s="7"/>
      <c r="N4" s="7" t="s">
        <v>246</v>
      </c>
      <c r="O4" s="7"/>
      <c r="P4" s="7"/>
      <c r="Q4" s="34">
        <v>46157</v>
      </c>
      <c r="R4" s="20"/>
      <c r="S4" s="20"/>
      <c r="T4" s="34">
        <v>46218</v>
      </c>
      <c r="U4" s="34">
        <v>46341</v>
      </c>
      <c r="V4" s="20"/>
      <c r="W4" s="34"/>
      <c r="X4" s="20"/>
      <c r="Y4" s="20"/>
      <c r="Z4" s="34"/>
      <c r="AA4" s="20"/>
      <c r="AB4" s="20"/>
      <c r="AC4" s="34">
        <v>46249</v>
      </c>
      <c r="AD4" s="20"/>
      <c r="AE4" s="20"/>
    </row>
    <row r="5" spans="1:31" hidden="1" x14ac:dyDescent="0.35">
      <c r="A5" s="6">
        <v>4</v>
      </c>
      <c r="B5" s="7" t="s">
        <v>47</v>
      </c>
      <c r="C5" s="24" t="s">
        <v>247</v>
      </c>
      <c r="D5" s="7" t="str">
        <f>"MR-"&amp;_xlfn.XLOOKUP(B5, Code!$F:$F, Code!$E:$E, "NA")&amp;"-"&amp;TEXT(A5,"0000")</f>
        <v>MR-D-0004</v>
      </c>
      <c r="E5" s="7" t="s">
        <v>62</v>
      </c>
      <c r="F5" s="8" t="s">
        <v>240</v>
      </c>
      <c r="G5" s="8"/>
      <c r="H5" s="8"/>
      <c r="I5" s="24" t="s">
        <v>18</v>
      </c>
      <c r="J5" s="7"/>
      <c r="K5" s="7">
        <v>30</v>
      </c>
      <c r="L5" s="24" t="s">
        <v>20</v>
      </c>
      <c r="M5" s="7"/>
      <c r="N5" s="7" t="s">
        <v>248</v>
      </c>
      <c r="O5" s="7"/>
      <c r="P5" s="7"/>
      <c r="Q5" s="34">
        <v>46540</v>
      </c>
      <c r="R5" s="20"/>
      <c r="S5" s="20"/>
      <c r="T5" s="34">
        <v>46600</v>
      </c>
      <c r="U5" s="20"/>
      <c r="V5" s="20"/>
      <c r="W5" s="34"/>
      <c r="X5" s="20"/>
      <c r="Y5" s="20"/>
      <c r="Z5" s="34"/>
      <c r="AA5" s="20"/>
      <c r="AB5" s="20"/>
      <c r="AC5" s="34">
        <v>46631</v>
      </c>
      <c r="AD5" s="20"/>
      <c r="AE5" s="20"/>
    </row>
    <row r="6" spans="1:31" hidden="1" x14ac:dyDescent="0.35">
      <c r="A6" s="6">
        <v>7</v>
      </c>
      <c r="B6" s="7" t="s">
        <v>138</v>
      </c>
      <c r="C6" s="24" t="s">
        <v>249</v>
      </c>
      <c r="D6" s="7" t="str">
        <f>"MR-"&amp;_xlfn.XLOOKUP(B6, Code!$F:$F, Code!$E:$E, "NA")&amp;"-"&amp;TEXT(A6,"0000")</f>
        <v>MR-PM-0007</v>
      </c>
      <c r="E6" s="7" t="s">
        <v>52</v>
      </c>
      <c r="F6" s="8" t="s">
        <v>240</v>
      </c>
      <c r="G6" s="8"/>
      <c r="H6" s="8" t="s">
        <v>250</v>
      </c>
      <c r="I6" s="24" t="s">
        <v>18</v>
      </c>
      <c r="J6" s="7"/>
      <c r="K6" s="7">
        <v>30</v>
      </c>
      <c r="L6" s="24" t="s">
        <v>60</v>
      </c>
      <c r="M6" s="7" t="s">
        <v>251</v>
      </c>
      <c r="N6" s="7" t="s">
        <v>241</v>
      </c>
      <c r="O6" s="7"/>
      <c r="P6" s="7"/>
      <c r="Q6" s="34">
        <v>46189</v>
      </c>
      <c r="R6" s="20"/>
      <c r="S6" s="20"/>
      <c r="T6" s="43">
        <v>46249</v>
      </c>
      <c r="U6" s="20"/>
      <c r="V6" s="34">
        <v>46248</v>
      </c>
      <c r="W6" s="34"/>
      <c r="X6" s="20"/>
      <c r="Y6" s="20"/>
      <c r="Z6" s="34"/>
      <c r="AA6" s="20"/>
      <c r="AB6" s="20"/>
      <c r="AC6" s="34">
        <v>46280</v>
      </c>
      <c r="AD6" s="20"/>
      <c r="AE6" s="20"/>
    </row>
    <row r="7" spans="1:31" hidden="1" x14ac:dyDescent="0.35">
      <c r="A7" s="6">
        <v>8</v>
      </c>
      <c r="B7" s="7" t="s">
        <v>138</v>
      </c>
      <c r="C7" s="24" t="s">
        <v>252</v>
      </c>
      <c r="D7" s="7" t="str">
        <f>"MR-"&amp;_xlfn.XLOOKUP(B7, Code!$F:$F, Code!$E:$E, "NA")&amp;"-"&amp;TEXT(A7,"0000")</f>
        <v>MR-PM-0008</v>
      </c>
      <c r="E7" s="7" t="s">
        <v>52</v>
      </c>
      <c r="F7" s="8" t="s">
        <v>240</v>
      </c>
      <c r="G7" s="8"/>
      <c r="H7" s="8"/>
      <c r="I7" s="24" t="s">
        <v>18</v>
      </c>
      <c r="J7" s="7"/>
      <c r="K7" s="7">
        <v>30</v>
      </c>
      <c r="L7" s="24" t="s">
        <v>20</v>
      </c>
      <c r="M7" s="7"/>
      <c r="N7" s="7" t="s">
        <v>253</v>
      </c>
      <c r="O7" s="7"/>
      <c r="P7" s="7"/>
      <c r="Q7" s="34">
        <v>46328</v>
      </c>
      <c r="R7" s="20"/>
      <c r="S7" s="20"/>
      <c r="T7" s="34">
        <v>46388</v>
      </c>
      <c r="U7" s="20"/>
      <c r="V7" s="20"/>
      <c r="W7" s="34"/>
      <c r="X7" s="20"/>
      <c r="Y7" s="20"/>
      <c r="Z7" s="34"/>
      <c r="AA7" s="20"/>
      <c r="AB7" s="20"/>
      <c r="AC7" s="34">
        <v>46419</v>
      </c>
      <c r="AD7" s="20"/>
      <c r="AE7" s="20"/>
    </row>
    <row r="8" spans="1:31" hidden="1" x14ac:dyDescent="0.35">
      <c r="A8" s="44">
        <v>9</v>
      </c>
      <c r="B8" s="7" t="s">
        <v>138</v>
      </c>
      <c r="C8" s="24" t="s">
        <v>254</v>
      </c>
      <c r="D8" s="7" t="str">
        <f>"MR-"&amp;_xlfn.XLOOKUP(B8, Code!$F:$F, Code!$E:$E, "NA")&amp;"-"&amp;TEXT(A8,"0000")</f>
        <v>MR-PM-0009</v>
      </c>
      <c r="E8" s="7" t="s">
        <v>52</v>
      </c>
      <c r="F8" s="8" t="s">
        <v>240</v>
      </c>
      <c r="G8" s="8"/>
      <c r="H8" s="8" t="s">
        <v>255</v>
      </c>
      <c r="I8" s="24" t="s">
        <v>18</v>
      </c>
      <c r="J8" s="7"/>
      <c r="K8" s="7">
        <v>30</v>
      </c>
      <c r="L8" s="24" t="s">
        <v>20</v>
      </c>
      <c r="M8" s="7"/>
      <c r="N8" s="7" t="s">
        <v>256</v>
      </c>
      <c r="O8" s="7"/>
      <c r="P8" s="7"/>
      <c r="Q8" s="34">
        <v>46328</v>
      </c>
      <c r="R8" s="20"/>
      <c r="S8" s="20"/>
      <c r="T8" s="34">
        <v>46388</v>
      </c>
      <c r="U8" s="20"/>
      <c r="V8" s="20"/>
      <c r="W8" s="34"/>
      <c r="X8" s="20"/>
      <c r="Y8" s="20"/>
      <c r="Z8" s="34"/>
      <c r="AA8" s="20"/>
      <c r="AB8" s="20"/>
      <c r="AC8" s="34">
        <v>46419</v>
      </c>
      <c r="AD8" s="20"/>
      <c r="AE8" s="20"/>
    </row>
    <row r="9" spans="1:31" hidden="1" x14ac:dyDescent="0.35">
      <c r="A9" s="44">
        <v>128</v>
      </c>
      <c r="B9" s="7" t="s">
        <v>138</v>
      </c>
      <c r="C9" s="24" t="s">
        <v>257</v>
      </c>
      <c r="D9" s="7" t="str">
        <f>"MR-"&amp;_xlfn.XLOOKUP(B9, Code!$F:$F, Code!$E:$E, "NA")&amp;"-"&amp;TEXT(A9,"0000")</f>
        <v>MR-PM-0128</v>
      </c>
      <c r="E9" s="7" t="s">
        <v>52</v>
      </c>
      <c r="F9" s="8" t="s">
        <v>240</v>
      </c>
      <c r="G9" s="8"/>
      <c r="H9" s="8"/>
      <c r="I9" s="24" t="s">
        <v>18</v>
      </c>
      <c r="J9" s="7"/>
      <c r="K9" s="7">
        <v>30</v>
      </c>
      <c r="L9" s="24" t="s">
        <v>20</v>
      </c>
      <c r="M9" s="7"/>
      <c r="N9" s="7" t="s">
        <v>258</v>
      </c>
      <c r="O9" s="7"/>
      <c r="P9" s="7"/>
      <c r="Q9" s="34">
        <v>46328</v>
      </c>
      <c r="R9" s="20"/>
      <c r="S9" s="20"/>
      <c r="T9" s="34">
        <v>46388</v>
      </c>
      <c r="U9" s="20"/>
      <c r="V9" s="20"/>
      <c r="W9" s="34"/>
      <c r="X9" s="20"/>
      <c r="Y9" s="20"/>
      <c r="Z9" s="34"/>
      <c r="AA9" s="20"/>
      <c r="AB9" s="20"/>
      <c r="AC9" s="34">
        <v>46419</v>
      </c>
      <c r="AD9" s="20"/>
      <c r="AE9" s="20"/>
    </row>
    <row r="10" spans="1:31" hidden="1" x14ac:dyDescent="0.35">
      <c r="A10" s="6">
        <v>10</v>
      </c>
      <c r="B10" s="7" t="s">
        <v>138</v>
      </c>
      <c r="C10" s="24" t="s">
        <v>259</v>
      </c>
      <c r="D10" s="7" t="str">
        <f>"MR-"&amp;_xlfn.XLOOKUP(B10, Code!$F:$F, Code!$E:$E, "NA")&amp;"-"&amp;TEXT(A10,"0000")</f>
        <v>MR-PM-0010</v>
      </c>
      <c r="E10" s="7" t="s">
        <v>52</v>
      </c>
      <c r="F10" s="8" t="s">
        <v>240</v>
      </c>
      <c r="G10" s="8"/>
      <c r="H10" s="8"/>
      <c r="I10" s="24" t="s">
        <v>18</v>
      </c>
      <c r="J10" s="7"/>
      <c r="K10" s="7">
        <v>30</v>
      </c>
      <c r="L10" s="24" t="s">
        <v>20</v>
      </c>
      <c r="M10" s="7"/>
      <c r="N10" s="7" t="s">
        <v>253</v>
      </c>
      <c r="O10" s="7"/>
      <c r="P10" s="7"/>
      <c r="Q10" s="34">
        <v>46267</v>
      </c>
      <c r="R10" s="20"/>
      <c r="S10" s="20"/>
      <c r="T10" s="34">
        <v>46327</v>
      </c>
      <c r="U10" s="20"/>
      <c r="V10" s="20"/>
      <c r="W10" s="34"/>
      <c r="X10" s="20"/>
      <c r="Y10" s="20"/>
      <c r="Z10" s="34"/>
      <c r="AA10" s="20"/>
      <c r="AB10" s="20"/>
      <c r="AC10" s="34"/>
      <c r="AD10" s="20"/>
      <c r="AE10" s="20"/>
    </row>
    <row r="11" spans="1:31" hidden="1" x14ac:dyDescent="0.35">
      <c r="A11" s="6">
        <v>11</v>
      </c>
      <c r="B11" s="7" t="s">
        <v>138</v>
      </c>
      <c r="C11" s="24" t="s">
        <v>260</v>
      </c>
      <c r="D11" s="7" t="str">
        <f>"MR-"&amp;_xlfn.XLOOKUP(B11, Code!$F:$F, Code!$E:$E, "NA")&amp;"-"&amp;TEXT(A11,"0000")</f>
        <v>MR-PM-0011</v>
      </c>
      <c r="E11" s="7" t="s">
        <v>52</v>
      </c>
      <c r="F11" s="8" t="s">
        <v>240</v>
      </c>
      <c r="G11" s="8"/>
      <c r="H11" s="8"/>
      <c r="I11" s="24" t="s">
        <v>18</v>
      </c>
      <c r="J11" s="7"/>
      <c r="K11" s="7">
        <v>30</v>
      </c>
      <c r="L11" s="24" t="s">
        <v>20</v>
      </c>
      <c r="M11" s="7"/>
      <c r="N11" s="7" t="s">
        <v>253</v>
      </c>
      <c r="O11" s="7"/>
      <c r="P11" s="7"/>
      <c r="Q11" s="34">
        <v>45994</v>
      </c>
      <c r="R11" s="20"/>
      <c r="S11" s="20"/>
      <c r="T11" s="34">
        <v>46419</v>
      </c>
      <c r="U11" s="20"/>
      <c r="V11" s="20"/>
      <c r="W11" s="34"/>
      <c r="X11" s="20"/>
      <c r="Y11" s="20"/>
      <c r="Z11" s="34"/>
      <c r="AA11" s="20"/>
      <c r="AB11" s="20"/>
      <c r="AC11" s="34"/>
      <c r="AD11" s="20"/>
      <c r="AE11" s="20"/>
    </row>
    <row r="12" spans="1:31" hidden="1" x14ac:dyDescent="0.35">
      <c r="A12" s="6">
        <v>12</v>
      </c>
      <c r="B12" s="7" t="s">
        <v>138</v>
      </c>
      <c r="C12" s="24" t="s">
        <v>261</v>
      </c>
      <c r="D12" s="7" t="str">
        <f>"MR-"&amp;_xlfn.XLOOKUP(B12, Code!$F:$F, Code!$E:$E, "NA")&amp;"-"&amp;TEXT(A12,"0000")</f>
        <v>MR-PM-0012</v>
      </c>
      <c r="E12" s="7" t="s">
        <v>52</v>
      </c>
      <c r="F12" s="8" t="s">
        <v>240</v>
      </c>
      <c r="G12" s="8"/>
      <c r="H12" s="8"/>
      <c r="I12" s="24" t="s">
        <v>18</v>
      </c>
      <c r="J12" s="7"/>
      <c r="K12" s="7">
        <v>30</v>
      </c>
      <c r="L12" s="24" t="s">
        <v>20</v>
      </c>
      <c r="M12" s="7"/>
      <c r="N12" s="7" t="s">
        <v>253</v>
      </c>
      <c r="O12" s="7"/>
      <c r="P12" s="7"/>
      <c r="Q12" s="34">
        <v>46267</v>
      </c>
      <c r="R12" s="20"/>
      <c r="S12" s="20"/>
      <c r="T12" s="34">
        <v>46327</v>
      </c>
      <c r="U12" s="20"/>
      <c r="V12" s="20"/>
      <c r="W12" s="34"/>
      <c r="X12" s="20"/>
      <c r="Y12" s="20"/>
      <c r="Z12" s="34"/>
      <c r="AA12" s="20"/>
      <c r="AB12" s="20"/>
      <c r="AC12" s="34"/>
      <c r="AD12" s="20"/>
      <c r="AE12" s="20"/>
    </row>
    <row r="13" spans="1:31" hidden="1" x14ac:dyDescent="0.35">
      <c r="A13" s="6">
        <v>13</v>
      </c>
      <c r="B13" s="7" t="s">
        <v>37</v>
      </c>
      <c r="C13" s="24" t="s">
        <v>262</v>
      </c>
      <c r="D13" s="7" t="str">
        <f>"MR-"&amp;_xlfn.XLOOKUP(B13, Code!$F:$F, Code!$E:$E, "NA")&amp;"-"&amp;TEXT(A13,"0000")</f>
        <v>MR-C-0013</v>
      </c>
      <c r="E13" s="7" t="s">
        <v>52</v>
      </c>
      <c r="F13" s="8" t="s">
        <v>240</v>
      </c>
      <c r="G13" s="8"/>
      <c r="H13" s="8"/>
      <c r="I13" s="24" t="s">
        <v>18</v>
      </c>
      <c r="J13" s="7"/>
      <c r="K13" s="7">
        <v>30</v>
      </c>
      <c r="L13" s="24" t="s">
        <v>20</v>
      </c>
      <c r="M13" s="7"/>
      <c r="N13" s="7" t="s">
        <v>253</v>
      </c>
      <c r="O13" s="7"/>
      <c r="P13" s="7"/>
      <c r="Q13" s="34">
        <v>46387</v>
      </c>
      <c r="R13" s="20"/>
      <c r="S13" s="20"/>
      <c r="T13" s="34">
        <v>46447</v>
      </c>
      <c r="U13" s="20"/>
      <c r="V13" s="20"/>
      <c r="W13" s="34"/>
      <c r="X13" s="20"/>
      <c r="Y13" s="20"/>
      <c r="Z13" s="34"/>
      <c r="AA13" s="20"/>
      <c r="AB13" s="20"/>
      <c r="AC13" s="34"/>
      <c r="AD13" s="20"/>
      <c r="AE13" s="20"/>
    </row>
    <row r="14" spans="1:31" hidden="1" x14ac:dyDescent="0.35">
      <c r="A14" s="6">
        <v>14</v>
      </c>
      <c r="B14" s="7" t="s">
        <v>152</v>
      </c>
      <c r="C14" s="24" t="s">
        <v>263</v>
      </c>
      <c r="D14" s="7" t="str">
        <f>"MR-"&amp;_xlfn.XLOOKUP(B14, Code!$F:$F, Code!$E:$E, "NA")&amp;"-"&amp;TEXT(A14,"0000")</f>
        <v>MR-S-0014</v>
      </c>
      <c r="E14" s="7" t="s">
        <v>52</v>
      </c>
      <c r="F14" s="8" t="s">
        <v>240</v>
      </c>
      <c r="G14" s="8"/>
      <c r="H14" s="8"/>
      <c r="I14" s="24" t="s">
        <v>18</v>
      </c>
      <c r="J14" s="7"/>
      <c r="K14" s="7">
        <v>30</v>
      </c>
      <c r="L14" s="24" t="s">
        <v>20</v>
      </c>
      <c r="M14" s="7"/>
      <c r="N14" s="7" t="s">
        <v>253</v>
      </c>
      <c r="O14" s="7"/>
      <c r="P14" s="7"/>
      <c r="Q14" s="34">
        <v>46479</v>
      </c>
      <c r="R14" s="20"/>
      <c r="S14" s="20"/>
      <c r="T14" s="34">
        <v>46539</v>
      </c>
      <c r="U14" s="20"/>
      <c r="V14" s="20"/>
      <c r="W14" s="34"/>
      <c r="X14" s="20"/>
      <c r="Y14" s="20"/>
      <c r="Z14" s="34"/>
      <c r="AA14" s="20"/>
      <c r="AB14" s="20"/>
      <c r="AC14" s="34"/>
      <c r="AD14" s="20"/>
      <c r="AE14" s="20"/>
    </row>
    <row r="15" spans="1:31" hidden="1" x14ac:dyDescent="0.35">
      <c r="A15" s="6">
        <v>20</v>
      </c>
      <c r="B15" s="7" t="s">
        <v>111</v>
      </c>
      <c r="C15" s="24" t="s">
        <v>264</v>
      </c>
      <c r="D15" s="7" t="str">
        <f>"MR-"&amp;_xlfn.XLOOKUP(B15, Code!$F:$F, Code!$E:$E, "NA")&amp;"-"&amp;TEXT(A15,"0000")</f>
        <v>MR-M-0020</v>
      </c>
      <c r="E15" s="7" t="s">
        <v>154</v>
      </c>
      <c r="F15" s="8" t="s">
        <v>265</v>
      </c>
      <c r="G15" s="8" t="s">
        <v>266</v>
      </c>
      <c r="H15" s="8"/>
      <c r="I15" s="7" t="s">
        <v>58</v>
      </c>
      <c r="J15" s="7">
        <v>9</v>
      </c>
      <c r="K15" s="7">
        <v>60</v>
      </c>
      <c r="L15" s="7" t="s">
        <v>30</v>
      </c>
      <c r="M15" s="7"/>
      <c r="N15" s="7" t="s">
        <v>267</v>
      </c>
      <c r="O15" s="7"/>
      <c r="P15" s="7"/>
      <c r="Q15" s="20">
        <v>46274</v>
      </c>
      <c r="R15" s="20"/>
      <c r="S15" s="20"/>
      <c r="T15" s="20">
        <f t="shared" ref="T15" si="0">Q15+60</f>
        <v>46334</v>
      </c>
      <c r="U15" s="20"/>
      <c r="V15" s="20"/>
      <c r="W15" s="20">
        <f t="shared" ref="W15:W21" si="1">T15+60</f>
        <v>46394</v>
      </c>
      <c r="X15" s="20"/>
      <c r="Y15" s="20"/>
      <c r="Z15" s="20">
        <f t="shared" ref="Z15:Z21" si="2">AC15-30</f>
        <v>46364</v>
      </c>
      <c r="AA15" s="20"/>
      <c r="AB15" s="20"/>
      <c r="AC15" s="20">
        <f t="shared" ref="AC15:AC21" si="3">K15+T15</f>
        <v>46394</v>
      </c>
      <c r="AD15" s="20"/>
      <c r="AE15" s="20"/>
    </row>
    <row r="16" spans="1:31" x14ac:dyDescent="0.35">
      <c r="A16" s="6">
        <v>26</v>
      </c>
      <c r="B16" s="7" t="s">
        <v>111</v>
      </c>
      <c r="C16" s="24" t="s">
        <v>268</v>
      </c>
      <c r="D16" s="7" t="str">
        <f>"MR-"&amp;_xlfn.XLOOKUP(B16, Code!$F:$F, Code!$E:$E, "NA")&amp;"-"&amp;TEXT(A16,"0000")</f>
        <v>MR-M-0026</v>
      </c>
      <c r="E16" s="7" t="s">
        <v>62</v>
      </c>
      <c r="F16" s="8"/>
      <c r="G16" s="8"/>
      <c r="H16" s="8"/>
      <c r="I16" s="7" t="s">
        <v>58</v>
      </c>
      <c r="J16" s="7"/>
      <c r="K16" s="7">
        <v>30</v>
      </c>
      <c r="L16" s="7" t="s">
        <v>30</v>
      </c>
      <c r="M16" s="7"/>
      <c r="N16" s="7" t="s">
        <v>269</v>
      </c>
      <c r="O16" s="7"/>
      <c r="P16" s="7"/>
      <c r="Q16" s="34">
        <v>46235</v>
      </c>
      <c r="R16" s="20"/>
      <c r="S16" s="20"/>
      <c r="T16" s="34">
        <v>46295</v>
      </c>
      <c r="U16" s="34">
        <v>46341</v>
      </c>
      <c r="V16" s="20"/>
      <c r="W16" s="20">
        <f t="shared" si="1"/>
        <v>46355</v>
      </c>
      <c r="X16" s="20"/>
      <c r="Y16" s="20"/>
      <c r="Z16" s="20">
        <f t="shared" si="2"/>
        <v>46295</v>
      </c>
      <c r="AA16" s="20"/>
      <c r="AB16" s="20"/>
      <c r="AC16" s="34">
        <v>46325</v>
      </c>
      <c r="AD16" s="20"/>
      <c r="AE16" s="20"/>
    </row>
    <row r="17" spans="1:31" hidden="1" x14ac:dyDescent="0.35">
      <c r="A17" s="6">
        <v>46</v>
      </c>
      <c r="B17" s="7" t="s">
        <v>117</v>
      </c>
      <c r="C17" s="24" t="s">
        <v>270</v>
      </c>
      <c r="D17" s="7" t="str">
        <f>"MR-"&amp;_xlfn.XLOOKUP(B17, Code!$F:$F, Code!$E:$E, "NA")&amp;"-"&amp;TEXT(A17,"0000")</f>
        <v>MR-PI-0046</v>
      </c>
      <c r="E17" s="7" t="s">
        <v>161</v>
      </c>
      <c r="F17" s="9"/>
      <c r="G17" s="9"/>
      <c r="H17" s="8"/>
      <c r="I17" s="7" t="s">
        <v>58</v>
      </c>
      <c r="J17" s="7"/>
      <c r="K17" s="7">
        <v>30</v>
      </c>
      <c r="L17" s="7" t="s">
        <v>30</v>
      </c>
      <c r="M17" s="7"/>
      <c r="N17" s="7" t="s">
        <v>267</v>
      </c>
      <c r="O17" s="7"/>
      <c r="P17" s="7"/>
      <c r="Q17" s="20">
        <v>46235</v>
      </c>
      <c r="R17" s="20"/>
      <c r="S17" s="20"/>
      <c r="T17" s="20">
        <v>46386</v>
      </c>
      <c r="U17" s="20"/>
      <c r="V17" s="20"/>
      <c r="W17" s="20">
        <f t="shared" si="1"/>
        <v>46446</v>
      </c>
      <c r="X17" s="20"/>
      <c r="Y17" s="20"/>
      <c r="Z17" s="20">
        <f t="shared" si="2"/>
        <v>46386</v>
      </c>
      <c r="AA17" s="20"/>
      <c r="AB17" s="20"/>
      <c r="AC17" s="20">
        <f t="shared" si="3"/>
        <v>46416</v>
      </c>
      <c r="AD17" s="20"/>
      <c r="AE17" s="20"/>
    </row>
    <row r="18" spans="1:31" hidden="1" x14ac:dyDescent="0.35">
      <c r="A18" s="6">
        <v>47</v>
      </c>
      <c r="B18" s="7" t="s">
        <v>117</v>
      </c>
      <c r="C18" s="24" t="s">
        <v>271</v>
      </c>
      <c r="D18" s="7" t="str">
        <f>"MR-"&amp;_xlfn.XLOOKUP(B18, Code!$F:$F, Code!$E:$E, "NA")&amp;"-"&amp;TEXT(A18,"0000")</f>
        <v>MR-PI-0047</v>
      </c>
      <c r="E18" s="7" t="s">
        <v>161</v>
      </c>
      <c r="F18" s="9"/>
      <c r="G18" s="9"/>
      <c r="H18" s="8"/>
      <c r="I18" s="7" t="s">
        <v>58</v>
      </c>
      <c r="J18" s="7"/>
      <c r="K18" s="7">
        <v>30</v>
      </c>
      <c r="L18" s="7" t="s">
        <v>30</v>
      </c>
      <c r="M18" s="7"/>
      <c r="N18" s="7" t="s">
        <v>267</v>
      </c>
      <c r="O18" s="7"/>
      <c r="P18" s="7"/>
      <c r="Q18" s="20">
        <v>46235</v>
      </c>
      <c r="R18" s="20"/>
      <c r="S18" s="20"/>
      <c r="T18" s="20">
        <v>46386</v>
      </c>
      <c r="U18" s="20"/>
      <c r="V18" s="20"/>
      <c r="W18" s="20">
        <f t="shared" si="1"/>
        <v>46446</v>
      </c>
      <c r="X18" s="20"/>
      <c r="Y18" s="20"/>
      <c r="Z18" s="20">
        <f t="shared" si="2"/>
        <v>46386</v>
      </c>
      <c r="AA18" s="20"/>
      <c r="AB18" s="20"/>
      <c r="AC18" s="20">
        <f t="shared" si="3"/>
        <v>46416</v>
      </c>
      <c r="AD18" s="20"/>
      <c r="AE18" s="20"/>
    </row>
    <row r="19" spans="1:31" hidden="1" x14ac:dyDescent="0.35">
      <c r="A19" s="6">
        <v>48</v>
      </c>
      <c r="B19" s="7" t="s">
        <v>117</v>
      </c>
      <c r="C19" s="24" t="s">
        <v>272</v>
      </c>
      <c r="D19" s="7" t="str">
        <f>"MR-"&amp;_xlfn.XLOOKUP(B19, Code!$F:$F, Code!$E:$E, "NA")&amp;"-"&amp;TEXT(A19,"0000")</f>
        <v>MR-PI-0048</v>
      </c>
      <c r="E19" s="7" t="s">
        <v>161</v>
      </c>
      <c r="F19" s="9"/>
      <c r="G19" s="9"/>
      <c r="H19" s="8"/>
      <c r="I19" s="7" t="s">
        <v>58</v>
      </c>
      <c r="J19" s="7"/>
      <c r="K19" s="7">
        <v>30</v>
      </c>
      <c r="L19" s="7" t="s">
        <v>30</v>
      </c>
      <c r="M19" s="7"/>
      <c r="N19" s="7" t="s">
        <v>267</v>
      </c>
      <c r="O19" s="7"/>
      <c r="P19" s="7"/>
      <c r="Q19" s="20">
        <v>46235</v>
      </c>
      <c r="R19" s="20"/>
      <c r="S19" s="20"/>
      <c r="T19" s="20">
        <v>46386</v>
      </c>
      <c r="U19" s="20"/>
      <c r="V19" s="20"/>
      <c r="W19" s="20">
        <f t="shared" si="1"/>
        <v>46446</v>
      </c>
      <c r="X19" s="20"/>
      <c r="Y19" s="20"/>
      <c r="Z19" s="20">
        <f t="shared" si="2"/>
        <v>46386</v>
      </c>
      <c r="AA19" s="20"/>
      <c r="AB19" s="20"/>
      <c r="AC19" s="20">
        <f t="shared" si="3"/>
        <v>46416</v>
      </c>
      <c r="AD19" s="20"/>
      <c r="AE19" s="20"/>
    </row>
    <row r="20" spans="1:31" hidden="1" x14ac:dyDescent="0.35">
      <c r="A20" s="6">
        <v>49</v>
      </c>
      <c r="B20" s="7" t="s">
        <v>117</v>
      </c>
      <c r="C20" s="24" t="s">
        <v>273</v>
      </c>
      <c r="D20" s="7" t="str">
        <f>"MR-"&amp;_xlfn.XLOOKUP(B20, Code!$F:$F, Code!$E:$E, "NA")&amp;"-"&amp;TEXT(A20,"0000")</f>
        <v>MR-PI-0049</v>
      </c>
      <c r="E20" s="7" t="s">
        <v>161</v>
      </c>
      <c r="F20" s="9"/>
      <c r="G20" s="9"/>
      <c r="H20" s="8"/>
      <c r="I20" s="7" t="s">
        <v>58</v>
      </c>
      <c r="J20" s="7"/>
      <c r="K20" s="7">
        <v>30</v>
      </c>
      <c r="L20" s="7" t="s">
        <v>30</v>
      </c>
      <c r="M20" s="7"/>
      <c r="N20" s="7" t="s">
        <v>267</v>
      </c>
      <c r="O20" s="7"/>
      <c r="P20" s="7"/>
      <c r="Q20" s="20">
        <v>46235</v>
      </c>
      <c r="R20" s="20"/>
      <c r="S20" s="20"/>
      <c r="T20" s="20">
        <v>46386</v>
      </c>
      <c r="U20" s="20"/>
      <c r="V20" s="20"/>
      <c r="W20" s="20">
        <f t="shared" si="1"/>
        <v>46446</v>
      </c>
      <c r="X20" s="20"/>
      <c r="Y20" s="20"/>
      <c r="Z20" s="20">
        <f t="shared" si="2"/>
        <v>46386</v>
      </c>
      <c r="AA20" s="20"/>
      <c r="AB20" s="20"/>
      <c r="AC20" s="20">
        <f t="shared" si="3"/>
        <v>46416</v>
      </c>
      <c r="AD20" s="20"/>
      <c r="AE20" s="20"/>
    </row>
    <row r="21" spans="1:31" hidden="1" x14ac:dyDescent="0.35">
      <c r="A21" s="6">
        <v>50</v>
      </c>
      <c r="B21" s="7" t="s">
        <v>117</v>
      </c>
      <c r="C21" s="7" t="s">
        <v>274</v>
      </c>
      <c r="D21" s="7" t="str">
        <f>"MR-"&amp;_xlfn.XLOOKUP(B21, Code!$F:$F, Code!$E:$E, "NA")&amp;"-"&amp;TEXT(A21,"0000")</f>
        <v>MR-PI-0050</v>
      </c>
      <c r="E21" s="7" t="s">
        <v>161</v>
      </c>
      <c r="F21" s="9"/>
      <c r="G21" s="9"/>
      <c r="H21" s="8"/>
      <c r="I21" s="7" t="s">
        <v>58</v>
      </c>
      <c r="J21" s="7"/>
      <c r="K21" s="7">
        <v>30</v>
      </c>
      <c r="L21" s="7" t="s">
        <v>20</v>
      </c>
      <c r="M21" s="7"/>
      <c r="N21" s="7" t="s">
        <v>253</v>
      </c>
      <c r="O21" s="7"/>
      <c r="P21" s="7"/>
      <c r="Q21" s="20">
        <v>46235</v>
      </c>
      <c r="R21" s="20"/>
      <c r="S21" s="20"/>
      <c r="T21" s="20">
        <v>46356</v>
      </c>
      <c r="U21" s="20"/>
      <c r="V21" s="20"/>
      <c r="W21" s="20">
        <f t="shared" si="1"/>
        <v>46416</v>
      </c>
      <c r="X21" s="20"/>
      <c r="Y21" s="20"/>
      <c r="Z21" s="20">
        <f t="shared" si="2"/>
        <v>46356</v>
      </c>
      <c r="AA21" s="20"/>
      <c r="AB21" s="20"/>
      <c r="AC21" s="20">
        <f t="shared" si="3"/>
        <v>46386</v>
      </c>
      <c r="AD21" s="20"/>
      <c r="AE21" s="20"/>
    </row>
    <row r="22" spans="1:31" hidden="1" x14ac:dyDescent="0.35">
      <c r="A22" s="6">
        <v>52</v>
      </c>
      <c r="B22" s="7" t="s">
        <v>117</v>
      </c>
      <c r="C22" s="24" t="s">
        <v>275</v>
      </c>
      <c r="D22" s="7" t="str">
        <f>"MR-"&amp;_xlfn.XLOOKUP(B22, Code!$F:$F, Code!$E:$E, "NA")&amp;"-"&amp;TEXT(A22,"0000")</f>
        <v>MR-PI-0052</v>
      </c>
      <c r="E22" s="7" t="s">
        <v>133</v>
      </c>
      <c r="F22" s="9"/>
      <c r="G22" s="9" t="s">
        <v>276</v>
      </c>
      <c r="H22" s="8"/>
      <c r="I22" s="24" t="s">
        <v>58</v>
      </c>
      <c r="J22" s="7"/>
      <c r="K22" s="7">
        <v>60</v>
      </c>
      <c r="L22" s="24" t="s">
        <v>20</v>
      </c>
      <c r="M22" s="7"/>
      <c r="N22" s="7" t="s">
        <v>277</v>
      </c>
      <c r="O22" s="7"/>
      <c r="P22" s="7"/>
      <c r="Q22" s="34">
        <v>46417</v>
      </c>
      <c r="R22" s="20"/>
      <c r="S22" s="20"/>
      <c r="T22" s="34">
        <v>46447</v>
      </c>
      <c r="U22" s="20"/>
      <c r="V22" s="20"/>
      <c r="W22" s="34"/>
      <c r="X22" s="20"/>
      <c r="Y22" s="20"/>
      <c r="Z22" s="34"/>
      <c r="AA22" s="20"/>
      <c r="AB22" s="20"/>
      <c r="AC22" s="34">
        <v>46507</v>
      </c>
      <c r="AD22" s="20"/>
      <c r="AE22" s="20"/>
    </row>
    <row r="23" spans="1:31" hidden="1" x14ac:dyDescent="0.35">
      <c r="A23" s="6">
        <v>53</v>
      </c>
      <c r="B23" s="7" t="s">
        <v>117</v>
      </c>
      <c r="C23" s="24" t="s">
        <v>278</v>
      </c>
      <c r="D23" s="7" t="str">
        <f>"MR-"&amp;_xlfn.XLOOKUP(B23, Code!$F:$F, Code!$E:$E, "NA")&amp;"-"&amp;TEXT(A23,"0000")</f>
        <v>MR-PI-0053</v>
      </c>
      <c r="E23" s="7" t="s">
        <v>133</v>
      </c>
      <c r="F23" s="9"/>
      <c r="G23" s="9" t="s">
        <v>276</v>
      </c>
      <c r="H23" s="8"/>
      <c r="I23" s="24" t="s">
        <v>58</v>
      </c>
      <c r="J23" s="7"/>
      <c r="K23" s="7">
        <v>60</v>
      </c>
      <c r="L23" s="24" t="s">
        <v>20</v>
      </c>
      <c r="M23" s="7"/>
      <c r="N23" s="7" t="s">
        <v>277</v>
      </c>
      <c r="O23" s="7"/>
      <c r="P23" s="7"/>
      <c r="Q23" s="34">
        <v>46417</v>
      </c>
      <c r="R23" s="20"/>
      <c r="S23" s="20"/>
      <c r="T23" s="34">
        <v>46447</v>
      </c>
      <c r="U23" s="20"/>
      <c r="V23" s="20"/>
      <c r="W23" s="34"/>
      <c r="X23" s="20"/>
      <c r="Y23" s="20"/>
      <c r="Z23" s="34"/>
      <c r="AA23" s="20"/>
      <c r="AB23" s="20"/>
      <c r="AC23" s="34">
        <v>46507</v>
      </c>
      <c r="AD23" s="20"/>
      <c r="AE23" s="20"/>
    </row>
    <row r="24" spans="1:31" hidden="1" x14ac:dyDescent="0.35">
      <c r="A24" s="6">
        <v>54</v>
      </c>
      <c r="B24" s="7" t="s">
        <v>117</v>
      </c>
      <c r="C24" s="24" t="s">
        <v>279</v>
      </c>
      <c r="D24" s="7" t="str">
        <f>"MR-"&amp;_xlfn.XLOOKUP(B24, Code!$F:$F, Code!$E:$E, "NA")&amp;"-"&amp;TEXT(A24,"0000")</f>
        <v>MR-PI-0054</v>
      </c>
      <c r="E24" s="7" t="s">
        <v>133</v>
      </c>
      <c r="F24" s="9"/>
      <c r="G24" s="9" t="s">
        <v>276</v>
      </c>
      <c r="H24" s="8"/>
      <c r="I24" s="24" t="s">
        <v>58</v>
      </c>
      <c r="J24" s="7"/>
      <c r="K24" s="7">
        <v>60</v>
      </c>
      <c r="L24" s="24" t="s">
        <v>20</v>
      </c>
      <c r="M24" s="7"/>
      <c r="N24" s="7" t="s">
        <v>277</v>
      </c>
      <c r="O24" s="7"/>
      <c r="P24" s="7"/>
      <c r="Q24" s="34">
        <v>46299</v>
      </c>
      <c r="R24" s="20"/>
      <c r="S24" s="20"/>
      <c r="T24" s="34">
        <v>46359</v>
      </c>
      <c r="U24" s="20"/>
      <c r="V24" s="20"/>
      <c r="W24" s="34"/>
      <c r="X24" s="20"/>
      <c r="Y24" s="20"/>
      <c r="Z24" s="34"/>
      <c r="AA24" s="20"/>
      <c r="AB24" s="20"/>
      <c r="AC24" s="34">
        <v>46419</v>
      </c>
      <c r="AD24" s="20"/>
      <c r="AE24" s="20"/>
    </row>
    <row r="25" spans="1:31" hidden="1" x14ac:dyDescent="0.35">
      <c r="A25" s="6">
        <v>55</v>
      </c>
      <c r="B25" s="7" t="s">
        <v>117</v>
      </c>
      <c r="C25" s="24" t="s">
        <v>280</v>
      </c>
      <c r="D25" s="7" t="str">
        <f>"MR-"&amp;_xlfn.XLOOKUP(B25, Code!$F:$F, Code!$E:$E, "NA")&amp;"-"&amp;TEXT(A25,"0000")</f>
        <v>MR-PI-0055</v>
      </c>
      <c r="E25" s="7" t="s">
        <v>133</v>
      </c>
      <c r="F25" s="9"/>
      <c r="G25" s="9" t="s">
        <v>276</v>
      </c>
      <c r="H25" s="8"/>
      <c r="I25" s="24" t="s">
        <v>58</v>
      </c>
      <c r="J25" s="7"/>
      <c r="K25" s="7">
        <v>60</v>
      </c>
      <c r="L25" s="24" t="s">
        <v>20</v>
      </c>
      <c r="M25" s="7"/>
      <c r="N25" s="7" t="s">
        <v>277</v>
      </c>
      <c r="O25" s="7"/>
      <c r="P25" s="7"/>
      <c r="Q25" s="34">
        <v>46299</v>
      </c>
      <c r="R25" s="20"/>
      <c r="S25" s="20"/>
      <c r="T25" s="34">
        <v>46359</v>
      </c>
      <c r="U25" s="20"/>
      <c r="V25" s="20"/>
      <c r="W25" s="34"/>
      <c r="X25" s="20"/>
      <c r="Y25" s="20"/>
      <c r="Z25" s="34"/>
      <c r="AA25" s="20"/>
      <c r="AB25" s="20"/>
      <c r="AC25" s="34">
        <v>46419</v>
      </c>
      <c r="AD25" s="20"/>
      <c r="AE25" s="20"/>
    </row>
    <row r="26" spans="1:31" hidden="1" x14ac:dyDescent="0.35">
      <c r="A26" s="6">
        <v>56</v>
      </c>
      <c r="B26" s="7" t="s">
        <v>117</v>
      </c>
      <c r="C26" s="24" t="s">
        <v>281</v>
      </c>
      <c r="D26" s="7" t="str">
        <f>"MR-"&amp;_xlfn.XLOOKUP(B26, Code!$F:$F, Code!$E:$E, "NA")&amp;"-"&amp;TEXT(A26,"0000")</f>
        <v>MR-PI-0056</v>
      </c>
      <c r="E26" s="7" t="s">
        <v>133</v>
      </c>
      <c r="F26" s="9"/>
      <c r="G26" s="9" t="s">
        <v>276</v>
      </c>
      <c r="H26" s="8"/>
      <c r="I26" s="24" t="s">
        <v>58</v>
      </c>
      <c r="J26" s="7"/>
      <c r="K26" s="7">
        <v>60</v>
      </c>
      <c r="L26" s="24" t="s">
        <v>20</v>
      </c>
      <c r="M26" s="7"/>
      <c r="N26" s="7" t="s">
        <v>277</v>
      </c>
      <c r="O26" s="7"/>
      <c r="P26" s="7"/>
      <c r="Q26" s="34">
        <v>46419</v>
      </c>
      <c r="R26" s="20"/>
      <c r="S26" s="20"/>
      <c r="T26" s="34">
        <v>46479</v>
      </c>
      <c r="U26" s="20"/>
      <c r="V26" s="20"/>
      <c r="W26" s="34"/>
      <c r="X26" s="20"/>
      <c r="Y26" s="20"/>
      <c r="Z26" s="34"/>
      <c r="AA26" s="20"/>
      <c r="AB26" s="20"/>
      <c r="AC26" s="34">
        <v>46539</v>
      </c>
      <c r="AD26" s="20"/>
      <c r="AE26" s="20"/>
    </row>
    <row r="27" spans="1:31" hidden="1" x14ac:dyDescent="0.35">
      <c r="A27" s="6">
        <v>57</v>
      </c>
      <c r="B27" s="7" t="s">
        <v>117</v>
      </c>
      <c r="C27" s="24" t="s">
        <v>282</v>
      </c>
      <c r="D27" s="7" t="str">
        <f>"MR-"&amp;_xlfn.XLOOKUP(B27, Code!$F:$F, Code!$E:$E, "NA")&amp;"-"&amp;TEXT(A27,"0000")</f>
        <v>MR-PI-0057</v>
      </c>
      <c r="E27" s="7" t="s">
        <v>133</v>
      </c>
      <c r="F27" s="9"/>
      <c r="G27" s="9" t="s">
        <v>276</v>
      </c>
      <c r="H27" s="8"/>
      <c r="I27" s="24" t="s">
        <v>58</v>
      </c>
      <c r="J27" s="7"/>
      <c r="K27" s="7">
        <v>60</v>
      </c>
      <c r="L27" s="24" t="s">
        <v>20</v>
      </c>
      <c r="M27" s="7"/>
      <c r="N27" s="7" t="s">
        <v>277</v>
      </c>
      <c r="O27" s="7"/>
      <c r="P27" s="7"/>
      <c r="Q27" s="34">
        <v>46299</v>
      </c>
      <c r="R27" s="20"/>
      <c r="S27" s="20"/>
      <c r="T27" s="34">
        <v>46359</v>
      </c>
      <c r="U27" s="20"/>
      <c r="V27" s="20"/>
      <c r="W27" s="34"/>
      <c r="X27" s="20"/>
      <c r="Y27" s="20"/>
      <c r="Z27" s="34"/>
      <c r="AA27" s="20"/>
      <c r="AB27" s="20"/>
      <c r="AC27" s="34">
        <v>46419</v>
      </c>
      <c r="AD27" s="20"/>
      <c r="AE27" s="20"/>
    </row>
    <row r="28" spans="1:31" hidden="1" x14ac:dyDescent="0.35">
      <c r="A28" s="6">
        <v>58</v>
      </c>
      <c r="B28" s="7" t="s">
        <v>117</v>
      </c>
      <c r="C28" s="24" t="s">
        <v>283</v>
      </c>
      <c r="D28" s="7" t="str">
        <f>"MR-"&amp;_xlfn.XLOOKUP(B28, Code!$F:$F, Code!$E:$E, "NA")&amp;"-"&amp;TEXT(A28,"0000")</f>
        <v>MR-PI-0058</v>
      </c>
      <c r="E28" s="7" t="s">
        <v>140</v>
      </c>
      <c r="F28" s="9"/>
      <c r="G28" s="9"/>
      <c r="H28" s="8"/>
      <c r="I28" s="24" t="s">
        <v>58</v>
      </c>
      <c r="J28" s="7"/>
      <c r="K28" s="7">
        <v>60</v>
      </c>
      <c r="L28" s="24" t="s">
        <v>20</v>
      </c>
      <c r="M28" s="7"/>
      <c r="N28" s="7" t="s">
        <v>277</v>
      </c>
      <c r="O28" s="7"/>
      <c r="P28" s="7"/>
      <c r="Q28" s="34">
        <v>46299</v>
      </c>
      <c r="R28" s="20"/>
      <c r="S28" s="20"/>
      <c r="T28" s="34">
        <v>46479</v>
      </c>
      <c r="U28" s="20"/>
      <c r="V28" s="20"/>
      <c r="W28" s="34"/>
      <c r="X28" s="20"/>
      <c r="Y28" s="20"/>
      <c r="Z28" s="34"/>
      <c r="AA28" s="20"/>
      <c r="AB28" s="20"/>
      <c r="AC28" s="34">
        <v>46539</v>
      </c>
      <c r="AD28" s="20"/>
      <c r="AE28" s="20"/>
    </row>
    <row r="29" spans="1:31" hidden="1" x14ac:dyDescent="0.35">
      <c r="A29" s="6">
        <v>59</v>
      </c>
      <c r="B29" s="7" t="s">
        <v>117</v>
      </c>
      <c r="C29" s="24" t="s">
        <v>284</v>
      </c>
      <c r="D29" s="7" t="str">
        <f>"MR-"&amp;_xlfn.XLOOKUP(B29, Code!$F:$F, Code!$E:$E, "NA")&amp;"-"&amp;TEXT(A29,"0000")</f>
        <v>MR-PI-0059</v>
      </c>
      <c r="E29" s="7" t="s">
        <v>133</v>
      </c>
      <c r="F29" s="9"/>
      <c r="G29" s="9"/>
      <c r="H29" s="8"/>
      <c r="I29" s="24" t="s">
        <v>58</v>
      </c>
      <c r="J29" s="7"/>
      <c r="K29" s="7">
        <v>60</v>
      </c>
      <c r="L29" s="24" t="s">
        <v>20</v>
      </c>
      <c r="M29" s="7"/>
      <c r="N29" s="7" t="s">
        <v>277</v>
      </c>
      <c r="O29" s="7"/>
      <c r="P29" s="7"/>
      <c r="Q29" s="34">
        <v>46299</v>
      </c>
      <c r="R29" s="20"/>
      <c r="S29" s="20"/>
      <c r="T29" s="34">
        <v>46359</v>
      </c>
      <c r="U29" s="20"/>
      <c r="V29" s="20"/>
      <c r="W29" s="34"/>
      <c r="X29" s="20"/>
      <c r="Y29" s="20"/>
      <c r="Z29" s="34"/>
      <c r="AA29" s="20"/>
      <c r="AB29" s="20"/>
      <c r="AC29" s="34">
        <v>46419</v>
      </c>
      <c r="AD29" s="20"/>
      <c r="AE29" s="20"/>
    </row>
    <row r="30" spans="1:31" hidden="1" x14ac:dyDescent="0.35">
      <c r="A30" s="6">
        <v>60</v>
      </c>
      <c r="B30" s="7" t="s">
        <v>117</v>
      </c>
      <c r="C30" s="24" t="s">
        <v>285</v>
      </c>
      <c r="D30" s="7" t="str">
        <f>"MR-"&amp;_xlfn.XLOOKUP(B30, Code!$F:$F, Code!$E:$E, "NA")&amp;"-"&amp;TEXT(A30,"0000")</f>
        <v>MR-PI-0060</v>
      </c>
      <c r="E30" s="7" t="s">
        <v>133</v>
      </c>
      <c r="F30" s="9"/>
      <c r="G30" s="9"/>
      <c r="H30" s="8"/>
      <c r="I30" s="24" t="s">
        <v>58</v>
      </c>
      <c r="J30" s="7"/>
      <c r="K30" s="7">
        <v>60</v>
      </c>
      <c r="L30" s="24" t="s">
        <v>20</v>
      </c>
      <c r="M30" s="7"/>
      <c r="N30" s="7" t="s">
        <v>277</v>
      </c>
      <c r="O30" s="7"/>
      <c r="P30" s="7"/>
      <c r="Q30" s="34">
        <v>46299</v>
      </c>
      <c r="R30" s="20"/>
      <c r="S30" s="20"/>
      <c r="T30" s="34">
        <v>46359</v>
      </c>
      <c r="U30" s="20"/>
      <c r="V30" s="20"/>
      <c r="W30" s="34"/>
      <c r="X30" s="20"/>
      <c r="Y30" s="20"/>
      <c r="Z30" s="34"/>
      <c r="AA30" s="20"/>
      <c r="AB30" s="20"/>
      <c r="AC30" s="34">
        <v>46419</v>
      </c>
      <c r="AD30" s="20"/>
      <c r="AE30" s="20"/>
    </row>
    <row r="31" spans="1:31" hidden="1" x14ac:dyDescent="0.35">
      <c r="A31" s="6">
        <v>61</v>
      </c>
      <c r="B31" s="7" t="s">
        <v>117</v>
      </c>
      <c r="C31" s="24" t="s">
        <v>286</v>
      </c>
      <c r="D31" s="7" t="str">
        <f>"MR-"&amp;_xlfn.XLOOKUP(B31, Code!$F:$F, Code!$E:$E, "NA")&amp;"-"&amp;TEXT(A31,"0000")</f>
        <v>MR-PI-0061</v>
      </c>
      <c r="E31" s="7" t="s">
        <v>133</v>
      </c>
      <c r="F31" s="9"/>
      <c r="G31" s="9"/>
      <c r="H31" s="8"/>
      <c r="I31" s="24" t="s">
        <v>58</v>
      </c>
      <c r="J31" s="7"/>
      <c r="K31" s="7">
        <v>60</v>
      </c>
      <c r="L31" s="24" t="s">
        <v>20</v>
      </c>
      <c r="M31" s="7"/>
      <c r="N31" s="7" t="s">
        <v>277</v>
      </c>
      <c r="O31" s="7"/>
      <c r="P31" s="7"/>
      <c r="Q31" s="34">
        <v>46299</v>
      </c>
      <c r="R31" s="20"/>
      <c r="S31" s="20"/>
      <c r="T31" s="34">
        <v>46359</v>
      </c>
      <c r="U31" s="20"/>
      <c r="V31" s="20"/>
      <c r="W31" s="34"/>
      <c r="X31" s="20"/>
      <c r="Y31" s="20"/>
      <c r="Z31" s="34"/>
      <c r="AA31" s="20"/>
      <c r="AB31" s="20"/>
      <c r="AC31" s="34">
        <v>46419</v>
      </c>
      <c r="AD31" s="20"/>
      <c r="AE31" s="20"/>
    </row>
    <row r="32" spans="1:31" hidden="1" x14ac:dyDescent="0.35">
      <c r="A32" s="6">
        <v>62</v>
      </c>
      <c r="B32" s="7" t="s">
        <v>117</v>
      </c>
      <c r="C32" s="31" t="s">
        <v>287</v>
      </c>
      <c r="D32" s="7" t="str">
        <f>"MR-"&amp;_xlfn.XLOOKUP(B32, Code!$F:$F, Code!$E:$E, "NA")&amp;"-"&amp;TEXT(A32,"0000")</f>
        <v>MR-PI-0062</v>
      </c>
      <c r="E32" s="7" t="s">
        <v>140</v>
      </c>
      <c r="F32" s="9"/>
      <c r="G32" s="9"/>
      <c r="H32" s="8"/>
      <c r="I32" s="24" t="s">
        <v>58</v>
      </c>
      <c r="J32" s="7"/>
      <c r="K32" s="7">
        <v>60</v>
      </c>
      <c r="L32" s="24" t="s">
        <v>20</v>
      </c>
      <c r="M32" s="7"/>
      <c r="N32" s="7" t="s">
        <v>277</v>
      </c>
      <c r="O32" s="7"/>
      <c r="P32" s="7"/>
      <c r="Q32" s="34">
        <v>46299</v>
      </c>
      <c r="R32" s="20"/>
      <c r="S32" s="20"/>
      <c r="T32" s="34">
        <v>46359</v>
      </c>
      <c r="U32" s="20"/>
      <c r="V32" s="20"/>
      <c r="W32" s="34"/>
      <c r="X32" s="20"/>
      <c r="Y32" s="20"/>
      <c r="Z32" s="34"/>
      <c r="AA32" s="20"/>
      <c r="AB32" s="20"/>
      <c r="AC32" s="34">
        <v>46419</v>
      </c>
      <c r="AD32" s="20"/>
      <c r="AE32" s="20"/>
    </row>
    <row r="33" spans="1:31" ht="98.25" hidden="1" customHeight="1" x14ac:dyDescent="0.35">
      <c r="A33" s="6">
        <v>63</v>
      </c>
      <c r="B33" s="7" t="s">
        <v>117</v>
      </c>
      <c r="C33" s="7" t="s">
        <v>288</v>
      </c>
      <c r="D33" s="7" t="str">
        <f>"MR-"&amp;_xlfn.XLOOKUP(B33, Code!$F:$F, Code!$E:$E, "NA")&amp;"-"&amp;TEXT(A33,"0000")</f>
        <v>MR-PI-0063</v>
      </c>
      <c r="E33" s="7" t="s">
        <v>133</v>
      </c>
      <c r="F33" s="9"/>
      <c r="G33" s="9"/>
      <c r="H33" s="8"/>
      <c r="I33" s="7" t="s">
        <v>58</v>
      </c>
      <c r="J33" s="7"/>
      <c r="K33" s="7">
        <v>60</v>
      </c>
      <c r="L33" s="7" t="s">
        <v>20</v>
      </c>
      <c r="M33" s="7"/>
      <c r="N33" s="7" t="s">
        <v>253</v>
      </c>
      <c r="O33" s="7"/>
      <c r="P33" s="7"/>
      <c r="Q33" s="34">
        <v>46342</v>
      </c>
      <c r="R33" s="20"/>
      <c r="S33" s="20"/>
      <c r="T33" s="34">
        <v>46402</v>
      </c>
      <c r="U33" s="20"/>
      <c r="V33" s="20"/>
      <c r="W33" s="34"/>
      <c r="X33" s="20"/>
      <c r="Y33" s="20"/>
      <c r="Z33" s="34"/>
      <c r="AA33" s="20"/>
      <c r="AB33" s="20"/>
      <c r="AC33" s="34">
        <v>46462</v>
      </c>
      <c r="AD33" s="20"/>
      <c r="AE33" s="20"/>
    </row>
    <row r="34" spans="1:31" hidden="1" x14ac:dyDescent="0.35">
      <c r="A34" s="6">
        <v>64</v>
      </c>
      <c r="B34" s="7" t="s">
        <v>117</v>
      </c>
      <c r="C34" s="24" t="s">
        <v>289</v>
      </c>
      <c r="D34" s="7" t="str">
        <f>"MR-"&amp;_xlfn.XLOOKUP(B34, Code!$F:$F, Code!$E:$E, "NA")&amp;"-"&amp;TEXT(A34,"0000")</f>
        <v>MR-PI-0064</v>
      </c>
      <c r="E34" s="7" t="s">
        <v>133</v>
      </c>
      <c r="F34" s="9"/>
      <c r="G34" s="9"/>
      <c r="H34" s="8"/>
      <c r="I34" s="24" t="s">
        <v>58</v>
      </c>
      <c r="J34" s="7"/>
      <c r="K34" s="7">
        <v>60</v>
      </c>
      <c r="L34" s="24" t="s">
        <v>20</v>
      </c>
      <c r="M34" s="7"/>
      <c r="N34" s="7" t="s">
        <v>277</v>
      </c>
      <c r="O34" s="7"/>
      <c r="P34" s="7"/>
      <c r="Q34" s="34">
        <v>46299</v>
      </c>
      <c r="R34" s="20"/>
      <c r="S34" s="20"/>
      <c r="T34" s="34">
        <v>46359</v>
      </c>
      <c r="U34" s="20"/>
      <c r="V34" s="20"/>
      <c r="W34" s="34"/>
      <c r="X34" s="20"/>
      <c r="Y34" s="20"/>
      <c r="Z34" s="34"/>
      <c r="AA34" s="20"/>
      <c r="AB34" s="20"/>
      <c r="AC34" s="34">
        <v>46419</v>
      </c>
      <c r="AD34" s="20"/>
      <c r="AE34" s="20"/>
    </row>
    <row r="35" spans="1:31" ht="42" hidden="1" x14ac:dyDescent="0.35">
      <c r="A35" s="6">
        <v>69</v>
      </c>
      <c r="B35" s="7" t="s">
        <v>57</v>
      </c>
      <c r="C35" s="26" t="s">
        <v>290</v>
      </c>
      <c r="D35" s="7" t="str">
        <f>"MR-"&amp;_xlfn.XLOOKUP(B35, Code!$F:$F, Code!$E:$E, "NA")&amp;"-"&amp;TEXT(A35,"0000")</f>
        <v>MR-E-0069</v>
      </c>
      <c r="E35" s="7" t="s">
        <v>79</v>
      </c>
      <c r="F35" s="9"/>
      <c r="G35" s="9"/>
      <c r="H35" s="8" t="s">
        <v>291</v>
      </c>
      <c r="I35" s="7"/>
      <c r="J35" s="7">
        <v>51</v>
      </c>
      <c r="K35" s="7">
        <v>140</v>
      </c>
      <c r="L35" s="7"/>
      <c r="M35" s="7" t="s">
        <v>292</v>
      </c>
      <c r="N35" s="7" t="s">
        <v>256</v>
      </c>
      <c r="O35" s="7"/>
      <c r="P35" s="7"/>
      <c r="Q35" s="34">
        <v>46322</v>
      </c>
      <c r="R35" s="20"/>
      <c r="S35" s="20"/>
      <c r="T35" s="34">
        <v>46382</v>
      </c>
      <c r="U35" s="20"/>
      <c r="V35" s="20"/>
      <c r="W35" s="20">
        <f t="shared" ref="W35:W66" si="4">T35+60</f>
        <v>46442</v>
      </c>
      <c r="X35" s="20"/>
      <c r="Y35" s="20"/>
      <c r="Z35" s="20">
        <f t="shared" ref="Z35:Z66" si="5">AC35-30</f>
        <v>46492</v>
      </c>
      <c r="AA35" s="20"/>
      <c r="AB35" s="20"/>
      <c r="AC35" s="34">
        <v>46522</v>
      </c>
      <c r="AD35" s="20"/>
      <c r="AE35" s="20"/>
    </row>
    <row r="36" spans="1:31" hidden="1" x14ac:dyDescent="0.35">
      <c r="A36" s="6">
        <v>73</v>
      </c>
      <c r="B36" s="7" t="s">
        <v>57</v>
      </c>
      <c r="C36" s="24" t="s">
        <v>293</v>
      </c>
      <c r="D36" s="7" t="str">
        <f>"MR-"&amp;_xlfn.XLOOKUP(B36, Code!$F:$F, Code!$E:$E, "NA")&amp;"-"&amp;TEXT(A36,"0000")</f>
        <v>MR-E-0073</v>
      </c>
      <c r="E36" s="7" t="s">
        <v>32</v>
      </c>
      <c r="F36" s="9"/>
      <c r="G36" s="9"/>
      <c r="H36" s="8"/>
      <c r="I36" s="7" t="s">
        <v>58</v>
      </c>
      <c r="J36" s="7"/>
      <c r="K36" s="7">
        <v>84</v>
      </c>
      <c r="L36" s="24" t="s">
        <v>40</v>
      </c>
      <c r="M36" s="7" t="s">
        <v>294</v>
      </c>
      <c r="N36" s="7" t="s">
        <v>256</v>
      </c>
      <c r="O36" s="7"/>
      <c r="P36" s="7"/>
      <c r="Q36" s="34">
        <v>46289</v>
      </c>
      <c r="R36" s="20"/>
      <c r="S36" s="20"/>
      <c r="T36" s="34">
        <v>46349</v>
      </c>
      <c r="U36" s="20"/>
      <c r="V36" s="20"/>
      <c r="W36" s="20">
        <f t="shared" si="4"/>
        <v>46409</v>
      </c>
      <c r="X36" s="20"/>
      <c r="Y36" s="20"/>
      <c r="Z36" s="20">
        <f t="shared" si="5"/>
        <v>46403</v>
      </c>
      <c r="AA36" s="20"/>
      <c r="AB36" s="20"/>
      <c r="AC36" s="34">
        <v>46433</v>
      </c>
      <c r="AD36" s="20"/>
      <c r="AE36" s="20"/>
    </row>
    <row r="37" spans="1:31" ht="42" hidden="1" x14ac:dyDescent="0.35">
      <c r="A37" s="6">
        <v>74</v>
      </c>
      <c r="B37" s="7" t="s">
        <v>57</v>
      </c>
      <c r="C37" s="24" t="s">
        <v>295</v>
      </c>
      <c r="D37" s="7" t="str">
        <f>"MR-"&amp;_xlfn.XLOOKUP(B37, Code!$F:$F, Code!$E:$E, "NA")&amp;"-"&amp;TEXT(A37,"0000")</f>
        <v>MR-E-0074</v>
      </c>
      <c r="E37" s="7" t="s">
        <v>71</v>
      </c>
      <c r="F37" s="9"/>
      <c r="G37" s="9"/>
      <c r="H37" s="8" t="s">
        <v>296</v>
      </c>
      <c r="I37" s="7" t="s">
        <v>58</v>
      </c>
      <c r="J37" s="7">
        <v>33</v>
      </c>
      <c r="K37" s="7">
        <v>60</v>
      </c>
      <c r="L37" s="24" t="s">
        <v>30</v>
      </c>
      <c r="M37" s="7"/>
      <c r="N37" s="7" t="s">
        <v>256</v>
      </c>
      <c r="O37" s="7"/>
      <c r="P37" s="7"/>
      <c r="Q37" s="34">
        <v>46346</v>
      </c>
      <c r="R37" s="20"/>
      <c r="S37" s="20"/>
      <c r="T37" s="34">
        <v>46407</v>
      </c>
      <c r="U37" s="20"/>
      <c r="V37" s="20"/>
      <c r="W37" s="20">
        <f t="shared" si="4"/>
        <v>46467</v>
      </c>
      <c r="X37" s="20"/>
      <c r="Y37" s="20"/>
      <c r="Z37" s="20">
        <f t="shared" si="5"/>
        <v>46446</v>
      </c>
      <c r="AA37" s="20"/>
      <c r="AB37" s="20"/>
      <c r="AC37" s="34">
        <v>46476</v>
      </c>
      <c r="AD37" s="20"/>
      <c r="AE37" s="20"/>
    </row>
    <row r="38" spans="1:31" ht="31.5" hidden="1" x14ac:dyDescent="0.35">
      <c r="A38" s="6">
        <v>78</v>
      </c>
      <c r="B38" s="7" t="s">
        <v>84</v>
      </c>
      <c r="C38" s="24" t="s">
        <v>297</v>
      </c>
      <c r="D38" s="7" t="str">
        <f>"MR-"&amp;_xlfn.XLOOKUP(B38, Code!$F:$F, Code!$E:$E, "NA")&amp;"-"&amp;TEXT(A38,"0000")</f>
        <v>MR-I-0078</v>
      </c>
      <c r="E38" s="7" t="s">
        <v>79</v>
      </c>
      <c r="F38" s="9" t="s">
        <v>265</v>
      </c>
      <c r="G38" s="9" t="s">
        <v>298</v>
      </c>
      <c r="H38" s="8" t="s">
        <v>299</v>
      </c>
      <c r="I38" s="7" t="s">
        <v>58</v>
      </c>
      <c r="J38" s="7">
        <f>16+1</f>
        <v>17</v>
      </c>
      <c r="K38" s="7">
        <v>70</v>
      </c>
      <c r="L38" s="7" t="s">
        <v>20</v>
      </c>
      <c r="M38" s="7"/>
      <c r="N38" s="7" t="s">
        <v>258</v>
      </c>
      <c r="O38" s="7"/>
      <c r="P38" s="7"/>
      <c r="Q38" s="34">
        <v>46362</v>
      </c>
      <c r="R38" s="20"/>
      <c r="S38" s="20"/>
      <c r="T38" s="34">
        <v>46422</v>
      </c>
      <c r="U38" s="20"/>
      <c r="V38" s="20"/>
      <c r="W38" s="20">
        <f t="shared" si="4"/>
        <v>46482</v>
      </c>
      <c r="X38" s="20"/>
      <c r="Y38" s="20"/>
      <c r="Z38" s="20">
        <f t="shared" si="5"/>
        <v>46462</v>
      </c>
      <c r="AA38" s="20"/>
      <c r="AB38" s="20"/>
      <c r="AC38" s="34">
        <v>46492</v>
      </c>
      <c r="AD38" s="20"/>
      <c r="AE38" s="20"/>
    </row>
    <row r="39" spans="1:31" ht="29" hidden="1" x14ac:dyDescent="0.35">
      <c r="A39" s="6">
        <v>79</v>
      </c>
      <c r="B39" s="7" t="s">
        <v>84</v>
      </c>
      <c r="C39" s="24" t="s">
        <v>300</v>
      </c>
      <c r="D39" s="7" t="str">
        <f>"MR-"&amp;_xlfn.XLOOKUP(B39, Code!$F:$F, Code!$E:$E, "NA")&amp;"-"&amp;TEXT(A39,"0000")</f>
        <v>MR-I-0079</v>
      </c>
      <c r="E39" s="7" t="s">
        <v>79</v>
      </c>
      <c r="F39" s="9" t="s">
        <v>301</v>
      </c>
      <c r="G39" s="9" t="s">
        <v>302</v>
      </c>
      <c r="H39" s="8" t="s">
        <v>303</v>
      </c>
      <c r="I39" s="7" t="s">
        <v>58</v>
      </c>
      <c r="J39" s="7">
        <f>8</f>
        <v>8</v>
      </c>
      <c r="K39" s="7">
        <v>84</v>
      </c>
      <c r="L39" s="7" t="s">
        <v>20</v>
      </c>
      <c r="M39" s="7"/>
      <c r="N39" s="7" t="s">
        <v>258</v>
      </c>
      <c r="O39" s="7"/>
      <c r="P39" s="7"/>
      <c r="Q39" s="34">
        <v>46501</v>
      </c>
      <c r="R39" s="20"/>
      <c r="S39" s="20"/>
      <c r="T39" s="34">
        <v>46561</v>
      </c>
      <c r="U39" s="20"/>
      <c r="V39" s="20"/>
      <c r="W39" s="20">
        <f t="shared" si="4"/>
        <v>46621</v>
      </c>
      <c r="X39" s="20"/>
      <c r="Y39" s="20"/>
      <c r="Z39" s="20">
        <f t="shared" si="5"/>
        <v>46615</v>
      </c>
      <c r="AA39" s="20"/>
      <c r="AB39" s="20"/>
      <c r="AC39" s="34">
        <v>46645</v>
      </c>
      <c r="AD39" s="20"/>
      <c r="AE39" s="20"/>
    </row>
    <row r="40" spans="1:31" hidden="1" x14ac:dyDescent="0.35">
      <c r="A40" s="6">
        <v>80</v>
      </c>
      <c r="B40" s="7" t="s">
        <v>84</v>
      </c>
      <c r="C40" s="24" t="s">
        <v>304</v>
      </c>
      <c r="D40" s="7" t="str">
        <f>"MR-"&amp;_xlfn.XLOOKUP(B40, Code!$F:$F, Code!$E:$E, "NA")&amp;"-"&amp;TEXT(A40,"0000")</f>
        <v>MR-I-0080</v>
      </c>
      <c r="E40" s="7" t="s">
        <v>79</v>
      </c>
      <c r="F40" s="9"/>
      <c r="G40" s="9" t="s">
        <v>305</v>
      </c>
      <c r="H40" s="8"/>
      <c r="I40" s="7" t="s">
        <v>58</v>
      </c>
      <c r="J40" s="7"/>
      <c r="K40" s="7">
        <v>56</v>
      </c>
      <c r="L40" s="7" t="s">
        <v>20</v>
      </c>
      <c r="M40" s="7"/>
      <c r="N40" s="7" t="s">
        <v>258</v>
      </c>
      <c r="O40" s="7"/>
      <c r="P40" s="7"/>
      <c r="Q40" s="34">
        <v>46345</v>
      </c>
      <c r="R40" s="20"/>
      <c r="S40" s="20"/>
      <c r="T40" s="34">
        <v>46405</v>
      </c>
      <c r="U40" s="20"/>
      <c r="V40" s="20"/>
      <c r="W40" s="20">
        <f t="shared" si="4"/>
        <v>46465</v>
      </c>
      <c r="X40" s="20"/>
      <c r="Y40" s="20"/>
      <c r="Z40" s="20">
        <f t="shared" si="5"/>
        <v>46431</v>
      </c>
      <c r="AA40" s="20"/>
      <c r="AB40" s="20"/>
      <c r="AC40" s="34">
        <v>46461</v>
      </c>
      <c r="AD40" s="20"/>
      <c r="AE40" s="20"/>
    </row>
    <row r="41" spans="1:31" ht="31.5" hidden="1" x14ac:dyDescent="0.35">
      <c r="A41" s="6">
        <v>81</v>
      </c>
      <c r="B41" s="7" t="s">
        <v>84</v>
      </c>
      <c r="C41" s="24" t="s">
        <v>306</v>
      </c>
      <c r="D41" s="7" t="str">
        <f>"MR-"&amp;_xlfn.XLOOKUP(B41, Code!$F:$F, Code!$E:$E, "NA")&amp;"-"&amp;TEXT(A41,"0000")</f>
        <v>MR-I-0081</v>
      </c>
      <c r="E41" s="7" t="s">
        <v>32</v>
      </c>
      <c r="F41" s="9"/>
      <c r="G41" s="9" t="s">
        <v>307</v>
      </c>
      <c r="H41" s="8" t="s">
        <v>308</v>
      </c>
      <c r="I41" s="7" t="s">
        <v>58</v>
      </c>
      <c r="J41" s="7"/>
      <c r="K41" s="7">
        <v>70</v>
      </c>
      <c r="L41" s="24" t="s">
        <v>40</v>
      </c>
      <c r="M41" s="24" t="s">
        <v>309</v>
      </c>
      <c r="N41" s="7" t="s">
        <v>258</v>
      </c>
      <c r="O41" s="7"/>
      <c r="P41" s="7"/>
      <c r="Q41" s="34">
        <v>46303</v>
      </c>
      <c r="R41" s="20"/>
      <c r="S41" s="20"/>
      <c r="T41" s="34">
        <v>46363</v>
      </c>
      <c r="U41" s="20"/>
      <c r="V41" s="20"/>
      <c r="W41" s="20">
        <f t="shared" si="4"/>
        <v>46423</v>
      </c>
      <c r="X41" s="20"/>
      <c r="Y41" s="20"/>
      <c r="Z41" s="20">
        <f t="shared" si="5"/>
        <v>46403</v>
      </c>
      <c r="AA41" s="20"/>
      <c r="AB41" s="20"/>
      <c r="AC41" s="34">
        <v>46433</v>
      </c>
      <c r="AD41" s="20"/>
      <c r="AE41" s="20"/>
    </row>
    <row r="42" spans="1:31" hidden="1" x14ac:dyDescent="0.35">
      <c r="A42" s="6">
        <v>82</v>
      </c>
      <c r="B42" s="7" t="s">
        <v>84</v>
      </c>
      <c r="C42" s="24" t="s">
        <v>310</v>
      </c>
      <c r="D42" s="7" t="str">
        <f>"MR-"&amp;_xlfn.XLOOKUP(B42, Code!$F:$F, Code!$E:$E, "NA")&amp;"-"&amp;TEXT(A42,"0000")</f>
        <v>MR-I-0082</v>
      </c>
      <c r="E42" s="7" t="s">
        <v>71</v>
      </c>
      <c r="F42" s="9"/>
      <c r="G42" s="9" t="s">
        <v>311</v>
      </c>
      <c r="H42" s="8" t="s">
        <v>312</v>
      </c>
      <c r="I42" s="7" t="s">
        <v>58</v>
      </c>
      <c r="J42" s="7"/>
      <c r="K42" s="7">
        <v>45</v>
      </c>
      <c r="L42" s="7" t="s">
        <v>20</v>
      </c>
      <c r="M42" s="7"/>
      <c r="N42" s="7" t="s">
        <v>258</v>
      </c>
      <c r="O42" s="7"/>
      <c r="P42" s="7"/>
      <c r="Q42" s="34">
        <v>46402</v>
      </c>
      <c r="R42" s="20"/>
      <c r="S42" s="20"/>
      <c r="T42" s="34">
        <v>46462</v>
      </c>
      <c r="U42" s="20"/>
      <c r="V42" s="20"/>
      <c r="W42" s="20">
        <f t="shared" si="4"/>
        <v>46522</v>
      </c>
      <c r="X42" s="20"/>
      <c r="Y42" s="20"/>
      <c r="Z42" s="20">
        <f t="shared" si="5"/>
        <v>46462</v>
      </c>
      <c r="AA42" s="20"/>
      <c r="AB42" s="20"/>
      <c r="AC42" s="34">
        <v>46492</v>
      </c>
      <c r="AD42" s="20"/>
      <c r="AE42" s="20"/>
    </row>
    <row r="43" spans="1:31" hidden="1" x14ac:dyDescent="0.35">
      <c r="A43" s="6">
        <v>83</v>
      </c>
      <c r="B43" s="7" t="s">
        <v>84</v>
      </c>
      <c r="C43" s="24" t="s">
        <v>313</v>
      </c>
      <c r="D43" s="7" t="str">
        <f>"MR-"&amp;_xlfn.XLOOKUP(B43, Code!$F:$F, Code!$E:$E, "NA")&amp;"-"&amp;TEXT(A43,"0000")</f>
        <v>MR-I-0083</v>
      </c>
      <c r="E43" s="7" t="s">
        <v>42</v>
      </c>
      <c r="F43" s="9"/>
      <c r="G43" s="9" t="s">
        <v>314</v>
      </c>
      <c r="H43" s="8" t="s">
        <v>315</v>
      </c>
      <c r="I43" s="7" t="s">
        <v>58</v>
      </c>
      <c r="J43" s="7"/>
      <c r="K43" s="7">
        <v>45</v>
      </c>
      <c r="L43" s="24" t="s">
        <v>40</v>
      </c>
      <c r="M43" s="24" t="s">
        <v>316</v>
      </c>
      <c r="N43" s="7" t="s">
        <v>258</v>
      </c>
      <c r="O43" s="7"/>
      <c r="P43" s="7"/>
      <c r="Q43" s="34">
        <v>46297</v>
      </c>
      <c r="R43" s="20"/>
      <c r="S43" s="20"/>
      <c r="T43" s="34">
        <v>46357</v>
      </c>
      <c r="U43" s="20"/>
      <c r="V43" s="20"/>
      <c r="W43" s="20">
        <f t="shared" si="4"/>
        <v>46417</v>
      </c>
      <c r="X43" s="20"/>
      <c r="Y43" s="20"/>
      <c r="Z43" s="20">
        <f t="shared" si="5"/>
        <v>46372</v>
      </c>
      <c r="AA43" s="20"/>
      <c r="AB43" s="20"/>
      <c r="AC43" s="34">
        <v>46402</v>
      </c>
      <c r="AD43" s="20"/>
      <c r="AE43" s="20"/>
    </row>
    <row r="44" spans="1:31" ht="29" hidden="1" x14ac:dyDescent="0.35">
      <c r="A44" s="6">
        <v>84</v>
      </c>
      <c r="B44" s="7" t="s">
        <v>84</v>
      </c>
      <c r="C44" s="24" t="s">
        <v>317</v>
      </c>
      <c r="D44" s="7" t="str">
        <f>"MR-"&amp;_xlfn.XLOOKUP(B44, Code!$F:$F, Code!$E:$E, "NA")&amp;"-"&amp;TEXT(A44,"0000")</f>
        <v>MR-I-0084</v>
      </c>
      <c r="E44" s="7" t="s">
        <v>119</v>
      </c>
      <c r="F44" s="9" t="s">
        <v>318</v>
      </c>
      <c r="G44" s="9" t="s">
        <v>319</v>
      </c>
      <c r="H44" s="8"/>
      <c r="I44" s="7" t="s">
        <v>58</v>
      </c>
      <c r="J44" s="9">
        <f>34+14</f>
        <v>48</v>
      </c>
      <c r="K44" s="7">
        <v>45</v>
      </c>
      <c r="L44" s="7" t="s">
        <v>40</v>
      </c>
      <c r="M44" s="7" t="s">
        <v>320</v>
      </c>
      <c r="N44" s="7" t="s">
        <v>258</v>
      </c>
      <c r="O44" s="7"/>
      <c r="P44" s="7"/>
      <c r="Q44" s="34">
        <v>46356</v>
      </c>
      <c r="R44" s="20"/>
      <c r="S44" s="20"/>
      <c r="T44" s="34">
        <v>46416</v>
      </c>
      <c r="U44" s="20"/>
      <c r="V44" s="20"/>
      <c r="W44" s="20">
        <f t="shared" si="4"/>
        <v>46476</v>
      </c>
      <c r="X44" s="20"/>
      <c r="Y44" s="20"/>
      <c r="Z44" s="20">
        <f t="shared" si="5"/>
        <v>46431</v>
      </c>
      <c r="AA44" s="20"/>
      <c r="AB44" s="20"/>
      <c r="AC44" s="34">
        <v>46461</v>
      </c>
      <c r="AD44" s="20"/>
      <c r="AE44" s="20"/>
    </row>
    <row r="45" spans="1:31" ht="29" hidden="1" x14ac:dyDescent="0.35">
      <c r="A45" s="6">
        <v>85</v>
      </c>
      <c r="B45" s="7" t="s">
        <v>84</v>
      </c>
      <c r="C45" s="24" t="s">
        <v>321</v>
      </c>
      <c r="D45" s="7" t="str">
        <f>"MR-"&amp;_xlfn.XLOOKUP(B45, Code!$F:$F, Code!$E:$E, "NA")&amp;"-"&amp;TEXT(A45,"0000")</f>
        <v>MR-I-0085</v>
      </c>
      <c r="E45" s="7" t="s">
        <v>119</v>
      </c>
      <c r="F45" s="9" t="s">
        <v>322</v>
      </c>
      <c r="G45" s="9" t="s">
        <v>319</v>
      </c>
      <c r="H45" s="8"/>
      <c r="I45" s="7" t="s">
        <v>58</v>
      </c>
      <c r="J45" s="7">
        <f>56+21</f>
        <v>77</v>
      </c>
      <c r="K45" s="7">
        <v>45</v>
      </c>
      <c r="L45" s="7" t="s">
        <v>40</v>
      </c>
      <c r="M45" s="7" t="s">
        <v>323</v>
      </c>
      <c r="N45" s="7" t="s">
        <v>258</v>
      </c>
      <c r="O45" s="7"/>
      <c r="P45" s="7"/>
      <c r="Q45" s="34">
        <v>46356</v>
      </c>
      <c r="R45" s="20"/>
      <c r="S45" s="20"/>
      <c r="T45" s="34">
        <v>46416</v>
      </c>
      <c r="U45" s="20"/>
      <c r="V45" s="20"/>
      <c r="W45" s="20">
        <f t="shared" si="4"/>
        <v>46476</v>
      </c>
      <c r="X45" s="20"/>
      <c r="Y45" s="20"/>
      <c r="Z45" s="20">
        <f t="shared" si="5"/>
        <v>46431</v>
      </c>
      <c r="AA45" s="20"/>
      <c r="AB45" s="20"/>
      <c r="AC45" s="34">
        <v>46461</v>
      </c>
      <c r="AD45" s="20"/>
      <c r="AE45" s="20"/>
    </row>
    <row r="46" spans="1:31" hidden="1" x14ac:dyDescent="0.35">
      <c r="A46" s="6">
        <v>86</v>
      </c>
      <c r="B46" s="7" t="s">
        <v>84</v>
      </c>
      <c r="C46" s="24" t="s">
        <v>324</v>
      </c>
      <c r="D46" s="7" t="str">
        <f>"MR-"&amp;_xlfn.XLOOKUP(B46, Code!$F:$F, Code!$E:$E, "NA")&amp;"-"&amp;TEXT(A46,"0000")</f>
        <v>MR-I-0086</v>
      </c>
      <c r="E46" s="7" t="s">
        <v>119</v>
      </c>
      <c r="F46" s="9" t="s">
        <v>325</v>
      </c>
      <c r="G46" s="9" t="s">
        <v>319</v>
      </c>
      <c r="H46" s="8"/>
      <c r="I46" s="7" t="s">
        <v>58</v>
      </c>
      <c r="J46" s="7">
        <f>31</f>
        <v>31</v>
      </c>
      <c r="K46" s="7">
        <v>45</v>
      </c>
      <c r="L46" s="7" t="s">
        <v>40</v>
      </c>
      <c r="M46" s="7" t="s">
        <v>326</v>
      </c>
      <c r="N46" s="7" t="s">
        <v>258</v>
      </c>
      <c r="O46" s="7"/>
      <c r="P46" s="7"/>
      <c r="Q46" s="34">
        <v>46356</v>
      </c>
      <c r="R46" s="20"/>
      <c r="S46" s="20"/>
      <c r="T46" s="34">
        <v>46416</v>
      </c>
      <c r="U46" s="20"/>
      <c r="V46" s="20"/>
      <c r="W46" s="20">
        <f t="shared" si="4"/>
        <v>46476</v>
      </c>
      <c r="X46" s="20"/>
      <c r="Y46" s="20"/>
      <c r="Z46" s="20">
        <f t="shared" si="5"/>
        <v>46431</v>
      </c>
      <c r="AA46" s="20"/>
      <c r="AB46" s="20"/>
      <c r="AC46" s="34">
        <v>46461</v>
      </c>
      <c r="AD46" s="20"/>
      <c r="AE46" s="20"/>
    </row>
    <row r="47" spans="1:31" hidden="1" x14ac:dyDescent="0.35">
      <c r="A47" s="6">
        <v>87</v>
      </c>
      <c r="B47" s="7" t="s">
        <v>84</v>
      </c>
      <c r="C47" s="24" t="s">
        <v>327</v>
      </c>
      <c r="D47" s="7" t="str">
        <f>"MR-"&amp;_xlfn.XLOOKUP(B47, Code!$F:$F, Code!$E:$E, "NA")&amp;"-"&amp;TEXT(A47,"0000")</f>
        <v>MR-I-0087</v>
      </c>
      <c r="E47" s="7" t="s">
        <v>119</v>
      </c>
      <c r="F47" s="9" t="s">
        <v>328</v>
      </c>
      <c r="G47" s="9" t="s">
        <v>319</v>
      </c>
      <c r="H47" s="8"/>
      <c r="I47" s="7" t="s">
        <v>58</v>
      </c>
      <c r="J47" s="7">
        <f>6</f>
        <v>6</v>
      </c>
      <c r="K47" s="7">
        <v>45</v>
      </c>
      <c r="L47" s="7" t="s">
        <v>40</v>
      </c>
      <c r="M47" s="7" t="s">
        <v>323</v>
      </c>
      <c r="N47" s="7" t="s">
        <v>258</v>
      </c>
      <c r="O47" s="7"/>
      <c r="P47" s="7"/>
      <c r="Q47" s="34">
        <v>46356</v>
      </c>
      <c r="R47" s="20"/>
      <c r="S47" s="20"/>
      <c r="T47" s="34">
        <v>46416</v>
      </c>
      <c r="U47" s="20"/>
      <c r="V47" s="20"/>
      <c r="W47" s="20">
        <f t="shared" si="4"/>
        <v>46476</v>
      </c>
      <c r="X47" s="20"/>
      <c r="Y47" s="20"/>
      <c r="Z47" s="20">
        <f t="shared" si="5"/>
        <v>46431</v>
      </c>
      <c r="AA47" s="20"/>
      <c r="AB47" s="20"/>
      <c r="AC47" s="34">
        <v>46461</v>
      </c>
      <c r="AD47" s="20"/>
      <c r="AE47" s="20"/>
    </row>
    <row r="48" spans="1:31" ht="29" hidden="1" x14ac:dyDescent="0.35">
      <c r="A48" s="6">
        <v>88</v>
      </c>
      <c r="B48" s="7" t="s">
        <v>84</v>
      </c>
      <c r="C48" s="24" t="s">
        <v>329</v>
      </c>
      <c r="D48" s="7" t="str">
        <f>"MR-"&amp;_xlfn.XLOOKUP(B48, Code!$F:$F, Code!$E:$E, "NA")&amp;"-"&amp;TEXT(A48,"0000")</f>
        <v>MR-I-0088</v>
      </c>
      <c r="E48" s="7" t="s">
        <v>119</v>
      </c>
      <c r="F48" s="9" t="s">
        <v>330</v>
      </c>
      <c r="G48" s="9" t="s">
        <v>319</v>
      </c>
      <c r="H48" s="8"/>
      <c r="I48" s="7" t="s">
        <v>58</v>
      </c>
      <c r="J48" s="7">
        <f>32</f>
        <v>32</v>
      </c>
      <c r="K48" s="7">
        <v>45</v>
      </c>
      <c r="L48" s="7" t="s">
        <v>40</v>
      </c>
      <c r="M48" s="7" t="s">
        <v>331</v>
      </c>
      <c r="N48" s="7" t="s">
        <v>258</v>
      </c>
      <c r="O48" s="7"/>
      <c r="P48" s="7"/>
      <c r="Q48" s="34">
        <v>46356</v>
      </c>
      <c r="R48" s="20"/>
      <c r="S48" s="20"/>
      <c r="T48" s="34">
        <v>46416</v>
      </c>
      <c r="U48" s="20"/>
      <c r="V48" s="20"/>
      <c r="W48" s="20">
        <f t="shared" si="4"/>
        <v>46476</v>
      </c>
      <c r="X48" s="20"/>
      <c r="Y48" s="20"/>
      <c r="Z48" s="20">
        <f t="shared" si="5"/>
        <v>46431</v>
      </c>
      <c r="AA48" s="20"/>
      <c r="AB48" s="20"/>
      <c r="AC48" s="34">
        <v>46461</v>
      </c>
      <c r="AD48" s="20"/>
      <c r="AE48" s="20"/>
    </row>
    <row r="49" spans="1:31" hidden="1" x14ac:dyDescent="0.35">
      <c r="A49" s="6">
        <v>89</v>
      </c>
      <c r="B49" s="7" t="s">
        <v>84</v>
      </c>
      <c r="C49" s="30" t="s">
        <v>332</v>
      </c>
      <c r="D49" s="7" t="str">
        <f>"MR-"&amp;_xlfn.XLOOKUP(B49, Code!$F:$F, Code!$E:$E, "NA")&amp;"-"&amp;TEXT(A49,"0000")</f>
        <v>MR-I-0089</v>
      </c>
      <c r="E49" s="7" t="s">
        <v>119</v>
      </c>
      <c r="F49" s="9" t="s">
        <v>333</v>
      </c>
      <c r="G49" s="9" t="s">
        <v>319</v>
      </c>
      <c r="H49" s="8"/>
      <c r="I49" s="7" t="s">
        <v>58</v>
      </c>
      <c r="J49" s="7">
        <f>4</f>
        <v>4</v>
      </c>
      <c r="K49" s="7">
        <v>45</v>
      </c>
      <c r="L49" s="7" t="s">
        <v>30</v>
      </c>
      <c r="M49" s="7"/>
      <c r="N49" s="7" t="s">
        <v>258</v>
      </c>
      <c r="O49" s="7"/>
      <c r="P49" s="7"/>
      <c r="Q49" s="34">
        <v>46356</v>
      </c>
      <c r="R49" s="20"/>
      <c r="S49" s="20"/>
      <c r="T49" s="34">
        <v>46416</v>
      </c>
      <c r="U49" s="20"/>
      <c r="V49" s="20"/>
      <c r="W49" s="20">
        <f t="shared" si="4"/>
        <v>46476</v>
      </c>
      <c r="X49" s="20"/>
      <c r="Y49" s="20"/>
      <c r="Z49" s="20">
        <f t="shared" si="5"/>
        <v>46431</v>
      </c>
      <c r="AA49" s="20"/>
      <c r="AB49" s="20"/>
      <c r="AC49" s="34">
        <v>46461</v>
      </c>
      <c r="AD49" s="20"/>
      <c r="AE49" s="20"/>
    </row>
    <row r="50" spans="1:31" ht="43.5" hidden="1" x14ac:dyDescent="0.35">
      <c r="A50" s="6">
        <v>90</v>
      </c>
      <c r="B50" s="7" t="s">
        <v>84</v>
      </c>
      <c r="C50" s="24" t="s">
        <v>334</v>
      </c>
      <c r="D50" s="7" t="str">
        <f>"MR-"&amp;_xlfn.XLOOKUP(B50, Code!$F:$F, Code!$E:$E, "NA")&amp;"-"&amp;TEXT(A50,"0000")</f>
        <v>MR-I-0090</v>
      </c>
      <c r="E50" s="7" t="s">
        <v>119</v>
      </c>
      <c r="F50" s="9" t="s">
        <v>335</v>
      </c>
      <c r="G50" s="9" t="s">
        <v>319</v>
      </c>
      <c r="H50" s="8"/>
      <c r="I50" s="7" t="s">
        <v>58</v>
      </c>
      <c r="J50" s="7">
        <f>34</f>
        <v>34</v>
      </c>
      <c r="K50" s="7">
        <v>30</v>
      </c>
      <c r="L50" s="7" t="s">
        <v>40</v>
      </c>
      <c r="M50" s="7" t="s">
        <v>336</v>
      </c>
      <c r="N50" s="7" t="s">
        <v>258</v>
      </c>
      <c r="O50" s="7"/>
      <c r="P50" s="7"/>
      <c r="Q50" s="34">
        <v>46402</v>
      </c>
      <c r="R50" s="20"/>
      <c r="S50" s="20"/>
      <c r="T50" s="34">
        <v>46462</v>
      </c>
      <c r="U50" s="20"/>
      <c r="V50" s="20"/>
      <c r="W50" s="20">
        <f t="shared" si="4"/>
        <v>46522</v>
      </c>
      <c r="X50" s="20"/>
      <c r="Y50" s="20"/>
      <c r="Z50" s="20">
        <f t="shared" si="5"/>
        <v>46462</v>
      </c>
      <c r="AA50" s="20"/>
      <c r="AB50" s="20"/>
      <c r="AC50" s="34">
        <v>46492</v>
      </c>
      <c r="AD50" s="20"/>
      <c r="AE50" s="20"/>
    </row>
    <row r="51" spans="1:31" ht="58" hidden="1" x14ac:dyDescent="0.35">
      <c r="A51" s="6">
        <v>91</v>
      </c>
      <c r="B51" s="7" t="s">
        <v>84</v>
      </c>
      <c r="C51" s="25" t="s">
        <v>337</v>
      </c>
      <c r="D51" s="7" t="str">
        <f>"MR-"&amp;_xlfn.XLOOKUP(B51, Code!$F:$F, Code!$E:$E, "NA")&amp;"-"&amp;TEXT(A51,"0000")</f>
        <v>MR-I-0091</v>
      </c>
      <c r="E51" s="7" t="s">
        <v>119</v>
      </c>
      <c r="F51" s="9" t="s">
        <v>335</v>
      </c>
      <c r="G51" s="9" t="s">
        <v>319</v>
      </c>
      <c r="H51" s="8"/>
      <c r="I51" s="7" t="s">
        <v>58</v>
      </c>
      <c r="J51" s="7">
        <f>20+10+66+12</f>
        <v>108</v>
      </c>
      <c r="K51" s="7">
        <v>84</v>
      </c>
      <c r="L51" s="7" t="s">
        <v>40</v>
      </c>
      <c r="M51" s="7" t="s">
        <v>331</v>
      </c>
      <c r="N51" s="7" t="s">
        <v>258</v>
      </c>
      <c r="O51" s="7"/>
      <c r="P51" s="7"/>
      <c r="Q51" s="34">
        <v>46317</v>
      </c>
      <c r="R51" s="20"/>
      <c r="S51" s="20"/>
      <c r="T51" s="34">
        <v>46377</v>
      </c>
      <c r="U51" s="20"/>
      <c r="V51" s="20"/>
      <c r="W51" s="20">
        <f t="shared" si="4"/>
        <v>46437</v>
      </c>
      <c r="X51" s="20"/>
      <c r="Y51" s="20"/>
      <c r="Z51" s="20">
        <f t="shared" si="5"/>
        <v>46431</v>
      </c>
      <c r="AA51" s="20"/>
      <c r="AB51" s="20"/>
      <c r="AC51" s="34">
        <v>46461</v>
      </c>
      <c r="AD51" s="20"/>
      <c r="AE51" s="20"/>
    </row>
    <row r="52" spans="1:31" hidden="1" x14ac:dyDescent="0.35">
      <c r="A52" s="6">
        <v>92</v>
      </c>
      <c r="B52" s="7" t="s">
        <v>84</v>
      </c>
      <c r="C52" s="24" t="s">
        <v>338</v>
      </c>
      <c r="D52" s="7" t="str">
        <f>"MR-"&amp;_xlfn.XLOOKUP(B52, Code!$F:$F, Code!$E:$E, "NA")&amp;"-"&amp;TEXT(A52,"0000")</f>
        <v>MR-I-0092</v>
      </c>
      <c r="E52" s="7" t="s">
        <v>119</v>
      </c>
      <c r="F52" s="9"/>
      <c r="G52" s="9" t="s">
        <v>319</v>
      </c>
      <c r="H52" s="8"/>
      <c r="I52" s="7" t="s">
        <v>58</v>
      </c>
      <c r="J52" s="7"/>
      <c r="K52" s="7">
        <v>112</v>
      </c>
      <c r="L52" s="7" t="s">
        <v>40</v>
      </c>
      <c r="M52" s="7" t="s">
        <v>339</v>
      </c>
      <c r="N52" s="7" t="s">
        <v>258</v>
      </c>
      <c r="O52" s="7"/>
      <c r="P52" s="7"/>
      <c r="Q52" s="34">
        <v>46289</v>
      </c>
      <c r="R52" s="20"/>
      <c r="S52" s="20"/>
      <c r="T52" s="34">
        <v>46349</v>
      </c>
      <c r="U52" s="20"/>
      <c r="V52" s="20"/>
      <c r="W52" s="20">
        <f t="shared" si="4"/>
        <v>46409</v>
      </c>
      <c r="X52" s="20"/>
      <c r="Y52" s="20"/>
      <c r="Z52" s="20">
        <f t="shared" si="5"/>
        <v>46431</v>
      </c>
      <c r="AA52" s="20"/>
      <c r="AB52" s="20"/>
      <c r="AC52" s="34">
        <v>46461</v>
      </c>
      <c r="AD52" s="20"/>
      <c r="AE52" s="20"/>
    </row>
    <row r="53" spans="1:31" hidden="1" x14ac:dyDescent="0.35">
      <c r="A53" s="6">
        <v>93</v>
      </c>
      <c r="B53" s="7" t="s">
        <v>84</v>
      </c>
      <c r="C53" s="24" t="s">
        <v>340</v>
      </c>
      <c r="D53" s="7" t="str">
        <f>"MR-"&amp;_xlfn.XLOOKUP(B53, Code!$F:$F, Code!$E:$E, "NA")&amp;"-"&amp;TEXT(A53,"0000")</f>
        <v>MR-I-0093</v>
      </c>
      <c r="E53" s="7" t="s">
        <v>119</v>
      </c>
      <c r="F53" s="9"/>
      <c r="G53" s="9" t="s">
        <v>319</v>
      </c>
      <c r="H53" s="8"/>
      <c r="I53" s="7" t="s">
        <v>58</v>
      </c>
      <c r="J53" s="7">
        <f>3</f>
        <v>3</v>
      </c>
      <c r="K53" s="7">
        <v>84</v>
      </c>
      <c r="L53" s="7" t="s">
        <v>30</v>
      </c>
      <c r="M53" s="7"/>
      <c r="N53" s="7" t="s">
        <v>258</v>
      </c>
      <c r="O53" s="7"/>
      <c r="P53" s="7"/>
      <c r="Q53" s="34">
        <v>46317</v>
      </c>
      <c r="R53" s="20"/>
      <c r="S53" s="20"/>
      <c r="T53" s="34">
        <v>46377</v>
      </c>
      <c r="U53" s="20"/>
      <c r="V53" s="20"/>
      <c r="W53" s="20">
        <f t="shared" si="4"/>
        <v>46437</v>
      </c>
      <c r="X53" s="20"/>
      <c r="Y53" s="20"/>
      <c r="Z53" s="20">
        <f t="shared" si="5"/>
        <v>46431</v>
      </c>
      <c r="AA53" s="20"/>
      <c r="AB53" s="20"/>
      <c r="AC53" s="34">
        <v>46461</v>
      </c>
      <c r="AD53" s="20"/>
      <c r="AE53" s="20"/>
    </row>
    <row r="54" spans="1:31" ht="29" hidden="1" x14ac:dyDescent="0.35">
      <c r="A54" s="6">
        <v>94</v>
      </c>
      <c r="B54" s="7" t="s">
        <v>84</v>
      </c>
      <c r="C54" s="25" t="s">
        <v>341</v>
      </c>
      <c r="D54" s="7" t="str">
        <f>"MR-"&amp;_xlfn.XLOOKUP(B54, Code!$F:$F, Code!$E:$E, "NA")&amp;"-"&amp;TEXT(A54,"0000")</f>
        <v>MR-I-0094</v>
      </c>
      <c r="E54" s="7" t="s">
        <v>119</v>
      </c>
      <c r="F54" s="9"/>
      <c r="G54" s="9" t="s">
        <v>319</v>
      </c>
      <c r="H54" s="8"/>
      <c r="I54" s="7" t="s">
        <v>58</v>
      </c>
      <c r="J54" s="7"/>
      <c r="K54" s="7">
        <v>84</v>
      </c>
      <c r="L54" s="7" t="s">
        <v>30</v>
      </c>
      <c r="M54" s="7"/>
      <c r="N54" s="7" t="s">
        <v>258</v>
      </c>
      <c r="O54" s="7"/>
      <c r="P54" s="7"/>
      <c r="Q54" s="34">
        <v>46317</v>
      </c>
      <c r="R54" s="20"/>
      <c r="S54" s="20"/>
      <c r="T54" s="34">
        <v>46377</v>
      </c>
      <c r="U54" s="20"/>
      <c r="V54" s="20"/>
      <c r="W54" s="20">
        <f t="shared" si="4"/>
        <v>46437</v>
      </c>
      <c r="X54" s="20"/>
      <c r="Y54" s="20"/>
      <c r="Z54" s="20">
        <f t="shared" si="5"/>
        <v>46431</v>
      </c>
      <c r="AA54" s="20"/>
      <c r="AB54" s="20"/>
      <c r="AC54" s="34">
        <v>46461</v>
      </c>
      <c r="AD54" s="20"/>
      <c r="AE54" s="20"/>
    </row>
    <row r="55" spans="1:31" ht="58" hidden="1" x14ac:dyDescent="0.35">
      <c r="A55" s="6">
        <v>95</v>
      </c>
      <c r="B55" s="7" t="s">
        <v>84</v>
      </c>
      <c r="C55" s="25" t="s">
        <v>342</v>
      </c>
      <c r="D55" s="7" t="str">
        <f>"MR-"&amp;_xlfn.XLOOKUP(B55, Code!$F:$F, Code!$E:$E, "NA")&amp;"-"&amp;TEXT(A55,"0000")</f>
        <v>MR-I-0095</v>
      </c>
      <c r="E55" s="7" t="s">
        <v>119</v>
      </c>
      <c r="F55" s="9" t="s">
        <v>343</v>
      </c>
      <c r="G55" s="9" t="s">
        <v>319</v>
      </c>
      <c r="H55" s="8"/>
      <c r="I55" s="7" t="s">
        <v>58</v>
      </c>
      <c r="J55" s="7">
        <f>98+32</f>
        <v>130</v>
      </c>
      <c r="K55" s="7">
        <v>112</v>
      </c>
      <c r="L55" s="7" t="s">
        <v>40</v>
      </c>
      <c r="M55" s="7" t="s">
        <v>331</v>
      </c>
      <c r="N55" s="7" t="s">
        <v>258</v>
      </c>
      <c r="O55" s="7"/>
      <c r="P55" s="7"/>
      <c r="Q55" s="34">
        <v>46320</v>
      </c>
      <c r="R55" s="20"/>
      <c r="S55" s="20"/>
      <c r="T55" s="34">
        <v>46380</v>
      </c>
      <c r="U55" s="20"/>
      <c r="V55" s="20"/>
      <c r="W55" s="20">
        <f t="shared" si="4"/>
        <v>46440</v>
      </c>
      <c r="X55" s="20"/>
      <c r="Y55" s="20"/>
      <c r="Z55" s="20">
        <f t="shared" si="5"/>
        <v>46462</v>
      </c>
      <c r="AA55" s="20"/>
      <c r="AB55" s="20"/>
      <c r="AC55" s="34">
        <v>46492</v>
      </c>
      <c r="AD55" s="20"/>
      <c r="AE55" s="20"/>
    </row>
    <row r="56" spans="1:31" ht="29" hidden="1" x14ac:dyDescent="0.35">
      <c r="A56" s="6">
        <v>96</v>
      </c>
      <c r="B56" s="7" t="s">
        <v>84</v>
      </c>
      <c r="C56" s="24" t="s">
        <v>344</v>
      </c>
      <c r="D56" s="7" t="str">
        <f>"MR-"&amp;_xlfn.XLOOKUP(B56, Code!$F:$F, Code!$E:$E, "NA")&amp;"-"&amp;TEXT(A56,"0000")</f>
        <v>MR-I-0096</v>
      </c>
      <c r="E56" s="7" t="s">
        <v>119</v>
      </c>
      <c r="F56" s="9" t="s">
        <v>330</v>
      </c>
      <c r="G56" s="9" t="s">
        <v>319</v>
      </c>
      <c r="H56" s="8" t="s">
        <v>345</v>
      </c>
      <c r="I56" s="7" t="s">
        <v>58</v>
      </c>
      <c r="J56" s="7">
        <f>23</f>
        <v>23</v>
      </c>
      <c r="K56" s="7">
        <v>70</v>
      </c>
      <c r="L56" s="7" t="s">
        <v>30</v>
      </c>
      <c r="M56" s="7"/>
      <c r="N56" s="7" t="s">
        <v>258</v>
      </c>
      <c r="O56" s="7"/>
      <c r="P56" s="7"/>
      <c r="Q56" s="34">
        <v>46362</v>
      </c>
      <c r="R56" s="20"/>
      <c r="S56" s="20"/>
      <c r="T56" s="34">
        <v>46422</v>
      </c>
      <c r="U56" s="20"/>
      <c r="V56" s="20"/>
      <c r="W56" s="20">
        <f t="shared" si="4"/>
        <v>46482</v>
      </c>
      <c r="X56" s="20"/>
      <c r="Y56" s="20"/>
      <c r="Z56" s="20">
        <f t="shared" si="5"/>
        <v>46462</v>
      </c>
      <c r="AA56" s="20"/>
      <c r="AB56" s="20"/>
      <c r="AC56" s="34">
        <v>46492</v>
      </c>
      <c r="AD56" s="20"/>
      <c r="AE56" s="20"/>
    </row>
    <row r="57" spans="1:31" ht="72.5" hidden="1" x14ac:dyDescent="0.35">
      <c r="A57" s="6">
        <v>97</v>
      </c>
      <c r="B57" s="7" t="s">
        <v>84</v>
      </c>
      <c r="C57" s="24" t="s">
        <v>346</v>
      </c>
      <c r="D57" s="7" t="str">
        <f>"MR-"&amp;_xlfn.XLOOKUP(B57, Code!$F:$F, Code!$E:$E, "NA")&amp;"-"&amp;TEXT(A57,"0000")</f>
        <v>MR-I-0097</v>
      </c>
      <c r="E57" s="7" t="s">
        <v>119</v>
      </c>
      <c r="F57" s="9" t="s">
        <v>347</v>
      </c>
      <c r="G57" s="9" t="s">
        <v>319</v>
      </c>
      <c r="H57" s="8"/>
      <c r="I57" s="7" t="s">
        <v>58</v>
      </c>
      <c r="J57" s="7">
        <f>108</f>
        <v>108</v>
      </c>
      <c r="K57" s="7">
        <v>112</v>
      </c>
      <c r="L57" s="7" t="s">
        <v>30</v>
      </c>
      <c r="M57" s="7"/>
      <c r="N57" s="7" t="s">
        <v>258</v>
      </c>
      <c r="O57" s="7"/>
      <c r="P57" s="7"/>
      <c r="Q57" s="34">
        <v>46320</v>
      </c>
      <c r="R57" s="20"/>
      <c r="S57" s="20"/>
      <c r="T57" s="34">
        <v>46380</v>
      </c>
      <c r="U57" s="20"/>
      <c r="V57" s="20"/>
      <c r="W57" s="20">
        <f t="shared" si="4"/>
        <v>46440</v>
      </c>
      <c r="X57" s="20"/>
      <c r="Y57" s="20"/>
      <c r="Z57" s="20">
        <f t="shared" si="5"/>
        <v>46462</v>
      </c>
      <c r="AA57" s="20"/>
      <c r="AB57" s="20"/>
      <c r="AC57" s="34">
        <v>46492</v>
      </c>
      <c r="AD57" s="20"/>
      <c r="AE57" s="20"/>
    </row>
    <row r="58" spans="1:31" ht="29" hidden="1" x14ac:dyDescent="0.35">
      <c r="A58" s="6">
        <v>98</v>
      </c>
      <c r="B58" s="7" t="s">
        <v>84</v>
      </c>
      <c r="C58" s="24" t="s">
        <v>348</v>
      </c>
      <c r="D58" s="7" t="str">
        <f>"MR-"&amp;_xlfn.XLOOKUP(B58, Code!$F:$F, Code!$E:$E, "NA")&amp;"-"&amp;TEXT(A58,"0000")</f>
        <v>MR-I-0098</v>
      </c>
      <c r="E58" s="7" t="s">
        <v>119</v>
      </c>
      <c r="F58" s="9" t="s">
        <v>349</v>
      </c>
      <c r="G58" s="9" t="s">
        <v>319</v>
      </c>
      <c r="H58" s="8"/>
      <c r="I58" s="7" t="s">
        <v>58</v>
      </c>
      <c r="J58" s="7">
        <f>11</f>
        <v>11</v>
      </c>
      <c r="K58" s="7">
        <v>112</v>
      </c>
      <c r="L58" s="7" t="s">
        <v>30</v>
      </c>
      <c r="M58" s="7"/>
      <c r="N58" s="7" t="s">
        <v>258</v>
      </c>
      <c r="O58" s="7"/>
      <c r="P58" s="7"/>
      <c r="Q58" s="34">
        <v>46320</v>
      </c>
      <c r="R58" s="20"/>
      <c r="S58" s="20"/>
      <c r="T58" s="34">
        <v>46380</v>
      </c>
      <c r="U58" s="20"/>
      <c r="V58" s="20"/>
      <c r="W58" s="20">
        <f t="shared" si="4"/>
        <v>46440</v>
      </c>
      <c r="X58" s="20"/>
      <c r="Y58" s="20"/>
      <c r="Z58" s="20">
        <f t="shared" si="5"/>
        <v>46462</v>
      </c>
      <c r="AA58" s="20"/>
      <c r="AB58" s="20"/>
      <c r="AC58" s="34">
        <v>46492</v>
      </c>
      <c r="AD58" s="20"/>
      <c r="AE58" s="20"/>
    </row>
    <row r="59" spans="1:31" ht="29" hidden="1" x14ac:dyDescent="0.35">
      <c r="A59" s="6">
        <v>99</v>
      </c>
      <c r="B59" s="7" t="s">
        <v>84</v>
      </c>
      <c r="C59" s="24" t="s">
        <v>350</v>
      </c>
      <c r="D59" s="7" t="str">
        <f>"MR-"&amp;_xlfn.XLOOKUP(B59, Code!$F:$F, Code!$E:$E, "NA")&amp;"-"&amp;TEXT(A59,"0000")</f>
        <v>MR-I-0099</v>
      </c>
      <c r="E59" s="7" t="s">
        <v>119</v>
      </c>
      <c r="F59" s="9" t="s">
        <v>351</v>
      </c>
      <c r="G59" s="9" t="s">
        <v>319</v>
      </c>
      <c r="H59" s="8"/>
      <c r="I59" s="7" t="s">
        <v>58</v>
      </c>
      <c r="J59" s="7">
        <f>14</f>
        <v>14</v>
      </c>
      <c r="K59" s="7">
        <v>70</v>
      </c>
      <c r="L59" s="7" t="s">
        <v>40</v>
      </c>
      <c r="M59" s="11" t="s">
        <v>352</v>
      </c>
      <c r="N59" s="7" t="s">
        <v>258</v>
      </c>
      <c r="O59" s="7"/>
      <c r="P59" s="7"/>
      <c r="Q59" s="34">
        <v>46392</v>
      </c>
      <c r="R59" s="20"/>
      <c r="S59" s="20"/>
      <c r="T59" s="34">
        <v>46452</v>
      </c>
      <c r="U59" s="20"/>
      <c r="V59" s="20"/>
      <c r="W59" s="20">
        <f t="shared" si="4"/>
        <v>46512</v>
      </c>
      <c r="X59" s="20"/>
      <c r="Y59" s="20"/>
      <c r="Z59" s="20">
        <f t="shared" si="5"/>
        <v>46492</v>
      </c>
      <c r="AA59" s="20"/>
      <c r="AB59" s="20"/>
      <c r="AC59" s="34">
        <v>46522</v>
      </c>
      <c r="AD59" s="20"/>
      <c r="AE59" s="20"/>
    </row>
    <row r="60" spans="1:31" ht="43.5" hidden="1" x14ac:dyDescent="0.35">
      <c r="A60" s="6">
        <v>100</v>
      </c>
      <c r="B60" s="7" t="s">
        <v>84</v>
      </c>
      <c r="C60" s="25" t="s">
        <v>353</v>
      </c>
      <c r="D60" s="7" t="str">
        <f>"MR-"&amp;_xlfn.XLOOKUP(B60, Code!$F:$F, Code!$E:$E, "NA")&amp;"-"&amp;TEXT(A60,"0000")</f>
        <v>MR-I-0100</v>
      </c>
      <c r="E60" s="7" t="s">
        <v>119</v>
      </c>
      <c r="F60" s="9" t="s">
        <v>354</v>
      </c>
      <c r="G60" s="9" t="s">
        <v>319</v>
      </c>
      <c r="H60" s="8" t="s">
        <v>355</v>
      </c>
      <c r="I60" s="7" t="s">
        <v>58</v>
      </c>
      <c r="J60" s="7">
        <f>4+4+4</f>
        <v>12</v>
      </c>
      <c r="K60" s="7">
        <v>112</v>
      </c>
      <c r="L60" s="24" t="s">
        <v>40</v>
      </c>
      <c r="M60" s="7" t="s">
        <v>356</v>
      </c>
      <c r="N60" s="7" t="s">
        <v>258</v>
      </c>
      <c r="O60" s="7"/>
      <c r="P60" s="7"/>
      <c r="Q60" s="34">
        <v>46350</v>
      </c>
      <c r="R60" s="20"/>
      <c r="S60" s="20"/>
      <c r="T60" s="34">
        <v>46410</v>
      </c>
      <c r="U60" s="20"/>
      <c r="V60" s="20"/>
      <c r="W60" s="20">
        <f t="shared" si="4"/>
        <v>46470</v>
      </c>
      <c r="X60" s="20"/>
      <c r="Y60" s="20"/>
      <c r="Z60" s="20">
        <f t="shared" si="5"/>
        <v>46492</v>
      </c>
      <c r="AA60" s="20"/>
      <c r="AB60" s="20"/>
      <c r="AC60" s="34">
        <v>46522</v>
      </c>
      <c r="AD60" s="20"/>
      <c r="AE60" s="20"/>
    </row>
    <row r="61" spans="1:31" ht="58" hidden="1" x14ac:dyDescent="0.35">
      <c r="A61" s="6">
        <v>101</v>
      </c>
      <c r="B61" s="7" t="s">
        <v>84</v>
      </c>
      <c r="C61" s="25" t="s">
        <v>357</v>
      </c>
      <c r="D61" s="7" t="str">
        <f>"MR-"&amp;_xlfn.XLOOKUP(B61, Code!$F:$F, Code!$E:$E, "NA")&amp;"-"&amp;TEXT(A61,"0000")</f>
        <v>MR-I-0101</v>
      </c>
      <c r="E61" s="7" t="s">
        <v>119</v>
      </c>
      <c r="F61" s="9" t="s">
        <v>358</v>
      </c>
      <c r="G61" s="9" t="s">
        <v>319</v>
      </c>
      <c r="H61" s="8"/>
      <c r="I61" s="7" t="s">
        <v>58</v>
      </c>
      <c r="J61" s="7">
        <f>13+8+8+8</f>
        <v>37</v>
      </c>
      <c r="K61" s="7">
        <v>112</v>
      </c>
      <c r="L61" s="7" t="s">
        <v>40</v>
      </c>
      <c r="M61" s="7" t="s">
        <v>359</v>
      </c>
      <c r="N61" s="7" t="s">
        <v>258</v>
      </c>
      <c r="O61" s="7"/>
      <c r="P61" s="7"/>
      <c r="Q61" s="34">
        <v>46350</v>
      </c>
      <c r="R61" s="20"/>
      <c r="S61" s="20"/>
      <c r="T61" s="34">
        <v>46410</v>
      </c>
      <c r="U61" s="20"/>
      <c r="V61" s="20"/>
      <c r="W61" s="20">
        <f t="shared" si="4"/>
        <v>46470</v>
      </c>
      <c r="X61" s="20"/>
      <c r="Y61" s="20"/>
      <c r="Z61" s="20">
        <f t="shared" si="5"/>
        <v>46492</v>
      </c>
      <c r="AA61" s="20"/>
      <c r="AB61" s="20"/>
      <c r="AC61" s="34">
        <v>46522</v>
      </c>
      <c r="AD61" s="20"/>
      <c r="AE61" s="20"/>
    </row>
    <row r="62" spans="1:31" ht="29" hidden="1" x14ac:dyDescent="0.35">
      <c r="A62" s="6">
        <v>102</v>
      </c>
      <c r="B62" s="7" t="s">
        <v>84</v>
      </c>
      <c r="C62" s="25" t="s">
        <v>360</v>
      </c>
      <c r="D62" s="7" t="str">
        <f>"MR-"&amp;_xlfn.XLOOKUP(B62, Code!$F:$F, Code!$E:$E, "NA")&amp;"-"&amp;TEXT(A62,"0000")</f>
        <v>MR-I-0102</v>
      </c>
      <c r="E62" s="7" t="s">
        <v>119</v>
      </c>
      <c r="F62" s="9" t="s">
        <v>330</v>
      </c>
      <c r="G62" s="9" t="s">
        <v>319</v>
      </c>
      <c r="H62" s="8"/>
      <c r="I62" s="7" t="s">
        <v>58</v>
      </c>
      <c r="J62" s="7">
        <f>38+14</f>
        <v>52</v>
      </c>
      <c r="K62" s="7">
        <v>84</v>
      </c>
      <c r="L62" s="7" t="s">
        <v>40</v>
      </c>
      <c r="M62" s="7" t="s">
        <v>323</v>
      </c>
      <c r="N62" s="7" t="s">
        <v>258</v>
      </c>
      <c r="O62" s="7"/>
      <c r="P62" s="7"/>
      <c r="Q62" s="34">
        <v>46378</v>
      </c>
      <c r="R62" s="20"/>
      <c r="S62" s="20"/>
      <c r="T62" s="34">
        <v>46438</v>
      </c>
      <c r="U62" s="20"/>
      <c r="V62" s="20"/>
      <c r="W62" s="20">
        <f t="shared" si="4"/>
        <v>46498</v>
      </c>
      <c r="X62" s="20"/>
      <c r="Y62" s="20"/>
      <c r="Z62" s="20">
        <f t="shared" si="5"/>
        <v>46492</v>
      </c>
      <c r="AA62" s="20"/>
      <c r="AB62" s="20"/>
      <c r="AC62" s="34">
        <v>46522</v>
      </c>
      <c r="AD62" s="20"/>
      <c r="AE62" s="20"/>
    </row>
    <row r="63" spans="1:31" hidden="1" x14ac:dyDescent="0.35">
      <c r="A63" s="6">
        <v>103</v>
      </c>
      <c r="B63" s="7" t="s">
        <v>84</v>
      </c>
      <c r="C63" s="24" t="s">
        <v>361</v>
      </c>
      <c r="D63" s="7" t="str">
        <f>"MR-"&amp;_xlfn.XLOOKUP(B63, Code!$F:$F, Code!$E:$E, "NA")&amp;"-"&amp;TEXT(A63,"0000")</f>
        <v>MR-I-0103</v>
      </c>
      <c r="E63" s="7" t="s">
        <v>119</v>
      </c>
      <c r="F63" s="9" t="s">
        <v>354</v>
      </c>
      <c r="G63" s="9" t="s">
        <v>319</v>
      </c>
      <c r="H63" s="8"/>
      <c r="I63" s="7" t="s">
        <v>58</v>
      </c>
      <c r="J63" s="7">
        <f>1</f>
        <v>1</v>
      </c>
      <c r="K63" s="7">
        <v>168</v>
      </c>
      <c r="L63" s="7" t="s">
        <v>40</v>
      </c>
      <c r="M63" s="7" t="s">
        <v>362</v>
      </c>
      <c r="N63" s="7" t="s">
        <v>258</v>
      </c>
      <c r="O63" s="7"/>
      <c r="P63" s="7"/>
      <c r="Q63" s="34">
        <v>46294</v>
      </c>
      <c r="R63" s="20"/>
      <c r="S63" s="20"/>
      <c r="T63" s="34">
        <v>46354</v>
      </c>
      <c r="U63" s="20"/>
      <c r="V63" s="20"/>
      <c r="W63" s="20">
        <f t="shared" si="4"/>
        <v>46414</v>
      </c>
      <c r="X63" s="20"/>
      <c r="Y63" s="20"/>
      <c r="Z63" s="20">
        <f t="shared" si="5"/>
        <v>46492</v>
      </c>
      <c r="AA63" s="20"/>
      <c r="AB63" s="20"/>
      <c r="AC63" s="34">
        <v>46522</v>
      </c>
      <c r="AD63" s="20"/>
      <c r="AE63" s="20"/>
    </row>
    <row r="64" spans="1:31" hidden="1" x14ac:dyDescent="0.35">
      <c r="A64" s="6">
        <v>104</v>
      </c>
      <c r="B64" s="7" t="s">
        <v>84</v>
      </c>
      <c r="C64" s="24" t="s">
        <v>363</v>
      </c>
      <c r="D64" s="7" t="str">
        <f>"MR-"&amp;_xlfn.XLOOKUP(B64, Code!$F:$F, Code!$E:$E, "NA")&amp;"-"&amp;TEXT(A64,"0000")</f>
        <v>MR-I-0104</v>
      </c>
      <c r="E64" s="7" t="s">
        <v>119</v>
      </c>
      <c r="F64" s="9" t="s">
        <v>354</v>
      </c>
      <c r="G64" s="9" t="s">
        <v>319</v>
      </c>
      <c r="H64" s="8"/>
      <c r="I64" s="7" t="s">
        <v>58</v>
      </c>
      <c r="J64" s="7">
        <f>2</f>
        <v>2</v>
      </c>
      <c r="K64" s="7">
        <v>168</v>
      </c>
      <c r="L64" s="7" t="s">
        <v>40</v>
      </c>
      <c r="M64" s="7" t="s">
        <v>364</v>
      </c>
      <c r="N64" s="7" t="s">
        <v>258</v>
      </c>
      <c r="O64" s="7"/>
      <c r="P64" s="7"/>
      <c r="Q64" s="34">
        <v>46294</v>
      </c>
      <c r="R64" s="20"/>
      <c r="S64" s="20"/>
      <c r="T64" s="34">
        <v>46354</v>
      </c>
      <c r="U64" s="20"/>
      <c r="V64" s="20"/>
      <c r="W64" s="20">
        <f t="shared" si="4"/>
        <v>46414</v>
      </c>
      <c r="X64" s="20"/>
      <c r="Y64" s="20"/>
      <c r="Z64" s="20">
        <f t="shared" si="5"/>
        <v>46492</v>
      </c>
      <c r="AA64" s="20"/>
      <c r="AB64" s="20"/>
      <c r="AC64" s="34">
        <v>46522</v>
      </c>
      <c r="AD64" s="20"/>
      <c r="AE64" s="20"/>
    </row>
    <row r="65" spans="1:31" hidden="1" x14ac:dyDescent="0.35">
      <c r="A65" s="6">
        <v>105</v>
      </c>
      <c r="B65" s="7" t="s">
        <v>84</v>
      </c>
      <c r="C65" s="24" t="s">
        <v>365</v>
      </c>
      <c r="D65" s="7" t="str">
        <f>"MR-"&amp;_xlfn.XLOOKUP(B65, Code!$F:$F, Code!$E:$E, "NA")&amp;"-"&amp;TEXT(A65,"0000")</f>
        <v>MR-I-0105</v>
      </c>
      <c r="E65" s="7" t="s">
        <v>119</v>
      </c>
      <c r="F65" s="9" t="s">
        <v>333</v>
      </c>
      <c r="G65" s="9" t="s">
        <v>319</v>
      </c>
      <c r="H65" s="8"/>
      <c r="I65" s="7" t="s">
        <v>58</v>
      </c>
      <c r="J65" s="7">
        <f>2</f>
        <v>2</v>
      </c>
      <c r="K65" s="7">
        <v>120</v>
      </c>
      <c r="L65" s="7" t="s">
        <v>40</v>
      </c>
      <c r="M65" s="7" t="s">
        <v>366</v>
      </c>
      <c r="N65" s="7" t="s">
        <v>258</v>
      </c>
      <c r="O65" s="7"/>
      <c r="P65" s="7"/>
      <c r="Q65" s="34">
        <v>46342</v>
      </c>
      <c r="R65" s="20"/>
      <c r="S65" s="20"/>
      <c r="T65" s="34">
        <v>46402</v>
      </c>
      <c r="U65" s="20"/>
      <c r="V65" s="20"/>
      <c r="W65" s="20">
        <f t="shared" si="4"/>
        <v>46462</v>
      </c>
      <c r="X65" s="20"/>
      <c r="Y65" s="20"/>
      <c r="Z65" s="20">
        <f t="shared" si="5"/>
        <v>46492</v>
      </c>
      <c r="AA65" s="20"/>
      <c r="AB65" s="20"/>
      <c r="AC65" s="34">
        <v>46522</v>
      </c>
      <c r="AD65" s="20"/>
      <c r="AE65" s="20"/>
    </row>
    <row r="66" spans="1:31" ht="29" hidden="1" x14ac:dyDescent="0.35">
      <c r="A66" s="6">
        <v>106</v>
      </c>
      <c r="B66" s="7" t="s">
        <v>84</v>
      </c>
      <c r="C66" s="25" t="s">
        <v>367</v>
      </c>
      <c r="D66" s="7" t="str">
        <f>"MR-"&amp;_xlfn.XLOOKUP(B66, Code!$F:$F, Code!$E:$E, "NA")&amp;"-"&amp;TEXT(A66,"0000")</f>
        <v>MR-I-0106</v>
      </c>
      <c r="E66" s="7" t="s">
        <v>119</v>
      </c>
      <c r="F66" s="9" t="s">
        <v>265</v>
      </c>
      <c r="G66" s="9" t="s">
        <v>319</v>
      </c>
      <c r="H66" s="8"/>
      <c r="I66" s="7" t="s">
        <v>58</v>
      </c>
      <c r="J66" s="7">
        <f>1+2</f>
        <v>3</v>
      </c>
      <c r="K66" s="7">
        <v>112</v>
      </c>
      <c r="L66" s="7" t="s">
        <v>40</v>
      </c>
      <c r="M66" s="7" t="s">
        <v>331</v>
      </c>
      <c r="N66" s="7" t="s">
        <v>258</v>
      </c>
      <c r="O66" s="7"/>
      <c r="P66" s="7"/>
      <c r="Q66" s="34">
        <v>46350</v>
      </c>
      <c r="R66" s="20"/>
      <c r="S66" s="20"/>
      <c r="T66" s="34">
        <v>46410</v>
      </c>
      <c r="U66" s="20"/>
      <c r="V66" s="20"/>
      <c r="W66" s="20">
        <f t="shared" si="4"/>
        <v>46470</v>
      </c>
      <c r="X66" s="20"/>
      <c r="Y66" s="20"/>
      <c r="Z66" s="20">
        <f t="shared" si="5"/>
        <v>46492</v>
      </c>
      <c r="AA66" s="20"/>
      <c r="AB66" s="20"/>
      <c r="AC66" s="34">
        <v>46522</v>
      </c>
      <c r="AD66" s="20"/>
      <c r="AE66" s="20"/>
    </row>
    <row r="67" spans="1:31" hidden="1" x14ac:dyDescent="0.35">
      <c r="A67" s="6">
        <v>107</v>
      </c>
      <c r="B67" s="7" t="s">
        <v>84</v>
      </c>
      <c r="C67" s="24" t="s">
        <v>368</v>
      </c>
      <c r="D67" s="7" t="str">
        <f>"MR-"&amp;_xlfn.XLOOKUP(B67, Code!$F:$F, Code!$E:$E, "NA")&amp;"-"&amp;TEXT(A67,"0000")</f>
        <v>MR-I-0107</v>
      </c>
      <c r="E67" s="7" t="s">
        <v>119</v>
      </c>
      <c r="F67" s="9" t="s">
        <v>265</v>
      </c>
      <c r="G67" s="9" t="s">
        <v>319</v>
      </c>
      <c r="H67" s="8"/>
      <c r="I67" s="7" t="s">
        <v>58</v>
      </c>
      <c r="J67" s="7">
        <f>7</f>
        <v>7</v>
      </c>
      <c r="K67" s="7">
        <v>84</v>
      </c>
      <c r="L67" s="7" t="s">
        <v>40</v>
      </c>
      <c r="M67" s="7" t="s">
        <v>369</v>
      </c>
      <c r="N67" s="7" t="s">
        <v>258</v>
      </c>
      <c r="O67" s="7"/>
      <c r="P67" s="7"/>
      <c r="Q67" s="34">
        <v>46378</v>
      </c>
      <c r="R67" s="20"/>
      <c r="S67" s="20"/>
      <c r="T67" s="34">
        <v>46438</v>
      </c>
      <c r="U67" s="20"/>
      <c r="V67" s="20"/>
      <c r="W67" s="20">
        <f t="shared" ref="W67:W86" si="6">T67+60</f>
        <v>46498</v>
      </c>
      <c r="X67" s="20"/>
      <c r="Y67" s="20"/>
      <c r="Z67" s="20">
        <f t="shared" ref="Z67:Z86" si="7">AC67-30</f>
        <v>46492</v>
      </c>
      <c r="AA67" s="20"/>
      <c r="AB67" s="20"/>
      <c r="AC67" s="34">
        <v>46522</v>
      </c>
      <c r="AD67" s="20"/>
      <c r="AE67" s="20"/>
    </row>
    <row r="68" spans="1:31" hidden="1" x14ac:dyDescent="0.35">
      <c r="A68" s="6">
        <v>108</v>
      </c>
      <c r="B68" s="7" t="s">
        <v>84</v>
      </c>
      <c r="C68" s="12" t="s">
        <v>370</v>
      </c>
      <c r="D68" s="7" t="str">
        <f>"MR-"&amp;_xlfn.XLOOKUP(B68, Code!$F:$F, Code!$E:$E, "NA")&amp;"-"&amp;TEXT(A68,"0000")</f>
        <v>MR-I-0108</v>
      </c>
      <c r="E68" s="7" t="s">
        <v>119</v>
      </c>
      <c r="F68" s="9"/>
      <c r="G68" s="9" t="s">
        <v>319</v>
      </c>
      <c r="H68" s="8"/>
      <c r="I68" s="7" t="s">
        <v>58</v>
      </c>
      <c r="J68" s="7"/>
      <c r="K68" s="7">
        <v>70</v>
      </c>
      <c r="L68" s="7" t="s">
        <v>30</v>
      </c>
      <c r="M68" s="7"/>
      <c r="N68" s="7" t="s">
        <v>258</v>
      </c>
      <c r="O68" s="7"/>
      <c r="P68" s="7"/>
      <c r="Q68" s="34">
        <v>46392</v>
      </c>
      <c r="R68" s="20"/>
      <c r="S68" s="20"/>
      <c r="T68" s="34">
        <v>46452</v>
      </c>
      <c r="U68" s="20"/>
      <c r="V68" s="20"/>
      <c r="W68" s="20">
        <f t="shared" si="6"/>
        <v>46512</v>
      </c>
      <c r="X68" s="20"/>
      <c r="Y68" s="20"/>
      <c r="Z68" s="20">
        <f t="shared" si="7"/>
        <v>46492</v>
      </c>
      <c r="AA68" s="20"/>
      <c r="AB68" s="20"/>
      <c r="AC68" s="34">
        <v>46522</v>
      </c>
      <c r="AD68" s="20"/>
      <c r="AE68" s="20"/>
    </row>
    <row r="69" spans="1:31" ht="29" hidden="1" x14ac:dyDescent="0.35">
      <c r="A69" s="6">
        <v>109</v>
      </c>
      <c r="B69" s="7" t="s">
        <v>84</v>
      </c>
      <c r="C69" s="24" t="s">
        <v>371</v>
      </c>
      <c r="D69" s="7" t="str">
        <f>"MR-"&amp;_xlfn.XLOOKUP(B69, Code!$F:$F, Code!$E:$E, "NA")&amp;"-"&amp;TEXT(A69,"0000")</f>
        <v>MR-I-0109</v>
      </c>
      <c r="E69" s="7" t="s">
        <v>119</v>
      </c>
      <c r="F69" s="9" t="s">
        <v>330</v>
      </c>
      <c r="G69" s="9" t="s">
        <v>319</v>
      </c>
      <c r="H69" s="8"/>
      <c r="I69" s="7" t="s">
        <v>58</v>
      </c>
      <c r="J69" s="7">
        <f>6</f>
        <v>6</v>
      </c>
      <c r="K69" s="7">
        <v>112</v>
      </c>
      <c r="L69" s="7" t="s">
        <v>40</v>
      </c>
      <c r="M69" s="7" t="s">
        <v>331</v>
      </c>
      <c r="N69" s="7" t="s">
        <v>258</v>
      </c>
      <c r="O69" s="7"/>
      <c r="P69" s="7"/>
      <c r="Q69" s="34">
        <v>46350</v>
      </c>
      <c r="R69" s="20"/>
      <c r="S69" s="20"/>
      <c r="T69" s="34">
        <v>46410</v>
      </c>
      <c r="U69" s="20"/>
      <c r="V69" s="20"/>
      <c r="W69" s="20">
        <f t="shared" si="6"/>
        <v>46470</v>
      </c>
      <c r="X69" s="20"/>
      <c r="Y69" s="20"/>
      <c r="Z69" s="20">
        <f t="shared" si="7"/>
        <v>46492</v>
      </c>
      <c r="AA69" s="20"/>
      <c r="AB69" s="20"/>
      <c r="AC69" s="34">
        <v>46522</v>
      </c>
      <c r="AD69" s="20"/>
      <c r="AE69" s="20"/>
    </row>
    <row r="70" spans="1:31" hidden="1" x14ac:dyDescent="0.35">
      <c r="A70" s="6">
        <v>110</v>
      </c>
      <c r="B70" s="7" t="s">
        <v>84</v>
      </c>
      <c r="C70" s="24" t="s">
        <v>372</v>
      </c>
      <c r="D70" s="7" t="str">
        <f>"MR-"&amp;_xlfn.XLOOKUP(B70, Code!$F:$F, Code!$E:$E, "NA")&amp;"-"&amp;TEXT(A70,"0000")</f>
        <v>MR-I-0110</v>
      </c>
      <c r="E70" s="7" t="s">
        <v>119</v>
      </c>
      <c r="F70" s="9" t="s">
        <v>354</v>
      </c>
      <c r="G70" s="9" t="s">
        <v>319</v>
      </c>
      <c r="H70" s="8" t="s">
        <v>373</v>
      </c>
      <c r="I70" s="7" t="s">
        <v>58</v>
      </c>
      <c r="J70" s="7">
        <f>4</f>
        <v>4</v>
      </c>
      <c r="K70" s="7">
        <v>56</v>
      </c>
      <c r="L70" s="7" t="s">
        <v>40</v>
      </c>
      <c r="M70" s="7" t="s">
        <v>374</v>
      </c>
      <c r="N70" s="7" t="s">
        <v>258</v>
      </c>
      <c r="O70" s="7"/>
      <c r="P70" s="7"/>
      <c r="Q70" s="34">
        <v>46406</v>
      </c>
      <c r="R70" s="20"/>
      <c r="S70" s="20"/>
      <c r="T70" s="34">
        <v>46466</v>
      </c>
      <c r="U70" s="20"/>
      <c r="V70" s="20"/>
      <c r="W70" s="20">
        <f t="shared" si="6"/>
        <v>46526</v>
      </c>
      <c r="X70" s="20"/>
      <c r="Y70" s="20"/>
      <c r="Z70" s="20">
        <f t="shared" si="7"/>
        <v>46492</v>
      </c>
      <c r="AA70" s="20"/>
      <c r="AB70" s="20"/>
      <c r="AC70" s="34">
        <v>46522</v>
      </c>
      <c r="AD70" s="20"/>
      <c r="AE70" s="20"/>
    </row>
    <row r="71" spans="1:31" hidden="1" x14ac:dyDescent="0.35">
      <c r="A71" s="6">
        <v>111</v>
      </c>
      <c r="B71" s="7" t="s">
        <v>84</v>
      </c>
      <c r="C71" s="24" t="s">
        <v>375</v>
      </c>
      <c r="D71" s="7" t="str">
        <f>"MR-"&amp;_xlfn.XLOOKUP(B71, Code!$F:$F, Code!$E:$E, "NA")&amp;"-"&amp;TEXT(A71,"0000")</f>
        <v>MR-I-0111</v>
      </c>
      <c r="E71" s="7" t="s">
        <v>119</v>
      </c>
      <c r="F71" s="9" t="s">
        <v>354</v>
      </c>
      <c r="G71" s="9" t="s">
        <v>319</v>
      </c>
      <c r="H71" s="8"/>
      <c r="I71" s="7" t="s">
        <v>58</v>
      </c>
      <c r="J71" s="7">
        <f>24</f>
        <v>24</v>
      </c>
      <c r="K71" s="7">
        <v>56</v>
      </c>
      <c r="L71" s="7" t="s">
        <v>40</v>
      </c>
      <c r="M71" s="7" t="s">
        <v>352</v>
      </c>
      <c r="N71" s="7" t="s">
        <v>258</v>
      </c>
      <c r="O71" s="7"/>
      <c r="P71" s="7"/>
      <c r="Q71" s="34">
        <v>46406</v>
      </c>
      <c r="R71" s="20"/>
      <c r="S71" s="20"/>
      <c r="T71" s="34">
        <v>46466</v>
      </c>
      <c r="U71" s="20"/>
      <c r="V71" s="20"/>
      <c r="W71" s="20">
        <f t="shared" si="6"/>
        <v>46526</v>
      </c>
      <c r="X71" s="20"/>
      <c r="Y71" s="20"/>
      <c r="Z71" s="20">
        <f t="shared" si="7"/>
        <v>46492</v>
      </c>
      <c r="AA71" s="20"/>
      <c r="AB71" s="20"/>
      <c r="AC71" s="34">
        <v>46522</v>
      </c>
      <c r="AD71" s="20"/>
      <c r="AE71" s="20"/>
    </row>
    <row r="72" spans="1:31" hidden="1" x14ac:dyDescent="0.35">
      <c r="A72" s="6">
        <v>112</v>
      </c>
      <c r="B72" s="7" t="s">
        <v>84</v>
      </c>
      <c r="C72" s="24" t="s">
        <v>376</v>
      </c>
      <c r="D72" s="7" t="str">
        <f>"MR-"&amp;_xlfn.XLOOKUP(B72, Code!$F:$F, Code!$E:$E, "NA")&amp;"-"&amp;TEXT(A72,"0000")</f>
        <v>MR-I-0112</v>
      </c>
      <c r="E72" s="7" t="s">
        <v>119</v>
      </c>
      <c r="F72" s="9" t="s">
        <v>265</v>
      </c>
      <c r="G72" s="9" t="s">
        <v>319</v>
      </c>
      <c r="H72" s="8"/>
      <c r="I72" s="7" t="s">
        <v>58</v>
      </c>
      <c r="J72" s="7">
        <f>12</f>
        <v>12</v>
      </c>
      <c r="K72" s="7">
        <v>42</v>
      </c>
      <c r="L72" s="7" t="s">
        <v>30</v>
      </c>
      <c r="M72" s="7"/>
      <c r="N72" s="7" t="s">
        <v>258</v>
      </c>
      <c r="O72" s="7"/>
      <c r="P72" s="7"/>
      <c r="Q72" s="34">
        <v>46420</v>
      </c>
      <c r="R72" s="20"/>
      <c r="S72" s="20"/>
      <c r="T72" s="34">
        <v>46480</v>
      </c>
      <c r="U72" s="20"/>
      <c r="V72" s="20"/>
      <c r="W72" s="20">
        <f t="shared" si="6"/>
        <v>46540</v>
      </c>
      <c r="X72" s="20"/>
      <c r="Y72" s="20"/>
      <c r="Z72" s="20">
        <f t="shared" si="7"/>
        <v>46492</v>
      </c>
      <c r="AA72" s="20"/>
      <c r="AB72" s="20"/>
      <c r="AC72" s="34">
        <v>46522</v>
      </c>
      <c r="AD72" s="20"/>
      <c r="AE72" s="20"/>
    </row>
    <row r="73" spans="1:31" hidden="1" x14ac:dyDescent="0.35">
      <c r="A73" s="6">
        <v>113</v>
      </c>
      <c r="B73" s="7" t="s">
        <v>84</v>
      </c>
      <c r="C73" s="24" t="s">
        <v>377</v>
      </c>
      <c r="D73" s="7" t="str">
        <f>"MR-"&amp;_xlfn.XLOOKUP(B73, Code!$F:$F, Code!$E:$E, "NA")&amp;"-"&amp;TEXT(A73,"0000")</f>
        <v>MR-I-0113</v>
      </c>
      <c r="E73" s="7" t="s">
        <v>119</v>
      </c>
      <c r="F73" s="9" t="s">
        <v>354</v>
      </c>
      <c r="G73" s="9" t="s">
        <v>319</v>
      </c>
      <c r="H73" s="8"/>
      <c r="I73" s="7" t="s">
        <v>58</v>
      </c>
      <c r="J73" s="7">
        <f>4</f>
        <v>4</v>
      </c>
      <c r="K73" s="7">
        <v>56</v>
      </c>
      <c r="L73" s="7" t="s">
        <v>30</v>
      </c>
      <c r="M73" s="7"/>
      <c r="N73" s="7" t="s">
        <v>258</v>
      </c>
      <c r="O73" s="7"/>
      <c r="P73" s="7"/>
      <c r="Q73" s="34">
        <v>46437</v>
      </c>
      <c r="R73" s="20"/>
      <c r="S73" s="20"/>
      <c r="T73" s="34">
        <v>46497</v>
      </c>
      <c r="U73" s="20"/>
      <c r="V73" s="20"/>
      <c r="W73" s="20">
        <f t="shared" si="6"/>
        <v>46557</v>
      </c>
      <c r="X73" s="20"/>
      <c r="Y73" s="20"/>
      <c r="Z73" s="20">
        <f t="shared" si="7"/>
        <v>46523</v>
      </c>
      <c r="AA73" s="20"/>
      <c r="AB73" s="20"/>
      <c r="AC73" s="34">
        <v>46553</v>
      </c>
      <c r="AD73" s="20"/>
      <c r="AE73" s="20"/>
    </row>
    <row r="74" spans="1:31" hidden="1" x14ac:dyDescent="0.35">
      <c r="A74" s="6">
        <v>114</v>
      </c>
      <c r="B74" s="7" t="s">
        <v>84</v>
      </c>
      <c r="C74" s="31" t="s">
        <v>378</v>
      </c>
      <c r="D74" s="7" t="str">
        <f>"MR-"&amp;_xlfn.XLOOKUP(B74, Code!$F:$F, Code!$E:$E, "NA")&amp;"-"&amp;TEXT(A74,"0000")</f>
        <v>MR-I-0114</v>
      </c>
      <c r="E74" s="7" t="s">
        <v>119</v>
      </c>
      <c r="F74" s="9" t="s">
        <v>265</v>
      </c>
      <c r="G74" s="9" t="s">
        <v>319</v>
      </c>
      <c r="H74" s="8"/>
      <c r="I74" s="7" t="s">
        <v>58</v>
      </c>
      <c r="J74" s="7">
        <f>12</f>
        <v>12</v>
      </c>
      <c r="K74" s="7">
        <v>84</v>
      </c>
      <c r="L74" s="7" t="s">
        <v>30</v>
      </c>
      <c r="M74" s="7"/>
      <c r="N74" s="7" t="s">
        <v>258</v>
      </c>
      <c r="O74" s="7"/>
      <c r="P74" s="7"/>
      <c r="Q74" s="34">
        <v>46378</v>
      </c>
      <c r="R74" s="20"/>
      <c r="S74" s="20"/>
      <c r="T74" s="34">
        <v>46438</v>
      </c>
      <c r="U74" s="20"/>
      <c r="V74" s="20"/>
      <c r="W74" s="20">
        <f t="shared" si="6"/>
        <v>46498</v>
      </c>
      <c r="X74" s="20"/>
      <c r="Y74" s="20"/>
      <c r="Z74" s="20">
        <f t="shared" si="7"/>
        <v>46492</v>
      </c>
      <c r="AA74" s="20"/>
      <c r="AB74" s="20"/>
      <c r="AC74" s="34">
        <v>46522</v>
      </c>
      <c r="AD74" s="20"/>
      <c r="AE74" s="20"/>
    </row>
    <row r="75" spans="1:31" hidden="1" x14ac:dyDescent="0.35">
      <c r="A75" s="6">
        <v>116</v>
      </c>
      <c r="B75" s="7" t="s">
        <v>84</v>
      </c>
      <c r="C75" s="24" t="s">
        <v>379</v>
      </c>
      <c r="D75" s="7" t="str">
        <f>"MR-"&amp;_xlfn.XLOOKUP(B75, Code!$F:$F, Code!$E:$E, "NA")&amp;"-"&amp;TEXT(A75,"0000")</f>
        <v>MR-I-0116</v>
      </c>
      <c r="E75" s="7" t="s">
        <v>161</v>
      </c>
      <c r="F75" s="9"/>
      <c r="G75" s="9" t="s">
        <v>319</v>
      </c>
      <c r="H75" s="8"/>
      <c r="I75" s="7" t="s">
        <v>58</v>
      </c>
      <c r="J75" s="7"/>
      <c r="K75" s="7">
        <v>56</v>
      </c>
      <c r="L75" s="7" t="s">
        <v>30</v>
      </c>
      <c r="M75" s="7"/>
      <c r="N75" s="7" t="s">
        <v>258</v>
      </c>
      <c r="O75" s="7"/>
      <c r="P75" s="7"/>
      <c r="Q75" s="34">
        <v>46345</v>
      </c>
      <c r="R75" s="20"/>
      <c r="S75" s="20"/>
      <c r="T75" s="34">
        <v>46405</v>
      </c>
      <c r="U75" s="20"/>
      <c r="V75" s="20"/>
      <c r="W75" s="20">
        <f t="shared" si="6"/>
        <v>46465</v>
      </c>
      <c r="X75" s="20"/>
      <c r="Y75" s="20"/>
      <c r="Z75" s="20">
        <f t="shared" si="7"/>
        <v>46431</v>
      </c>
      <c r="AA75" s="20"/>
      <c r="AB75" s="20"/>
      <c r="AC75" s="34">
        <v>46461</v>
      </c>
      <c r="AD75" s="20"/>
      <c r="AE75" s="20"/>
    </row>
    <row r="76" spans="1:31" ht="23.5" hidden="1" customHeight="1" x14ac:dyDescent="0.35">
      <c r="A76" s="6">
        <v>117</v>
      </c>
      <c r="B76" s="7" t="s">
        <v>84</v>
      </c>
      <c r="C76" s="24" t="s">
        <v>380</v>
      </c>
      <c r="D76" s="7" t="str">
        <f>"MR-"&amp;_xlfn.XLOOKUP(B76, Code!$F:$F, Code!$E:$E, "NA")&amp;"-"&amp;TEXT(A76,"0000")</f>
        <v>MR-I-0117</v>
      </c>
      <c r="E76" s="7" t="s">
        <v>119</v>
      </c>
      <c r="F76" s="9"/>
      <c r="G76" s="9" t="s">
        <v>319</v>
      </c>
      <c r="H76" s="8" t="s">
        <v>381</v>
      </c>
      <c r="I76" s="7" t="s">
        <v>58</v>
      </c>
      <c r="J76" s="7"/>
      <c r="K76" s="7">
        <v>36</v>
      </c>
      <c r="L76" s="7" t="s">
        <v>30</v>
      </c>
      <c r="M76" s="7"/>
      <c r="N76" s="7" t="s">
        <v>258</v>
      </c>
      <c r="O76" s="7"/>
      <c r="P76" s="7"/>
      <c r="Q76" s="34">
        <v>46365</v>
      </c>
      <c r="R76" s="20"/>
      <c r="S76" s="20"/>
      <c r="T76" s="34">
        <v>46425</v>
      </c>
      <c r="U76" s="20"/>
      <c r="V76" s="20"/>
      <c r="W76" s="20">
        <f t="shared" si="6"/>
        <v>46485</v>
      </c>
      <c r="X76" s="20"/>
      <c r="Y76" s="20"/>
      <c r="Z76" s="20">
        <f t="shared" si="7"/>
        <v>46431</v>
      </c>
      <c r="AA76" s="20"/>
      <c r="AB76" s="20"/>
      <c r="AC76" s="34">
        <v>46461</v>
      </c>
      <c r="AD76" s="20"/>
      <c r="AE76" s="20"/>
    </row>
    <row r="77" spans="1:31" hidden="1" x14ac:dyDescent="0.35">
      <c r="A77" s="6">
        <v>118</v>
      </c>
      <c r="B77" s="7" t="s">
        <v>84</v>
      </c>
      <c r="C77" s="24" t="s">
        <v>382</v>
      </c>
      <c r="D77" s="7" t="str">
        <f>"MR-"&amp;_xlfn.XLOOKUP(B77, Code!$F:$F, Code!$E:$E, "NA")&amp;"-"&amp;TEXT(A77,"0000")</f>
        <v>MR-I-0118</v>
      </c>
      <c r="E77" s="7" t="s">
        <v>71</v>
      </c>
      <c r="F77" s="9"/>
      <c r="G77" s="9" t="s">
        <v>319</v>
      </c>
      <c r="H77" s="8"/>
      <c r="I77" s="7" t="s">
        <v>58</v>
      </c>
      <c r="J77" s="7"/>
      <c r="K77" s="7">
        <v>30</v>
      </c>
      <c r="L77" s="7" t="s">
        <v>20</v>
      </c>
      <c r="M77" s="7"/>
      <c r="N77" s="7" t="s">
        <v>258</v>
      </c>
      <c r="O77" s="7"/>
      <c r="P77" s="7"/>
      <c r="Q77" s="34">
        <v>46401</v>
      </c>
      <c r="R77" s="20"/>
      <c r="S77" s="20"/>
      <c r="T77" s="34">
        <v>46461</v>
      </c>
      <c r="U77" s="20"/>
      <c r="V77" s="20"/>
      <c r="W77" s="20">
        <f t="shared" si="6"/>
        <v>46521</v>
      </c>
      <c r="X77" s="20"/>
      <c r="Y77" s="20"/>
      <c r="Z77" s="20">
        <f t="shared" si="7"/>
        <v>46492</v>
      </c>
      <c r="AA77" s="20"/>
      <c r="AB77" s="20"/>
      <c r="AC77" s="34">
        <v>46522</v>
      </c>
      <c r="AD77" s="20"/>
      <c r="AE77" s="20"/>
    </row>
    <row r="78" spans="1:31" hidden="1" x14ac:dyDescent="0.35">
      <c r="A78" s="6">
        <v>119</v>
      </c>
      <c r="B78" s="7" t="s">
        <v>84</v>
      </c>
      <c r="C78" s="24" t="s">
        <v>383</v>
      </c>
      <c r="D78" s="7" t="str">
        <f>"MR-"&amp;_xlfn.XLOOKUP(B78, Code!$F:$F, Code!$E:$E, "NA")&amp;"-"&amp;TEXT(A78,"0000")</f>
        <v>MR-I-0119</v>
      </c>
      <c r="E78" s="7" t="s">
        <v>71</v>
      </c>
      <c r="F78" s="9"/>
      <c r="G78" s="9" t="s">
        <v>384</v>
      </c>
      <c r="H78" s="8"/>
      <c r="I78" s="7" t="s">
        <v>58</v>
      </c>
      <c r="J78" s="7"/>
      <c r="K78" s="7">
        <v>30</v>
      </c>
      <c r="L78" s="7" t="s">
        <v>20</v>
      </c>
      <c r="M78" s="7"/>
      <c r="N78" s="7" t="s">
        <v>258</v>
      </c>
      <c r="O78" s="7"/>
      <c r="P78" s="7"/>
      <c r="Q78" s="34">
        <v>46401</v>
      </c>
      <c r="R78" s="20"/>
      <c r="S78" s="20"/>
      <c r="T78" s="34">
        <v>46461</v>
      </c>
      <c r="U78" s="20"/>
      <c r="V78" s="20"/>
      <c r="W78" s="20">
        <f t="shared" si="6"/>
        <v>46521</v>
      </c>
      <c r="X78" s="20"/>
      <c r="Y78" s="20"/>
      <c r="Z78" s="20">
        <f t="shared" si="7"/>
        <v>46492</v>
      </c>
      <c r="AA78" s="20"/>
      <c r="AB78" s="20"/>
      <c r="AC78" s="34">
        <v>46522</v>
      </c>
      <c r="AD78" s="20"/>
      <c r="AE78" s="20"/>
    </row>
    <row r="79" spans="1:31" hidden="1" x14ac:dyDescent="0.35">
      <c r="A79" s="6">
        <v>120</v>
      </c>
      <c r="B79" s="7" t="s">
        <v>84</v>
      </c>
      <c r="C79" s="24" t="s">
        <v>385</v>
      </c>
      <c r="D79" s="7" t="str">
        <f>"MR-"&amp;_xlfn.XLOOKUP(B79, Code!$F:$F, Code!$E:$E, "NA")&amp;"-"&amp;TEXT(A79,"0000")</f>
        <v>MR-I-0120</v>
      </c>
      <c r="E79" s="7" t="s">
        <v>71</v>
      </c>
      <c r="F79" s="9"/>
      <c r="G79" s="9" t="s">
        <v>386</v>
      </c>
      <c r="H79" s="8"/>
      <c r="I79" s="7" t="s">
        <v>58</v>
      </c>
      <c r="J79" s="7"/>
      <c r="K79" s="7">
        <v>60</v>
      </c>
      <c r="L79" s="7" t="s">
        <v>20</v>
      </c>
      <c r="M79" s="7"/>
      <c r="N79" s="7" t="s">
        <v>258</v>
      </c>
      <c r="O79" s="7"/>
      <c r="P79" s="7"/>
      <c r="Q79" s="34">
        <v>46372</v>
      </c>
      <c r="R79" s="20"/>
      <c r="S79" s="20"/>
      <c r="T79" s="34">
        <v>46432</v>
      </c>
      <c r="U79" s="20"/>
      <c r="V79" s="20"/>
      <c r="W79" s="20">
        <f t="shared" si="6"/>
        <v>46492</v>
      </c>
      <c r="X79" s="20"/>
      <c r="Y79" s="20"/>
      <c r="Z79" s="20">
        <f t="shared" si="7"/>
        <v>46462</v>
      </c>
      <c r="AA79" s="20"/>
      <c r="AB79" s="20"/>
      <c r="AC79" s="34">
        <v>46492</v>
      </c>
      <c r="AD79" s="20"/>
      <c r="AE79" s="20"/>
    </row>
    <row r="80" spans="1:31" hidden="1" x14ac:dyDescent="0.35">
      <c r="A80" s="6">
        <v>121</v>
      </c>
      <c r="B80" s="7" t="s">
        <v>84</v>
      </c>
      <c r="C80" s="31" t="s">
        <v>387</v>
      </c>
      <c r="D80" s="7" t="str">
        <f>"MR-"&amp;_xlfn.XLOOKUP(B80, Code!$F:$F, Code!$E:$E, "NA")&amp;"-"&amp;TEXT(A80,"0000")</f>
        <v>MR-I-0121</v>
      </c>
      <c r="E80" s="7" t="s">
        <v>71</v>
      </c>
      <c r="F80" s="9"/>
      <c r="G80" s="9" t="s">
        <v>388</v>
      </c>
      <c r="H80" s="8"/>
      <c r="I80" s="7" t="s">
        <v>58</v>
      </c>
      <c r="J80" s="7"/>
      <c r="K80" s="7">
        <v>60</v>
      </c>
      <c r="L80" s="7" t="s">
        <v>20</v>
      </c>
      <c r="M80" s="7"/>
      <c r="N80" s="7" t="s">
        <v>258</v>
      </c>
      <c r="O80" s="7"/>
      <c r="P80" s="7"/>
      <c r="Q80" s="34">
        <v>46341</v>
      </c>
      <c r="R80" s="20"/>
      <c r="S80" s="20"/>
      <c r="T80" s="34">
        <v>46401</v>
      </c>
      <c r="U80" s="20"/>
      <c r="V80" s="20"/>
      <c r="W80" s="20">
        <f t="shared" si="6"/>
        <v>46461</v>
      </c>
      <c r="X80" s="20"/>
      <c r="Y80" s="20"/>
      <c r="Z80" s="20">
        <f t="shared" si="7"/>
        <v>46431</v>
      </c>
      <c r="AA80" s="20"/>
      <c r="AB80" s="20"/>
      <c r="AC80" s="34">
        <v>46461</v>
      </c>
      <c r="AD80" s="20"/>
      <c r="AE80" s="20"/>
    </row>
    <row r="81" spans="1:31" hidden="1" x14ac:dyDescent="0.35">
      <c r="A81" s="6">
        <v>122</v>
      </c>
      <c r="B81" s="7" t="s">
        <v>84</v>
      </c>
      <c r="C81" s="24" t="s">
        <v>389</v>
      </c>
      <c r="D81" s="7" t="str">
        <f>"MR-"&amp;_xlfn.XLOOKUP(B81, Code!$F:$F, Code!$E:$E, "NA")&amp;"-"&amp;TEXT(A81,"0000")</f>
        <v>MR-I-0122</v>
      </c>
      <c r="E81" s="7" t="s">
        <v>71</v>
      </c>
      <c r="F81" s="9"/>
      <c r="G81" s="9" t="s">
        <v>388</v>
      </c>
      <c r="H81" s="8"/>
      <c r="I81" s="7" t="s">
        <v>58</v>
      </c>
      <c r="J81" s="7"/>
      <c r="K81" s="7">
        <v>30</v>
      </c>
      <c r="L81" s="7" t="s">
        <v>20</v>
      </c>
      <c r="M81" s="7"/>
      <c r="N81" s="7" t="s">
        <v>258</v>
      </c>
      <c r="O81" s="7"/>
      <c r="P81" s="7"/>
      <c r="Q81" s="34">
        <v>46313</v>
      </c>
      <c r="R81" s="20"/>
      <c r="S81" s="20"/>
      <c r="T81" s="34">
        <v>46373</v>
      </c>
      <c r="U81" s="20"/>
      <c r="V81" s="20"/>
      <c r="W81" s="20">
        <f t="shared" si="6"/>
        <v>46433</v>
      </c>
      <c r="X81" s="20"/>
      <c r="Y81" s="20"/>
      <c r="Z81" s="20">
        <f t="shared" si="7"/>
        <v>46403</v>
      </c>
      <c r="AA81" s="20"/>
      <c r="AB81" s="20"/>
      <c r="AC81" s="34">
        <v>46433</v>
      </c>
      <c r="AD81" s="20"/>
      <c r="AE81" s="20"/>
    </row>
    <row r="82" spans="1:31" hidden="1" x14ac:dyDescent="0.35">
      <c r="A82" s="6">
        <v>123</v>
      </c>
      <c r="B82" s="7" t="s">
        <v>27</v>
      </c>
      <c r="C82" s="7" t="s">
        <v>390</v>
      </c>
      <c r="D82" s="7" t="str">
        <f>"MR-"&amp;_xlfn.XLOOKUP(B82, Code!$F:$F, Code!$E:$E, "NA")&amp;"-"&amp;TEXT(A82,"0000")</f>
        <v>MR-B-0123</v>
      </c>
      <c r="E82" s="7" t="s">
        <v>22</v>
      </c>
      <c r="F82" s="9"/>
      <c r="G82" s="9"/>
      <c r="H82" s="8"/>
      <c r="I82" s="7" t="s">
        <v>58</v>
      </c>
      <c r="J82" s="7"/>
      <c r="K82" s="7">
        <v>60</v>
      </c>
      <c r="L82" s="7" t="s">
        <v>30</v>
      </c>
      <c r="M82" s="7"/>
      <c r="N82" s="7" t="s">
        <v>246</v>
      </c>
      <c r="O82" s="7"/>
      <c r="P82" s="7"/>
      <c r="Q82" s="34">
        <v>46372</v>
      </c>
      <c r="R82" s="20"/>
      <c r="S82" s="20"/>
      <c r="T82" s="34">
        <v>46432</v>
      </c>
      <c r="U82" s="20"/>
      <c r="V82" s="20"/>
      <c r="W82" s="20">
        <f t="shared" si="6"/>
        <v>46492</v>
      </c>
      <c r="X82" s="20"/>
      <c r="Y82" s="20"/>
      <c r="Z82" s="20">
        <f t="shared" si="7"/>
        <v>46462</v>
      </c>
      <c r="AA82" s="20"/>
      <c r="AB82" s="20"/>
      <c r="AC82" s="34">
        <v>46492</v>
      </c>
      <c r="AD82" s="20"/>
      <c r="AE82" s="20"/>
    </row>
    <row r="83" spans="1:31" hidden="1" x14ac:dyDescent="0.35">
      <c r="A83" s="6">
        <v>124</v>
      </c>
      <c r="B83" s="7" t="s">
        <v>27</v>
      </c>
      <c r="C83" s="7" t="s">
        <v>391</v>
      </c>
      <c r="D83" s="7" t="str">
        <f>"MR-"&amp;_xlfn.XLOOKUP(B83, Code!$F:$F, Code!$E:$E, "NA")&amp;"-"&amp;TEXT(A83,"0000")</f>
        <v>MR-B-0124</v>
      </c>
      <c r="E83" s="7" t="s">
        <v>22</v>
      </c>
      <c r="F83" s="9"/>
      <c r="G83" s="9"/>
      <c r="H83" s="8"/>
      <c r="I83" s="7" t="s">
        <v>58</v>
      </c>
      <c r="J83" s="7"/>
      <c r="K83" s="7">
        <v>60</v>
      </c>
      <c r="L83" s="7" t="s">
        <v>30</v>
      </c>
      <c r="M83" s="7"/>
      <c r="N83" s="7" t="s">
        <v>246</v>
      </c>
      <c r="O83" s="7"/>
      <c r="P83" s="7"/>
      <c r="Q83" s="34">
        <v>46372</v>
      </c>
      <c r="R83" s="20"/>
      <c r="S83" s="20"/>
      <c r="T83" s="34">
        <v>46432</v>
      </c>
      <c r="U83" s="20"/>
      <c r="V83" s="20"/>
      <c r="W83" s="20">
        <f t="shared" si="6"/>
        <v>46492</v>
      </c>
      <c r="X83" s="20"/>
      <c r="Y83" s="20"/>
      <c r="Z83" s="20">
        <f t="shared" si="7"/>
        <v>46462</v>
      </c>
      <c r="AA83" s="20"/>
      <c r="AB83" s="20"/>
      <c r="AC83" s="34">
        <v>46492</v>
      </c>
      <c r="AD83" s="20"/>
      <c r="AE83" s="20"/>
    </row>
    <row r="84" spans="1:31" hidden="1" x14ac:dyDescent="0.35">
      <c r="A84" s="6">
        <v>125</v>
      </c>
      <c r="B84" s="7" t="s">
        <v>27</v>
      </c>
      <c r="C84" s="7" t="s">
        <v>392</v>
      </c>
      <c r="D84" s="7" t="str">
        <f>"MR-"&amp;_xlfn.XLOOKUP(B84, Code!$F:$F, Code!$E:$E, "NA")&amp;"-"&amp;TEXT(A84,"0000")</f>
        <v>MR-B-0125</v>
      </c>
      <c r="E84" s="7" t="s">
        <v>22</v>
      </c>
      <c r="F84" s="9"/>
      <c r="G84" s="9"/>
      <c r="H84" s="8"/>
      <c r="I84" s="7" t="s">
        <v>58</v>
      </c>
      <c r="J84" s="7"/>
      <c r="K84" s="7">
        <v>60</v>
      </c>
      <c r="L84" s="7" t="s">
        <v>30</v>
      </c>
      <c r="M84" s="7"/>
      <c r="N84" s="7" t="s">
        <v>246</v>
      </c>
      <c r="O84" s="7"/>
      <c r="P84" s="7"/>
      <c r="Q84" s="34">
        <v>46402</v>
      </c>
      <c r="R84" s="20"/>
      <c r="S84" s="20"/>
      <c r="T84" s="34">
        <v>46462</v>
      </c>
      <c r="U84" s="20"/>
      <c r="V84" s="20"/>
      <c r="W84" s="20">
        <f t="shared" si="6"/>
        <v>46522</v>
      </c>
      <c r="X84" s="20"/>
      <c r="Y84" s="20"/>
      <c r="Z84" s="20">
        <f t="shared" si="7"/>
        <v>46492</v>
      </c>
      <c r="AA84" s="20"/>
      <c r="AB84" s="20"/>
      <c r="AC84" s="34">
        <v>46522</v>
      </c>
      <c r="AD84" s="20"/>
      <c r="AE84" s="20"/>
    </row>
    <row r="85" spans="1:31" hidden="1" x14ac:dyDescent="0.35">
      <c r="A85" s="6">
        <v>126</v>
      </c>
      <c r="B85" s="7" t="s">
        <v>27</v>
      </c>
      <c r="C85" s="24" t="s">
        <v>393</v>
      </c>
      <c r="D85" s="7" t="str">
        <f>"MR-"&amp;_xlfn.XLOOKUP(B85, Code!$F:$F, Code!$E:$E, "NA")&amp;"-"&amp;TEXT(A85,"0000")</f>
        <v>MR-B-0126</v>
      </c>
      <c r="E85" s="7" t="s">
        <v>22</v>
      </c>
      <c r="F85" s="9"/>
      <c r="G85" s="9"/>
      <c r="H85" s="8"/>
      <c r="I85" s="7" t="s">
        <v>58</v>
      </c>
      <c r="J85" s="7"/>
      <c r="K85" s="7">
        <v>30</v>
      </c>
      <c r="L85" s="7" t="s">
        <v>20</v>
      </c>
      <c r="M85" s="7"/>
      <c r="N85" s="7" t="s">
        <v>246</v>
      </c>
      <c r="O85" s="7"/>
      <c r="P85" s="7"/>
      <c r="Q85" s="34">
        <v>46372</v>
      </c>
      <c r="R85" s="20"/>
      <c r="S85" s="20"/>
      <c r="T85" s="34">
        <v>46432</v>
      </c>
      <c r="U85" s="20"/>
      <c r="V85" s="20"/>
      <c r="W85" s="20">
        <f t="shared" si="6"/>
        <v>46492</v>
      </c>
      <c r="X85" s="20"/>
      <c r="Y85" s="20"/>
      <c r="Z85" s="20">
        <f t="shared" si="7"/>
        <v>46462</v>
      </c>
      <c r="AA85" s="20"/>
      <c r="AB85" s="20"/>
      <c r="AC85" s="34">
        <v>46492</v>
      </c>
      <c r="AD85" s="20"/>
      <c r="AE85" s="20"/>
    </row>
    <row r="86" spans="1:31" hidden="1" x14ac:dyDescent="0.35">
      <c r="A86" s="6">
        <v>127</v>
      </c>
      <c r="B86" s="7" t="s">
        <v>27</v>
      </c>
      <c r="C86" s="24" t="s">
        <v>394</v>
      </c>
      <c r="D86" s="7" t="str">
        <f>"MR-"&amp;_xlfn.XLOOKUP(B86, Code!$F:$F, Code!$E:$E, "NA")&amp;"-"&amp;TEXT(A86,"0000")</f>
        <v>MR-B-0127</v>
      </c>
      <c r="E86" s="7" t="s">
        <v>22</v>
      </c>
      <c r="F86" s="9"/>
      <c r="G86" s="9"/>
      <c r="H86" s="8"/>
      <c r="I86" s="7" t="s">
        <v>58</v>
      </c>
      <c r="J86" s="7"/>
      <c r="K86" s="7">
        <v>30</v>
      </c>
      <c r="L86" s="7" t="s">
        <v>20</v>
      </c>
      <c r="M86" s="7"/>
      <c r="N86" s="7" t="s">
        <v>246</v>
      </c>
      <c r="O86" s="7"/>
      <c r="P86" s="7"/>
      <c r="Q86" s="34">
        <v>46494</v>
      </c>
      <c r="R86" s="20"/>
      <c r="S86" s="20"/>
      <c r="T86" s="34">
        <v>46554</v>
      </c>
      <c r="U86" s="20"/>
      <c r="V86" s="20"/>
      <c r="W86" s="20">
        <f t="shared" si="6"/>
        <v>46614</v>
      </c>
      <c r="X86" s="20"/>
      <c r="Y86" s="20"/>
      <c r="Z86" s="20">
        <f t="shared" si="7"/>
        <v>46584</v>
      </c>
      <c r="AA86" s="20"/>
      <c r="AB86" s="20"/>
      <c r="AC86" s="34">
        <v>46614</v>
      </c>
      <c r="AD86" s="20"/>
      <c r="AE86" s="20"/>
    </row>
    <row r="87" spans="1:31" hidden="1" x14ac:dyDescent="0.35">
      <c r="A87" s="6">
        <v>5</v>
      </c>
      <c r="B87" s="7" t="s">
        <v>47</v>
      </c>
      <c r="C87" s="24" t="s">
        <v>395</v>
      </c>
      <c r="D87" s="7" t="str">
        <f>"MR-"&amp;_xlfn.XLOOKUP(B87, Code!$F:$F, Code!$E:$E, "NA")&amp;"-"&amp;TEXT(A87,"0000")</f>
        <v>MR-D-0005</v>
      </c>
      <c r="E87" s="7" t="s">
        <v>62</v>
      </c>
      <c r="F87" s="8" t="s">
        <v>240</v>
      </c>
      <c r="G87" s="8"/>
      <c r="H87" s="40" t="s">
        <v>396</v>
      </c>
      <c r="I87" s="7" t="s">
        <v>18</v>
      </c>
      <c r="J87" s="7"/>
      <c r="K87" s="7">
        <v>30</v>
      </c>
      <c r="L87" s="24" t="s">
        <v>60</v>
      </c>
      <c r="M87" s="24" t="s">
        <v>397</v>
      </c>
      <c r="N87" s="24" t="s">
        <v>398</v>
      </c>
      <c r="O87" s="7"/>
      <c r="P87" s="7"/>
      <c r="Q87" s="34">
        <v>46097</v>
      </c>
      <c r="R87" s="20"/>
      <c r="S87" s="20"/>
      <c r="T87" s="34">
        <v>46157</v>
      </c>
      <c r="U87" s="20"/>
      <c r="V87" s="34">
        <v>46204</v>
      </c>
      <c r="W87" s="20"/>
      <c r="X87" s="20"/>
      <c r="Y87" s="20"/>
      <c r="Z87" s="20"/>
      <c r="AA87" s="20"/>
      <c r="AB87" s="20"/>
      <c r="AC87" s="34">
        <v>46188</v>
      </c>
      <c r="AD87" s="20"/>
      <c r="AE87" s="20"/>
    </row>
    <row r="88" spans="1:31" hidden="1" x14ac:dyDescent="0.35">
      <c r="A88" s="6">
        <v>6</v>
      </c>
      <c r="B88" s="7" t="s">
        <v>47</v>
      </c>
      <c r="C88" s="24" t="s">
        <v>399</v>
      </c>
      <c r="D88" s="7" t="str">
        <f>"MR-"&amp;_xlfn.XLOOKUP(B88, Code!$F:$F, Code!$E:$E, "NA")&amp;"-"&amp;TEXT(A88,"0000")</f>
        <v>MR-D-0006</v>
      </c>
      <c r="E88" s="7" t="s">
        <v>62</v>
      </c>
      <c r="F88" s="8" t="s">
        <v>240</v>
      </c>
      <c r="G88" s="8"/>
      <c r="H88" s="40" t="s">
        <v>400</v>
      </c>
      <c r="I88" s="7" t="s">
        <v>18</v>
      </c>
      <c r="J88" s="7"/>
      <c r="K88" s="7">
        <v>30</v>
      </c>
      <c r="L88" s="24" t="s">
        <v>60</v>
      </c>
      <c r="M88" s="24" t="s">
        <v>401</v>
      </c>
      <c r="N88" s="24" t="s">
        <v>256</v>
      </c>
      <c r="O88" s="7"/>
      <c r="P88" s="7"/>
      <c r="Q88" s="34">
        <v>46067</v>
      </c>
      <c r="R88" s="20"/>
      <c r="S88" s="20"/>
      <c r="T88" s="34">
        <v>46127</v>
      </c>
      <c r="U88" s="20"/>
      <c r="V88" s="34">
        <v>46125</v>
      </c>
      <c r="W88" s="34"/>
      <c r="X88" s="20"/>
      <c r="Y88" s="20"/>
      <c r="Z88" s="34"/>
      <c r="AA88" s="20"/>
      <c r="AB88" s="20"/>
      <c r="AC88" s="34">
        <v>46157</v>
      </c>
      <c r="AD88" s="20"/>
      <c r="AE88" s="20"/>
    </row>
    <row r="89" spans="1:31" ht="21" x14ac:dyDescent="0.35">
      <c r="A89" s="6">
        <v>15</v>
      </c>
      <c r="B89" s="7" t="s">
        <v>111</v>
      </c>
      <c r="C89" s="26" t="s">
        <v>402</v>
      </c>
      <c r="D89" s="7" t="str">
        <f>"MR-"&amp;_xlfn.XLOOKUP(B89, Code!$F:$F, Code!$E:$E, "NA")&amp;"-"&amp;TEXT(A89,"0000")</f>
        <v>MR-M-0015</v>
      </c>
      <c r="E89" s="7" t="s">
        <v>97</v>
      </c>
      <c r="F89" s="8" t="s">
        <v>403</v>
      </c>
      <c r="G89" s="8" t="s">
        <v>404</v>
      </c>
      <c r="H89" s="8"/>
      <c r="I89" s="7" t="s">
        <v>58</v>
      </c>
      <c r="J89" s="7">
        <v>3</v>
      </c>
      <c r="K89" s="24">
        <v>280</v>
      </c>
      <c r="L89" s="7" t="s">
        <v>30</v>
      </c>
      <c r="M89" s="7"/>
      <c r="N89" s="7" t="s">
        <v>405</v>
      </c>
      <c r="O89" s="7"/>
      <c r="P89" s="7"/>
      <c r="Q89" s="34">
        <v>46182</v>
      </c>
      <c r="R89" s="20"/>
      <c r="S89" s="20"/>
      <c r="T89" s="34">
        <v>46242</v>
      </c>
      <c r="U89" s="34">
        <v>46341</v>
      </c>
      <c r="V89" s="20"/>
      <c r="W89" s="20"/>
      <c r="X89" s="20"/>
      <c r="Y89" s="20"/>
      <c r="Z89" s="20">
        <f t="shared" ref="Z89:Z130" si="8">AC89-30</f>
        <v>46492</v>
      </c>
      <c r="AA89" s="20"/>
      <c r="AB89" s="20"/>
      <c r="AC89" s="34">
        <v>46522</v>
      </c>
      <c r="AD89" s="20"/>
      <c r="AE89" s="20"/>
    </row>
    <row r="90" spans="1:31" ht="21" x14ac:dyDescent="0.35">
      <c r="A90" s="6">
        <v>16</v>
      </c>
      <c r="B90" s="7" t="s">
        <v>111</v>
      </c>
      <c r="C90" s="26" t="s">
        <v>406</v>
      </c>
      <c r="D90" s="7" t="str">
        <f>"MR-"&amp;_xlfn.XLOOKUP(B90, Code!$F:$F, Code!$E:$E, "NA")&amp;"-"&amp;TEXT(A90,"0000")</f>
        <v>MR-M-0016</v>
      </c>
      <c r="E90" s="7" t="s">
        <v>97</v>
      </c>
      <c r="F90" s="8" t="s">
        <v>407</v>
      </c>
      <c r="G90" s="8" t="s">
        <v>408</v>
      </c>
      <c r="H90" s="8"/>
      <c r="I90" s="7" t="s">
        <v>58</v>
      </c>
      <c r="J90" s="7">
        <v>12</v>
      </c>
      <c r="K90" s="24">
        <v>168</v>
      </c>
      <c r="L90" s="7" t="s">
        <v>30</v>
      </c>
      <c r="M90" s="7"/>
      <c r="N90" s="7" t="s">
        <v>405</v>
      </c>
      <c r="O90" s="7"/>
      <c r="P90" s="7"/>
      <c r="Q90" s="34">
        <v>46233</v>
      </c>
      <c r="R90" s="20"/>
      <c r="S90" s="20"/>
      <c r="T90" s="34">
        <v>46293</v>
      </c>
      <c r="U90" s="34">
        <v>46341</v>
      </c>
      <c r="V90" s="20"/>
      <c r="W90" s="20">
        <f t="shared" ref="W90:W118" si="9">T90-30</f>
        <v>46263</v>
      </c>
      <c r="X90" s="20"/>
      <c r="Y90" s="20"/>
      <c r="Z90" s="20">
        <f t="shared" si="8"/>
        <v>46431</v>
      </c>
      <c r="AA90" s="20"/>
      <c r="AB90" s="20"/>
      <c r="AC90" s="34">
        <v>46461</v>
      </c>
      <c r="AD90" s="20"/>
      <c r="AE90" s="20"/>
    </row>
    <row r="91" spans="1:31" ht="31.5" hidden="1" x14ac:dyDescent="0.35">
      <c r="A91" s="6">
        <v>17</v>
      </c>
      <c r="B91" s="7" t="s">
        <v>111</v>
      </c>
      <c r="C91" s="24" t="s">
        <v>409</v>
      </c>
      <c r="D91" s="7" t="str">
        <f>"MR-"&amp;_xlfn.XLOOKUP(B91, Code!$F:$F, Code!$E:$E, "NA")&amp;"-"&amp;TEXT(A91,"0000")</f>
        <v>MR-M-0017</v>
      </c>
      <c r="E91" s="7" t="s">
        <v>97</v>
      </c>
      <c r="F91" s="8" t="s">
        <v>410</v>
      </c>
      <c r="G91" s="8" t="s">
        <v>411</v>
      </c>
      <c r="H91" s="8"/>
      <c r="I91" s="7" t="s">
        <v>58</v>
      </c>
      <c r="J91" s="7">
        <v>6</v>
      </c>
      <c r="K91" s="24">
        <v>168</v>
      </c>
      <c r="L91" s="7" t="s">
        <v>30</v>
      </c>
      <c r="M91" s="7"/>
      <c r="N91" s="7" t="s">
        <v>412</v>
      </c>
      <c r="O91" s="7"/>
      <c r="P91" s="7"/>
      <c r="Q91" s="34">
        <v>46296</v>
      </c>
      <c r="R91" s="20"/>
      <c r="S91" s="20"/>
      <c r="T91" s="34">
        <v>46356</v>
      </c>
      <c r="U91" s="20"/>
      <c r="V91" s="20"/>
      <c r="W91" s="20">
        <f t="shared" si="9"/>
        <v>46326</v>
      </c>
      <c r="X91" s="20"/>
      <c r="Y91" s="20"/>
      <c r="Z91" s="20">
        <f t="shared" si="8"/>
        <v>46494</v>
      </c>
      <c r="AA91" s="20"/>
      <c r="AB91" s="20"/>
      <c r="AC91" s="34">
        <v>46524</v>
      </c>
      <c r="AD91" s="20"/>
      <c r="AE91" s="20"/>
    </row>
    <row r="92" spans="1:31" ht="52.5" hidden="1" x14ac:dyDescent="0.35">
      <c r="A92" s="6">
        <v>18</v>
      </c>
      <c r="B92" s="7" t="s">
        <v>111</v>
      </c>
      <c r="C92" s="24" t="s">
        <v>413</v>
      </c>
      <c r="D92" s="7" t="str">
        <f>"MR-"&amp;_xlfn.XLOOKUP(B92, Code!$F:$F, Code!$E:$E, "NA")&amp;"-"&amp;TEXT(A92,"0000")</f>
        <v>MR-M-0018</v>
      </c>
      <c r="E92" s="7" t="s">
        <v>97</v>
      </c>
      <c r="F92" s="8" t="s">
        <v>414</v>
      </c>
      <c r="G92" s="8" t="s">
        <v>415</v>
      </c>
      <c r="H92" s="8" t="s">
        <v>416</v>
      </c>
      <c r="I92" s="7" t="s">
        <v>58</v>
      </c>
      <c r="J92" s="30">
        <v>14</v>
      </c>
      <c r="K92" s="24">
        <v>168</v>
      </c>
      <c r="L92" s="7" t="s">
        <v>40</v>
      </c>
      <c r="M92" s="7" t="s">
        <v>417</v>
      </c>
      <c r="N92" s="7" t="s">
        <v>267</v>
      </c>
      <c r="O92" s="7"/>
      <c r="P92" s="7"/>
      <c r="Q92" s="34">
        <v>46417</v>
      </c>
      <c r="R92" s="20"/>
      <c r="S92" s="20"/>
      <c r="T92" s="34">
        <v>46477</v>
      </c>
      <c r="U92" s="20"/>
      <c r="V92" s="20"/>
      <c r="W92" s="20">
        <f t="shared" si="9"/>
        <v>46447</v>
      </c>
      <c r="X92" s="20"/>
      <c r="Y92" s="20"/>
      <c r="Z92" s="20">
        <f t="shared" si="8"/>
        <v>46615</v>
      </c>
      <c r="AA92" s="20"/>
      <c r="AB92" s="20"/>
      <c r="AC92" s="34">
        <v>46645</v>
      </c>
      <c r="AD92" s="20"/>
      <c r="AE92" s="20"/>
    </row>
    <row r="93" spans="1:31" ht="42" hidden="1" x14ac:dyDescent="0.35">
      <c r="A93" s="6">
        <v>19</v>
      </c>
      <c r="B93" s="7" t="s">
        <v>124</v>
      </c>
      <c r="C93" s="24" t="s">
        <v>418</v>
      </c>
      <c r="D93" s="7" t="str">
        <f>"MR-"&amp;_xlfn.XLOOKUP(B93, Code!$F:$F, Code!$E:$E, "NA")&amp;"-"&amp;TEXT(A93,"0000")</f>
        <v>MR-PR-0019</v>
      </c>
      <c r="E93" s="7" t="s">
        <v>126</v>
      </c>
      <c r="F93" s="8" t="s">
        <v>419</v>
      </c>
      <c r="G93" s="8" t="s">
        <v>420</v>
      </c>
      <c r="H93" s="40" t="s">
        <v>421</v>
      </c>
      <c r="I93" s="7" t="s">
        <v>58</v>
      </c>
      <c r="J93" s="7">
        <v>23</v>
      </c>
      <c r="K93" s="24">
        <v>140</v>
      </c>
      <c r="L93" s="7" t="s">
        <v>60</v>
      </c>
      <c r="M93" s="7" t="s">
        <v>422</v>
      </c>
      <c r="N93" s="7" t="s">
        <v>412</v>
      </c>
      <c r="O93" s="7"/>
      <c r="P93" s="7"/>
      <c r="Q93" s="34">
        <v>46202</v>
      </c>
      <c r="R93" s="20"/>
      <c r="S93" s="20"/>
      <c r="T93" s="34">
        <v>46262</v>
      </c>
      <c r="U93" s="20"/>
      <c r="V93" s="34">
        <v>46252</v>
      </c>
      <c r="W93" s="20">
        <f t="shared" si="9"/>
        <v>46232</v>
      </c>
      <c r="X93" s="20"/>
      <c r="Y93" s="20"/>
      <c r="Z93" s="20">
        <f t="shared" si="8"/>
        <v>46372</v>
      </c>
      <c r="AA93" s="20"/>
      <c r="AB93" s="20"/>
      <c r="AC93" s="34">
        <v>46402</v>
      </c>
      <c r="AD93" s="20"/>
      <c r="AE93" s="20"/>
    </row>
    <row r="94" spans="1:31" ht="252" hidden="1" x14ac:dyDescent="0.35">
      <c r="A94" s="6">
        <v>21</v>
      </c>
      <c r="B94" s="7" t="s">
        <v>111</v>
      </c>
      <c r="C94" s="24" t="s">
        <v>423</v>
      </c>
      <c r="D94" s="7" t="str">
        <f>"MR-"&amp;_xlfn.XLOOKUP(B94, Code!$F:$F, Code!$E:$E, "NA")&amp;"-"&amp;TEXT(A94,"0000")</f>
        <v>MR-M-0021</v>
      </c>
      <c r="E94" s="7" t="s">
        <v>97</v>
      </c>
      <c r="F94" s="8" t="s">
        <v>424</v>
      </c>
      <c r="G94" s="8" t="s">
        <v>425</v>
      </c>
      <c r="H94" s="8"/>
      <c r="I94" s="7" t="s">
        <v>58</v>
      </c>
      <c r="J94" s="7">
        <v>41</v>
      </c>
      <c r="K94" s="24">
        <v>140</v>
      </c>
      <c r="L94" s="7" t="s">
        <v>30</v>
      </c>
      <c r="N94" s="7" t="s">
        <v>267</v>
      </c>
      <c r="O94" s="7"/>
      <c r="P94" s="7"/>
      <c r="Q94" s="34">
        <v>46292</v>
      </c>
      <c r="R94" s="20"/>
      <c r="S94" s="34">
        <v>46203</v>
      </c>
      <c r="T94" s="34">
        <v>46352</v>
      </c>
      <c r="U94" s="20"/>
      <c r="V94" s="20"/>
      <c r="W94" s="20">
        <f t="shared" si="9"/>
        <v>46322</v>
      </c>
      <c r="X94" s="20"/>
      <c r="Y94" s="20"/>
      <c r="Z94" s="20">
        <f t="shared" si="8"/>
        <v>46462</v>
      </c>
      <c r="AA94" s="20"/>
      <c r="AB94" s="20"/>
      <c r="AC94" s="34">
        <v>46492</v>
      </c>
      <c r="AD94" s="20"/>
      <c r="AE94" s="20"/>
    </row>
    <row r="95" spans="1:31" hidden="1" x14ac:dyDescent="0.35">
      <c r="A95" s="6">
        <v>22</v>
      </c>
      <c r="B95" s="7" t="s">
        <v>111</v>
      </c>
      <c r="C95" s="24" t="s">
        <v>426</v>
      </c>
      <c r="D95" s="7" t="str">
        <f>"MR-"&amp;_xlfn.XLOOKUP(B95, Code!$F:$F, Code!$E:$E, "NA")&amp;"-"&amp;TEXT(A95,"0000")</f>
        <v>MR-M-0022</v>
      </c>
      <c r="E95" s="7" t="s">
        <v>97</v>
      </c>
      <c r="F95" s="8" t="s">
        <v>265</v>
      </c>
      <c r="G95" s="8" t="s">
        <v>427</v>
      </c>
      <c r="H95" s="40" t="s">
        <v>428</v>
      </c>
      <c r="I95" s="7" t="s">
        <v>48</v>
      </c>
      <c r="J95" s="7">
        <v>9</v>
      </c>
      <c r="K95" s="24">
        <v>747</v>
      </c>
      <c r="L95" s="7" t="s">
        <v>60</v>
      </c>
      <c r="M95" s="7" t="s">
        <v>429</v>
      </c>
      <c r="N95" s="7" t="s">
        <v>412</v>
      </c>
      <c r="O95" s="7"/>
      <c r="P95" s="7"/>
      <c r="Q95" s="34">
        <v>46323</v>
      </c>
      <c r="R95" s="20"/>
      <c r="S95" s="20"/>
      <c r="T95" s="34">
        <v>46383</v>
      </c>
      <c r="U95" s="20"/>
      <c r="V95" s="34">
        <v>46188</v>
      </c>
      <c r="W95" s="20">
        <f t="shared" si="9"/>
        <v>46353</v>
      </c>
      <c r="X95" s="20"/>
      <c r="Y95" s="34">
        <v>46185</v>
      </c>
      <c r="Z95" s="20">
        <f t="shared" si="8"/>
        <v>46905</v>
      </c>
      <c r="AA95" s="20"/>
      <c r="AB95" s="20"/>
      <c r="AC95" s="34">
        <v>46935</v>
      </c>
      <c r="AD95" s="20"/>
      <c r="AE95" s="20"/>
    </row>
    <row r="96" spans="1:31" x14ac:dyDescent="0.35">
      <c r="A96" s="6">
        <v>23</v>
      </c>
      <c r="B96" s="7" t="s">
        <v>111</v>
      </c>
      <c r="C96" s="26" t="s">
        <v>430</v>
      </c>
      <c r="D96" s="7" t="str">
        <f>"MR-"&amp;_xlfn.XLOOKUP(B96, Code!$F:$F, Code!$E:$E, "NA")&amp;"-"&amp;TEXT(A96,"0000")</f>
        <v>MR-M-0023</v>
      </c>
      <c r="E96" s="7" t="s">
        <v>154</v>
      </c>
      <c r="F96" s="8" t="s">
        <v>265</v>
      </c>
      <c r="G96" s="8" t="s">
        <v>431</v>
      </c>
      <c r="H96" s="8"/>
      <c r="I96" s="7" t="s">
        <v>58</v>
      </c>
      <c r="J96" s="7">
        <v>4</v>
      </c>
      <c r="K96" s="24">
        <v>210</v>
      </c>
      <c r="L96" s="7" t="s">
        <v>30</v>
      </c>
      <c r="M96" s="7"/>
      <c r="N96" s="7" t="s">
        <v>267</v>
      </c>
      <c r="O96" s="7"/>
      <c r="P96" s="7"/>
      <c r="Q96" s="34">
        <v>46208</v>
      </c>
      <c r="R96" s="20"/>
      <c r="S96" s="20"/>
      <c r="T96" s="34">
        <v>46268</v>
      </c>
      <c r="U96" s="34">
        <v>46341</v>
      </c>
      <c r="V96" s="20"/>
      <c r="W96" s="20">
        <f t="shared" si="9"/>
        <v>46238</v>
      </c>
      <c r="X96" s="20"/>
      <c r="Y96" s="20"/>
      <c r="Z96" s="20">
        <f t="shared" si="8"/>
        <v>46448</v>
      </c>
      <c r="AA96" s="20"/>
      <c r="AB96" s="20"/>
      <c r="AC96" s="34">
        <v>46478</v>
      </c>
      <c r="AD96" s="20"/>
      <c r="AE96" s="20"/>
    </row>
    <row r="97" spans="1:31" ht="21" hidden="1" x14ac:dyDescent="0.35">
      <c r="A97" s="6">
        <v>24</v>
      </c>
      <c r="B97" s="7" t="s">
        <v>111</v>
      </c>
      <c r="C97" s="26" t="s">
        <v>432</v>
      </c>
      <c r="D97" s="7" t="str">
        <f>"MR-"&amp;_xlfn.XLOOKUP(B97, Code!$F:$F, Code!$E:$E, "NA")&amp;"-"&amp;TEXT(A97,"0000")</f>
        <v>MR-M-0024</v>
      </c>
      <c r="E97" s="7" t="s">
        <v>146</v>
      </c>
      <c r="F97" s="8" t="s">
        <v>265</v>
      </c>
      <c r="G97" s="8" t="s">
        <v>433</v>
      </c>
      <c r="H97" s="40" t="s">
        <v>434</v>
      </c>
      <c r="I97" s="7" t="s">
        <v>58</v>
      </c>
      <c r="J97" s="7">
        <v>12</v>
      </c>
      <c r="K97" s="24">
        <v>180</v>
      </c>
      <c r="L97" s="7" t="s">
        <v>60</v>
      </c>
      <c r="M97" s="7" t="s">
        <v>435</v>
      </c>
      <c r="N97" s="7" t="s">
        <v>267</v>
      </c>
      <c r="O97" s="7"/>
      <c r="P97" s="7"/>
      <c r="Q97" s="34">
        <v>46313</v>
      </c>
      <c r="R97" s="20"/>
      <c r="S97" s="20"/>
      <c r="T97" s="34">
        <v>46373</v>
      </c>
      <c r="U97" s="20"/>
      <c r="V97" s="34">
        <v>46140</v>
      </c>
      <c r="W97" s="20">
        <f t="shared" si="9"/>
        <v>46343</v>
      </c>
      <c r="X97" s="20"/>
      <c r="Y97" s="34">
        <v>46213</v>
      </c>
      <c r="Z97" s="20">
        <f t="shared" si="8"/>
        <v>46523</v>
      </c>
      <c r="AA97" s="20"/>
      <c r="AB97" s="20"/>
      <c r="AC97" s="34">
        <v>46553</v>
      </c>
      <c r="AD97" s="20"/>
      <c r="AE97" s="20"/>
    </row>
    <row r="98" spans="1:31" ht="21" hidden="1" x14ac:dyDescent="0.35">
      <c r="A98" s="6">
        <v>25</v>
      </c>
      <c r="B98" s="7" t="s">
        <v>111</v>
      </c>
      <c r="C98" s="24" t="s">
        <v>436</v>
      </c>
      <c r="D98" s="7" t="str">
        <f>"MR-"&amp;_xlfn.XLOOKUP(B98, Code!$F:$F, Code!$E:$E, "NA")&amp;"-"&amp;TEXT(A98,"0000")</f>
        <v>MR-M-0025</v>
      </c>
      <c r="E98" s="7" t="s">
        <v>154</v>
      </c>
      <c r="F98" s="8" t="s">
        <v>437</v>
      </c>
      <c r="G98" s="8" t="s">
        <v>438</v>
      </c>
      <c r="H98" s="40" t="s">
        <v>439</v>
      </c>
      <c r="I98" s="7" t="s">
        <v>38</v>
      </c>
      <c r="J98" s="7">
        <v>6</v>
      </c>
      <c r="K98" s="24">
        <v>168</v>
      </c>
      <c r="L98" s="7" t="s">
        <v>60</v>
      </c>
      <c r="M98" s="7" t="s">
        <v>440</v>
      </c>
      <c r="N98" s="7" t="s">
        <v>267</v>
      </c>
      <c r="O98" s="7"/>
      <c r="P98" s="7"/>
      <c r="Q98" s="34">
        <v>46205</v>
      </c>
      <c r="R98" s="20"/>
      <c r="S98" s="20"/>
      <c r="T98" s="34">
        <v>46265</v>
      </c>
      <c r="U98" s="20"/>
      <c r="V98" s="34">
        <v>46282</v>
      </c>
      <c r="W98" s="20">
        <f t="shared" si="9"/>
        <v>46235</v>
      </c>
      <c r="X98" s="20"/>
      <c r="Y98" s="34">
        <v>46277</v>
      </c>
      <c r="Z98" s="20">
        <f t="shared" si="8"/>
        <v>46403</v>
      </c>
      <c r="AA98" s="20"/>
      <c r="AB98" s="20"/>
      <c r="AC98" s="34">
        <v>46433</v>
      </c>
      <c r="AD98" s="20"/>
      <c r="AE98" s="20"/>
    </row>
    <row r="99" spans="1:31" ht="147" hidden="1" x14ac:dyDescent="0.35">
      <c r="A99" s="6">
        <v>27</v>
      </c>
      <c r="B99" s="7" t="s">
        <v>111</v>
      </c>
      <c r="C99" s="26" t="s">
        <v>441</v>
      </c>
      <c r="D99" s="7" t="str">
        <f>"MR-"&amp;_xlfn.XLOOKUP(B99, Code!$F:$F, Code!$E:$E, "NA")&amp;"-"&amp;TEXT(A99,"0000")</f>
        <v>MR-M-0027</v>
      </c>
      <c r="E99" s="7" t="s">
        <v>146</v>
      </c>
      <c r="F99" s="8" t="s">
        <v>442</v>
      </c>
      <c r="G99" s="27" t="s">
        <v>443</v>
      </c>
      <c r="H99" s="8" t="s">
        <v>444</v>
      </c>
      <c r="I99" s="7" t="s">
        <v>58</v>
      </c>
      <c r="J99" s="7">
        <f>3+2+3+2+1+6+1+6+4+14+4+1+6+1</f>
        <v>54</v>
      </c>
      <c r="K99" s="24">
        <v>168</v>
      </c>
      <c r="L99" s="7" t="s">
        <v>30</v>
      </c>
      <c r="M99" s="7"/>
      <c r="N99" s="7" t="s">
        <v>405</v>
      </c>
      <c r="O99" s="7"/>
      <c r="P99" s="7"/>
      <c r="Q99" s="34">
        <v>46296</v>
      </c>
      <c r="R99" s="20"/>
      <c r="S99" s="20"/>
      <c r="T99" s="34">
        <v>46356</v>
      </c>
      <c r="U99" s="20"/>
      <c r="V99" s="20"/>
      <c r="W99" s="20">
        <f t="shared" si="9"/>
        <v>46326</v>
      </c>
      <c r="X99" s="20"/>
      <c r="Y99" s="20"/>
      <c r="Z99" s="20">
        <f t="shared" si="8"/>
        <v>46494</v>
      </c>
      <c r="AA99" s="20"/>
      <c r="AB99" s="20"/>
      <c r="AC99" s="34">
        <v>46524</v>
      </c>
      <c r="AD99" s="20"/>
      <c r="AE99" s="20"/>
    </row>
    <row r="100" spans="1:31" ht="42" hidden="1" x14ac:dyDescent="0.35">
      <c r="A100" s="6">
        <v>28</v>
      </c>
      <c r="B100" s="7" t="s">
        <v>111</v>
      </c>
      <c r="C100" s="26" t="s">
        <v>445</v>
      </c>
      <c r="D100" s="7" t="str">
        <f>"MR-"&amp;_xlfn.XLOOKUP(B100, Code!$F:$F, Code!$E:$E, "NA")&amp;"-"&amp;TEXT(A100,"0000")</f>
        <v>MR-M-0028</v>
      </c>
      <c r="E100" s="7" t="s">
        <v>146</v>
      </c>
      <c r="F100" s="8" t="s">
        <v>446</v>
      </c>
      <c r="G100" s="27" t="s">
        <v>447</v>
      </c>
      <c r="H100" s="8" t="s">
        <v>448</v>
      </c>
      <c r="I100" s="7" t="s">
        <v>58</v>
      </c>
      <c r="J100" s="7">
        <f>1+4+12+2</f>
        <v>19</v>
      </c>
      <c r="K100" s="24">
        <v>140</v>
      </c>
      <c r="L100" s="7" t="s">
        <v>30</v>
      </c>
      <c r="M100" s="7"/>
      <c r="N100" s="7" t="s">
        <v>412</v>
      </c>
      <c r="O100" s="7"/>
      <c r="P100" s="7"/>
      <c r="Q100" s="34">
        <v>46261</v>
      </c>
      <c r="R100" s="20"/>
      <c r="S100" s="20"/>
      <c r="T100" s="34">
        <v>46321</v>
      </c>
      <c r="U100" s="34">
        <v>46371</v>
      </c>
      <c r="V100" s="20"/>
      <c r="W100" s="20">
        <f t="shared" si="9"/>
        <v>46291</v>
      </c>
      <c r="X100" s="20"/>
      <c r="Y100" s="20"/>
      <c r="Z100" s="20">
        <f t="shared" si="8"/>
        <v>46431</v>
      </c>
      <c r="AA100" s="20"/>
      <c r="AB100" s="20"/>
      <c r="AC100" s="34">
        <v>46461</v>
      </c>
      <c r="AD100" s="20"/>
      <c r="AE100" s="20"/>
    </row>
    <row r="101" spans="1:31" ht="31.5" hidden="1" x14ac:dyDescent="0.35">
      <c r="A101" s="6">
        <v>29</v>
      </c>
      <c r="B101" s="7" t="s">
        <v>111</v>
      </c>
      <c r="C101" s="26" t="s">
        <v>449</v>
      </c>
      <c r="D101" s="7" t="str">
        <f>"MR-"&amp;_xlfn.XLOOKUP(B101, Code!$F:$F, Code!$E:$E, "NA")&amp;"-"&amp;TEXT(A101,"0000")</f>
        <v>MR-M-0029</v>
      </c>
      <c r="E101" s="7" t="s">
        <v>146</v>
      </c>
      <c r="F101" s="8" t="s">
        <v>450</v>
      </c>
      <c r="G101" s="27" t="s">
        <v>451</v>
      </c>
      <c r="H101" s="8" t="s">
        <v>452</v>
      </c>
      <c r="I101" s="7" t="s">
        <v>58</v>
      </c>
      <c r="J101" s="7">
        <f>4+6+14</f>
        <v>24</v>
      </c>
      <c r="K101" s="24">
        <v>140</v>
      </c>
      <c r="L101" s="7" t="s">
        <v>30</v>
      </c>
      <c r="M101" s="7"/>
      <c r="N101" s="7" t="s">
        <v>405</v>
      </c>
      <c r="O101" s="7"/>
      <c r="P101" s="7"/>
      <c r="Q101" s="34">
        <v>46261</v>
      </c>
      <c r="R101" s="20"/>
      <c r="S101" s="20"/>
      <c r="T101" s="34">
        <v>46321</v>
      </c>
      <c r="U101" s="34">
        <v>46371</v>
      </c>
      <c r="V101" s="20"/>
      <c r="W101" s="20">
        <f t="shared" si="9"/>
        <v>46291</v>
      </c>
      <c r="X101" s="20"/>
      <c r="Y101" s="20"/>
      <c r="Z101" s="20">
        <f t="shared" si="8"/>
        <v>46431</v>
      </c>
      <c r="AA101" s="20"/>
      <c r="AB101" s="20"/>
      <c r="AC101" s="34">
        <v>46461</v>
      </c>
      <c r="AD101" s="20"/>
      <c r="AE101" s="20"/>
    </row>
    <row r="102" spans="1:31" ht="21" hidden="1" x14ac:dyDescent="0.35">
      <c r="A102" s="6">
        <v>30</v>
      </c>
      <c r="B102" s="7" t="s">
        <v>111</v>
      </c>
      <c r="C102" s="24" t="s">
        <v>453</v>
      </c>
      <c r="D102" s="7" t="str">
        <f>"MR-"&amp;_xlfn.XLOOKUP(B102, Code!$F:$F, Code!$E:$E, "NA")&amp;"-"&amp;TEXT(A102,"0000")</f>
        <v>MR-M-0030</v>
      </c>
      <c r="E102" s="7" t="s">
        <v>146</v>
      </c>
      <c r="F102" s="8" t="s">
        <v>454</v>
      </c>
      <c r="G102" s="8" t="s">
        <v>455</v>
      </c>
      <c r="H102" s="8" t="s">
        <v>456</v>
      </c>
      <c r="I102" s="7" t="s">
        <v>58</v>
      </c>
      <c r="J102" s="7">
        <v>4</v>
      </c>
      <c r="K102" s="24">
        <v>84</v>
      </c>
      <c r="L102" s="7" t="s">
        <v>30</v>
      </c>
      <c r="N102" s="7" t="s">
        <v>412</v>
      </c>
      <c r="O102" s="7"/>
      <c r="P102" s="7"/>
      <c r="Q102" s="34">
        <v>46261</v>
      </c>
      <c r="R102" s="20"/>
      <c r="S102" s="20"/>
      <c r="T102" s="34">
        <v>46321</v>
      </c>
      <c r="U102" s="34">
        <v>46371</v>
      </c>
      <c r="V102" s="20"/>
      <c r="W102" s="20">
        <f t="shared" si="9"/>
        <v>46291</v>
      </c>
      <c r="X102" s="20"/>
      <c r="Y102" s="20"/>
      <c r="Z102" s="20">
        <f t="shared" si="8"/>
        <v>46431</v>
      </c>
      <c r="AA102" s="20"/>
      <c r="AB102" s="20"/>
      <c r="AC102" s="34">
        <v>46461</v>
      </c>
      <c r="AD102" s="20"/>
      <c r="AE102" s="20"/>
    </row>
    <row r="103" spans="1:31" ht="84" hidden="1" x14ac:dyDescent="0.35">
      <c r="A103" s="6">
        <v>31</v>
      </c>
      <c r="B103" s="9" t="s">
        <v>111</v>
      </c>
      <c r="C103" s="28" t="s">
        <v>457</v>
      </c>
      <c r="D103" s="7" t="str">
        <f>"MR-"&amp;_xlfn.XLOOKUP(B103, Code!$F:$F, Code!$E:$E, "NA")&amp;"-"&amp;TEXT(A103,"0000")</f>
        <v>MR-M-0031</v>
      </c>
      <c r="E103" s="7" t="s">
        <v>97</v>
      </c>
      <c r="F103" s="8" t="s">
        <v>458</v>
      </c>
      <c r="G103" s="8" t="s">
        <v>459</v>
      </c>
      <c r="H103" s="8" t="s">
        <v>460</v>
      </c>
      <c r="I103" s="7" t="s">
        <v>58</v>
      </c>
      <c r="J103" s="7">
        <f>3+19+2</f>
        <v>24</v>
      </c>
      <c r="K103" s="24">
        <v>168</v>
      </c>
      <c r="L103" s="7" t="s">
        <v>60</v>
      </c>
      <c r="M103" s="7" t="s">
        <v>461</v>
      </c>
      <c r="N103" s="7" t="s">
        <v>267</v>
      </c>
      <c r="O103" s="7"/>
      <c r="P103" s="7"/>
      <c r="Q103" s="34">
        <v>46229</v>
      </c>
      <c r="R103" s="20"/>
      <c r="S103" s="20"/>
      <c r="T103" s="34">
        <v>46289</v>
      </c>
      <c r="U103" s="20"/>
      <c r="V103" s="34">
        <v>46163</v>
      </c>
      <c r="W103" s="20">
        <f t="shared" si="9"/>
        <v>46259</v>
      </c>
      <c r="X103" s="20"/>
      <c r="Y103" s="34">
        <v>46201</v>
      </c>
      <c r="Z103" s="20">
        <f t="shared" si="8"/>
        <v>46427</v>
      </c>
      <c r="AA103" s="20"/>
      <c r="AB103" s="20"/>
      <c r="AC103" s="34">
        <v>46457</v>
      </c>
      <c r="AD103" s="20"/>
      <c r="AE103" s="20"/>
    </row>
    <row r="104" spans="1:31" ht="73.5" hidden="1" x14ac:dyDescent="0.35">
      <c r="A104" s="6">
        <v>32</v>
      </c>
      <c r="B104" s="9" t="s">
        <v>111</v>
      </c>
      <c r="C104" s="29" t="s">
        <v>462</v>
      </c>
      <c r="D104" s="7" t="str">
        <f>"MR-"&amp;_xlfn.XLOOKUP(B104, Code!$F:$F, Code!$E:$E, "NA")&amp;"-"&amp;TEXT(A104,"0000")</f>
        <v>MR-M-0032</v>
      </c>
      <c r="E104" s="7" t="s">
        <v>97</v>
      </c>
      <c r="F104" s="8" t="s">
        <v>463</v>
      </c>
      <c r="G104" s="8" t="s">
        <v>464</v>
      </c>
      <c r="H104" s="8"/>
      <c r="I104" s="7" t="s">
        <v>58</v>
      </c>
      <c r="J104" s="7">
        <v>19</v>
      </c>
      <c r="K104" s="24">
        <v>210</v>
      </c>
      <c r="L104" s="7" t="s">
        <v>30</v>
      </c>
      <c r="M104" s="7"/>
      <c r="N104" s="7" t="s">
        <v>267</v>
      </c>
      <c r="O104" s="7"/>
      <c r="P104" s="7"/>
      <c r="Q104" s="34">
        <v>46375</v>
      </c>
      <c r="R104" s="20"/>
      <c r="S104" s="20"/>
      <c r="T104" s="34">
        <v>46435</v>
      </c>
      <c r="U104" s="20"/>
      <c r="V104" s="20"/>
      <c r="W104" s="20">
        <f t="shared" si="9"/>
        <v>46405</v>
      </c>
      <c r="X104" s="20"/>
      <c r="Y104" s="20"/>
      <c r="Z104" s="20">
        <f t="shared" si="8"/>
        <v>46615</v>
      </c>
      <c r="AA104" s="20"/>
      <c r="AB104" s="20"/>
      <c r="AC104" s="34">
        <v>46645</v>
      </c>
      <c r="AD104" s="20"/>
      <c r="AE104" s="20"/>
    </row>
    <row r="105" spans="1:31" ht="21" hidden="1" x14ac:dyDescent="0.35">
      <c r="A105" s="6">
        <v>33</v>
      </c>
      <c r="B105" s="7" t="s">
        <v>111</v>
      </c>
      <c r="C105" s="24" t="s">
        <v>465</v>
      </c>
      <c r="D105" s="7" t="str">
        <f>"MR-"&amp;_xlfn.XLOOKUP(B105, Code!$F:$F, Code!$E:$E, "NA")&amp;"-"&amp;TEXT(A105,"0000")</f>
        <v>MR-M-0033</v>
      </c>
      <c r="E105" s="7" t="s">
        <v>97</v>
      </c>
      <c r="F105" s="8" t="s">
        <v>349</v>
      </c>
      <c r="G105" s="8" t="s">
        <v>466</v>
      </c>
      <c r="H105" s="40" t="s">
        <v>467</v>
      </c>
      <c r="I105" s="7" t="s">
        <v>58</v>
      </c>
      <c r="J105" s="7">
        <v>6</v>
      </c>
      <c r="K105" s="24">
        <v>168</v>
      </c>
      <c r="L105" s="7" t="s">
        <v>60</v>
      </c>
      <c r="M105" s="7" t="s">
        <v>468</v>
      </c>
      <c r="N105" s="7" t="s">
        <v>267</v>
      </c>
      <c r="O105" s="7"/>
      <c r="P105" s="7"/>
      <c r="Q105" s="34">
        <v>46229</v>
      </c>
      <c r="R105" s="20"/>
      <c r="S105" s="20"/>
      <c r="T105" s="34">
        <v>46289</v>
      </c>
      <c r="U105" s="20"/>
      <c r="V105" s="34">
        <v>46288</v>
      </c>
      <c r="W105" s="20">
        <f t="shared" si="9"/>
        <v>46259</v>
      </c>
      <c r="X105" s="20">
        <v>46351</v>
      </c>
      <c r="Y105" s="20"/>
      <c r="Z105" s="20">
        <f t="shared" si="8"/>
        <v>46427</v>
      </c>
      <c r="AA105" s="20"/>
      <c r="AB105" s="20"/>
      <c r="AC105" s="34">
        <v>46457</v>
      </c>
      <c r="AD105" s="20"/>
      <c r="AE105" s="20"/>
    </row>
    <row r="106" spans="1:31" ht="21" hidden="1" x14ac:dyDescent="0.35">
      <c r="A106" s="6">
        <v>34</v>
      </c>
      <c r="B106" s="7" t="s">
        <v>111</v>
      </c>
      <c r="C106" s="24" t="s">
        <v>469</v>
      </c>
      <c r="D106" s="7" t="str">
        <f>"MR-"&amp;_xlfn.XLOOKUP(B106, Code!$F:$F, Code!$E:$E, "NA")&amp;"-"&amp;TEXT(A106,"0000")</f>
        <v>MR-M-0034</v>
      </c>
      <c r="E106" s="7" t="s">
        <v>154</v>
      </c>
      <c r="F106" s="8" t="s">
        <v>470</v>
      </c>
      <c r="G106" s="8" t="s">
        <v>471</v>
      </c>
      <c r="H106" s="8"/>
      <c r="I106" s="7" t="s">
        <v>58</v>
      </c>
      <c r="J106" s="7">
        <v>4</v>
      </c>
      <c r="K106" s="24">
        <v>150</v>
      </c>
      <c r="L106" s="7" t="s">
        <v>30</v>
      </c>
      <c r="M106" s="7"/>
      <c r="N106" s="7" t="s">
        <v>267</v>
      </c>
      <c r="O106" s="7"/>
      <c r="P106" s="7"/>
      <c r="Q106" s="34">
        <v>46282</v>
      </c>
      <c r="R106" s="20"/>
      <c r="S106" s="20"/>
      <c r="T106" s="34">
        <v>46342</v>
      </c>
      <c r="U106" s="20"/>
      <c r="V106" s="20"/>
      <c r="W106" s="20">
        <f t="shared" si="9"/>
        <v>46312</v>
      </c>
      <c r="X106" s="20"/>
      <c r="Y106" s="20"/>
      <c r="Z106" s="20">
        <f t="shared" si="8"/>
        <v>46462</v>
      </c>
      <c r="AA106" s="20"/>
      <c r="AB106" s="20"/>
      <c r="AC106" s="34">
        <v>46492</v>
      </c>
      <c r="AD106" s="20"/>
      <c r="AE106" s="20"/>
    </row>
    <row r="107" spans="1:31" x14ac:dyDescent="0.35">
      <c r="A107" s="6">
        <v>35</v>
      </c>
      <c r="B107" s="7" t="s">
        <v>111</v>
      </c>
      <c r="C107" s="24" t="s">
        <v>472</v>
      </c>
      <c r="D107" s="7" t="str">
        <f>"MR-"&amp;_xlfn.XLOOKUP(B107, Code!$F:$F, Code!$E:$E, "NA")&amp;"-"&amp;TEXT(A107,"0000")</f>
        <v>MR-M-0035</v>
      </c>
      <c r="E107" s="7" t="s">
        <v>126</v>
      </c>
      <c r="F107" s="8"/>
      <c r="G107" s="8"/>
      <c r="H107" s="8"/>
      <c r="I107" s="7" t="s">
        <v>58</v>
      </c>
      <c r="J107" s="7"/>
      <c r="K107" s="24">
        <v>168</v>
      </c>
      <c r="L107" s="7" t="s">
        <v>20</v>
      </c>
      <c r="M107" s="7"/>
      <c r="N107" s="7" t="s">
        <v>267</v>
      </c>
      <c r="O107" s="7"/>
      <c r="P107" s="7"/>
      <c r="Q107" s="34">
        <v>46229</v>
      </c>
      <c r="R107" s="20"/>
      <c r="S107" s="20"/>
      <c r="T107" s="34">
        <v>46289</v>
      </c>
      <c r="U107" s="34">
        <v>46402</v>
      </c>
      <c r="V107" s="20"/>
      <c r="W107" s="20">
        <f t="shared" si="9"/>
        <v>46259</v>
      </c>
      <c r="X107" s="20"/>
      <c r="Y107" s="20"/>
      <c r="Z107" s="20">
        <f t="shared" si="8"/>
        <v>46427</v>
      </c>
      <c r="AA107" s="20"/>
      <c r="AB107" s="20"/>
      <c r="AC107" s="34">
        <v>46457</v>
      </c>
      <c r="AD107" s="20"/>
      <c r="AE107" s="20"/>
    </row>
    <row r="108" spans="1:31" hidden="1" x14ac:dyDescent="0.35">
      <c r="A108" s="6">
        <v>36</v>
      </c>
      <c r="B108" s="7" t="s">
        <v>111</v>
      </c>
      <c r="C108" s="24" t="s">
        <v>473</v>
      </c>
      <c r="D108" s="7" t="str">
        <f>"MR-"&amp;_xlfn.XLOOKUP(B108, Code!$F:$F, Code!$E:$E, "NA")&amp;"-"&amp;TEXT(A108,"0000")</f>
        <v>MR-M-0036</v>
      </c>
      <c r="E108" s="7" t="s">
        <v>97</v>
      </c>
      <c r="F108" s="8"/>
      <c r="G108" s="8"/>
      <c r="H108" s="8"/>
      <c r="I108" s="7" t="s">
        <v>58</v>
      </c>
      <c r="J108" s="7"/>
      <c r="K108" s="24">
        <v>120</v>
      </c>
      <c r="L108" s="7" t="s">
        <v>20</v>
      </c>
      <c r="M108" s="7"/>
      <c r="N108" s="7" t="s">
        <v>267</v>
      </c>
      <c r="O108" s="7"/>
      <c r="P108" s="7"/>
      <c r="Q108" s="20">
        <f t="shared" ref="Q108:Q118" si="10">T108-60</f>
        <v>46326</v>
      </c>
      <c r="R108" s="20"/>
      <c r="S108" s="20"/>
      <c r="T108" s="34">
        <v>46386</v>
      </c>
      <c r="U108" s="20"/>
      <c r="V108" s="20"/>
      <c r="W108" s="20">
        <f t="shared" si="9"/>
        <v>46356</v>
      </c>
      <c r="X108" s="20"/>
      <c r="Y108" s="20"/>
      <c r="Z108" s="20">
        <f t="shared" si="8"/>
        <v>46476</v>
      </c>
      <c r="AA108" s="20"/>
      <c r="AB108" s="20"/>
      <c r="AC108" s="20">
        <f t="shared" ref="AC108:AC124" si="11">K108+T108</f>
        <v>46506</v>
      </c>
      <c r="AD108" s="20"/>
      <c r="AE108" s="20"/>
    </row>
    <row r="109" spans="1:31" x14ac:dyDescent="0.35">
      <c r="A109" s="6">
        <v>37</v>
      </c>
      <c r="B109" s="7" t="s">
        <v>111</v>
      </c>
      <c r="C109" s="24" t="s">
        <v>474</v>
      </c>
      <c r="D109" s="7" t="str">
        <f>"MR-"&amp;_xlfn.XLOOKUP(B109, Code!$F:$F, Code!$E:$E, "NA")&amp;"-"&amp;TEXT(A109,"0000")</f>
        <v>MR-M-0037</v>
      </c>
      <c r="E109" s="7" t="s">
        <v>97</v>
      </c>
      <c r="F109" s="8"/>
      <c r="G109" s="8"/>
      <c r="H109" s="8"/>
      <c r="I109" s="24" t="s">
        <v>58</v>
      </c>
      <c r="J109" s="7"/>
      <c r="K109" s="24">
        <v>180</v>
      </c>
      <c r="L109" s="24" t="s">
        <v>20</v>
      </c>
      <c r="M109" s="7"/>
      <c r="N109" s="7" t="s">
        <v>277</v>
      </c>
      <c r="O109" s="7"/>
      <c r="P109" s="7"/>
      <c r="Q109" s="34">
        <v>46177</v>
      </c>
      <c r="R109" s="20"/>
      <c r="S109" s="20"/>
      <c r="T109" s="34">
        <v>46237</v>
      </c>
      <c r="U109" s="34">
        <v>46402</v>
      </c>
      <c r="V109" s="20"/>
      <c r="W109" s="20">
        <f t="shared" si="9"/>
        <v>46207</v>
      </c>
      <c r="X109" s="20"/>
      <c r="Y109" s="20"/>
      <c r="Z109" s="20">
        <f t="shared" si="8"/>
        <v>46387</v>
      </c>
      <c r="AA109" s="20"/>
      <c r="AB109" s="20"/>
      <c r="AC109" s="34">
        <v>46417</v>
      </c>
      <c r="AD109" s="20"/>
      <c r="AE109" s="20"/>
    </row>
    <row r="110" spans="1:31" hidden="1" x14ac:dyDescent="0.35">
      <c r="A110" s="6">
        <v>38</v>
      </c>
      <c r="B110" s="7" t="s">
        <v>111</v>
      </c>
      <c r="C110" s="24" t="s">
        <v>475</v>
      </c>
      <c r="D110" s="7" t="str">
        <f>"MR-"&amp;_xlfn.XLOOKUP(B110, Code!$F:$F, Code!$E:$E, "NA")&amp;"-"&amp;TEXT(A110,"0000")</f>
        <v>MR-M-0038</v>
      </c>
      <c r="E110" s="7" t="s">
        <v>140</v>
      </c>
      <c r="F110" s="8"/>
      <c r="G110" s="8"/>
      <c r="H110" s="8"/>
      <c r="I110" s="7" t="s">
        <v>58</v>
      </c>
      <c r="J110" s="7"/>
      <c r="K110" s="24">
        <v>365</v>
      </c>
      <c r="L110" s="7" t="s">
        <v>20</v>
      </c>
      <c r="M110" s="7"/>
      <c r="N110" s="7" t="s">
        <v>267</v>
      </c>
      <c r="O110" s="7"/>
      <c r="P110" s="7"/>
      <c r="Q110" s="20">
        <f t="shared" si="10"/>
        <v>46296</v>
      </c>
      <c r="R110" s="20"/>
      <c r="S110" s="20"/>
      <c r="T110" s="34">
        <v>46356</v>
      </c>
      <c r="U110" s="20"/>
      <c r="V110" s="20"/>
      <c r="W110" s="20">
        <f t="shared" si="9"/>
        <v>46326</v>
      </c>
      <c r="X110" s="20"/>
      <c r="Y110" s="20"/>
      <c r="Z110" s="20">
        <f t="shared" si="8"/>
        <v>46691</v>
      </c>
      <c r="AA110" s="20"/>
      <c r="AB110" s="20"/>
      <c r="AC110" s="20">
        <f t="shared" si="11"/>
        <v>46721</v>
      </c>
      <c r="AD110" s="20"/>
      <c r="AE110" s="20"/>
    </row>
    <row r="111" spans="1:31" hidden="1" x14ac:dyDescent="0.35">
      <c r="A111" s="6">
        <v>39</v>
      </c>
      <c r="B111" s="7" t="s">
        <v>111</v>
      </c>
      <c r="C111" s="42" t="s">
        <v>476</v>
      </c>
      <c r="D111" s="7" t="str">
        <f>"MR-"&amp;_xlfn.XLOOKUP(B111, Code!$F:$F, Code!$E:$E, "NA")&amp;"-"&amp;TEXT(A111,"0000")</f>
        <v>MR-M-0039</v>
      </c>
      <c r="E111" s="7" t="s">
        <v>140</v>
      </c>
      <c r="F111" s="8"/>
      <c r="G111" s="8"/>
      <c r="H111" s="8"/>
      <c r="I111" s="7" t="s">
        <v>58</v>
      </c>
      <c r="J111" s="7"/>
      <c r="K111" s="24">
        <v>150</v>
      </c>
      <c r="L111" s="7" t="s">
        <v>20</v>
      </c>
      <c r="M111" s="7"/>
      <c r="N111" s="7" t="s">
        <v>267</v>
      </c>
      <c r="O111" s="7"/>
      <c r="P111" s="7"/>
      <c r="Q111" s="20">
        <f t="shared" si="10"/>
        <v>46326</v>
      </c>
      <c r="R111" s="20"/>
      <c r="S111" s="20"/>
      <c r="T111" s="34">
        <v>46386</v>
      </c>
      <c r="U111" s="20"/>
      <c r="V111" s="20"/>
      <c r="W111" s="20">
        <f t="shared" si="9"/>
        <v>46356</v>
      </c>
      <c r="X111" s="20"/>
      <c r="Y111" s="20"/>
      <c r="Z111" s="20">
        <f t="shared" si="8"/>
        <v>46506</v>
      </c>
      <c r="AA111" s="20"/>
      <c r="AB111" s="20"/>
      <c r="AC111" s="20">
        <f t="shared" si="11"/>
        <v>46536</v>
      </c>
      <c r="AD111" s="20"/>
      <c r="AE111" s="20"/>
    </row>
    <row r="112" spans="1:31" hidden="1" x14ac:dyDescent="0.35">
      <c r="A112" s="6">
        <v>40</v>
      </c>
      <c r="B112" s="7" t="s">
        <v>117</v>
      </c>
      <c r="C112" s="24" t="s">
        <v>477</v>
      </c>
      <c r="D112" s="7" t="str">
        <f>"MR-"&amp;_xlfn.XLOOKUP(B112, Code!$F:$F, Code!$E:$E, "NA")&amp;"-"&amp;TEXT(A112,"0000")</f>
        <v>MR-PI-0040</v>
      </c>
      <c r="E112" s="7" t="s">
        <v>140</v>
      </c>
      <c r="F112" s="8"/>
      <c r="G112" s="8"/>
      <c r="H112" s="8"/>
      <c r="I112" s="7" t="s">
        <v>58</v>
      </c>
      <c r="J112" s="7"/>
      <c r="K112" s="7">
        <v>60</v>
      </c>
      <c r="L112" s="7" t="s">
        <v>30</v>
      </c>
      <c r="M112" s="7"/>
      <c r="N112" s="7" t="s">
        <v>267</v>
      </c>
      <c r="O112" s="7"/>
      <c r="P112" s="7"/>
      <c r="Q112" s="20">
        <f t="shared" si="10"/>
        <v>46265</v>
      </c>
      <c r="R112" s="20"/>
      <c r="S112" s="20"/>
      <c r="T112" s="34">
        <v>46325</v>
      </c>
      <c r="U112" s="20"/>
      <c r="V112" s="20"/>
      <c r="W112" s="20">
        <f t="shared" si="9"/>
        <v>46295</v>
      </c>
      <c r="X112" s="20"/>
      <c r="Y112" s="20"/>
      <c r="Z112" s="20">
        <f t="shared" si="8"/>
        <v>46355</v>
      </c>
      <c r="AA112" s="20"/>
      <c r="AB112" s="20"/>
      <c r="AC112" s="20">
        <f t="shared" si="11"/>
        <v>46385</v>
      </c>
      <c r="AD112" s="20"/>
      <c r="AE112" s="20"/>
    </row>
    <row r="113" spans="1:31" hidden="1" x14ac:dyDescent="0.35">
      <c r="A113" s="6">
        <v>41</v>
      </c>
      <c r="B113" s="7" t="s">
        <v>117</v>
      </c>
      <c r="C113" s="24" t="s">
        <v>478</v>
      </c>
      <c r="D113" s="7" t="str">
        <f>"MR-"&amp;_xlfn.XLOOKUP(B113, Code!$F:$F, Code!$E:$E, "NA")&amp;"-"&amp;TEXT(A113,"0000")</f>
        <v>MR-PI-0041</v>
      </c>
      <c r="E113" s="7" t="s">
        <v>161</v>
      </c>
      <c r="F113" s="8"/>
      <c r="G113" s="8"/>
      <c r="H113" s="8"/>
      <c r="I113" s="7" t="s">
        <v>58</v>
      </c>
      <c r="J113" s="7"/>
      <c r="K113" s="24">
        <v>150</v>
      </c>
      <c r="L113" s="7" t="s">
        <v>30</v>
      </c>
      <c r="M113" s="7"/>
      <c r="N113" s="7" t="s">
        <v>267</v>
      </c>
      <c r="O113" s="7"/>
      <c r="P113" s="7"/>
      <c r="Q113" s="20">
        <f t="shared" si="10"/>
        <v>46303</v>
      </c>
      <c r="R113" s="20"/>
      <c r="S113" s="20"/>
      <c r="T113" s="34">
        <v>46363</v>
      </c>
      <c r="U113" s="20"/>
      <c r="V113" s="20"/>
      <c r="W113" s="20">
        <f t="shared" si="9"/>
        <v>46333</v>
      </c>
      <c r="X113" s="20"/>
      <c r="Y113" s="20"/>
      <c r="Z113" s="20">
        <f t="shared" si="8"/>
        <v>46483</v>
      </c>
      <c r="AA113" s="20"/>
      <c r="AB113" s="20"/>
      <c r="AC113" s="20">
        <f t="shared" si="11"/>
        <v>46513</v>
      </c>
      <c r="AD113" s="20"/>
      <c r="AE113" s="20"/>
    </row>
    <row r="114" spans="1:31" hidden="1" x14ac:dyDescent="0.35">
      <c r="A114" s="6">
        <v>42</v>
      </c>
      <c r="B114" s="7" t="s">
        <v>117</v>
      </c>
      <c r="C114" s="24" t="s">
        <v>479</v>
      </c>
      <c r="D114" s="7" t="str">
        <f>"MR-"&amp;_xlfn.XLOOKUP(B114, Code!$F:$F, Code!$E:$E, "NA")&amp;"-"&amp;TEXT(A114,"0000")</f>
        <v>MR-PI-0042</v>
      </c>
      <c r="E114" s="7" t="s">
        <v>161</v>
      </c>
      <c r="F114" s="9"/>
      <c r="G114" s="9"/>
      <c r="H114" s="8"/>
      <c r="I114" s="7" t="s">
        <v>58</v>
      </c>
      <c r="J114" s="7"/>
      <c r="K114" s="24">
        <v>150</v>
      </c>
      <c r="L114" s="7" t="s">
        <v>30</v>
      </c>
      <c r="M114" s="7"/>
      <c r="N114" s="7" t="s">
        <v>267</v>
      </c>
      <c r="O114" s="7"/>
      <c r="P114" s="7"/>
      <c r="Q114" s="20">
        <f t="shared" si="10"/>
        <v>46303</v>
      </c>
      <c r="R114" s="20"/>
      <c r="S114" s="20"/>
      <c r="T114" s="34">
        <v>46363</v>
      </c>
      <c r="U114" s="20"/>
      <c r="V114" s="20"/>
      <c r="W114" s="20">
        <f t="shared" si="9"/>
        <v>46333</v>
      </c>
      <c r="X114" s="20"/>
      <c r="Y114" s="20"/>
      <c r="Z114" s="20">
        <f t="shared" si="8"/>
        <v>46483</v>
      </c>
      <c r="AA114" s="20"/>
      <c r="AB114" s="20"/>
      <c r="AC114" s="20">
        <f t="shared" si="11"/>
        <v>46513</v>
      </c>
      <c r="AD114" s="20"/>
      <c r="AE114" s="20"/>
    </row>
    <row r="115" spans="1:31" hidden="1" x14ac:dyDescent="0.35">
      <c r="A115" s="6">
        <v>43</v>
      </c>
      <c r="B115" s="7" t="s">
        <v>117</v>
      </c>
      <c r="C115" s="24" t="s">
        <v>480</v>
      </c>
      <c r="D115" s="7" t="str">
        <f>"MR-"&amp;_xlfn.XLOOKUP(B115, Code!$F:$F, Code!$E:$E, "NA")&amp;"-"&amp;TEXT(A115,"0000")</f>
        <v>MR-PI-0043</v>
      </c>
      <c r="E115" s="7" t="s">
        <v>161</v>
      </c>
      <c r="F115" s="9"/>
      <c r="G115" s="9"/>
      <c r="H115" s="8"/>
      <c r="I115" s="7" t="s">
        <v>58</v>
      </c>
      <c r="J115" s="7"/>
      <c r="K115" s="24">
        <v>150</v>
      </c>
      <c r="L115" s="7" t="s">
        <v>30</v>
      </c>
      <c r="M115" s="7"/>
      <c r="N115" s="7" t="s">
        <v>267</v>
      </c>
      <c r="O115" s="7"/>
      <c r="P115" s="7"/>
      <c r="Q115" s="20">
        <f t="shared" si="10"/>
        <v>46303</v>
      </c>
      <c r="R115" s="20"/>
      <c r="S115" s="20"/>
      <c r="T115" s="34">
        <v>46363</v>
      </c>
      <c r="U115" s="20"/>
      <c r="V115" s="20"/>
      <c r="W115" s="20">
        <f t="shared" si="9"/>
        <v>46333</v>
      </c>
      <c r="X115" s="20"/>
      <c r="Y115" s="20"/>
      <c r="Z115" s="20">
        <f t="shared" si="8"/>
        <v>46483</v>
      </c>
      <c r="AA115" s="20"/>
      <c r="AB115" s="20"/>
      <c r="AC115" s="20">
        <f t="shared" si="11"/>
        <v>46513</v>
      </c>
      <c r="AD115" s="20"/>
      <c r="AE115" s="20"/>
    </row>
    <row r="116" spans="1:31" hidden="1" x14ac:dyDescent="0.35">
      <c r="A116" s="6">
        <v>44</v>
      </c>
      <c r="B116" s="7" t="s">
        <v>117</v>
      </c>
      <c r="C116" s="25" t="s">
        <v>481</v>
      </c>
      <c r="D116" s="7" t="str">
        <f>"MR-"&amp;_xlfn.XLOOKUP(B116, Code!$F:$F, Code!$E:$E, "NA")&amp;"-"&amp;TEXT(A116,"0000")</f>
        <v>MR-PI-0044</v>
      </c>
      <c r="E116" s="7" t="s">
        <v>161</v>
      </c>
      <c r="F116" s="9"/>
      <c r="G116" s="9"/>
      <c r="H116" s="8"/>
      <c r="I116" s="7" t="s">
        <v>58</v>
      </c>
      <c r="J116" s="7"/>
      <c r="K116" s="24">
        <v>150</v>
      </c>
      <c r="L116" s="7" t="s">
        <v>30</v>
      </c>
      <c r="M116" s="7"/>
      <c r="N116" s="7" t="s">
        <v>267</v>
      </c>
      <c r="O116" s="7"/>
      <c r="P116" s="7"/>
      <c r="Q116" s="20">
        <f t="shared" si="10"/>
        <v>46303</v>
      </c>
      <c r="R116" s="20"/>
      <c r="S116" s="20"/>
      <c r="T116" s="34">
        <v>46363</v>
      </c>
      <c r="U116" s="20"/>
      <c r="V116" s="20"/>
      <c r="W116" s="20">
        <f t="shared" si="9"/>
        <v>46333</v>
      </c>
      <c r="X116" s="20"/>
      <c r="Y116" s="20"/>
      <c r="Z116" s="20">
        <f t="shared" si="8"/>
        <v>46483</v>
      </c>
      <c r="AA116" s="20"/>
      <c r="AB116" s="20"/>
      <c r="AC116" s="20">
        <f t="shared" si="11"/>
        <v>46513</v>
      </c>
      <c r="AD116" s="20"/>
      <c r="AE116" s="20"/>
    </row>
    <row r="117" spans="1:31" hidden="1" x14ac:dyDescent="0.35">
      <c r="A117" s="6">
        <v>45</v>
      </c>
      <c r="B117" s="7" t="s">
        <v>117</v>
      </c>
      <c r="C117" s="24" t="s">
        <v>482</v>
      </c>
      <c r="D117" s="7" t="str">
        <f>"MR-"&amp;_xlfn.XLOOKUP(B117, Code!$F:$F, Code!$E:$E, "NA")&amp;"-"&amp;TEXT(A117,"0000")</f>
        <v>MR-PI-0045</v>
      </c>
      <c r="E117" s="7" t="s">
        <v>161</v>
      </c>
      <c r="F117" s="9"/>
      <c r="G117" s="9"/>
      <c r="H117" s="8"/>
      <c r="I117" s="7" t="s">
        <v>58</v>
      </c>
      <c r="J117" s="7"/>
      <c r="K117" s="24">
        <v>150</v>
      </c>
      <c r="L117" s="7" t="s">
        <v>30</v>
      </c>
      <c r="M117" s="7"/>
      <c r="N117" s="7" t="s">
        <v>267</v>
      </c>
      <c r="O117" s="7"/>
      <c r="P117" s="7"/>
      <c r="Q117" s="20">
        <f t="shared" si="10"/>
        <v>46303</v>
      </c>
      <c r="R117" s="20"/>
      <c r="S117" s="20"/>
      <c r="T117" s="34">
        <v>46363</v>
      </c>
      <c r="U117" s="20"/>
      <c r="V117" s="20"/>
      <c r="W117" s="20">
        <f t="shared" si="9"/>
        <v>46333</v>
      </c>
      <c r="X117" s="20"/>
      <c r="Y117" s="20"/>
      <c r="Z117" s="20">
        <f t="shared" si="8"/>
        <v>46483</v>
      </c>
      <c r="AA117" s="20"/>
      <c r="AB117" s="20"/>
      <c r="AC117" s="20">
        <f t="shared" si="11"/>
        <v>46513</v>
      </c>
      <c r="AD117" s="20"/>
      <c r="AE117" s="20"/>
    </row>
    <row r="118" spans="1:31" hidden="1" x14ac:dyDescent="0.35">
      <c r="A118" s="6">
        <v>51</v>
      </c>
      <c r="B118" s="7" t="s">
        <v>117</v>
      </c>
      <c r="C118" s="24" t="s">
        <v>483</v>
      </c>
      <c r="D118" s="7" t="str">
        <f>"MR-"&amp;_xlfn.XLOOKUP(B118, Code!$F:$F, Code!$E:$E, "NA")&amp;"-"&amp;TEXT(A118,"0000")</f>
        <v>MR-PI-0051</v>
      </c>
      <c r="E118" s="7" t="s">
        <v>161</v>
      </c>
      <c r="F118" s="9"/>
      <c r="G118" s="9"/>
      <c r="H118" s="8"/>
      <c r="I118" s="7" t="s">
        <v>58</v>
      </c>
      <c r="J118" s="7"/>
      <c r="K118" s="24">
        <v>150</v>
      </c>
      <c r="L118" s="7" t="s">
        <v>30</v>
      </c>
      <c r="M118" s="7"/>
      <c r="N118" s="7" t="s">
        <v>412</v>
      </c>
      <c r="O118" s="7"/>
      <c r="P118" s="7"/>
      <c r="Q118" s="20">
        <f t="shared" si="10"/>
        <v>46303</v>
      </c>
      <c r="R118" s="20"/>
      <c r="S118" s="20"/>
      <c r="T118" s="34">
        <v>46363</v>
      </c>
      <c r="U118" s="20"/>
      <c r="V118" s="20"/>
      <c r="W118" s="20">
        <f t="shared" si="9"/>
        <v>46333</v>
      </c>
      <c r="X118" s="20"/>
      <c r="Y118" s="20"/>
      <c r="Z118" s="20">
        <f t="shared" si="8"/>
        <v>46483</v>
      </c>
      <c r="AA118" s="20"/>
      <c r="AB118" s="20"/>
      <c r="AC118" s="20">
        <f t="shared" si="11"/>
        <v>46513</v>
      </c>
      <c r="AD118" s="20"/>
      <c r="AE118" s="20"/>
    </row>
    <row r="119" spans="1:31" ht="31.5" hidden="1" x14ac:dyDescent="0.35">
      <c r="A119" s="6">
        <v>65</v>
      </c>
      <c r="B119" s="7" t="s">
        <v>57</v>
      </c>
      <c r="C119" s="24" t="s">
        <v>484</v>
      </c>
      <c r="D119" s="7" t="str">
        <f>"MR-"&amp;_xlfn.XLOOKUP(B119, Code!$F:$F, Code!$E:$E, "NA")&amp;"-"&amp;TEXT(A119,"0000")</f>
        <v>MR-E-0065</v>
      </c>
      <c r="E119" s="7" t="s">
        <v>88</v>
      </c>
      <c r="F119" s="9"/>
      <c r="G119" s="9"/>
      <c r="H119" s="8" t="s">
        <v>507</v>
      </c>
      <c r="I119" s="7" t="s">
        <v>58</v>
      </c>
      <c r="J119" s="7">
        <v>12</v>
      </c>
      <c r="K119" s="24">
        <v>330</v>
      </c>
      <c r="L119" s="24" t="s">
        <v>60</v>
      </c>
      <c r="M119" s="7" t="s">
        <v>485</v>
      </c>
      <c r="N119" s="7" t="s">
        <v>256</v>
      </c>
      <c r="O119" s="7"/>
      <c r="P119" s="7"/>
      <c r="Q119" s="34">
        <v>46056</v>
      </c>
      <c r="R119" s="20"/>
      <c r="S119" s="20"/>
      <c r="T119" s="34">
        <v>46116</v>
      </c>
      <c r="U119" s="20"/>
      <c r="V119" s="34">
        <v>46283</v>
      </c>
      <c r="W119" s="34">
        <v>46325</v>
      </c>
      <c r="X119" s="20"/>
      <c r="Y119" s="34">
        <v>46249</v>
      </c>
      <c r="Z119" s="20">
        <f t="shared" si="8"/>
        <v>46416</v>
      </c>
      <c r="AA119" s="20"/>
      <c r="AB119" s="20"/>
      <c r="AC119" s="34">
        <v>46446</v>
      </c>
      <c r="AD119" s="20"/>
      <c r="AE119" s="20"/>
    </row>
    <row r="120" spans="1:31" ht="42" hidden="1" x14ac:dyDescent="0.35">
      <c r="A120" s="6">
        <v>66</v>
      </c>
      <c r="B120" s="7" t="s">
        <v>57</v>
      </c>
      <c r="C120" s="31" t="s">
        <v>486</v>
      </c>
      <c r="D120" s="7" t="str">
        <f>"MR-"&amp;_xlfn.XLOOKUP(B120, Code!$F:$F, Code!$E:$E, "NA")&amp;"-"&amp;TEXT(A120,"0000")</f>
        <v>MR-E-0066</v>
      </c>
      <c r="E120" s="7" t="s">
        <v>88</v>
      </c>
      <c r="F120" s="9" t="s">
        <v>265</v>
      </c>
      <c r="G120" s="9" t="s">
        <v>487</v>
      </c>
      <c r="H120" s="8" t="s">
        <v>508</v>
      </c>
      <c r="I120" s="7" t="s">
        <v>58</v>
      </c>
      <c r="J120" s="7">
        <v>4</v>
      </c>
      <c r="K120" s="24">
        <v>280</v>
      </c>
      <c r="L120" s="24" t="s">
        <v>60</v>
      </c>
      <c r="M120" s="7" t="s">
        <v>488</v>
      </c>
      <c r="N120" s="7" t="s">
        <v>256</v>
      </c>
      <c r="O120" s="7"/>
      <c r="P120" s="7"/>
      <c r="Q120" s="34">
        <v>46093</v>
      </c>
      <c r="R120" s="20"/>
      <c r="S120" s="20"/>
      <c r="T120" s="34">
        <v>46153</v>
      </c>
      <c r="U120" s="20"/>
      <c r="V120" s="34">
        <v>46265</v>
      </c>
      <c r="W120" s="34">
        <v>46369</v>
      </c>
      <c r="X120" s="20"/>
      <c r="Y120" s="34">
        <v>46249</v>
      </c>
      <c r="Z120" s="20">
        <f t="shared" si="8"/>
        <v>46403</v>
      </c>
      <c r="AA120" s="20"/>
      <c r="AB120" s="20"/>
      <c r="AC120" s="34">
        <v>46433</v>
      </c>
      <c r="AD120" s="20"/>
      <c r="AE120" s="20"/>
    </row>
    <row r="121" spans="1:31" ht="157.5" hidden="1" x14ac:dyDescent="0.35">
      <c r="A121" s="6">
        <v>67</v>
      </c>
      <c r="B121" s="7" t="s">
        <v>57</v>
      </c>
      <c r="C121" s="26" t="s">
        <v>489</v>
      </c>
      <c r="D121" s="7" t="str">
        <f>"MR-"&amp;_xlfn.XLOOKUP(B121, Code!$F:$F, Code!$E:$E, "NA")&amp;"-"&amp;TEXT(A121,"0000")</f>
        <v>MR-E-0067</v>
      </c>
      <c r="E121" s="7" t="s">
        <v>79</v>
      </c>
      <c r="F121" s="9"/>
      <c r="G121" s="9"/>
      <c r="H121" s="8" t="s">
        <v>490</v>
      </c>
      <c r="I121" s="7" t="s">
        <v>58</v>
      </c>
      <c r="J121" s="7"/>
      <c r="K121" s="24">
        <v>168</v>
      </c>
      <c r="L121" s="24" t="s">
        <v>60</v>
      </c>
      <c r="M121" s="7" t="s">
        <v>292</v>
      </c>
      <c r="N121" s="7" t="s">
        <v>256</v>
      </c>
      <c r="O121" s="7"/>
      <c r="P121" s="7"/>
      <c r="Q121" s="34">
        <v>46230</v>
      </c>
      <c r="R121" s="20"/>
      <c r="S121" s="20"/>
      <c r="T121" s="34">
        <v>46290</v>
      </c>
      <c r="U121" s="20"/>
      <c r="V121" s="34">
        <v>46220</v>
      </c>
      <c r="W121" s="34">
        <v>46264</v>
      </c>
      <c r="X121" s="20"/>
      <c r="Y121" s="34">
        <v>46249</v>
      </c>
      <c r="Z121" s="20">
        <f t="shared" si="8"/>
        <v>46428</v>
      </c>
      <c r="AA121" s="20"/>
      <c r="AB121" s="20"/>
      <c r="AC121" s="34">
        <v>46458</v>
      </c>
      <c r="AD121" s="20"/>
      <c r="AE121" s="20"/>
    </row>
    <row r="122" spans="1:31" hidden="1" x14ac:dyDescent="0.35">
      <c r="A122" s="44">
        <v>129</v>
      </c>
      <c r="B122" s="7" t="s">
        <v>57</v>
      </c>
      <c r="C122" s="26" t="s">
        <v>491</v>
      </c>
      <c r="D122" s="7" t="str">
        <f>"MR-"&amp;_xlfn.XLOOKUP(B122, Code!$F:$F, Code!$E:$E, "NA")&amp;"-"&amp;TEXT(A122,"0000")</f>
        <v>MR-E-0129</v>
      </c>
      <c r="E122" s="7" t="s">
        <v>79</v>
      </c>
      <c r="F122" s="9"/>
      <c r="G122" s="9"/>
      <c r="H122" s="8" t="s">
        <v>492</v>
      </c>
      <c r="I122" s="7" t="s">
        <v>58</v>
      </c>
      <c r="J122" s="7">
        <v>22</v>
      </c>
      <c r="K122" s="7">
        <v>210</v>
      </c>
      <c r="L122" s="24" t="s">
        <v>60</v>
      </c>
      <c r="M122" s="7" t="s">
        <v>292</v>
      </c>
      <c r="N122" s="7" t="s">
        <v>256</v>
      </c>
      <c r="O122" s="7"/>
      <c r="P122" s="7"/>
      <c r="Q122" s="34">
        <v>46252</v>
      </c>
      <c r="R122" s="20"/>
      <c r="S122" s="20"/>
      <c r="T122" s="41">
        <v>46312</v>
      </c>
      <c r="U122" s="20"/>
      <c r="V122" s="34">
        <v>46233</v>
      </c>
      <c r="W122" s="20">
        <f>T122+60</f>
        <v>46372</v>
      </c>
      <c r="X122" s="20"/>
      <c r="Y122" s="20"/>
      <c r="Z122" s="20">
        <f t="shared" si="8"/>
        <v>46492</v>
      </c>
      <c r="AA122" s="20"/>
      <c r="AB122" s="20"/>
      <c r="AC122" s="34">
        <v>46522</v>
      </c>
      <c r="AD122" s="20"/>
      <c r="AE122" s="20"/>
    </row>
    <row r="123" spans="1:31" ht="94.5" hidden="1" x14ac:dyDescent="0.35">
      <c r="A123" s="6">
        <v>68</v>
      </c>
      <c r="B123" s="7" t="s">
        <v>57</v>
      </c>
      <c r="C123" s="26" t="s">
        <v>493</v>
      </c>
      <c r="D123" s="7" t="str">
        <f>"MR-"&amp;_xlfn.XLOOKUP(B123, Code!$F:$F, Code!$E:$E, "NA")&amp;"-"&amp;TEXT(A123,"0000")</f>
        <v>MR-E-0068</v>
      </c>
      <c r="E123" s="7" t="s">
        <v>79</v>
      </c>
      <c r="F123" s="9"/>
      <c r="G123" s="9"/>
      <c r="H123" s="8" t="s">
        <v>494</v>
      </c>
      <c r="I123" s="7" t="s">
        <v>58</v>
      </c>
      <c r="J123" s="7">
        <v>229</v>
      </c>
      <c r="K123" s="7">
        <v>70</v>
      </c>
      <c r="L123" s="7" t="s">
        <v>30</v>
      </c>
      <c r="M123" s="7" t="s">
        <v>292</v>
      </c>
      <c r="N123" s="7" t="s">
        <v>256</v>
      </c>
      <c r="O123" s="7"/>
      <c r="P123" s="7"/>
      <c r="Q123" s="34">
        <v>46423</v>
      </c>
      <c r="R123" s="20"/>
      <c r="S123" s="20"/>
      <c r="T123" s="34">
        <v>46483</v>
      </c>
      <c r="U123" s="34">
        <v>46706</v>
      </c>
      <c r="V123" s="20"/>
      <c r="W123" s="34">
        <v>46264</v>
      </c>
      <c r="X123" s="20"/>
      <c r="Y123" s="34">
        <v>46249</v>
      </c>
      <c r="Z123" s="20">
        <f t="shared" si="8"/>
        <v>46523</v>
      </c>
      <c r="AA123" s="20"/>
      <c r="AB123" s="20"/>
      <c r="AC123" s="34">
        <v>46553</v>
      </c>
      <c r="AD123" s="20"/>
      <c r="AE123" s="20"/>
    </row>
    <row r="124" spans="1:31" hidden="1" x14ac:dyDescent="0.35">
      <c r="A124" s="6">
        <v>70</v>
      </c>
      <c r="B124" s="7" t="s">
        <v>57</v>
      </c>
      <c r="C124" s="26" t="s">
        <v>495</v>
      </c>
      <c r="D124" s="7" t="str">
        <f>"MR-"&amp;_xlfn.XLOOKUP(B124, Code!$F:$F, Code!$E:$E, "NA")&amp;"-"&amp;TEXT(A124,"0000")</f>
        <v>MR-E-0070</v>
      </c>
      <c r="E124" s="7" t="s">
        <v>88</v>
      </c>
      <c r="F124" s="9"/>
      <c r="G124" s="9"/>
      <c r="H124" s="8"/>
      <c r="I124" s="7"/>
      <c r="J124" s="7">
        <v>1</v>
      </c>
      <c r="K124" s="7">
        <v>180</v>
      </c>
      <c r="L124" s="24" t="s">
        <v>50</v>
      </c>
      <c r="M124" s="7" t="s">
        <v>496</v>
      </c>
      <c r="N124" s="7" t="s">
        <v>256</v>
      </c>
      <c r="O124" s="7"/>
      <c r="P124" s="7"/>
      <c r="Q124" s="34">
        <v>46255</v>
      </c>
      <c r="R124" s="20"/>
      <c r="S124" s="20"/>
      <c r="T124" s="34">
        <v>46310</v>
      </c>
      <c r="U124" s="20"/>
      <c r="V124" s="34">
        <v>46310</v>
      </c>
      <c r="W124" s="34"/>
      <c r="X124" s="20"/>
      <c r="Y124" s="34"/>
      <c r="Z124" s="20">
        <f t="shared" si="8"/>
        <v>46460</v>
      </c>
      <c r="AA124" s="20"/>
      <c r="AB124" s="20"/>
      <c r="AC124" s="20">
        <f t="shared" si="11"/>
        <v>46490</v>
      </c>
      <c r="AD124" s="20"/>
      <c r="AE124" s="20"/>
    </row>
    <row r="125" spans="1:31" x14ac:dyDescent="0.35">
      <c r="A125" s="6">
        <v>71</v>
      </c>
      <c r="B125" s="7" t="s">
        <v>57</v>
      </c>
      <c r="C125" s="26" t="s">
        <v>497</v>
      </c>
      <c r="D125" s="7" t="str">
        <f>"MR-"&amp;_xlfn.XLOOKUP(B125, Code!$F:$F, Code!$E:$E, "NA")&amp;"-"&amp;TEXT(A125,"0000")</f>
        <v>MR-E-0071</v>
      </c>
      <c r="E125" s="7" t="s">
        <v>97</v>
      </c>
      <c r="F125" s="9"/>
      <c r="G125" s="9"/>
      <c r="H125" s="8"/>
      <c r="I125" s="7"/>
      <c r="J125" s="7">
        <v>7</v>
      </c>
      <c r="K125" s="7">
        <v>252</v>
      </c>
      <c r="L125" s="7" t="s">
        <v>60</v>
      </c>
      <c r="M125" s="7" t="s">
        <v>292</v>
      </c>
      <c r="N125" s="7" t="s">
        <v>256</v>
      </c>
      <c r="O125" s="7"/>
      <c r="P125" s="7"/>
      <c r="Q125" s="34">
        <v>46149</v>
      </c>
      <c r="R125" s="20"/>
      <c r="S125" s="20"/>
      <c r="T125" s="34">
        <v>46209</v>
      </c>
      <c r="U125" s="34">
        <v>46341</v>
      </c>
      <c r="V125" s="20"/>
      <c r="W125" s="34"/>
      <c r="X125" s="20"/>
      <c r="Y125" s="34"/>
      <c r="Z125" s="20">
        <f t="shared" si="8"/>
        <v>46431</v>
      </c>
      <c r="AA125" s="20"/>
      <c r="AB125" s="20"/>
      <c r="AC125" s="34">
        <v>46461</v>
      </c>
      <c r="AD125" s="20"/>
      <c r="AE125" s="20"/>
    </row>
    <row r="126" spans="1:31" ht="21" hidden="1" x14ac:dyDescent="0.35">
      <c r="A126" s="6">
        <v>72</v>
      </c>
      <c r="B126" s="7" t="s">
        <v>57</v>
      </c>
      <c r="C126" s="26" t="s">
        <v>498</v>
      </c>
      <c r="D126" s="7" t="str">
        <f>"MR-"&amp;_xlfn.XLOOKUP(B126, Code!$F:$F, Code!$E:$E, "NA")&amp;"-"&amp;TEXT(A126,"0000")</f>
        <v>MR-E-0072</v>
      </c>
      <c r="E126" s="7" t="s">
        <v>79</v>
      </c>
      <c r="F126" s="9"/>
      <c r="G126" s="9"/>
      <c r="H126" s="8" t="s">
        <v>499</v>
      </c>
      <c r="I126" s="7"/>
      <c r="J126" s="7">
        <v>12</v>
      </c>
      <c r="K126" s="7">
        <v>210</v>
      </c>
      <c r="L126" s="7" t="s">
        <v>30</v>
      </c>
      <c r="M126" s="7"/>
      <c r="N126" s="7" t="s">
        <v>256</v>
      </c>
      <c r="O126" s="7"/>
      <c r="P126" s="7"/>
      <c r="Q126" s="34">
        <v>46252</v>
      </c>
      <c r="R126" s="20"/>
      <c r="S126" s="20"/>
      <c r="T126" s="34">
        <v>46312</v>
      </c>
      <c r="U126" s="34">
        <v>46341</v>
      </c>
      <c r="V126" s="20"/>
      <c r="W126" s="34"/>
      <c r="X126" s="20"/>
      <c r="Y126" s="34"/>
      <c r="Z126" s="20">
        <f t="shared" si="8"/>
        <v>46492</v>
      </c>
      <c r="AA126" s="20"/>
      <c r="AB126" s="20"/>
      <c r="AC126" s="34">
        <v>46522</v>
      </c>
      <c r="AD126" s="20"/>
      <c r="AE126" s="20"/>
    </row>
    <row r="127" spans="1:31" ht="72.5" hidden="1" x14ac:dyDescent="0.35">
      <c r="A127" s="6">
        <v>75</v>
      </c>
      <c r="B127" s="7" t="s">
        <v>84</v>
      </c>
      <c r="C127" s="25" t="s">
        <v>500</v>
      </c>
      <c r="D127" s="7" t="str">
        <f>"MR-"&amp;_xlfn.XLOOKUP(B127, Code!$F:$F, Code!$E:$E, "NA")&amp;"-"&amp;TEXT(A127,"0000")</f>
        <v>MR-I-0075</v>
      </c>
      <c r="E127" s="7" t="s">
        <v>79</v>
      </c>
      <c r="F127" s="9" t="s">
        <v>501</v>
      </c>
      <c r="G127" s="9" t="s">
        <v>305</v>
      </c>
      <c r="H127" s="32" t="s">
        <v>502</v>
      </c>
      <c r="I127" s="7" t="s">
        <v>58</v>
      </c>
      <c r="J127" s="7">
        <f>13</f>
        <v>13</v>
      </c>
      <c r="K127" s="7">
        <v>210</v>
      </c>
      <c r="L127" s="7" t="s">
        <v>20</v>
      </c>
      <c r="M127" s="7"/>
      <c r="N127" s="7" t="s">
        <v>258</v>
      </c>
      <c r="O127" s="7"/>
      <c r="P127" s="7"/>
      <c r="Q127" s="34">
        <v>46269</v>
      </c>
      <c r="R127" s="20"/>
      <c r="S127" s="20"/>
      <c r="T127" s="34">
        <v>46329</v>
      </c>
      <c r="U127" s="20"/>
      <c r="V127" s="20"/>
      <c r="W127" s="34">
        <v>46359</v>
      </c>
      <c r="X127" s="20"/>
      <c r="Y127" s="20"/>
      <c r="Z127" s="20">
        <f t="shared" si="8"/>
        <v>46509</v>
      </c>
      <c r="AA127" s="20"/>
      <c r="AB127" s="20"/>
      <c r="AC127" s="34">
        <v>46539</v>
      </c>
      <c r="AD127" s="20"/>
      <c r="AE127" s="20"/>
    </row>
    <row r="128" spans="1:31" ht="31.5" hidden="1" x14ac:dyDescent="0.35">
      <c r="A128" s="6">
        <v>76</v>
      </c>
      <c r="B128" s="7" t="s">
        <v>84</v>
      </c>
      <c r="C128" s="24" t="s">
        <v>503</v>
      </c>
      <c r="D128" s="7" t="str">
        <f>"MR-"&amp;_xlfn.XLOOKUP(B128, Code!$F:$F, Code!$E:$E, "NA")&amp;"-"&amp;TEXT(A128,"0000")</f>
        <v>MR-I-0076</v>
      </c>
      <c r="E128" s="7" t="s">
        <v>79</v>
      </c>
      <c r="F128" s="9"/>
      <c r="G128" s="9" t="s">
        <v>305</v>
      </c>
      <c r="H128" s="32" t="s">
        <v>504</v>
      </c>
      <c r="I128" s="7" t="s">
        <v>58</v>
      </c>
      <c r="J128" s="7">
        <f>64+32</f>
        <v>96</v>
      </c>
      <c r="K128" s="7">
        <v>140</v>
      </c>
      <c r="L128" s="7" t="s">
        <v>20</v>
      </c>
      <c r="M128" s="7"/>
      <c r="N128" s="7" t="s">
        <v>258</v>
      </c>
      <c r="O128" s="7"/>
      <c r="P128" s="7"/>
      <c r="Q128" s="34">
        <v>46383</v>
      </c>
      <c r="R128" s="20"/>
      <c r="S128" s="20"/>
      <c r="T128" s="34">
        <v>46446</v>
      </c>
      <c r="U128" s="20"/>
      <c r="V128" s="20"/>
      <c r="W128" s="34">
        <v>46295</v>
      </c>
      <c r="X128" s="20"/>
      <c r="Y128" s="20"/>
      <c r="Z128" s="20">
        <f t="shared" si="8"/>
        <v>46553</v>
      </c>
      <c r="AA128" s="20"/>
      <c r="AB128" s="20"/>
      <c r="AC128" s="34">
        <v>46583</v>
      </c>
      <c r="AD128" s="20"/>
      <c r="AE128" s="20"/>
    </row>
    <row r="129" spans="1:31" hidden="1" x14ac:dyDescent="0.35">
      <c r="A129" s="6">
        <v>77</v>
      </c>
      <c r="B129" s="7" t="s">
        <v>84</v>
      </c>
      <c r="C129" s="24" t="s">
        <v>505</v>
      </c>
      <c r="D129" s="7" t="str">
        <f>"MR-"&amp;_xlfn.XLOOKUP(B129, Code!$F:$F, Code!$E:$E, "NA")&amp;"-"&amp;TEXT(A129,"0000")</f>
        <v>MR-I-0077</v>
      </c>
      <c r="E129" s="7" t="s">
        <v>79</v>
      </c>
      <c r="F129" s="9"/>
      <c r="G129" s="9" t="s">
        <v>305</v>
      </c>
      <c r="H129" s="8"/>
      <c r="I129" s="7" t="s">
        <v>58</v>
      </c>
      <c r="J129" s="7">
        <f>64+32</f>
        <v>96</v>
      </c>
      <c r="K129" s="7">
        <v>168</v>
      </c>
      <c r="L129" s="7" t="s">
        <v>20</v>
      </c>
      <c r="M129" s="7"/>
      <c r="N129" s="7" t="s">
        <v>258</v>
      </c>
      <c r="O129" s="7"/>
      <c r="P129" s="7"/>
      <c r="Q129" s="34">
        <v>46417</v>
      </c>
      <c r="R129" s="20"/>
      <c r="S129" s="20"/>
      <c r="T129" s="34">
        <v>46477</v>
      </c>
      <c r="U129" s="20"/>
      <c r="V129" s="20"/>
      <c r="W129" s="34">
        <v>46295</v>
      </c>
      <c r="X129" s="20"/>
      <c r="Y129" s="20"/>
      <c r="Z129" s="20">
        <f t="shared" si="8"/>
        <v>46615</v>
      </c>
      <c r="AA129" s="20"/>
      <c r="AB129" s="20"/>
      <c r="AC129" s="34">
        <v>46645</v>
      </c>
      <c r="AD129" s="20"/>
      <c r="AE129" s="20"/>
    </row>
    <row r="130" spans="1:31" ht="29" hidden="1" x14ac:dyDescent="0.35">
      <c r="A130" s="6">
        <v>115</v>
      </c>
      <c r="B130" s="7" t="s">
        <v>84</v>
      </c>
      <c r="C130" s="24" t="s">
        <v>506</v>
      </c>
      <c r="D130" s="7" t="str">
        <f>"MR-"&amp;_xlfn.XLOOKUP(B130, Code!$F:$F, Code!$E:$E, "NA")&amp;"-"&amp;TEXT(A130,"0000")</f>
        <v>MR-I-0115</v>
      </c>
      <c r="E130" s="7" t="s">
        <v>119</v>
      </c>
      <c r="F130" s="9" t="s">
        <v>330</v>
      </c>
      <c r="G130" s="9" t="s">
        <v>319</v>
      </c>
      <c r="H130" s="8"/>
      <c r="I130" s="7" t="s">
        <v>58</v>
      </c>
      <c r="J130" s="7">
        <f>44</f>
        <v>44</v>
      </c>
      <c r="K130" s="7">
        <v>70</v>
      </c>
      <c r="L130" s="7" t="s">
        <v>40</v>
      </c>
      <c r="M130" s="7" t="s">
        <v>331</v>
      </c>
      <c r="N130" s="7" t="s">
        <v>258</v>
      </c>
      <c r="O130" s="7"/>
      <c r="P130" s="7"/>
      <c r="Q130" s="34">
        <v>46316</v>
      </c>
      <c r="R130" s="20"/>
      <c r="S130" s="20"/>
      <c r="T130" s="34">
        <v>46376</v>
      </c>
      <c r="U130" s="20"/>
      <c r="V130" s="20"/>
      <c r="W130" s="34">
        <v>46233</v>
      </c>
      <c r="X130" s="20"/>
      <c r="Y130" s="34">
        <v>46247</v>
      </c>
      <c r="Z130" s="20">
        <f t="shared" si="8"/>
        <v>46416</v>
      </c>
      <c r="AA130" s="20"/>
      <c r="AB130" s="20"/>
      <c r="AC130" s="34">
        <v>46446</v>
      </c>
      <c r="AD130" s="20"/>
      <c r="AE130" s="20"/>
    </row>
  </sheetData>
  <autoFilter ref="A1:AC130" xr:uid="{00000000-0001-0000-0000-000000000000}">
    <filterColumn colId="19">
      <filters calendarType="gregorian">
        <dateGroupItem year="2026" month="4" dateTimeGrouping="month"/>
        <dateGroupItem year="2026" month="5" dateTimeGrouping="month"/>
        <dateGroupItem year="2026" month="7" dateTimeGrouping="month"/>
        <dateGroupItem year="2026" month="8" dateTimeGrouping="month"/>
        <dateGroupItem year="2026" month="9" dateTimeGrouping="month"/>
      </filters>
    </filterColumn>
    <filterColumn colId="21">
      <filters blank="1"/>
    </filterColumn>
  </autoFilter>
  <phoneticPr fontId="2" type="noConversion"/>
  <conditionalFormatting sqref="A1:A1048576">
    <cfRule type="duplicateValues" dxfId="3" priority="1"/>
  </conditionalFormatting>
  <conditionalFormatting sqref="A1:XFD12 D13:H70 B71:M71 A72:M72 D73:D130 A131:XFD1081 A13:A71 A73:A130 B13:C33 I13:XFD61 B34 B35:C70 I62:P67 Q62:XFD68 O68:P68 I68:M70 N68:N77 O69:XFD69 O70:P77 Q70:XFD130 L73:M77 E73:H89 B73:C105 I73:K130 L78:P93 E90 G90:H90 E91:H130 L94:L95 N94:P95 L96:P97 L98 N98:P98 L99:P101 L102:L103 N102:P103 M103 L104:P130 C106:C110 B106:B113 C112 B113:C130">
    <cfRule type="expression" dxfId="2" priority="5">
      <formula>_xlfn.ISFORMULA(A1)</formula>
    </cfRule>
  </conditionalFormatting>
  <conditionalFormatting sqref="D1:D1048576">
    <cfRule type="duplicateValues" dxfId="1" priority="2"/>
  </conditionalFormatting>
  <conditionalFormatting sqref="F90">
    <cfRule type="notContainsBlanks" dxfId="0" priority="3">
      <formula>LEN(TRIM(F90))&gt;0</formula>
    </cfRule>
  </conditionalFormatting>
  <pageMargins left="0.70866141732283472" right="0.70866141732283472" top="0.74803149606299213" bottom="0.74803149606299213" header="0.31496062992125984" footer="0.31496062992125984"/>
  <pageSetup paperSize="8" scale="32" orientation="landscape" r:id="rId1"/>
  <legacyDrawing r:id="rId2"/>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BA6E411D-4609-4123-8B64-81D1376BD66D}">
          <x14:formula1>
            <xm:f>Code!$F$2:$F$21</xm:f>
          </x14:formula1>
          <xm:sqref>B2:B1048576</xm:sqref>
        </x14:dataValidation>
        <x14:dataValidation type="list" allowBlank="1" showInputMessage="1" showErrorMessage="1" xr:uid="{0900E434-B88D-4059-BC4C-4CB86D35278D}">
          <x14:formula1>
            <xm:f>Code!$O$2:$O$21</xm:f>
          </x14:formula1>
          <xm:sqref>E2:E1048576</xm:sqref>
        </x14:dataValidation>
        <x14:dataValidation type="list" allowBlank="1" showInputMessage="1" showErrorMessage="1" xr:uid="{BD7CDB47-AAFB-457B-A706-167B8297C804}">
          <x14:formula1>
            <xm:f>Code!$I$2:$I$7</xm:f>
          </x14:formula1>
          <xm:sqref>I2:I130</xm:sqref>
        </x14:dataValidation>
        <x14:dataValidation type="list" allowBlank="1" showInputMessage="1" showErrorMessage="1" xr:uid="{681CF22D-651B-4547-8E70-1115FAD8A816}">
          <x14:formula1>
            <xm:f>Code!$L$2:$L$11</xm:f>
          </x14:formula1>
          <xm:sqref>L2:L1048576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abe0c67-3730-4fa0-82e4-66182d905f97" xsi:nil="true"/>
    <lcf76f155ced4ddcb4097134ff3c332f xmlns="d9e77098-5d25-4da0-8ec0-b428d9dfa13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E075E1F5F4354EAA6D40AAFDD7C5B7" ma:contentTypeVersion="11" ma:contentTypeDescription="Create a new document." ma:contentTypeScope="" ma:versionID="413e7fbc6bfff51495b9935fab9c9eb7">
  <xsd:schema xmlns:xsd="http://www.w3.org/2001/XMLSchema" xmlns:xs="http://www.w3.org/2001/XMLSchema" xmlns:p="http://schemas.microsoft.com/office/2006/metadata/properties" xmlns:ns2="d9e77098-5d25-4da0-8ec0-b428d9dfa13b" xmlns:ns3="dabe0c67-3730-4fa0-82e4-66182d905f97" targetNamespace="http://schemas.microsoft.com/office/2006/metadata/properties" ma:root="true" ma:fieldsID="72eddbe93d13f361e6527edddba36bff" ns2:_="" ns3:_="">
    <xsd:import namespace="d9e77098-5d25-4da0-8ec0-b428d9dfa13b"/>
    <xsd:import namespace="dabe0c67-3730-4fa0-82e4-66182d905f9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e77098-5d25-4da0-8ec0-b428d9dfa1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a420194-0c98-419b-8655-40353cf4b98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be0c67-3730-4fa0-82e4-66182d905f9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9e00196-d256-4905-95b7-e5466cd208c7}" ma:internalName="TaxCatchAll" ma:showField="CatchAllData" ma:web="dabe0c67-3730-4fa0-82e4-66182d905f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90216B-A475-477D-86DC-BF66904CF24E}">
  <ds:schemaRefs>
    <ds:schemaRef ds:uri="http://schemas.microsoft.com/sharepoint/v3/contenttype/forms"/>
  </ds:schemaRefs>
</ds:datastoreItem>
</file>

<file path=customXml/itemProps2.xml><?xml version="1.0" encoding="utf-8"?>
<ds:datastoreItem xmlns:ds="http://schemas.openxmlformats.org/officeDocument/2006/customXml" ds:itemID="{F411414E-73A1-470F-97D1-92ED4FC2379F}">
  <ds:schemaRefs>
    <ds:schemaRef ds:uri="http://schemas.microsoft.com/office/2006/metadata/properties"/>
    <ds:schemaRef ds:uri="http://schemas.microsoft.com/office/infopath/2007/PartnerControls"/>
    <ds:schemaRef ds:uri="dabe0c67-3730-4fa0-82e4-66182d905f97"/>
    <ds:schemaRef ds:uri="d9e77098-5d25-4da0-8ec0-b428d9dfa13b"/>
  </ds:schemaRefs>
</ds:datastoreItem>
</file>

<file path=customXml/itemProps3.xml><?xml version="1.0" encoding="utf-8"?>
<ds:datastoreItem xmlns:ds="http://schemas.openxmlformats.org/officeDocument/2006/customXml" ds:itemID="{C3883E14-9046-4FD9-AAD8-C435C3D9CC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e77098-5d25-4da0-8ec0-b428d9dfa13b"/>
    <ds:schemaRef ds:uri="dabe0c67-3730-4fa0-82e4-66182d905f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Code</vt:lpstr>
      <vt:lpstr>PPP</vt:lpstr>
      <vt:lpstr>PPP!Print_Area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Song Qinghua</dc:creator>
  <cp:keywords/>
  <dc:description/>
  <cp:lastModifiedBy>Franklin Song Qinhua</cp:lastModifiedBy>
  <cp:revision/>
  <dcterms:created xsi:type="dcterms:W3CDTF">2015-06-05T18:17:20Z</dcterms:created>
  <dcterms:modified xsi:type="dcterms:W3CDTF">2026-10-07T02:46:34Z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0x01010061E075E1F5F4354EAA6D40AAFDD7C5B7</vt:lpwstr>
  </property>
  <property fmtid="{D5CDD505-2E9C-101B-9397-08002B2CF9AE}" pid="3" name="MediaServiceImageTags">
    <vt:lpwstr/>
  </property>
</Properties>
</file>